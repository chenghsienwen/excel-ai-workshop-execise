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3" sheetId="1" state="visible" r:id="rId2"/>
  </sheets>
  <definedNames>
    <definedName function="false" hidden="false" name="COUNT" vbProcedure="false">#REF!</definedName>
    <definedName function="false" hidden="false" name="D" vbProcedure="false">#REF!</definedName>
    <definedName function="false" hidden="false" name="GF" vbProcedure="false">"圖片 1"</definedName>
    <definedName function="false" hidden="false" name="QUOT1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<sst xmlns="http://schemas.openxmlformats.org/spreadsheetml/2006/main" count="435" uniqueCount="53">
  <si>
    <t xml:space="preserve">actual</t>
  </si>
  <si>
    <t xml:space="preserve">forecast</t>
  </si>
  <si>
    <t xml:space="preserve">budget</t>
  </si>
  <si>
    <t xml:space="preserve">Gross Sales ($K)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</si>
  <si>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</si>
  <si>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</si>
  <si>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</si>
  <si>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</si>
  <si>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</si>
  <si>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</si>
  <si>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</si>
  <si>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</si>
  <si>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</si>
  <si>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</si>
  <si>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</si>
  <si>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</si>
  <si>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AZ</t>
  </si>
  <si>
    <t xml:space="preserve">BD+</t>
  </si>
  <si>
    <t xml:space="preserve">ID</t>
  </si>
  <si>
    <t xml:space="preserve">IN</t>
  </si>
  <si>
    <t xml:space="preserve">JP</t>
  </si>
  <si>
    <t xml:space="preserve">KR</t>
  </si>
  <si>
    <t xml:space="preserve">MY</t>
  </si>
  <si>
    <t xml:space="preserve">PH</t>
  </si>
  <si>
    <t xml:space="preserve">SG</t>
  </si>
  <si>
    <t xml:space="preserve">TH</t>
  </si>
  <si>
    <t xml:space="preserve">VN</t>
  </si>
  <si>
    <t xml:space="preserve">TTL VSI</t>
  </si>
  <si>
    <t xml:space="preserve">TW</t>
  </si>
  <si>
    <t xml:space="preserve">UK</t>
  </si>
  <si>
    <t xml:space="preserve">FR</t>
  </si>
  <si>
    <t xml:space="preserve">DE</t>
  </si>
  <si>
    <t xml:space="preserve">CH</t>
  </si>
  <si>
    <t xml:space="preserve">ES </t>
  </si>
  <si>
    <t xml:space="preserve">IT</t>
  </si>
  <si>
    <t xml:space="preserve">NR</t>
  </si>
  <si>
    <t xml:space="preserve">NL</t>
  </si>
  <si>
    <t xml:space="preserve">TTL VSEW</t>
  </si>
  <si>
    <t xml:space="preserve">DC</t>
  </si>
  <si>
    <t xml:space="preserve">TR</t>
  </si>
  <si>
    <t xml:space="preserve">CE</t>
  </si>
  <si>
    <t xml:space="preserve">RU</t>
  </si>
  <si>
    <t xml:space="preserve">MA</t>
  </si>
  <si>
    <t xml:space="preserve">TTL VSEE</t>
  </si>
  <si>
    <t xml:space="preserve">TTL VSE</t>
  </si>
  <si>
    <t xml:space="preserve">VSA</t>
  </si>
  <si>
    <t xml:space="preserve">TTL VSA</t>
  </si>
  <si>
    <t xml:space="preserve">VSCN</t>
  </si>
  <si>
    <t xml:space="preserve">TTL VSCN</t>
  </si>
  <si>
    <t xml:space="preserve">VSC</t>
  </si>
  <si>
    <t xml:space="preserve">Net Sales ($K)</t>
  </si>
  <si>
    <t xml:space="preserve">Jun </t>
  </si>
  <si>
    <t xml:space="preserve">OP Sales ($K)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</si>
</sst>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[$€-2]* #,##0.00_);_([$€-2]* \(#,##0.00\);_([$€-2]* \-??_)"/>
    <numFmt numFmtId="166" formatCode="\$#,##0,;[RED]&quot;($&quot;#,##0,\)"/>
  </numFmts>
  <fonts count="21">
    <font>
      <sz val="12"/>
      <color rgb="FF000000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name val="Geneva"/>
      <family val="2"/>
      <charset val="1"/>
    </font>
    <font>
      <sz val="11"/>
      <color rgb="FF000000"/>
      <name val="Calibri"/>
      <family val="2"/>
      <charset val="1"/>
    </font>
    <font>
      <sz val="11"/>
      <name val="돋움"/>
      <family val="2"/>
      <charset val="1"/>
    </font>
    <font>
      <sz val="12"/>
      <name val="Times New Roman"/>
      <family val="1"/>
      <charset val="1"/>
    </font>
    <font>
      <sz val="11"/>
      <name val="돋움"/>
      <family val="2"/>
      <charset val="129"/>
    </font>
    <font>
      <sz val="10"/>
      <color rgb="FF000000"/>
      <name val="Arial"/>
      <family val="2"/>
      <charset val="1"/>
    </font>
    <font>
      <sz val="11"/>
      <color rgb="FF000000"/>
      <name val="宋体"/>
      <family val="3"/>
      <charset val="134"/>
    </font>
    <font>
      <sz val="11"/>
      <color rgb="FF000000"/>
      <name val="新細明體"/>
      <family val="1"/>
      <charset val="136"/>
    </font>
    <font>
      <sz val="12"/>
      <color rgb="FF000000"/>
      <name val="新細明體"/>
      <family val="1"/>
      <charset val="1"/>
    </font>
    <font>
      <sz val="11"/>
      <color rgb="FF000000"/>
      <name val="宋体"/>
      <family val="3"/>
      <charset val="136"/>
    </font>
    <font>
      <sz val="11"/>
      <color rgb="FF000000"/>
      <name val="Czcionka tekstu podstawowego"/>
      <family val="2"/>
      <charset val="238"/>
    </font>
    <font>
      <b val="true"/>
      <sz val="12"/>
      <color rgb="FF000000"/>
      <name val="新細明體"/>
      <family val="2"/>
      <charset val="136"/>
    </font>
    <font>
      <b val="true"/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color rgb="FFFFFFFF"/>
      <name val="Calibri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CCCCFF"/>
        <bgColor rgb="FFDAEEF3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DAEEF3"/>
      </patternFill>
    </fill>
    <fill>
      <patternFill patternType="solid">
        <fgColor rgb="FFFFCC99"/>
        <bgColor rgb="FFEBF1DE"/>
      </patternFill>
    </fill>
    <fill>
      <patternFill patternType="solid">
        <fgColor rgb="FF99CCFF"/>
        <bgColor rgb="FF93C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EBF1DE"/>
      </patternFill>
    </fill>
    <fill>
      <patternFill patternType="solid">
        <fgColor rgb="FFEBF1DE"/>
        <bgColor rgb="FFDBEEF4"/>
      </patternFill>
    </fill>
    <fill>
      <patternFill patternType="solid">
        <fgColor rgb="FFDBEEF4"/>
        <bgColor rgb="FFDAEEF3"/>
      </patternFill>
    </fill>
    <fill>
      <patternFill patternType="solid">
        <fgColor rgb="FFDAEEF3"/>
        <bgColor rgb="FFDBEEF4"/>
      </patternFill>
    </fill>
    <fill>
      <patternFill patternType="solid">
        <fgColor rgb="FF93CDDD"/>
        <bgColor rgb="FF99CCFF"/>
      </patternFill>
    </fill>
    <fill>
      <patternFill patternType="solid">
        <fgColor rgb="FF1F5174"/>
        <bgColor rgb="FF003366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/>
      <top/>
      <bottom style="thin"/>
      <diagonal/>
    </border>
  </borders>
  <cellStyleXfs count="155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3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3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13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5174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x0002_._x0011__x0002_._x001b__x0002_ _x0015_%_x0018__x0001_" xfId="20"/>
    <cellStyle name="&#10;386grabber=M" xfId="21"/>
    <cellStyle name=" 1" xfId="22"/>
    <cellStyle name=" 1 2" xfId="23"/>
    <cellStyle name="0,0&#10;&#10;NA&#10;&#10;" xfId="24"/>
    <cellStyle name="0,0&#10;&#10;NA&#10;&#10; 2" xfId="25"/>
    <cellStyle name="0,0&#10;&#10;NA&#10;&#10; 3" xfId="26"/>
    <cellStyle name="0,0&#13;&#10;NA&#13;&#10;" xfId="27"/>
    <cellStyle name="0,0&#13;&#10;NA&#13;&#10; 2" xfId="28"/>
    <cellStyle name="0,0&#13;&#10;NA&#13;&#10; 3" xfId="29"/>
    <cellStyle name="20 % - Markeringsfarve1" xfId="30"/>
    <cellStyle name="20 % - Markeringsfarve1 2" xfId="31"/>
    <cellStyle name="20 % - Markeringsfarve2" xfId="32"/>
    <cellStyle name="20 % - Markeringsfarve2 2" xfId="33"/>
    <cellStyle name="20 % - Markeringsfarve3" xfId="34"/>
    <cellStyle name="20 % - Markeringsfarve3 2" xfId="35"/>
    <cellStyle name="20 % - Markeringsfarve4" xfId="36"/>
    <cellStyle name="20 % - Markeringsfarve4 2" xfId="37"/>
    <cellStyle name="20 % - Markeringsfarve5" xfId="38"/>
    <cellStyle name="20 % - Markeringsfarve5 2" xfId="39"/>
    <cellStyle name="20 % - Markeringsfarve6" xfId="40"/>
    <cellStyle name="20 % - Markeringsfarve6 2" xfId="41"/>
    <cellStyle name="20% - Accent1" xfId="42"/>
    <cellStyle name="20% - Accent1 10" xfId="43"/>
    <cellStyle name="20% - Accent1 10 2" xfId="44"/>
    <cellStyle name="20% - Accent1 10 2 2" xfId="45"/>
    <cellStyle name="20% - Accent1 10 3" xfId="46"/>
    <cellStyle name="20% - Accent1 10 3 2" xfId="47"/>
    <cellStyle name="20% - Accent1 10 4" xfId="48"/>
    <cellStyle name="20% - Accent1 11" xfId="49"/>
    <cellStyle name="20% - Accent1 11 2" xfId="50"/>
    <cellStyle name="20% - Accent1 11 2 2" xfId="51"/>
    <cellStyle name="20% - Accent1 11 3" xfId="52"/>
    <cellStyle name="20% - Accent1 11 3 2" xfId="53"/>
    <cellStyle name="20% - Accent1 11 4" xfId="54"/>
    <cellStyle name="20% - Accent1 12" xfId="55"/>
    <cellStyle name="20% - Accent1 12 2" xfId="56"/>
    <cellStyle name="20% - Accent1 12 2 2" xfId="57"/>
    <cellStyle name="20% - Accent1 13" xfId="58"/>
    <cellStyle name="20% - Accent1 13 2" xfId="59"/>
    <cellStyle name="20% - Accent1 13 2 2" xfId="60"/>
    <cellStyle name="20% - Accent1 14" xfId="61"/>
    <cellStyle name="20% - Accent1 14 2" xfId="62"/>
    <cellStyle name="20% - Accent1 14 2 2" xfId="63"/>
    <cellStyle name="20% - Accent1 15" xfId="64"/>
    <cellStyle name="20% - Accent1 15 2" xfId="65"/>
    <cellStyle name="20% - Accent1 15 2 2" xfId="66"/>
    <cellStyle name="20% - Accent1 16" xfId="67"/>
    <cellStyle name="20% - Accent1 16 2" xfId="68"/>
    <cellStyle name="20% - Accent1 16 2 2" xfId="69"/>
    <cellStyle name="20% - Accent1 17" xfId="70"/>
    <cellStyle name="20% - Accent1 17 2" xfId="71"/>
    <cellStyle name="20% - Accent1 17 2 2" xfId="72"/>
    <cellStyle name="20% - Accent1 18" xfId="73"/>
    <cellStyle name="20% - Accent1 18 2" xfId="74"/>
    <cellStyle name="20% - Accent1 18 2 2" xfId="75"/>
    <cellStyle name="20% - Accent1 19" xfId="76"/>
    <cellStyle name="20% - Accent1 19 2" xfId="77"/>
    <cellStyle name="20% - Accent1 19 2 2" xfId="78"/>
    <cellStyle name="20% - Accent1 2" xfId="79"/>
    <cellStyle name="20% - Accent1 2 10" xfId="80"/>
    <cellStyle name="20% - Accent1 2 11" xfId="81"/>
    <cellStyle name="20% - Accent1 2 12" xfId="82"/>
    <cellStyle name="20% - Accent1 2 13" xfId="83"/>
    <cellStyle name="20% - Accent1 2 14" xfId="84"/>
    <cellStyle name="20% - Accent1 2 15" xfId="85"/>
    <cellStyle name="20% - Accent1 2 16" xfId="86"/>
    <cellStyle name="20% - Accent1 2 17" xfId="87"/>
    <cellStyle name="20% - Accent1 2 18" xfId="88"/>
    <cellStyle name="20% - Accent1 2 19" xfId="89"/>
    <cellStyle name="20% - Accent1 2 2" xfId="90"/>
    <cellStyle name="20% - Accent1 2 2 2" xfId="91"/>
    <cellStyle name="20% - Accent1 2 2 2 2" xfId="92"/>
    <cellStyle name="20% - Accent1 2 2 3" xfId="93"/>
    <cellStyle name="20% - Accent1 2 2 3 2" xfId="94"/>
    <cellStyle name="20% - Accent1 2 2 4" xfId="95"/>
    <cellStyle name="20% - Accent1 2 2 4 2" xfId="96"/>
    <cellStyle name="20% - Accent1 2 2 5" xfId="97"/>
    <cellStyle name="20% - Accent1 2 2 6" xfId="98"/>
    <cellStyle name="20% - Accent1 2 20" xfId="99"/>
    <cellStyle name="20% - Accent1 2 21" xfId="100"/>
    <cellStyle name="20% - Accent1 2 22" xfId="101"/>
    <cellStyle name="20% - Accent1 2 23" xfId="102"/>
    <cellStyle name="20% - Accent1 2 24" xfId="103"/>
    <cellStyle name="20% - Accent1 2 25" xfId="104"/>
    <cellStyle name="20% - Accent1 2 3" xfId="105"/>
    <cellStyle name="20% - Accent1 2 3 2" xfId="106"/>
    <cellStyle name="20% - Accent1 2 3 3" xfId="107"/>
    <cellStyle name="20% - Accent1 2 4" xfId="108"/>
    <cellStyle name="20% - Accent1 2 4 2" xfId="109"/>
    <cellStyle name="20% - Accent1 2 4 3" xfId="110"/>
    <cellStyle name="20% - Accent1 2 5" xfId="111"/>
    <cellStyle name="20% - Accent1 2 5 2" xfId="112"/>
    <cellStyle name="20% - Accent1 2 5 3" xfId="113"/>
    <cellStyle name="20% - Accent1 2 6" xfId="114"/>
    <cellStyle name="20% - Accent1 2 6 2" xfId="115"/>
    <cellStyle name="20% - Accent1 2 7" xfId="116"/>
    <cellStyle name="20% - Accent1 2 7 2" xfId="117"/>
    <cellStyle name="20% - Accent1 2 8" xfId="118"/>
    <cellStyle name="20% - Accent1 2 8 2" xfId="119"/>
    <cellStyle name="20% - Accent1 2 9" xfId="120"/>
    <cellStyle name="20% - Accent1 20" xfId="121"/>
    <cellStyle name="20% - Accent1 20 2" xfId="122"/>
    <cellStyle name="20% - Accent1 20 2 2" xfId="123"/>
    <cellStyle name="20% - Accent1 21" xfId="124"/>
    <cellStyle name="20% - Accent1 21 2" xfId="125"/>
    <cellStyle name="20% - Accent1 21 2 2" xfId="126"/>
    <cellStyle name="20% - Accent1 22" xfId="127"/>
    <cellStyle name="20% - Accent1 22 2" xfId="128"/>
    <cellStyle name="20% - Accent1 22 2 2" xfId="129"/>
    <cellStyle name="20% - Accent1 23" xfId="130"/>
    <cellStyle name="20% - Accent1 23 2" xfId="131"/>
    <cellStyle name="20% - Accent1 23 2 2" xfId="132"/>
    <cellStyle name="20% - Accent1 23 3" xfId="133"/>
    <cellStyle name="20% - Accent1 24" xfId="134"/>
    <cellStyle name="20% - Accent1 24 2" xfId="135"/>
    <cellStyle name="20% - Accent1 24 2 2" xfId="136"/>
    <cellStyle name="20% - Accent1 24 3" xfId="137"/>
    <cellStyle name="20% - Accent1 25" xfId="138"/>
    <cellStyle name="20% - Accent1 25 2" xfId="139"/>
    <cellStyle name="20% - Accent1 25 2 2" xfId="140"/>
    <cellStyle name="20% - Accent1 25 3" xfId="141"/>
    <cellStyle name="20% - Accent1 26" xfId="142"/>
    <cellStyle name="20% - Accent1 26 2" xfId="143"/>
    <cellStyle name="20% - Accent1 26 3" xfId="144"/>
    <cellStyle name="20% - Accent1 27" xfId="145"/>
    <cellStyle name="20% - Accent1 27 2" xfId="146"/>
    <cellStyle name="20% - Accent1 27 3" xfId="147"/>
    <cellStyle name="20% - Accent1 28" xfId="148"/>
    <cellStyle name="20% - Accent1 28 2" xfId="149"/>
    <cellStyle name="20% - Accent1 28 3" xfId="150"/>
    <cellStyle name="20% - Accent1 29" xfId="151"/>
    <cellStyle name="20% - Accent1 29 2" xfId="152"/>
    <cellStyle name="20% - Accent1 29 3" xfId="153"/>
    <cellStyle name="20% - Accent1 2_2.VSCN - GSC charge" xfId="154"/>
    <cellStyle name="20% - Accent1 3" xfId="155"/>
    <cellStyle name="20% - Accent1 3 2" xfId="156"/>
    <cellStyle name="20% - Accent1 3 2 2" xfId="157"/>
    <cellStyle name="20% - Accent1 3 2 3" xfId="158"/>
    <cellStyle name="20% - Accent1 3 3" xfId="159"/>
    <cellStyle name="20% - Accent1 3 3 2" xfId="160"/>
    <cellStyle name="20% - Accent1 3 3 3" xfId="161"/>
    <cellStyle name="20% - Accent1 3 4" xfId="162"/>
    <cellStyle name="20% - Accent1 3 4 2" xfId="163"/>
    <cellStyle name="20% - Accent1 3 5" xfId="164"/>
    <cellStyle name="20% - Accent1 3 5 2" xfId="165"/>
    <cellStyle name="20% - Accent1 3 6" xfId="166"/>
    <cellStyle name="20% - Accent1 3 7" xfId="167"/>
    <cellStyle name="20% - Accent1 30" xfId="168"/>
    <cellStyle name="20% - Accent1 30 2" xfId="169"/>
    <cellStyle name="20% - Accent1 31" xfId="170"/>
    <cellStyle name="20% - Accent1 31 2" xfId="171"/>
    <cellStyle name="20% - Accent1 32" xfId="172"/>
    <cellStyle name="20% - Accent1 32 2" xfId="173"/>
    <cellStyle name="20% - Accent1 33" xfId="174"/>
    <cellStyle name="20% - Accent1 33 2" xfId="175"/>
    <cellStyle name="20% - Accent1 34" xfId="176"/>
    <cellStyle name="20% - Accent1 34 2" xfId="177"/>
    <cellStyle name="20% - Accent1 35" xfId="178"/>
    <cellStyle name="20% - Accent1 35 2" xfId="179"/>
    <cellStyle name="20% - Accent1 36" xfId="180"/>
    <cellStyle name="20% - Accent1 36 2" xfId="181"/>
    <cellStyle name="20% - Accent1 37" xfId="182"/>
    <cellStyle name="20% - Accent1 37 2" xfId="183"/>
    <cellStyle name="20% - Accent1 38" xfId="184"/>
    <cellStyle name="20% - Accent1 38 2" xfId="185"/>
    <cellStyle name="20% - Accent1 39" xfId="186"/>
    <cellStyle name="20% - Accent1 39 2" xfId="187"/>
    <cellStyle name="20% - Accent1 3_Before Allocation" xfId="188"/>
    <cellStyle name="20% - Accent1 4" xfId="189"/>
    <cellStyle name="20% - Accent1 4 2" xfId="190"/>
    <cellStyle name="20% - Accent1 4 2 2" xfId="191"/>
    <cellStyle name="20% - Accent1 4 2 3" xfId="192"/>
    <cellStyle name="20% - Accent1 4 3" xfId="193"/>
    <cellStyle name="20% - Accent1 4 3 2" xfId="194"/>
    <cellStyle name="20% - Accent1 4 3 3" xfId="195"/>
    <cellStyle name="20% - Accent1 4 4" xfId="196"/>
    <cellStyle name="20% - Accent1 4 4 2" xfId="197"/>
    <cellStyle name="20% - Accent1 4 5" xfId="198"/>
    <cellStyle name="20% - Accent1 4 5 2" xfId="199"/>
    <cellStyle name="20% - Accent1 4 6" xfId="200"/>
    <cellStyle name="20% - Accent1 4 7" xfId="201"/>
    <cellStyle name="20% - Accent1 40" xfId="202"/>
    <cellStyle name="20% - Accent1 40 2" xfId="203"/>
    <cellStyle name="20% - Accent1 41" xfId="204"/>
    <cellStyle name="20% - Accent1 41 2" xfId="205"/>
    <cellStyle name="20% - Accent1 42" xfId="206"/>
    <cellStyle name="20% - Accent1 43" xfId="207"/>
    <cellStyle name="20% - Accent1 44" xfId="208"/>
    <cellStyle name="20% - Accent1 45" xfId="209"/>
    <cellStyle name="20% - Accent1 46" xfId="210"/>
    <cellStyle name="20% - Accent1 47" xfId="211"/>
    <cellStyle name="20% - Accent1 48" xfId="212"/>
    <cellStyle name="20% - Accent1 49" xfId="213"/>
    <cellStyle name="20% - Accent1 4_Before Allocation" xfId="214"/>
    <cellStyle name="20% - Accent1 5" xfId="215"/>
    <cellStyle name="20% - Accent1 5 2" xfId="216"/>
    <cellStyle name="20% - Accent1 5 2 2" xfId="217"/>
    <cellStyle name="20% - Accent1 5 2 3" xfId="218"/>
    <cellStyle name="20% - Accent1 5 3" xfId="219"/>
    <cellStyle name="20% - Accent1 5 3 2" xfId="220"/>
    <cellStyle name="20% - Accent1 5 4" xfId="221"/>
    <cellStyle name="20% - Accent1 5 4 2" xfId="222"/>
    <cellStyle name="20% - Accent1 5 5" xfId="223"/>
    <cellStyle name="20% - Accent1 50" xfId="224"/>
    <cellStyle name="20% - Accent1 51" xfId="225"/>
    <cellStyle name="20% - Accent1 52" xfId="226"/>
    <cellStyle name="20% - Accent1 53" xfId="227"/>
    <cellStyle name="20% - Accent1 54" xfId="228"/>
    <cellStyle name="20% - Accent1 55" xfId="229"/>
    <cellStyle name="20% - Accent1 56" xfId="230"/>
    <cellStyle name="20% - Accent1 57" xfId="231"/>
    <cellStyle name="20% - Accent1 58" xfId="232"/>
    <cellStyle name="20% - Accent1 59" xfId="233"/>
    <cellStyle name="20% - Accent1 6" xfId="234"/>
    <cellStyle name="20% - Accent1 6 2" xfId="235"/>
    <cellStyle name="20% - Accent1 6 2 2" xfId="236"/>
    <cellStyle name="20% - Accent1 6 3" xfId="237"/>
    <cellStyle name="20% - Accent1 6 3 2" xfId="238"/>
    <cellStyle name="20% - Accent1 6 4" xfId="239"/>
    <cellStyle name="20% - Accent1 60" xfId="240"/>
    <cellStyle name="20% - Accent1 61" xfId="241"/>
    <cellStyle name="20% - Accent1 62" xfId="242"/>
    <cellStyle name="20% - Accent1 63" xfId="243"/>
    <cellStyle name="20% - Accent1 64" xfId="244"/>
    <cellStyle name="20% - Accent1 65" xfId="245"/>
    <cellStyle name="20% - Accent1 66" xfId="246"/>
    <cellStyle name="20% - Accent1 67" xfId="247"/>
    <cellStyle name="20% - Accent1 68" xfId="248"/>
    <cellStyle name="20% - Accent1 69" xfId="249"/>
    <cellStyle name="20% - Accent1 7" xfId="250"/>
    <cellStyle name="20% - Accent1 7 2" xfId="251"/>
    <cellStyle name="20% - Accent1 7 2 2" xfId="252"/>
    <cellStyle name="20% - Accent1 7 3" xfId="253"/>
    <cellStyle name="20% - Accent1 7 3 2" xfId="254"/>
    <cellStyle name="20% - Accent1 7 4" xfId="255"/>
    <cellStyle name="20% - Accent1 70" xfId="256"/>
    <cellStyle name="20% - Accent1 71" xfId="257"/>
    <cellStyle name="20% - Accent1 72" xfId="258"/>
    <cellStyle name="20% - Accent1 73" xfId="259"/>
    <cellStyle name="20% - Accent1 74" xfId="260"/>
    <cellStyle name="20% - Accent1 75" xfId="261"/>
    <cellStyle name="20% - Accent1 76" xfId="262"/>
    <cellStyle name="20% - Accent1 77" xfId="263"/>
    <cellStyle name="20% - Accent1 78" xfId="264"/>
    <cellStyle name="20% - Accent1 79" xfId="265"/>
    <cellStyle name="20% - Accent1 8" xfId="266"/>
    <cellStyle name="20% - Accent1 8 2" xfId="267"/>
    <cellStyle name="20% - Accent1 8 2 2" xfId="268"/>
    <cellStyle name="20% - Accent1 8 3" xfId="269"/>
    <cellStyle name="20% - Accent1 8 3 2" xfId="270"/>
    <cellStyle name="20% - Accent1 8 4" xfId="271"/>
    <cellStyle name="20% - Accent1 80" xfId="272"/>
    <cellStyle name="20% - Accent1 81" xfId="273"/>
    <cellStyle name="20% - Accent1 82" xfId="274"/>
    <cellStyle name="20% - Accent1 83" xfId="275"/>
    <cellStyle name="20% - Accent1 84" xfId="276"/>
    <cellStyle name="20% - Accent1 85" xfId="277"/>
    <cellStyle name="20% - Accent1 86" xfId="278"/>
    <cellStyle name="20% - Accent1 87" xfId="279"/>
    <cellStyle name="20% - Accent1 88" xfId="280"/>
    <cellStyle name="20% - Accent1 89" xfId="281"/>
    <cellStyle name="20% - Accent1 9" xfId="282"/>
    <cellStyle name="20% - Accent1 9 2" xfId="283"/>
    <cellStyle name="20% - Accent1 9 2 2" xfId="284"/>
    <cellStyle name="20% - Accent1 9 3" xfId="285"/>
    <cellStyle name="20% - Accent1 9 3 2" xfId="286"/>
    <cellStyle name="20% - Accent1 9 4" xfId="287"/>
    <cellStyle name="20% - Accent1 90" xfId="288"/>
    <cellStyle name="20% - Accent1 91" xfId="289"/>
    <cellStyle name="20% - Accent1 92" xfId="290"/>
    <cellStyle name="20% - Accent1 93" xfId="291"/>
    <cellStyle name="20% - Accent1 94" xfId="292"/>
    <cellStyle name="20% - Accent1 95" xfId="293"/>
    <cellStyle name="20% - Accent1 96" xfId="294"/>
    <cellStyle name="20% - Accent1_13-wk VSI_Revised" xfId="295"/>
    <cellStyle name="20% - Accent2" xfId="296"/>
    <cellStyle name="20% - Accent2 10" xfId="297"/>
    <cellStyle name="20% - Accent2 10 2" xfId="298"/>
    <cellStyle name="20% - Accent2 10 2 2" xfId="299"/>
    <cellStyle name="20% - Accent2 10 3" xfId="300"/>
    <cellStyle name="20% - Accent2 10 3 2" xfId="301"/>
    <cellStyle name="20% - Accent2 10 4" xfId="302"/>
    <cellStyle name="20% - Accent2 11" xfId="303"/>
    <cellStyle name="20% - Accent2 11 2" xfId="304"/>
    <cellStyle name="20% - Accent2 11 2 2" xfId="305"/>
    <cellStyle name="20% - Accent2 11 3" xfId="306"/>
    <cellStyle name="20% - Accent2 11 3 2" xfId="307"/>
    <cellStyle name="20% - Accent2 11 4" xfId="308"/>
    <cellStyle name="20% - Accent2 12" xfId="309"/>
    <cellStyle name="20% - Accent2 12 2" xfId="310"/>
    <cellStyle name="20% - Accent2 12 2 2" xfId="311"/>
    <cellStyle name="20% - Accent2 13" xfId="312"/>
    <cellStyle name="20% - Accent2 13 2" xfId="313"/>
    <cellStyle name="20% - Accent2 13 2 2" xfId="314"/>
    <cellStyle name="20% - Accent2 14" xfId="315"/>
    <cellStyle name="20% - Accent2 14 2" xfId="316"/>
    <cellStyle name="20% - Accent2 14 2 2" xfId="317"/>
    <cellStyle name="20% - Accent2 15" xfId="318"/>
    <cellStyle name="20% - Accent2 15 2" xfId="319"/>
    <cellStyle name="20% - Accent2 15 2 2" xfId="320"/>
    <cellStyle name="20% - Accent2 16" xfId="321"/>
    <cellStyle name="20% - Accent2 16 2" xfId="322"/>
    <cellStyle name="20% - Accent2 16 2 2" xfId="323"/>
    <cellStyle name="20% - Accent2 17" xfId="324"/>
    <cellStyle name="20% - Accent2 17 2" xfId="325"/>
    <cellStyle name="20% - Accent2 17 2 2" xfId="326"/>
    <cellStyle name="20% - Accent2 18" xfId="327"/>
    <cellStyle name="20% - Accent2 18 2" xfId="328"/>
    <cellStyle name="20% - Accent2 18 2 2" xfId="329"/>
    <cellStyle name="20% - Accent2 19" xfId="330"/>
    <cellStyle name="20% - Accent2 19 2" xfId="331"/>
    <cellStyle name="20% - Accent2 19 2 2" xfId="332"/>
    <cellStyle name="20% - Accent2 2" xfId="333"/>
    <cellStyle name="20% - Accent2 2 10" xfId="334"/>
    <cellStyle name="20% - Accent2 2 11" xfId="335"/>
    <cellStyle name="20% - Accent2 2 12" xfId="336"/>
    <cellStyle name="20% - Accent2 2 13" xfId="337"/>
    <cellStyle name="20% - Accent2 2 14" xfId="338"/>
    <cellStyle name="20% - Accent2 2 15" xfId="339"/>
    <cellStyle name="20% - Accent2 2 16" xfId="340"/>
    <cellStyle name="20% - Accent2 2 17" xfId="341"/>
    <cellStyle name="20% - Accent2 2 18" xfId="342"/>
    <cellStyle name="20% - Accent2 2 19" xfId="343"/>
    <cellStyle name="20% - Accent2 2 2" xfId="344"/>
    <cellStyle name="20% - Accent2 2 2 2" xfId="345"/>
    <cellStyle name="20% - Accent2 2 2 2 2" xfId="346"/>
    <cellStyle name="20% - Accent2 2 2 3" xfId="347"/>
    <cellStyle name="20% - Accent2 2 2 3 2" xfId="348"/>
    <cellStyle name="20% - Accent2 2 2 4" xfId="349"/>
    <cellStyle name="20% - Accent2 2 2 4 2" xfId="350"/>
    <cellStyle name="20% - Accent2 2 2 5" xfId="351"/>
    <cellStyle name="20% - Accent2 2 2 6" xfId="352"/>
    <cellStyle name="20% - Accent2 2 20" xfId="353"/>
    <cellStyle name="20% - Accent2 2 21" xfId="354"/>
    <cellStyle name="20% - Accent2 2 22" xfId="355"/>
    <cellStyle name="20% - Accent2 2 23" xfId="356"/>
    <cellStyle name="20% - Accent2 2 24" xfId="357"/>
    <cellStyle name="20% - Accent2 2 25" xfId="358"/>
    <cellStyle name="20% - Accent2 2 3" xfId="359"/>
    <cellStyle name="20% - Accent2 2 3 2" xfId="360"/>
    <cellStyle name="20% - Accent2 2 3 3" xfId="361"/>
    <cellStyle name="20% - Accent2 2 4" xfId="362"/>
    <cellStyle name="20% - Accent2 2 4 2" xfId="363"/>
    <cellStyle name="20% - Accent2 2 4 3" xfId="364"/>
    <cellStyle name="20% - Accent2 2 5" xfId="365"/>
    <cellStyle name="20% - Accent2 2 5 2" xfId="366"/>
    <cellStyle name="20% - Accent2 2 5 3" xfId="367"/>
    <cellStyle name="20% - Accent2 2 6" xfId="368"/>
    <cellStyle name="20% - Accent2 2 6 2" xfId="369"/>
    <cellStyle name="20% - Accent2 2 7" xfId="370"/>
    <cellStyle name="20% - Accent2 2 7 2" xfId="371"/>
    <cellStyle name="20% - Accent2 2 8" xfId="372"/>
    <cellStyle name="20% - Accent2 2 8 2" xfId="373"/>
    <cellStyle name="20% - Accent2 2 9" xfId="374"/>
    <cellStyle name="20% - Accent2 20" xfId="375"/>
    <cellStyle name="20% - Accent2 20 2" xfId="376"/>
    <cellStyle name="20% - Accent2 20 2 2" xfId="377"/>
    <cellStyle name="20% - Accent2 21" xfId="378"/>
    <cellStyle name="20% - Accent2 21 2" xfId="379"/>
    <cellStyle name="20% - Accent2 21 2 2" xfId="380"/>
    <cellStyle name="20% - Accent2 22" xfId="381"/>
    <cellStyle name="20% - Accent2 22 2" xfId="382"/>
    <cellStyle name="20% - Accent2 22 2 2" xfId="383"/>
    <cellStyle name="20% - Accent2 23" xfId="384"/>
    <cellStyle name="20% - Accent2 23 2" xfId="385"/>
    <cellStyle name="20% - Accent2 23 2 2" xfId="386"/>
    <cellStyle name="20% - Accent2 23 3" xfId="387"/>
    <cellStyle name="20% - Accent2 24" xfId="388"/>
    <cellStyle name="20% - Accent2 24 2" xfId="389"/>
    <cellStyle name="20% - Accent2 24 2 2" xfId="390"/>
    <cellStyle name="20% - Accent2 24 3" xfId="391"/>
    <cellStyle name="20% - Accent2 25" xfId="392"/>
    <cellStyle name="20% - Accent2 25 2" xfId="393"/>
    <cellStyle name="20% - Accent2 25 3" xfId="394"/>
    <cellStyle name="20% - Accent2 26" xfId="395"/>
    <cellStyle name="20% - Accent2 26 2" xfId="396"/>
    <cellStyle name="20% - Accent2 27" xfId="397"/>
    <cellStyle name="20% - Accent2 27 2" xfId="398"/>
    <cellStyle name="20% - Accent2 28" xfId="399"/>
    <cellStyle name="20% - Accent2 28 2" xfId="400"/>
    <cellStyle name="20% - Accent2 29" xfId="401"/>
    <cellStyle name="20% - Accent2 29 2" xfId="402"/>
    <cellStyle name="20% - Accent2 2_2.VSCN - GSC charge" xfId="403"/>
    <cellStyle name="20% - Accent2 3" xfId="404"/>
    <cellStyle name="20% - Accent2 3 2" xfId="405"/>
    <cellStyle name="20% - Accent2 3 2 2" xfId="406"/>
    <cellStyle name="20% - Accent2 3 2 3" xfId="407"/>
    <cellStyle name="20% - Accent2 3 3" xfId="408"/>
    <cellStyle name="20% - Accent2 3 3 2" xfId="409"/>
    <cellStyle name="20% - Accent2 3 3 3" xfId="410"/>
    <cellStyle name="20% - Accent2 3 4" xfId="411"/>
    <cellStyle name="20% - Accent2 3 4 2" xfId="412"/>
    <cellStyle name="20% - Accent2 3 5" xfId="413"/>
    <cellStyle name="20% - Accent2 3 5 2" xfId="414"/>
    <cellStyle name="20% - Accent2 3 6" xfId="415"/>
    <cellStyle name="20% - Accent2 3 7" xfId="416"/>
    <cellStyle name="20% - Accent2 30" xfId="417"/>
    <cellStyle name="20% - Accent2 30 2" xfId="418"/>
    <cellStyle name="20% - Accent2 31" xfId="419"/>
    <cellStyle name="20% - Accent2 31 2" xfId="420"/>
    <cellStyle name="20% - Accent2 32" xfId="421"/>
    <cellStyle name="20% - Accent2 32 2" xfId="422"/>
    <cellStyle name="20% - Accent2 33" xfId="423"/>
    <cellStyle name="20% - Accent2 33 2" xfId="424"/>
    <cellStyle name="20% - Accent2 34" xfId="425"/>
    <cellStyle name="20% - Accent2 34 2" xfId="426"/>
    <cellStyle name="20% - Accent2 35" xfId="427"/>
    <cellStyle name="20% - Accent2 35 2" xfId="428"/>
    <cellStyle name="20% - Accent2 36" xfId="429"/>
    <cellStyle name="20% - Accent2 36 2" xfId="430"/>
    <cellStyle name="20% - Accent2 37" xfId="431"/>
    <cellStyle name="20% - Accent2 37 2" xfId="432"/>
    <cellStyle name="20% - Accent2 38" xfId="433"/>
    <cellStyle name="20% - Accent2 38 2" xfId="434"/>
    <cellStyle name="20% - Accent2 39" xfId="435"/>
    <cellStyle name="20% - Accent2 39 2" xfId="436"/>
    <cellStyle name="20% - Accent2 3_Before Allocation" xfId="437"/>
    <cellStyle name="20% - Accent2 4" xfId="438"/>
    <cellStyle name="20% - Accent2 4 2" xfId="439"/>
    <cellStyle name="20% - Accent2 4 2 2" xfId="440"/>
    <cellStyle name="20% - Accent2 4 2 3" xfId="441"/>
    <cellStyle name="20% - Accent2 4 3" xfId="442"/>
    <cellStyle name="20% - Accent2 4 3 2" xfId="443"/>
    <cellStyle name="20% - Accent2 4 3 3" xfId="444"/>
    <cellStyle name="20% - Accent2 4 4" xfId="445"/>
    <cellStyle name="20% - Accent2 4 4 2" xfId="446"/>
    <cellStyle name="20% - Accent2 4 5" xfId="447"/>
    <cellStyle name="20% - Accent2 4 5 2" xfId="448"/>
    <cellStyle name="20% - Accent2 4 6" xfId="449"/>
    <cellStyle name="20% - Accent2 4 7" xfId="450"/>
    <cellStyle name="20% - Accent2 40" xfId="451"/>
    <cellStyle name="20% - Accent2 40 2" xfId="452"/>
    <cellStyle name="20% - Accent2 41" xfId="453"/>
    <cellStyle name="20% - Accent2 41 2" xfId="454"/>
    <cellStyle name="20% - Accent2 42" xfId="455"/>
    <cellStyle name="20% - Accent2 43" xfId="456"/>
    <cellStyle name="20% - Accent2 44" xfId="457"/>
    <cellStyle name="20% - Accent2 45" xfId="458"/>
    <cellStyle name="20% - Accent2 46" xfId="459"/>
    <cellStyle name="20% - Accent2 47" xfId="460"/>
    <cellStyle name="20% - Accent2 48" xfId="461"/>
    <cellStyle name="20% - Accent2 49" xfId="462"/>
    <cellStyle name="20% - Accent2 4_Before Allocation" xfId="463"/>
    <cellStyle name="20% - Accent2 5" xfId="464"/>
    <cellStyle name="20% - Accent2 5 2" xfId="465"/>
    <cellStyle name="20% - Accent2 5 2 2" xfId="466"/>
    <cellStyle name="20% - Accent2 5 2 3" xfId="467"/>
    <cellStyle name="20% - Accent2 5 3" xfId="468"/>
    <cellStyle name="20% - Accent2 5 3 2" xfId="469"/>
    <cellStyle name="20% - Accent2 5 4" xfId="470"/>
    <cellStyle name="20% - Accent2 5 4 2" xfId="471"/>
    <cellStyle name="20% - Accent2 5 5" xfId="472"/>
    <cellStyle name="20% - Accent2 50" xfId="473"/>
    <cellStyle name="20% - Accent2 51" xfId="474"/>
    <cellStyle name="20% - Accent2 52" xfId="475"/>
    <cellStyle name="20% - Accent2 53" xfId="476"/>
    <cellStyle name="20% - Accent2 54" xfId="477"/>
    <cellStyle name="20% - Accent2 55" xfId="478"/>
    <cellStyle name="20% - Accent2 56" xfId="479"/>
    <cellStyle name="20% - Accent2 57" xfId="480"/>
    <cellStyle name="20% - Accent2 58" xfId="481"/>
    <cellStyle name="20% - Accent2 59" xfId="482"/>
    <cellStyle name="20% - Accent2 6" xfId="483"/>
    <cellStyle name="20% - Accent2 6 2" xfId="484"/>
    <cellStyle name="20% - Accent2 6 2 2" xfId="485"/>
    <cellStyle name="20% - Accent2 6 3" xfId="486"/>
    <cellStyle name="20% - Accent2 6 3 2" xfId="487"/>
    <cellStyle name="20% - Accent2 6 4" xfId="488"/>
    <cellStyle name="20% - Accent2 60" xfId="489"/>
    <cellStyle name="20% - Accent2 61" xfId="490"/>
    <cellStyle name="20% - Accent2 62" xfId="491"/>
    <cellStyle name="20% - Accent2 63" xfId="492"/>
    <cellStyle name="20% - Accent2 64" xfId="493"/>
    <cellStyle name="20% - Accent2 65" xfId="494"/>
    <cellStyle name="20% - Accent2 66" xfId="495"/>
    <cellStyle name="20% - Accent2 67" xfId="496"/>
    <cellStyle name="20% - Accent2 68" xfId="497"/>
    <cellStyle name="20% - Accent2 69" xfId="498"/>
    <cellStyle name="20% - Accent2 7" xfId="499"/>
    <cellStyle name="20% - Accent2 7 2" xfId="500"/>
    <cellStyle name="20% - Accent2 7 2 2" xfId="501"/>
    <cellStyle name="20% - Accent2 7 3" xfId="502"/>
    <cellStyle name="20% - Accent2 7 3 2" xfId="503"/>
    <cellStyle name="20% - Accent2 7 4" xfId="504"/>
    <cellStyle name="20% - Accent2 70" xfId="505"/>
    <cellStyle name="20% - Accent2 71" xfId="506"/>
    <cellStyle name="20% - Accent2 72" xfId="507"/>
    <cellStyle name="20% - Accent2 73" xfId="508"/>
    <cellStyle name="20% - Accent2 74" xfId="509"/>
    <cellStyle name="20% - Accent2 75" xfId="510"/>
    <cellStyle name="20% - Accent2 76" xfId="511"/>
    <cellStyle name="20% - Accent2 77" xfId="512"/>
    <cellStyle name="20% - Accent2 78" xfId="513"/>
    <cellStyle name="20% - Accent2 79" xfId="514"/>
    <cellStyle name="20% - Accent2 8" xfId="515"/>
    <cellStyle name="20% - Accent2 8 2" xfId="516"/>
    <cellStyle name="20% - Accent2 8 2 2" xfId="517"/>
    <cellStyle name="20% - Accent2 8 3" xfId="518"/>
    <cellStyle name="20% - Accent2 8 3 2" xfId="519"/>
    <cellStyle name="20% - Accent2 8 4" xfId="520"/>
    <cellStyle name="20% - Accent2 80" xfId="521"/>
    <cellStyle name="20% - Accent2 81" xfId="522"/>
    <cellStyle name="20% - Accent2 82" xfId="523"/>
    <cellStyle name="20% - Accent2 83" xfId="524"/>
    <cellStyle name="20% - Accent2 84" xfId="525"/>
    <cellStyle name="20% - Accent2 85" xfId="526"/>
    <cellStyle name="20% - Accent2 86" xfId="527"/>
    <cellStyle name="20% - Accent2 87" xfId="528"/>
    <cellStyle name="20% - Accent2 88" xfId="529"/>
    <cellStyle name="20% - Accent2 89" xfId="530"/>
    <cellStyle name="20% - Accent2 9" xfId="531"/>
    <cellStyle name="20% - Accent2 9 2" xfId="532"/>
    <cellStyle name="20% - Accent2 9 2 2" xfId="533"/>
    <cellStyle name="20% - Accent2 9 3" xfId="534"/>
    <cellStyle name="20% - Accent2 9 3 2" xfId="535"/>
    <cellStyle name="20% - Accent2 9 4" xfId="536"/>
    <cellStyle name="20% - Accent2 90" xfId="537"/>
    <cellStyle name="20% - Accent2 91" xfId="538"/>
    <cellStyle name="20% - Accent2 92" xfId="539"/>
    <cellStyle name="20% - Accent2 93" xfId="540"/>
    <cellStyle name="20% - Accent2 94" xfId="541"/>
    <cellStyle name="20% - Accent2 95" xfId="542"/>
    <cellStyle name="20% - Accent2 96" xfId="543"/>
    <cellStyle name="20% - Accent2_13-wk VSI_Revised" xfId="544"/>
    <cellStyle name="20% - Accent3" xfId="545"/>
    <cellStyle name="20% - Accent3 10" xfId="546"/>
    <cellStyle name="20% - Accent3 10 2" xfId="547"/>
    <cellStyle name="20% - Accent3 10 2 2" xfId="548"/>
    <cellStyle name="20% - Accent3 10 3" xfId="549"/>
    <cellStyle name="20% - Accent3 10 3 2" xfId="550"/>
    <cellStyle name="20% - Accent3 10 4" xfId="551"/>
    <cellStyle name="20% - Accent3 11" xfId="552"/>
    <cellStyle name="20% - Accent3 11 2" xfId="553"/>
    <cellStyle name="20% - Accent3 11 2 2" xfId="554"/>
    <cellStyle name="20% - Accent3 11 3" xfId="555"/>
    <cellStyle name="20% - Accent3 11 3 2" xfId="556"/>
    <cellStyle name="20% - Accent3 11 4" xfId="557"/>
    <cellStyle name="20% - Accent3 12" xfId="558"/>
    <cellStyle name="20% - Accent3 12 2" xfId="559"/>
    <cellStyle name="20% - Accent3 12 2 2" xfId="560"/>
    <cellStyle name="20% - Accent3 13" xfId="561"/>
    <cellStyle name="20% - Accent3 13 2" xfId="562"/>
    <cellStyle name="20% - Accent3 13 2 2" xfId="563"/>
    <cellStyle name="20% - Accent3 14" xfId="564"/>
    <cellStyle name="20% - Accent3 14 2" xfId="565"/>
    <cellStyle name="20% - Accent3 14 2 2" xfId="566"/>
    <cellStyle name="20% - Accent3 15" xfId="567"/>
    <cellStyle name="20% - Accent3 15 2" xfId="568"/>
    <cellStyle name="20% - Accent3 15 2 2" xfId="569"/>
    <cellStyle name="20% - Accent3 16" xfId="570"/>
    <cellStyle name="20% - Accent3 16 2" xfId="571"/>
    <cellStyle name="20% - Accent3 16 2 2" xfId="572"/>
    <cellStyle name="20% - Accent3 17" xfId="573"/>
    <cellStyle name="20% - Accent3 17 2" xfId="574"/>
    <cellStyle name="20% - Accent3 17 2 2" xfId="575"/>
    <cellStyle name="20% - Accent3 18" xfId="576"/>
    <cellStyle name="20% - Accent3 18 2" xfId="577"/>
    <cellStyle name="20% - Accent3 18 2 2" xfId="578"/>
    <cellStyle name="20% - Accent3 19" xfId="579"/>
    <cellStyle name="20% - Accent3 19 2" xfId="580"/>
    <cellStyle name="20% - Accent3 19 2 2" xfId="581"/>
    <cellStyle name="20% - Accent3 2" xfId="582"/>
    <cellStyle name="20% - Accent3 2 10" xfId="583"/>
    <cellStyle name="20% - Accent3 2 11" xfId="584"/>
    <cellStyle name="20% - Accent3 2 12" xfId="585"/>
    <cellStyle name="20% - Accent3 2 13" xfId="586"/>
    <cellStyle name="20% - Accent3 2 14" xfId="587"/>
    <cellStyle name="20% - Accent3 2 15" xfId="588"/>
    <cellStyle name="20% - Accent3 2 16" xfId="589"/>
    <cellStyle name="20% - Accent3 2 17" xfId="590"/>
    <cellStyle name="20% - Accent3 2 18" xfId="591"/>
    <cellStyle name="20% - Accent3 2 19" xfId="592"/>
    <cellStyle name="20% - Accent3 2 2" xfId="593"/>
    <cellStyle name="20% - Accent3 2 2 2" xfId="594"/>
    <cellStyle name="20% - Accent3 2 2 2 2" xfId="595"/>
    <cellStyle name="20% - Accent3 2 2 3" xfId="596"/>
    <cellStyle name="20% - Accent3 2 2 3 2" xfId="597"/>
    <cellStyle name="20% - Accent3 2 2 4" xfId="598"/>
    <cellStyle name="20% - Accent3 2 2 4 2" xfId="599"/>
    <cellStyle name="20% - Accent3 2 2 5" xfId="600"/>
    <cellStyle name="20% - Accent3 2 2 6" xfId="601"/>
    <cellStyle name="20% - Accent3 2 20" xfId="602"/>
    <cellStyle name="20% - Accent3 2 21" xfId="603"/>
    <cellStyle name="20% - Accent3 2 22" xfId="604"/>
    <cellStyle name="20% - Accent3 2 23" xfId="605"/>
    <cellStyle name="20% - Accent3 2 24" xfId="606"/>
    <cellStyle name="20% - Accent3 2 25" xfId="607"/>
    <cellStyle name="20% - Accent3 2 3" xfId="608"/>
    <cellStyle name="20% - Accent3 2 3 2" xfId="609"/>
    <cellStyle name="20% - Accent3 2 3 3" xfId="610"/>
    <cellStyle name="20% - Accent3 2 4" xfId="611"/>
    <cellStyle name="20% - Accent3 2 4 2" xfId="612"/>
    <cellStyle name="20% - Accent3 2 4 3" xfId="613"/>
    <cellStyle name="20% - Accent3 2 5" xfId="614"/>
    <cellStyle name="20% - Accent3 2 5 2" xfId="615"/>
    <cellStyle name="20% - Accent3 2 5 3" xfId="616"/>
    <cellStyle name="20% - Accent3 2 6" xfId="617"/>
    <cellStyle name="20% - Accent3 2 6 2" xfId="618"/>
    <cellStyle name="20% - Accent3 2 7" xfId="619"/>
    <cellStyle name="20% - Accent3 2 7 2" xfId="620"/>
    <cellStyle name="20% - Accent3 2 8" xfId="621"/>
    <cellStyle name="20% - Accent3 2 8 2" xfId="622"/>
    <cellStyle name="20% - Accent3 2 9" xfId="623"/>
    <cellStyle name="20% - Accent3 20" xfId="624"/>
    <cellStyle name="20% - Accent3 20 2" xfId="625"/>
    <cellStyle name="20% - Accent3 20 2 2" xfId="626"/>
    <cellStyle name="20% - Accent3 21" xfId="627"/>
    <cellStyle name="20% - Accent3 21 2" xfId="628"/>
    <cellStyle name="20% - Accent3 21 2 2" xfId="629"/>
    <cellStyle name="20% - Accent3 22" xfId="630"/>
    <cellStyle name="20% - Accent3 22 2" xfId="631"/>
    <cellStyle name="20% - Accent3 22 2 2" xfId="632"/>
    <cellStyle name="20% - Accent3 23" xfId="633"/>
    <cellStyle name="20% - Accent3 23 2" xfId="634"/>
    <cellStyle name="20% - Accent3 23 2 2" xfId="635"/>
    <cellStyle name="20% - Accent3 23 3" xfId="636"/>
    <cellStyle name="20% - Accent3 24" xfId="637"/>
    <cellStyle name="20% - Accent3 24 2" xfId="638"/>
    <cellStyle name="20% - Accent3 24 2 2" xfId="639"/>
    <cellStyle name="20% - Accent3 24 3" xfId="640"/>
    <cellStyle name="20% - Accent3 25" xfId="641"/>
    <cellStyle name="20% - Accent3 25 2" xfId="642"/>
    <cellStyle name="20% - Accent3 25 3" xfId="643"/>
    <cellStyle name="20% - Accent3 26" xfId="644"/>
    <cellStyle name="20% - Accent3 26 2" xfId="645"/>
    <cellStyle name="20% - Accent3 27" xfId="646"/>
    <cellStyle name="20% - Accent3 27 2" xfId="647"/>
    <cellStyle name="20% - Accent3 28" xfId="648"/>
    <cellStyle name="20% - Accent3 28 2" xfId="649"/>
    <cellStyle name="20% - Accent3 29" xfId="650"/>
    <cellStyle name="20% - Accent3 29 2" xfId="651"/>
    <cellStyle name="20% - Accent3 2_2.VSCN - GSC charge" xfId="652"/>
    <cellStyle name="20% - Accent3 3" xfId="653"/>
    <cellStyle name="20% - Accent3 3 2" xfId="654"/>
    <cellStyle name="20% - Accent3 3 2 2" xfId="655"/>
    <cellStyle name="20% - Accent3 3 2 3" xfId="656"/>
    <cellStyle name="20% - Accent3 3 3" xfId="657"/>
    <cellStyle name="20% - Accent3 3 3 2" xfId="658"/>
    <cellStyle name="20% - Accent3 3 3 3" xfId="659"/>
    <cellStyle name="20% - Accent3 3 4" xfId="660"/>
    <cellStyle name="20% - Accent3 3 4 2" xfId="661"/>
    <cellStyle name="20% - Accent3 3 5" xfId="662"/>
    <cellStyle name="20% - Accent3 3 5 2" xfId="663"/>
    <cellStyle name="20% - Accent3 3 6" xfId="664"/>
    <cellStyle name="20% - Accent3 3 7" xfId="665"/>
    <cellStyle name="20% - Accent3 30" xfId="666"/>
    <cellStyle name="20% - Accent3 30 2" xfId="667"/>
    <cellStyle name="20% - Accent3 31" xfId="668"/>
    <cellStyle name="20% - Accent3 31 2" xfId="669"/>
    <cellStyle name="20% - Accent3 32" xfId="670"/>
    <cellStyle name="20% - Accent3 32 2" xfId="671"/>
    <cellStyle name="20% - Accent3 33" xfId="672"/>
    <cellStyle name="20% - Accent3 33 2" xfId="673"/>
    <cellStyle name="20% - Accent3 34" xfId="674"/>
    <cellStyle name="20% - Accent3 34 2" xfId="675"/>
    <cellStyle name="20% - Accent3 35" xfId="676"/>
    <cellStyle name="20% - Accent3 35 2" xfId="677"/>
    <cellStyle name="20% - Accent3 36" xfId="678"/>
    <cellStyle name="20% - Accent3 36 2" xfId="679"/>
    <cellStyle name="20% - Accent3 37" xfId="680"/>
    <cellStyle name="20% - Accent3 37 2" xfId="681"/>
    <cellStyle name="20% - Accent3 38" xfId="682"/>
    <cellStyle name="20% - Accent3 38 2" xfId="683"/>
    <cellStyle name="20% - Accent3 39" xfId="684"/>
    <cellStyle name="20% - Accent3 39 2" xfId="685"/>
    <cellStyle name="20% - Accent3 3_Before Allocation" xfId="686"/>
    <cellStyle name="20% - Accent3 4" xfId="687"/>
    <cellStyle name="20% - Accent3 4 2" xfId="688"/>
    <cellStyle name="20% - Accent3 4 2 2" xfId="689"/>
    <cellStyle name="20% - Accent3 4 2 3" xfId="690"/>
    <cellStyle name="20% - Accent3 4 3" xfId="691"/>
    <cellStyle name="20% - Accent3 4 3 2" xfId="692"/>
    <cellStyle name="20% - Accent3 4 3 3" xfId="693"/>
    <cellStyle name="20% - Accent3 4 4" xfId="694"/>
    <cellStyle name="20% - Accent3 4 4 2" xfId="695"/>
    <cellStyle name="20% - Accent3 4 5" xfId="696"/>
    <cellStyle name="20% - Accent3 4 5 2" xfId="697"/>
    <cellStyle name="20% - Accent3 4 6" xfId="698"/>
    <cellStyle name="20% - Accent3 4 7" xfId="699"/>
    <cellStyle name="20% - Accent3 40" xfId="700"/>
    <cellStyle name="20% - Accent3 40 2" xfId="701"/>
    <cellStyle name="20% - Accent3 41" xfId="702"/>
    <cellStyle name="20% - Accent3 41 2" xfId="703"/>
    <cellStyle name="20% - Accent3 42" xfId="704"/>
    <cellStyle name="20% - Accent3 43" xfId="705"/>
    <cellStyle name="20% - Accent3 44" xfId="706"/>
    <cellStyle name="20% - Accent3 45" xfId="707"/>
    <cellStyle name="20% - Accent3 46" xfId="708"/>
    <cellStyle name="20% - Accent3 47" xfId="709"/>
    <cellStyle name="20% - Accent3 48" xfId="710"/>
    <cellStyle name="20% - Accent3 49" xfId="711"/>
    <cellStyle name="20% - Accent3 4_Before Allocation" xfId="712"/>
    <cellStyle name="20% - Accent3 5" xfId="713"/>
    <cellStyle name="20% - Accent3 5 2" xfId="714"/>
    <cellStyle name="20% - Accent3 5 2 2" xfId="715"/>
    <cellStyle name="20% - Accent3 5 2 3" xfId="716"/>
    <cellStyle name="20% - Accent3 5 3" xfId="717"/>
    <cellStyle name="20% - Accent3 5 3 2" xfId="718"/>
    <cellStyle name="20% - Accent3 5 4" xfId="719"/>
    <cellStyle name="20% - Accent3 5 4 2" xfId="720"/>
    <cellStyle name="20% - Accent3 5 5" xfId="721"/>
    <cellStyle name="20% - Accent3 50" xfId="722"/>
    <cellStyle name="20% - Accent3 51" xfId="723"/>
    <cellStyle name="20% - Accent3 52" xfId="724"/>
    <cellStyle name="20% - Accent3 53" xfId="725"/>
    <cellStyle name="20% - Accent3 54" xfId="726"/>
    <cellStyle name="20% - Accent3 55" xfId="727"/>
    <cellStyle name="20% - Accent3 56" xfId="728"/>
    <cellStyle name="20% - Accent3 57" xfId="729"/>
    <cellStyle name="20% - Accent3 58" xfId="730"/>
    <cellStyle name="20% - Accent3 59" xfId="731"/>
    <cellStyle name="20% - Accent3 6" xfId="732"/>
    <cellStyle name="20% - Accent3 6 2" xfId="733"/>
    <cellStyle name="20% - Accent3 6 2 2" xfId="734"/>
    <cellStyle name="20% - Accent3 6 3" xfId="735"/>
    <cellStyle name="20% - Accent3 6 3 2" xfId="736"/>
    <cellStyle name="20% - Accent3 6 4" xfId="737"/>
    <cellStyle name="20% - Accent3 60" xfId="738"/>
    <cellStyle name="20% - Accent3 61" xfId="739"/>
    <cellStyle name="20% - Accent3 62" xfId="740"/>
    <cellStyle name="20% - Accent3 63" xfId="741"/>
    <cellStyle name="20% - Accent3 64" xfId="742"/>
    <cellStyle name="20% - Accent3 65" xfId="743"/>
    <cellStyle name="20% - Accent3 66" xfId="744"/>
    <cellStyle name="20% - Accent3 67" xfId="745"/>
    <cellStyle name="20% - Accent3 68" xfId="746"/>
    <cellStyle name="20% - Accent3 69" xfId="747"/>
    <cellStyle name="20% - Accent3 7" xfId="748"/>
    <cellStyle name="20% - Accent3 7 2" xfId="749"/>
    <cellStyle name="20% - Accent3 7 2 2" xfId="750"/>
    <cellStyle name="20% - Accent3 7 3" xfId="751"/>
    <cellStyle name="20% - Accent3 7 3 2" xfId="752"/>
    <cellStyle name="20% - Accent3 7 4" xfId="753"/>
    <cellStyle name="20% - Accent3 70" xfId="754"/>
    <cellStyle name="20% - Accent3 71" xfId="755"/>
    <cellStyle name="20% - Accent3 72" xfId="756"/>
    <cellStyle name="20% - Accent3 73" xfId="757"/>
    <cellStyle name="20% - Accent3 74" xfId="758"/>
    <cellStyle name="20% - Accent3 75" xfId="759"/>
    <cellStyle name="20% - Accent3 76" xfId="760"/>
    <cellStyle name="20% - Accent3 77" xfId="761"/>
    <cellStyle name="20% - Accent3 78" xfId="762"/>
    <cellStyle name="20% - Accent3 79" xfId="763"/>
    <cellStyle name="20% - Accent3 8" xfId="764"/>
    <cellStyle name="20% - Accent3 8 2" xfId="765"/>
    <cellStyle name="20% - Accent3 8 2 2" xfId="766"/>
    <cellStyle name="20% - Accent3 8 3" xfId="767"/>
    <cellStyle name="20% - Accent3 8 3 2" xfId="768"/>
    <cellStyle name="20% - Accent3 8 4" xfId="769"/>
    <cellStyle name="20% - Accent3 80" xfId="770"/>
    <cellStyle name="20% - Accent3 81" xfId="771"/>
    <cellStyle name="20% - Accent3 82" xfId="772"/>
    <cellStyle name="20% - Accent3 83" xfId="773"/>
    <cellStyle name="20% - Accent3 84" xfId="774"/>
    <cellStyle name="20% - Accent3 85" xfId="775"/>
    <cellStyle name="20% - Accent3 86" xfId="776"/>
    <cellStyle name="20% - Accent3 87" xfId="777"/>
    <cellStyle name="20% - Accent3 88" xfId="778"/>
    <cellStyle name="20% - Accent3 89" xfId="779"/>
    <cellStyle name="20% - Accent3 9" xfId="780"/>
    <cellStyle name="20% - Accent3 9 2" xfId="781"/>
    <cellStyle name="20% - Accent3 9 2 2" xfId="782"/>
    <cellStyle name="20% - Accent3 9 3" xfId="783"/>
    <cellStyle name="20% - Accent3 9 3 2" xfId="784"/>
    <cellStyle name="20% - Accent3 9 4" xfId="785"/>
    <cellStyle name="20% - Accent3 90" xfId="786"/>
    <cellStyle name="20% - Accent3 91" xfId="787"/>
    <cellStyle name="20% - Accent3 92" xfId="788"/>
    <cellStyle name="20% - Accent3 93" xfId="789"/>
    <cellStyle name="20% - Accent3 94" xfId="790"/>
    <cellStyle name="20% - Accent3 95" xfId="791"/>
    <cellStyle name="20% - Accent3 96" xfId="792"/>
    <cellStyle name="20% - Accent3_13-wk VSI_Revised" xfId="793"/>
    <cellStyle name="20% - Accent4" xfId="794"/>
    <cellStyle name="20% - Accent4 10" xfId="795"/>
    <cellStyle name="20% - Accent4 10 2" xfId="796"/>
    <cellStyle name="20% - Accent4 10 2 2" xfId="797"/>
    <cellStyle name="20% - Accent4 10 3" xfId="798"/>
    <cellStyle name="20% - Accent4 10 3 2" xfId="799"/>
    <cellStyle name="20% - Accent4 10 4" xfId="800"/>
    <cellStyle name="20% - Accent4 11" xfId="801"/>
    <cellStyle name="20% - Accent4 11 2" xfId="802"/>
    <cellStyle name="20% - Accent4 11 2 2" xfId="803"/>
    <cellStyle name="20% - Accent4 11 3" xfId="804"/>
    <cellStyle name="20% - Accent4 11 3 2" xfId="805"/>
    <cellStyle name="20% - Accent4 11 4" xfId="806"/>
    <cellStyle name="20% - Accent4 12" xfId="807"/>
    <cellStyle name="20% - Accent4 12 2" xfId="808"/>
    <cellStyle name="20% - Accent4 12 2 2" xfId="809"/>
    <cellStyle name="20% - Accent4 13" xfId="810"/>
    <cellStyle name="20% - Accent4 13 2" xfId="811"/>
    <cellStyle name="20% - Accent4 13 2 2" xfId="812"/>
    <cellStyle name="20% - Accent4 14" xfId="813"/>
    <cellStyle name="20% - Accent4 14 2" xfId="814"/>
    <cellStyle name="20% - Accent4 14 2 2" xfId="815"/>
    <cellStyle name="20% - Accent4 15" xfId="816"/>
    <cellStyle name="20% - Accent4 15 2" xfId="817"/>
    <cellStyle name="20% - Accent4 15 2 2" xfId="818"/>
    <cellStyle name="20% - Accent4 16" xfId="819"/>
    <cellStyle name="20% - Accent4 16 2" xfId="820"/>
    <cellStyle name="20% - Accent4 16 2 2" xfId="821"/>
    <cellStyle name="20% - Accent4 17" xfId="822"/>
    <cellStyle name="20% - Accent4 17 2" xfId="823"/>
    <cellStyle name="20% - Accent4 17 2 2" xfId="824"/>
    <cellStyle name="20% - Accent4 18" xfId="825"/>
    <cellStyle name="20% - Accent4 18 2" xfId="826"/>
    <cellStyle name="20% - Accent4 18 2 2" xfId="827"/>
    <cellStyle name="20% - Accent4 19" xfId="828"/>
    <cellStyle name="20% - Accent4 19 2" xfId="829"/>
    <cellStyle name="20% - Accent4 19 2 2" xfId="830"/>
    <cellStyle name="20% - Accent4 2" xfId="831"/>
    <cellStyle name="20% - Accent4 2 10" xfId="832"/>
    <cellStyle name="20% - Accent4 2 11" xfId="833"/>
    <cellStyle name="20% - Accent4 2 12" xfId="834"/>
    <cellStyle name="20% - Accent4 2 13" xfId="835"/>
    <cellStyle name="20% - Accent4 2 14" xfId="836"/>
    <cellStyle name="20% - Accent4 2 15" xfId="837"/>
    <cellStyle name="20% - Accent4 2 16" xfId="838"/>
    <cellStyle name="20% - Accent4 2 17" xfId="839"/>
    <cellStyle name="20% - Accent4 2 18" xfId="840"/>
    <cellStyle name="20% - Accent4 2 19" xfId="841"/>
    <cellStyle name="20% - Accent4 2 2" xfId="842"/>
    <cellStyle name="20% - Accent4 2 2 2" xfId="843"/>
    <cellStyle name="20% - Accent4 2 2 2 2" xfId="844"/>
    <cellStyle name="20% - Accent4 2 2 3" xfId="845"/>
    <cellStyle name="20% - Accent4 2 2 3 2" xfId="846"/>
    <cellStyle name="20% - Accent4 2 2 4" xfId="847"/>
    <cellStyle name="20% - Accent4 2 2 4 2" xfId="848"/>
    <cellStyle name="20% - Accent4 2 2 5" xfId="849"/>
    <cellStyle name="20% - Accent4 2 2 6" xfId="850"/>
    <cellStyle name="20% - Accent4 2 20" xfId="851"/>
    <cellStyle name="20% - Accent4 2 21" xfId="852"/>
    <cellStyle name="20% - Accent4 2 22" xfId="853"/>
    <cellStyle name="20% - Accent4 2 23" xfId="854"/>
    <cellStyle name="20% - Accent4 2 24" xfId="855"/>
    <cellStyle name="20% - Accent4 2 25" xfId="856"/>
    <cellStyle name="20% - Accent4 2 3" xfId="857"/>
    <cellStyle name="20% - Accent4 2 3 2" xfId="858"/>
    <cellStyle name="20% - Accent4 2 3 3" xfId="859"/>
    <cellStyle name="20% - Accent4 2 4" xfId="860"/>
    <cellStyle name="20% - Accent4 2 4 2" xfId="861"/>
    <cellStyle name="20% - Accent4 2 4 3" xfId="862"/>
    <cellStyle name="20% - Accent4 2 5" xfId="863"/>
    <cellStyle name="20% - Accent4 2 5 2" xfId="864"/>
    <cellStyle name="20% - Accent4 2 5 3" xfId="865"/>
    <cellStyle name="20% - Accent4 2 6" xfId="866"/>
    <cellStyle name="20% - Accent4 2 6 2" xfId="867"/>
    <cellStyle name="20% - Accent4 2 7" xfId="868"/>
    <cellStyle name="20% - Accent4 2 7 2" xfId="869"/>
    <cellStyle name="20% - Accent4 2 8" xfId="870"/>
    <cellStyle name="20% - Accent4 2 8 2" xfId="871"/>
    <cellStyle name="20% - Accent4 2 9" xfId="872"/>
    <cellStyle name="20% - Accent4 20" xfId="873"/>
    <cellStyle name="20% - Accent4 20 2" xfId="874"/>
    <cellStyle name="20% - Accent4 20 2 2" xfId="875"/>
    <cellStyle name="20% - Accent4 21" xfId="876"/>
    <cellStyle name="20% - Accent4 21 2" xfId="877"/>
    <cellStyle name="20% - Accent4 21 2 2" xfId="878"/>
    <cellStyle name="20% - Accent4 22" xfId="879"/>
    <cellStyle name="20% - Accent4 22 2" xfId="880"/>
    <cellStyle name="20% - Accent4 22 2 2" xfId="881"/>
    <cellStyle name="20% - Accent4 23" xfId="882"/>
    <cellStyle name="20% - Accent4 23 2" xfId="883"/>
    <cellStyle name="20% - Accent4 23 2 2" xfId="884"/>
    <cellStyle name="20% - Accent4 23 3" xfId="885"/>
    <cellStyle name="20% - Accent4 24" xfId="886"/>
    <cellStyle name="20% - Accent4 24 2" xfId="887"/>
    <cellStyle name="20% - Accent4 24 2 2" xfId="888"/>
    <cellStyle name="20% - Accent4 24 3" xfId="889"/>
    <cellStyle name="20% - Accent4 25" xfId="890"/>
    <cellStyle name="20% - Accent4 25 2" xfId="891"/>
    <cellStyle name="20% - Accent4 25 3" xfId="892"/>
    <cellStyle name="20% - Accent4 26" xfId="893"/>
    <cellStyle name="20% - Accent4 26 2" xfId="894"/>
    <cellStyle name="20% - Accent4 27" xfId="895"/>
    <cellStyle name="20% - Accent4 27 2" xfId="896"/>
    <cellStyle name="20% - Accent4 28" xfId="897"/>
    <cellStyle name="20% - Accent4 28 2" xfId="898"/>
    <cellStyle name="20% - Accent4 29" xfId="899"/>
    <cellStyle name="20% - Accent4 29 2" xfId="900"/>
    <cellStyle name="20% - Accent4 2_2.VSCN - GSC charge" xfId="901"/>
    <cellStyle name="20% - Accent4 3" xfId="902"/>
    <cellStyle name="20% - Accent4 3 2" xfId="903"/>
    <cellStyle name="20% - Accent4 3 2 2" xfId="904"/>
    <cellStyle name="20% - Accent4 3 2 3" xfId="905"/>
    <cellStyle name="20% - Accent4 3 3" xfId="906"/>
    <cellStyle name="20% - Accent4 3 3 2" xfId="907"/>
    <cellStyle name="20% - Accent4 3 3 3" xfId="908"/>
    <cellStyle name="20% - Accent4 3 4" xfId="909"/>
    <cellStyle name="20% - Accent4 3 4 2" xfId="910"/>
    <cellStyle name="20% - Accent4 3 5" xfId="911"/>
    <cellStyle name="20% - Accent4 3 5 2" xfId="912"/>
    <cellStyle name="20% - Accent4 3 6" xfId="913"/>
    <cellStyle name="20% - Accent4 3 7" xfId="914"/>
    <cellStyle name="20% - Accent4 30" xfId="915"/>
    <cellStyle name="20% - Accent4 30 2" xfId="916"/>
    <cellStyle name="20% - Accent4 31" xfId="917"/>
    <cellStyle name="20% - Accent4 31 2" xfId="918"/>
    <cellStyle name="20% - Accent4 32" xfId="919"/>
    <cellStyle name="20% - Accent4 32 2" xfId="920"/>
    <cellStyle name="20% - Accent4 33" xfId="921"/>
    <cellStyle name="20% - Accent4 33 2" xfId="922"/>
    <cellStyle name="20% - Accent4 34" xfId="923"/>
    <cellStyle name="20% - Accent4 34 2" xfId="924"/>
    <cellStyle name="20% - Accent4 35" xfId="925"/>
    <cellStyle name="20% - Accent4 35 2" xfId="926"/>
    <cellStyle name="20% - Accent4 36" xfId="927"/>
    <cellStyle name="20% - Accent4 36 2" xfId="928"/>
    <cellStyle name="20% - Accent4 37" xfId="929"/>
    <cellStyle name="20% - Accent4 37 2" xfId="930"/>
    <cellStyle name="20% - Accent4 38" xfId="931"/>
    <cellStyle name="20% - Accent4 38 2" xfId="932"/>
    <cellStyle name="20% - Accent4 39" xfId="933"/>
    <cellStyle name="20% - Accent4 39 2" xfId="934"/>
    <cellStyle name="20% - Accent4 3_Profitability Detail NT$ Sep-12" xfId="935"/>
    <cellStyle name="20% - Accent4 4" xfId="936"/>
    <cellStyle name="20% - Accent4 4 2" xfId="937"/>
    <cellStyle name="20% - Accent4 4 2 2" xfId="938"/>
    <cellStyle name="20% - Accent4 4 2 3" xfId="939"/>
    <cellStyle name="20% - Accent4 4 3" xfId="940"/>
    <cellStyle name="20% - Accent4 4 3 2" xfId="941"/>
    <cellStyle name="20% - Accent4 4 3 3" xfId="942"/>
    <cellStyle name="20% - Accent4 4 4" xfId="943"/>
    <cellStyle name="20% - Accent4 4 4 2" xfId="944"/>
    <cellStyle name="20% - Accent4 4 5" xfId="945"/>
    <cellStyle name="20% - Accent4 4 5 2" xfId="946"/>
    <cellStyle name="20% - Accent4 4 6" xfId="947"/>
    <cellStyle name="20% - Accent4 4 7" xfId="948"/>
    <cellStyle name="20% - Accent4 40" xfId="949"/>
    <cellStyle name="20% - Accent4 40 2" xfId="950"/>
    <cellStyle name="20% - Accent4 41" xfId="951"/>
    <cellStyle name="20% - Accent4 41 2" xfId="952"/>
    <cellStyle name="20% - Accent4 42" xfId="953"/>
    <cellStyle name="20% - Accent4 43" xfId="954"/>
    <cellStyle name="20% - Accent4 44" xfId="955"/>
    <cellStyle name="20% - Accent4 45" xfId="956"/>
    <cellStyle name="20% - Accent4 46" xfId="957"/>
    <cellStyle name="20% - Accent4 47" xfId="958"/>
    <cellStyle name="20% - Accent4 48" xfId="959"/>
    <cellStyle name="20% - Accent4 49" xfId="960"/>
    <cellStyle name="20% - Accent4 4_Profitability Detail NT$ Sep-12" xfId="961"/>
    <cellStyle name="20% - Accent4 5" xfId="962"/>
    <cellStyle name="20% - Accent4 5 2" xfId="963"/>
    <cellStyle name="20% - Accent4 5 2 2" xfId="964"/>
    <cellStyle name="20% - Accent4 5 2 3" xfId="965"/>
    <cellStyle name="20% - Accent4 5 3" xfId="966"/>
    <cellStyle name="20% - Accent4 5 3 2" xfId="967"/>
    <cellStyle name="20% - Accent4 5 4" xfId="968"/>
    <cellStyle name="20% - Accent4 5 4 2" xfId="969"/>
    <cellStyle name="20% - Accent4 5 5" xfId="970"/>
    <cellStyle name="20% - Accent4 50" xfId="971"/>
    <cellStyle name="20% - Accent4 51" xfId="972"/>
    <cellStyle name="20% - Accent4 52" xfId="973"/>
    <cellStyle name="20% - Accent4 53" xfId="974"/>
    <cellStyle name="20% - Accent4 54" xfId="975"/>
    <cellStyle name="20% - Accent4 55" xfId="976"/>
    <cellStyle name="20% - Accent4 56" xfId="977"/>
    <cellStyle name="20% - Accent4 57" xfId="978"/>
    <cellStyle name="20% - Accent4 58" xfId="979"/>
    <cellStyle name="20% - Accent4 59" xfId="980"/>
    <cellStyle name="20% - Accent4 6" xfId="981"/>
    <cellStyle name="20% - Accent4 6 2" xfId="982"/>
    <cellStyle name="20% - Accent4 6 2 2" xfId="983"/>
    <cellStyle name="20% - Accent4 6 3" xfId="984"/>
    <cellStyle name="20% - Accent4 6 3 2" xfId="985"/>
    <cellStyle name="20% - Accent4 6 4" xfId="986"/>
    <cellStyle name="20% - Accent4 60" xfId="987"/>
    <cellStyle name="20% - Accent4 61" xfId="988"/>
    <cellStyle name="20% - Accent4 62" xfId="989"/>
    <cellStyle name="20% - Accent4 63" xfId="990"/>
    <cellStyle name="20% - Accent4 64" xfId="991"/>
    <cellStyle name="20% - Accent4 65" xfId="992"/>
    <cellStyle name="20% - Accent4 66" xfId="993"/>
    <cellStyle name="20% - Accent4 67" xfId="994"/>
    <cellStyle name="20% - Accent4 68" xfId="995"/>
    <cellStyle name="20% - Accent4 69" xfId="996"/>
    <cellStyle name="20% - Accent4 7" xfId="997"/>
    <cellStyle name="20% - Accent4 7 2" xfId="998"/>
    <cellStyle name="20% - Accent4 7 2 2" xfId="999"/>
    <cellStyle name="20% - Accent4 7 3" xfId="1000"/>
    <cellStyle name="20% - Accent4 7 3 2" xfId="1001"/>
    <cellStyle name="20% - Accent4 7 4" xfId="1002"/>
    <cellStyle name="20% - Accent4 70" xfId="1003"/>
    <cellStyle name="20% - Accent4 71" xfId="1004"/>
    <cellStyle name="20% - Accent4 72" xfId="1005"/>
    <cellStyle name="20% - Accent4 73" xfId="1006"/>
    <cellStyle name="20% - Accent4 74" xfId="1007"/>
    <cellStyle name="20% - Accent4 75" xfId="1008"/>
    <cellStyle name="20% - Accent4 76" xfId="1009"/>
    <cellStyle name="20% - Accent4 77" xfId="1010"/>
    <cellStyle name="20% - Accent4 78" xfId="1011"/>
    <cellStyle name="20% - Accent4 79" xfId="1012"/>
    <cellStyle name="20% - Accent4 8" xfId="1013"/>
    <cellStyle name="20% - Accent4 8 2" xfId="1014"/>
    <cellStyle name="20% - Accent4 8 2 2" xfId="1015"/>
    <cellStyle name="20% - Accent4 8 3" xfId="1016"/>
    <cellStyle name="20% - Accent4 8 3 2" xfId="1017"/>
    <cellStyle name="20% - Accent4 8 4" xfId="1018"/>
    <cellStyle name="20% - Accent4 80" xfId="1019"/>
    <cellStyle name="20% - Accent4 81" xfId="1020"/>
    <cellStyle name="20% - Accent4 82" xfId="1021"/>
    <cellStyle name="20% - Accent4 83" xfId="1022"/>
    <cellStyle name="20% - Accent4 84" xfId="1023"/>
    <cellStyle name="20% - Accent4 85" xfId="1024"/>
    <cellStyle name="20% - Accent4 86" xfId="1025"/>
    <cellStyle name="20% - Accent4 87" xfId="1026"/>
    <cellStyle name="20% - Accent4 88" xfId="1027"/>
    <cellStyle name="20% - Accent4 89" xfId="1028"/>
    <cellStyle name="20% - Accent4 9" xfId="1029"/>
    <cellStyle name="20% - Accent4 9 2" xfId="1030"/>
    <cellStyle name="20% - Accent4 9 2 2" xfId="1031"/>
    <cellStyle name="20% - Accent4 9 3" xfId="1032"/>
    <cellStyle name="20% - Accent4 9 3 2" xfId="1033"/>
    <cellStyle name="20% - Accent4 9 4" xfId="1034"/>
    <cellStyle name="20% - Accent4 90" xfId="1035"/>
    <cellStyle name="20% - Accent4 91" xfId="1036"/>
    <cellStyle name="20% - Accent4 92" xfId="1037"/>
    <cellStyle name="20% - Accent4 93" xfId="1038"/>
    <cellStyle name="20% - Accent4 94" xfId="1039"/>
    <cellStyle name="20% - Accent4 95" xfId="1040"/>
    <cellStyle name="20% - Accent4 96" xfId="1041"/>
    <cellStyle name="20% - Accent4_13-wk VSI_Revised" xfId="1042"/>
    <cellStyle name="20% - Accent5" xfId="1043"/>
    <cellStyle name="20% - Accent5 10" xfId="1044"/>
    <cellStyle name="20% - Accent5 10 2" xfId="1045"/>
    <cellStyle name="20% - Accent5 10 2 2" xfId="1046"/>
    <cellStyle name="20% - Accent5 10 3" xfId="1047"/>
    <cellStyle name="20% - Accent5 10 3 2" xfId="1048"/>
    <cellStyle name="20% - Accent5 10 4" xfId="1049"/>
    <cellStyle name="20% - Accent5 11" xfId="1050"/>
    <cellStyle name="20% - Accent5 11 2" xfId="1051"/>
    <cellStyle name="20% - Accent5 11 2 2" xfId="1052"/>
    <cellStyle name="20% - Accent5 11 3" xfId="1053"/>
    <cellStyle name="20% - Accent5 11 3 2" xfId="1054"/>
    <cellStyle name="20% - Accent5 11 4" xfId="1055"/>
    <cellStyle name="20% - Accent5 12" xfId="1056"/>
    <cellStyle name="20% - Accent5 12 2" xfId="1057"/>
    <cellStyle name="20% - Accent5 12 2 2" xfId="1058"/>
    <cellStyle name="20% - Accent5 13" xfId="1059"/>
    <cellStyle name="20% - Accent5 13 2" xfId="1060"/>
    <cellStyle name="20% - Accent5 13 2 2" xfId="1061"/>
    <cellStyle name="20% - Accent5 14" xfId="1062"/>
    <cellStyle name="20% - Accent5 14 2" xfId="1063"/>
    <cellStyle name="20% - Accent5 14 2 2" xfId="1064"/>
    <cellStyle name="20% - Accent5 15" xfId="1065"/>
    <cellStyle name="20% - Accent5 15 2" xfId="1066"/>
    <cellStyle name="20% - Accent5 15 2 2" xfId="1067"/>
    <cellStyle name="20% - Accent5 16" xfId="1068"/>
    <cellStyle name="20% - Accent5 16 2" xfId="1069"/>
    <cellStyle name="20% - Accent5 16 2 2" xfId="1070"/>
    <cellStyle name="20% - Accent5 17" xfId="1071"/>
    <cellStyle name="20% - Accent5 17 2" xfId="1072"/>
    <cellStyle name="20% - Accent5 17 2 2" xfId="1073"/>
    <cellStyle name="20% - Accent5 18" xfId="1074"/>
    <cellStyle name="20% - Accent5 18 2" xfId="1075"/>
    <cellStyle name="20% - Accent5 18 2 2" xfId="1076"/>
    <cellStyle name="20% - Accent5 19" xfId="1077"/>
    <cellStyle name="20% - Accent5 19 2" xfId="1078"/>
    <cellStyle name="20% - Accent5 19 2 2" xfId="1079"/>
    <cellStyle name="20% - Accent5 2" xfId="1080"/>
    <cellStyle name="20% - Accent5 2 10" xfId="1081"/>
    <cellStyle name="20% - Accent5 2 11" xfId="1082"/>
    <cellStyle name="20% - Accent5 2 12" xfId="1083"/>
    <cellStyle name="20% - Accent5 2 13" xfId="1084"/>
    <cellStyle name="20% - Accent5 2 14" xfId="1085"/>
    <cellStyle name="20% - Accent5 2 15" xfId="1086"/>
    <cellStyle name="20% - Accent5 2 16" xfId="1087"/>
    <cellStyle name="20% - Accent5 2 17" xfId="1088"/>
    <cellStyle name="20% - Accent5 2 18" xfId="1089"/>
    <cellStyle name="20% - Accent5 2 19" xfId="1090"/>
    <cellStyle name="20% - Accent5 2 2" xfId="1091"/>
    <cellStyle name="20% - Accent5 2 2 2" xfId="1092"/>
    <cellStyle name="20% - Accent5 2 2 2 2" xfId="1093"/>
    <cellStyle name="20% - Accent5 2 2 3" xfId="1094"/>
    <cellStyle name="20% - Accent5 2 2 3 2" xfId="1095"/>
    <cellStyle name="20% - Accent5 2 2 4" xfId="1096"/>
    <cellStyle name="20% - Accent5 2 2 4 2" xfId="1097"/>
    <cellStyle name="20% - Accent5 2 2 5" xfId="1098"/>
    <cellStyle name="20% - Accent5 2 2 6" xfId="1099"/>
    <cellStyle name="20% - Accent5 2 20" xfId="1100"/>
    <cellStyle name="20% - Accent5 2 21" xfId="1101"/>
    <cellStyle name="20% - Accent5 2 22" xfId="1102"/>
    <cellStyle name="20% - Accent5 2 23" xfId="1103"/>
    <cellStyle name="20% - Accent5 2 24" xfId="1104"/>
    <cellStyle name="20% - Accent5 2 25" xfId="1105"/>
    <cellStyle name="20% - Accent5 2 3" xfId="1106"/>
    <cellStyle name="20% - Accent5 2 3 2" xfId="1107"/>
    <cellStyle name="20% - Accent5 2 3 3" xfId="1108"/>
    <cellStyle name="20% - Accent5 2 4" xfId="1109"/>
    <cellStyle name="20% - Accent5 2 4 2" xfId="1110"/>
    <cellStyle name="20% - Accent5 2 4 3" xfId="1111"/>
    <cellStyle name="20% - Accent5 2 5" xfId="1112"/>
    <cellStyle name="20% - Accent5 2 5 2" xfId="1113"/>
    <cellStyle name="20% - Accent5 2 5 3" xfId="1114"/>
    <cellStyle name="20% - Accent5 2 6" xfId="1115"/>
    <cellStyle name="20% - Accent5 2 6 2" xfId="1116"/>
    <cellStyle name="20% - Accent5 2 7" xfId="1117"/>
    <cellStyle name="20% - Accent5 2 7 2" xfId="1118"/>
    <cellStyle name="20% - Accent5 2 8" xfId="1119"/>
    <cellStyle name="20% - Accent5 2 8 2" xfId="1120"/>
    <cellStyle name="20% - Accent5 2 9" xfId="1121"/>
    <cellStyle name="20% - Accent5 20" xfId="1122"/>
    <cellStyle name="20% - Accent5 20 2" xfId="1123"/>
    <cellStyle name="20% - Accent5 20 2 2" xfId="1124"/>
    <cellStyle name="20% - Accent5 21" xfId="1125"/>
    <cellStyle name="20% - Accent5 21 2" xfId="1126"/>
    <cellStyle name="20% - Accent5 21 2 2" xfId="1127"/>
    <cellStyle name="20% - Accent5 22" xfId="1128"/>
    <cellStyle name="20% - Accent5 22 2" xfId="1129"/>
    <cellStyle name="20% - Accent5 22 2 2" xfId="1130"/>
    <cellStyle name="20% - Accent5 23" xfId="1131"/>
    <cellStyle name="20% - Accent5 23 2" xfId="1132"/>
    <cellStyle name="20% - Accent5 23 2 2" xfId="1133"/>
    <cellStyle name="20% - Accent5 23 3" xfId="1134"/>
    <cellStyle name="20% - Accent5 24" xfId="1135"/>
    <cellStyle name="20% - Accent5 24 2" xfId="1136"/>
    <cellStyle name="20% - Accent5 24 2 2" xfId="1137"/>
    <cellStyle name="20% - Accent5 24 3" xfId="1138"/>
    <cellStyle name="20% - Accent5 25" xfId="1139"/>
    <cellStyle name="20% - Accent5 25 2" xfId="1140"/>
    <cellStyle name="20% - Accent5 25 3" xfId="1141"/>
    <cellStyle name="20% - Accent5 26" xfId="1142"/>
    <cellStyle name="20% - Accent5 26 2" xfId="1143"/>
    <cellStyle name="20% - Accent5 27" xfId="1144"/>
    <cellStyle name="20% - Accent5 27 2" xfId="1145"/>
    <cellStyle name="20% - Accent5 28" xfId="1146"/>
    <cellStyle name="20% - Accent5 28 2" xfId="1147"/>
    <cellStyle name="20% - Accent5 29" xfId="1148"/>
    <cellStyle name="20% - Accent5 29 2" xfId="1149"/>
    <cellStyle name="20% - Accent5 2_2.VSCN - GSC charge" xfId="1150"/>
    <cellStyle name="20% - Accent5 3" xfId="1151"/>
    <cellStyle name="20% - Accent5 3 2" xfId="1152"/>
    <cellStyle name="20% - Accent5 3 2 2" xfId="1153"/>
    <cellStyle name="20% - Accent5 3 2 3" xfId="1154"/>
    <cellStyle name="20% - Accent5 3 3" xfId="1155"/>
    <cellStyle name="20% - Accent5 3 3 2" xfId="1156"/>
    <cellStyle name="20% - Accent5 3 3 3" xfId="1157"/>
    <cellStyle name="20% - Accent5 3 4" xfId="1158"/>
    <cellStyle name="20% - Accent5 3 4 2" xfId="1159"/>
    <cellStyle name="20% - Accent5 3 5" xfId="1160"/>
    <cellStyle name="20% - Accent5 3 5 2" xfId="1161"/>
    <cellStyle name="20% - Accent5 3 6" xfId="1162"/>
    <cellStyle name="20% - Accent5 3 7" xfId="1163"/>
    <cellStyle name="20% - Accent5 30" xfId="1164"/>
    <cellStyle name="20% - Accent5 30 2" xfId="1165"/>
    <cellStyle name="20% - Accent5 31" xfId="1166"/>
    <cellStyle name="20% - Accent5 31 2" xfId="1167"/>
    <cellStyle name="20% - Accent5 32" xfId="1168"/>
    <cellStyle name="20% - Accent5 32 2" xfId="1169"/>
    <cellStyle name="20% - Accent5 33" xfId="1170"/>
    <cellStyle name="20% - Accent5 33 2" xfId="1171"/>
    <cellStyle name="20% - Accent5 34" xfId="1172"/>
    <cellStyle name="20% - Accent5 34 2" xfId="1173"/>
    <cellStyle name="20% - Accent5 35" xfId="1174"/>
    <cellStyle name="20% - Accent5 35 2" xfId="1175"/>
    <cellStyle name="20% - Accent5 36" xfId="1176"/>
    <cellStyle name="20% - Accent5 37" xfId="1177"/>
    <cellStyle name="20% - Accent5 38" xfId="1178"/>
    <cellStyle name="20% - Accent5 39" xfId="1179"/>
    <cellStyle name="20% - Accent5 3_Profitability Detail NT$ Sep-12" xfId="1180"/>
    <cellStyle name="20% - Accent5 4" xfId="1181"/>
    <cellStyle name="20% - Accent5 4 2" xfId="1182"/>
    <cellStyle name="20% - Accent5 4 2 2" xfId="1183"/>
    <cellStyle name="20% - Accent5 4 2 3" xfId="1184"/>
    <cellStyle name="20% - Accent5 4 3" xfId="1185"/>
    <cellStyle name="20% - Accent5 4 3 2" xfId="1186"/>
    <cellStyle name="20% - Accent5 4 3 3" xfId="1187"/>
    <cellStyle name="20% - Accent5 4 4" xfId="1188"/>
    <cellStyle name="20% - Accent5 4 4 2" xfId="1189"/>
    <cellStyle name="20% - Accent5 4 5" xfId="1190"/>
    <cellStyle name="20% - Accent5 4 5 2" xfId="1191"/>
    <cellStyle name="20% - Accent5 4 6" xfId="1192"/>
    <cellStyle name="20% - Accent5 4 7" xfId="1193"/>
    <cellStyle name="20% - Accent5 40" xfId="1194"/>
    <cellStyle name="20% - Accent5 41" xfId="1195"/>
    <cellStyle name="20% - Accent5 42" xfId="1196"/>
    <cellStyle name="20% - Accent5 43" xfId="1197"/>
    <cellStyle name="20% - Accent5 44" xfId="1198"/>
    <cellStyle name="20% - Accent5 45" xfId="1199"/>
    <cellStyle name="20% - Accent5 46" xfId="1200"/>
    <cellStyle name="20% - Accent5 47" xfId="1201"/>
    <cellStyle name="20% - Accent5 48" xfId="1202"/>
    <cellStyle name="20% - Accent5 49" xfId="1203"/>
    <cellStyle name="20% - Accent5 4_Profitability Detail NT$ Sep-12" xfId="1204"/>
    <cellStyle name="20% - Accent5 5" xfId="1205"/>
    <cellStyle name="20% - Accent5 5 2" xfId="1206"/>
    <cellStyle name="20% - Accent5 5 2 2" xfId="1207"/>
    <cellStyle name="20% - Accent5 5 2 3" xfId="1208"/>
    <cellStyle name="20% - Accent5 5 3" xfId="1209"/>
    <cellStyle name="20% - Accent5 5 3 2" xfId="1210"/>
    <cellStyle name="20% - Accent5 5 4" xfId="1211"/>
    <cellStyle name="20% - Accent5 50" xfId="1212"/>
    <cellStyle name="20% - Accent5 51" xfId="1213"/>
    <cellStyle name="20% - Accent5 52" xfId="1214"/>
    <cellStyle name="20% - Accent5 53" xfId="1215"/>
    <cellStyle name="20% - Accent5 54" xfId="1216"/>
    <cellStyle name="20% - Accent5 55" xfId="1217"/>
    <cellStyle name="20% - Accent5 56" xfId="1218"/>
    <cellStyle name="20% - Accent5 57" xfId="1219"/>
    <cellStyle name="20% - Accent5 58" xfId="1220"/>
    <cellStyle name="20% - Accent5 59" xfId="1221"/>
    <cellStyle name="20% - Accent5 6" xfId="1222"/>
    <cellStyle name="20% - Accent5 6 2" xfId="1223"/>
    <cellStyle name="20% - Accent5 6 2 2" xfId="1224"/>
    <cellStyle name="20% - Accent5 6 3" xfId="1225"/>
    <cellStyle name="20% - Accent5 6 3 2" xfId="1226"/>
    <cellStyle name="20% - Accent5 6 4" xfId="1227"/>
    <cellStyle name="20% - Accent5 60" xfId="1228"/>
    <cellStyle name="20% - Accent5 61" xfId="1229"/>
    <cellStyle name="20% - Accent5 62" xfId="1230"/>
    <cellStyle name="20% - Accent5 63" xfId="1231"/>
    <cellStyle name="20% - Accent5 64" xfId="1232"/>
    <cellStyle name="20% - Accent5 65" xfId="1233"/>
    <cellStyle name="20% - Accent5 66" xfId="1234"/>
    <cellStyle name="20% - Accent5 67" xfId="1235"/>
    <cellStyle name="20% - Accent5 68" xfId="1236"/>
    <cellStyle name="20% - Accent5 69" xfId="1237"/>
    <cellStyle name="20% - Accent5 7" xfId="1238"/>
    <cellStyle name="20% - Accent5 7 2" xfId="1239"/>
    <cellStyle name="20% - Accent5 7 2 2" xfId="1240"/>
    <cellStyle name="20% - Accent5 7 3" xfId="1241"/>
    <cellStyle name="20% - Accent5 7 3 2" xfId="1242"/>
    <cellStyle name="20% - Accent5 7 4" xfId="1243"/>
    <cellStyle name="20% - Accent5 70" xfId="1244"/>
    <cellStyle name="20% - Accent5 71" xfId="1245"/>
    <cellStyle name="20% - Accent5 72" xfId="1246"/>
    <cellStyle name="20% - Accent5 73" xfId="1247"/>
    <cellStyle name="20% - Accent5 74" xfId="1248"/>
    <cellStyle name="20% - Accent5 75" xfId="1249"/>
    <cellStyle name="20% - Accent5 76" xfId="1250"/>
    <cellStyle name="20% - Accent5 77" xfId="1251"/>
    <cellStyle name="20% - Accent5 78" xfId="1252"/>
    <cellStyle name="20% - Accent5 79" xfId="1253"/>
    <cellStyle name="20% - Accent5 8" xfId="1254"/>
    <cellStyle name="20% - Accent5 8 2" xfId="1255"/>
    <cellStyle name="20% - Accent5 8 2 2" xfId="1256"/>
    <cellStyle name="20% - Accent5 8 3" xfId="1257"/>
    <cellStyle name="20% - Accent5 8 3 2" xfId="1258"/>
    <cellStyle name="20% - Accent5 8 4" xfId="1259"/>
    <cellStyle name="20% - Accent5 80" xfId="1260"/>
    <cellStyle name="20% - Accent5 81" xfId="1261"/>
    <cellStyle name="20% - Accent5 82" xfId="1262"/>
    <cellStyle name="20% - Accent5 83" xfId="1263"/>
    <cellStyle name="20% - Accent5 84" xfId="1264"/>
    <cellStyle name="20% - Accent5 85" xfId="1265"/>
    <cellStyle name="20% - Accent5 86" xfId="1266"/>
    <cellStyle name="20% - Accent5 87" xfId="1267"/>
    <cellStyle name="20% - Accent5 88" xfId="1268"/>
    <cellStyle name="20% - Accent5 89" xfId="1269"/>
    <cellStyle name="20% - Accent5 9" xfId="1270"/>
    <cellStyle name="20% - Accent5 9 2" xfId="1271"/>
    <cellStyle name="20% - Accent5 9 2 2" xfId="1272"/>
    <cellStyle name="20% - Accent5 9 3" xfId="1273"/>
    <cellStyle name="20% - Accent5 9 3 2" xfId="1274"/>
    <cellStyle name="20% - Accent5 9 4" xfId="1275"/>
    <cellStyle name="20% - Accent5 90" xfId="1276"/>
    <cellStyle name="20% - Accent5 91" xfId="1277"/>
    <cellStyle name="20% - Accent5 92" xfId="1278"/>
    <cellStyle name="20% - Accent5 93" xfId="1279"/>
    <cellStyle name="20% - Accent5 94" xfId="1280"/>
    <cellStyle name="20% - Accent5 95" xfId="1281"/>
    <cellStyle name="20% - Accent5 96" xfId="1282"/>
    <cellStyle name="20% - Accent5_13-wk VSI_Revised" xfId="1283"/>
    <cellStyle name="20% - Accent6" xfId="1284"/>
    <cellStyle name="20% - Accent6 10" xfId="1285"/>
    <cellStyle name="20% - Accent6 10 2" xfId="1286"/>
    <cellStyle name="20% - Accent6 10 2 2" xfId="1287"/>
    <cellStyle name="20% - Accent6 10 3" xfId="1288"/>
    <cellStyle name="20% - Accent6 10 3 2" xfId="1289"/>
    <cellStyle name="20% - Accent6 10 4" xfId="1290"/>
    <cellStyle name="20% - Accent6 11" xfId="1291"/>
    <cellStyle name="20% - Accent6 11 2" xfId="1292"/>
    <cellStyle name="20% - Accent6 11 2 2" xfId="1293"/>
    <cellStyle name="20% - Accent6 11 3" xfId="1294"/>
    <cellStyle name="20% - Accent6 11 3 2" xfId="1295"/>
    <cellStyle name="20% - Accent6 11 4" xfId="1296"/>
    <cellStyle name="20% - Accent6 12" xfId="1297"/>
    <cellStyle name="20% - Accent6 12 2" xfId="1298"/>
    <cellStyle name="20% - Accent6 12 2 2" xfId="1299"/>
    <cellStyle name="20% - Accent6 13" xfId="1300"/>
    <cellStyle name="20% - Accent6 13 2" xfId="1301"/>
    <cellStyle name="20% - Accent6 13 2 2" xfId="1302"/>
    <cellStyle name="20% - Accent6 14" xfId="1303"/>
    <cellStyle name="20% - Accent6 14 2" xfId="1304"/>
    <cellStyle name="20% - Accent6 14 2 2" xfId="1305"/>
    <cellStyle name="20% - Accent6 15" xfId="1306"/>
    <cellStyle name="20% - Accent6 15 2" xfId="1307"/>
    <cellStyle name="20% - Accent6 15 2 2" xfId="1308"/>
    <cellStyle name="20% - Accent6 16" xfId="1309"/>
    <cellStyle name="20% - Accent6 16 2" xfId="1310"/>
    <cellStyle name="20% - Accent6 16 2 2" xfId="1311"/>
    <cellStyle name="20% - Accent6 17" xfId="1312"/>
    <cellStyle name="20% - Accent6 17 2" xfId="1313"/>
    <cellStyle name="20% - Accent6 17 2 2" xfId="1314"/>
    <cellStyle name="20% - Accent6 18" xfId="1315"/>
    <cellStyle name="20% - Accent6 18 2" xfId="1316"/>
    <cellStyle name="20% - Accent6 18 2 2" xfId="1317"/>
    <cellStyle name="20% - Accent6 19" xfId="1318"/>
    <cellStyle name="20% - Accent6 19 2" xfId="1319"/>
    <cellStyle name="20% - Accent6 19 2 2" xfId="1320"/>
    <cellStyle name="20% - Accent6 2" xfId="1321"/>
    <cellStyle name="20% - Accent6 2 10" xfId="1322"/>
    <cellStyle name="20% - Accent6 2 11" xfId="1323"/>
    <cellStyle name="20% - Accent6 2 12" xfId="1324"/>
    <cellStyle name="20% - Accent6 2 13" xfId="1325"/>
    <cellStyle name="20% - Accent6 2 14" xfId="1326"/>
    <cellStyle name="20% - Accent6 2 15" xfId="1327"/>
    <cellStyle name="20% - Accent6 2 16" xfId="1328"/>
    <cellStyle name="20% - Accent6 2 17" xfId="1329"/>
    <cellStyle name="20% - Accent6 2 18" xfId="1330"/>
    <cellStyle name="20% - Accent6 2 19" xfId="1331"/>
    <cellStyle name="20% - Accent6 2 2" xfId="1332"/>
    <cellStyle name="20% - Accent6 2 2 2" xfId="1333"/>
    <cellStyle name="20% - Accent6 2 2 2 2" xfId="1334"/>
    <cellStyle name="20% - Accent6 2 2 3" xfId="1335"/>
    <cellStyle name="20% - Accent6 2 2 3 2" xfId="1336"/>
    <cellStyle name="20% - Accent6 2 2 4" xfId="1337"/>
    <cellStyle name="20% - Accent6 2 2 4 2" xfId="1338"/>
    <cellStyle name="20% - Accent6 2 2 5" xfId="1339"/>
    <cellStyle name="20% - Accent6 2 2 6" xfId="1340"/>
    <cellStyle name="20% - Accent6 2 20" xfId="1341"/>
    <cellStyle name="20% - Accent6 2 21" xfId="1342"/>
    <cellStyle name="20% - Accent6 2 22" xfId="1343"/>
    <cellStyle name="20% - Accent6 2 23" xfId="1344"/>
    <cellStyle name="20% - Accent6 2 24" xfId="1345"/>
    <cellStyle name="20% - Accent6 2 25" xfId="1346"/>
    <cellStyle name="20% - Accent6 2 3" xfId="1347"/>
    <cellStyle name="20% - Accent6 2 3 2" xfId="1348"/>
    <cellStyle name="20% - Accent6 2 3 3" xfId="1349"/>
    <cellStyle name="20% - Accent6 2 4" xfId="1350"/>
    <cellStyle name="20% - Accent6 2 4 2" xfId="1351"/>
    <cellStyle name="20% - Accent6 2 4 3" xfId="1352"/>
    <cellStyle name="20% - Accent6 2 5" xfId="1353"/>
    <cellStyle name="20% - Accent6 2 5 2" xfId="1354"/>
    <cellStyle name="20% - Accent6 2 5 3" xfId="1355"/>
    <cellStyle name="20% - Accent6 2 6" xfId="1356"/>
    <cellStyle name="20% - Accent6 2 6 2" xfId="1357"/>
    <cellStyle name="20% - Accent6 2 7" xfId="1358"/>
    <cellStyle name="20% - Accent6 2 7 2" xfId="1359"/>
    <cellStyle name="20% - Accent6 2 8" xfId="1360"/>
    <cellStyle name="20% - Accent6 2 8 2" xfId="1361"/>
    <cellStyle name="20% - Accent6 2 9" xfId="1362"/>
    <cellStyle name="20% - Accent6 20" xfId="1363"/>
    <cellStyle name="20% - Accent6 20 2" xfId="1364"/>
    <cellStyle name="20% - Accent6 20 2 2" xfId="1365"/>
    <cellStyle name="20% - Accent6 21" xfId="1366"/>
    <cellStyle name="20% - Accent6 21 2" xfId="1367"/>
    <cellStyle name="20% - Accent6 21 2 2" xfId="1368"/>
    <cellStyle name="20% - Accent6 22" xfId="1369"/>
    <cellStyle name="20% - Accent6 22 2" xfId="1370"/>
    <cellStyle name="20% - Accent6 22 2 2" xfId="1371"/>
    <cellStyle name="20% - Accent6 23" xfId="1372"/>
    <cellStyle name="20% - Accent6 23 2" xfId="1373"/>
    <cellStyle name="20% - Accent6 23 2 2" xfId="1374"/>
    <cellStyle name="20% - Accent6 23 3" xfId="1375"/>
    <cellStyle name="20% - Accent6 24" xfId="1376"/>
    <cellStyle name="20% - Accent6 24 2" xfId="1377"/>
    <cellStyle name="20% - Accent6 24 2 2" xfId="1378"/>
    <cellStyle name="20% - Accent6 24 3" xfId="1379"/>
    <cellStyle name="20% - Accent6 25" xfId="1380"/>
    <cellStyle name="20% - Accent6 25 2" xfId="1381"/>
    <cellStyle name="20% - Accent6 25 3" xfId="1382"/>
    <cellStyle name="20% - Accent6 26" xfId="1383"/>
    <cellStyle name="20% - Accent6 26 2" xfId="1384"/>
    <cellStyle name="20% - Accent6 27" xfId="1385"/>
    <cellStyle name="20% - Accent6 27 2" xfId="1386"/>
    <cellStyle name="20% - Accent6 28" xfId="1387"/>
    <cellStyle name="20% - Accent6 28 2" xfId="1388"/>
    <cellStyle name="20% - Accent6 29" xfId="1389"/>
    <cellStyle name="20% - Accent6 29 2" xfId="1390"/>
    <cellStyle name="20% - Accent6 2_2.VSCN - GSC charge" xfId="1391"/>
    <cellStyle name="20% - Accent6 3" xfId="1392"/>
    <cellStyle name="20% - Accent6 3 2" xfId="1393"/>
    <cellStyle name="20% - Accent6 3 2 2" xfId="1394"/>
    <cellStyle name="20% - Accent6 3 2 3" xfId="1395"/>
    <cellStyle name="20% - Accent6 3 3" xfId="1396"/>
    <cellStyle name="20% - Accent6 3 3 2" xfId="1397"/>
    <cellStyle name="20% - Accent6 3 3 3" xfId="1398"/>
    <cellStyle name="20% - Accent6 3 4" xfId="1399"/>
    <cellStyle name="20% - Accent6 3 4 2" xfId="1400"/>
    <cellStyle name="20% - Accent6 3 5" xfId="1401"/>
    <cellStyle name="20% - Accent6 3 5 2" xfId="1402"/>
    <cellStyle name="20% - Accent6 3 6" xfId="1403"/>
    <cellStyle name="20% - Accent6 3 7" xfId="1404"/>
    <cellStyle name="20% - Accent6 30" xfId="1405"/>
    <cellStyle name="20% - Accent6 30 2" xfId="1406"/>
    <cellStyle name="20% - Accent6 31" xfId="1407"/>
    <cellStyle name="20% - Accent6 31 2" xfId="1408"/>
    <cellStyle name="20% - Accent6 32" xfId="1409"/>
    <cellStyle name="20% - Accent6 32 2" xfId="1410"/>
    <cellStyle name="20% - Accent6 33" xfId="1411"/>
    <cellStyle name="20% - Accent6 33 2" xfId="1412"/>
    <cellStyle name="20% - Accent6 34" xfId="1413"/>
    <cellStyle name="20% - Accent6 34 2" xfId="1414"/>
    <cellStyle name="20% - Accent6 35" xfId="1415"/>
    <cellStyle name="20% - Accent6 35 2" xfId="1416"/>
    <cellStyle name="20% - Accent6 36" xfId="1417"/>
    <cellStyle name="20% - Accent6 36 2" xfId="1418"/>
    <cellStyle name="20% - Accent6 37" xfId="1419"/>
    <cellStyle name="20% - Accent6 37 2" xfId="1420"/>
    <cellStyle name="20% - Accent6 38" xfId="1421"/>
    <cellStyle name="20% - Accent6 38 2" xfId="1422"/>
    <cellStyle name="20% - Accent6 39" xfId="1423"/>
    <cellStyle name="20% - Accent6 39 2" xfId="1424"/>
    <cellStyle name="20% - Accent6 3_Profitability Detail NT$ Sep-12" xfId="1425"/>
    <cellStyle name="20% - Accent6 4" xfId="1426"/>
    <cellStyle name="20% - Accent6 4 2" xfId="1427"/>
    <cellStyle name="20% - Accent6 4 2 2" xfId="1428"/>
    <cellStyle name="20% - Accent6 4 2 3" xfId="1429"/>
    <cellStyle name="20% - Accent6 4 3" xfId="1430"/>
    <cellStyle name="20% - Accent6 4 3 2" xfId="1431"/>
    <cellStyle name="20% - Accent6 4 3 3" xfId="1432"/>
    <cellStyle name="20% - Accent6 4 4" xfId="1433"/>
    <cellStyle name="20% - Accent6 4 4 2" xfId="1434"/>
    <cellStyle name="20% - Accent6 4 5" xfId="1435"/>
    <cellStyle name="20% - Accent6 4 5 2" xfId="1436"/>
    <cellStyle name="20% - Accent6 4 6" xfId="1437"/>
    <cellStyle name="20% - Accent6 4 7" xfId="1438"/>
    <cellStyle name="20% - Accent6 40" xfId="1439"/>
    <cellStyle name="20% - Accent6 40 2" xfId="1440"/>
    <cellStyle name="20% - Accent6 41" xfId="1441"/>
    <cellStyle name="20% - Accent6 41 2" xfId="1442"/>
    <cellStyle name="20% - Accent6 42" xfId="1443"/>
    <cellStyle name="20% - Accent6 43" xfId="1444"/>
    <cellStyle name="20% - Accent6 44" xfId="1445"/>
    <cellStyle name="20% - Accent6 45" xfId="1446"/>
    <cellStyle name="20% - Accent6 46" xfId="1447"/>
    <cellStyle name="20% - Accent6 47" xfId="1448"/>
    <cellStyle name="20% - Accent6 48" xfId="1449"/>
    <cellStyle name="20% - Accent6 49" xfId="1450"/>
    <cellStyle name="20% - Accent6 4_Profitability Detail NT$ Sep-12" xfId="1451"/>
    <cellStyle name="20% - Accent6 5" xfId="1452"/>
    <cellStyle name="20% - Accent6 5 2" xfId="1453"/>
    <cellStyle name="20% - Accent6 5 2 2" xfId="1454"/>
    <cellStyle name="20% - Accent6 5 2 3" xfId="1455"/>
    <cellStyle name="20% - Accent6 5 3" xfId="1456"/>
    <cellStyle name="20% - Accent6 5 3 2" xfId="1457"/>
    <cellStyle name="20% - Accent6 5 4" xfId="1458"/>
    <cellStyle name="20% - Accent6 5 4 2" xfId="1459"/>
    <cellStyle name="20% - Accent6 5 5" xfId="1460"/>
    <cellStyle name="20% - Accent6 50" xfId="1461"/>
    <cellStyle name="20% - Accent6 51" xfId="1462"/>
    <cellStyle name="20% - Accent6 52" xfId="1463"/>
    <cellStyle name="20% - Accent6 53" xfId="1464"/>
    <cellStyle name="20% - Accent6 54" xfId="1465"/>
    <cellStyle name="20% - Accent6 55" xfId="1466"/>
    <cellStyle name="20% - Accent6 56" xfId="1467"/>
    <cellStyle name="20% - Accent6 57" xfId="1468"/>
    <cellStyle name="20% - Accent6 58" xfId="1469"/>
    <cellStyle name="20% - Accent6 59" xfId="1470"/>
    <cellStyle name="20% - Accent6 6" xfId="1471"/>
    <cellStyle name="20% - Accent6 6 2" xfId="1472"/>
    <cellStyle name="20% - Accent6 6 2 2" xfId="1473"/>
    <cellStyle name="20% - Accent6 6 3" xfId="1474"/>
    <cellStyle name="20% - Accent6 6 3 2" xfId="1475"/>
    <cellStyle name="20% - Accent6 6 4" xfId="1476"/>
    <cellStyle name="20% - Accent6 60" xfId="1477"/>
    <cellStyle name="20% - Accent6 61" xfId="1478"/>
    <cellStyle name="20% - Accent6 62" xfId="1479"/>
    <cellStyle name="20% - Accent6 63" xfId="1480"/>
    <cellStyle name="20% - Accent6 64" xfId="1481"/>
    <cellStyle name="20% - Accent6 65" xfId="1482"/>
    <cellStyle name="20% - Accent6 66" xfId="1483"/>
    <cellStyle name="20% - Accent6 67" xfId="1484"/>
    <cellStyle name="20% - Accent6 68" xfId="1485"/>
    <cellStyle name="20% - Accent6 69" xfId="1486"/>
    <cellStyle name="20% - Accent6 7" xfId="1487"/>
    <cellStyle name="20% - Accent6 7 2" xfId="1488"/>
    <cellStyle name="20% - Accent6 7 2 2" xfId="1489"/>
    <cellStyle name="20% - Accent6 7 3" xfId="1490"/>
    <cellStyle name="20% - Accent6 7 3 2" xfId="1491"/>
    <cellStyle name="20% - Accent6 7 4" xfId="1492"/>
    <cellStyle name="20% - Accent6 70" xfId="1493"/>
    <cellStyle name="20% - Accent6 71" xfId="1494"/>
    <cellStyle name="20% - Accent6 72" xfId="1495"/>
    <cellStyle name="20% - Accent6 73" xfId="1496"/>
    <cellStyle name="20% - Accent6 74" xfId="1497"/>
    <cellStyle name="20% - Accent6 75" xfId="1498"/>
    <cellStyle name="20% - Accent6 76" xfId="1499"/>
    <cellStyle name="20% - Accent6 77" xfId="1500"/>
    <cellStyle name="20% - Accent6 78" xfId="1501"/>
    <cellStyle name="20% - Accent6 79" xfId="1502"/>
    <cellStyle name="20% - Accent6 8" xfId="1503"/>
    <cellStyle name="20% - Accent6 8 2" xfId="1504"/>
    <cellStyle name="20% - Accent6 8 2 2" xfId="1505"/>
    <cellStyle name="20% - Accent6 8 3" xfId="1506"/>
    <cellStyle name="20% - Accent6 8 3 2" xfId="1507"/>
    <cellStyle name="20% - Accent6 8 4" xfId="1508"/>
    <cellStyle name="20% - Accent6 80" xfId="1509"/>
    <cellStyle name="20% - Accent6 81" xfId="1510"/>
    <cellStyle name="20% - Accent6 82" xfId="1511"/>
    <cellStyle name="20% - Accent6 83" xfId="1512"/>
    <cellStyle name="20% - Accent6 84" xfId="1513"/>
    <cellStyle name="20% - Accent6 85" xfId="1514"/>
    <cellStyle name="20% - Accent6 86" xfId="1515"/>
    <cellStyle name="20% - Accent6 87" xfId="1516"/>
    <cellStyle name="20% - Accent6 88" xfId="1517"/>
    <cellStyle name="20% - Accent6 89" xfId="1518"/>
    <cellStyle name="20% - Accent6 9" xfId="1519"/>
    <cellStyle name="20% - Accent6 9 2" xfId="1520"/>
    <cellStyle name="20% - Accent6 9 2 2" xfId="1521"/>
    <cellStyle name="20% - Accent6 9 3" xfId="1522"/>
    <cellStyle name="20% - Accent6 9 3 2" xfId="1523"/>
    <cellStyle name="20% - Accent6 9 4" xfId="1524"/>
    <cellStyle name="20% - Accent6 90" xfId="1525"/>
    <cellStyle name="20% - Accent6 91" xfId="1526"/>
    <cellStyle name="20% - Accent6 92" xfId="1527"/>
    <cellStyle name="20% - Accent6 93" xfId="1528"/>
    <cellStyle name="20% - Accent6 94" xfId="1529"/>
    <cellStyle name="20% - Accent6 95" xfId="1530"/>
    <cellStyle name="20% - Accent6 96" xfId="1531"/>
    <cellStyle name="20% - Accent6_ALL inventory onhand data 0912" xfId="1532"/>
    <cellStyle name="20% - akcent 1" xfId="1533"/>
    <cellStyle name="20% - akcent 1 2" xfId="1534"/>
    <cellStyle name="20% - akcent 2" xfId="1535"/>
    <cellStyle name="20% - akcent 2 2" xfId="1536"/>
    <cellStyle name="20% - akcent 3" xfId="1537"/>
    <cellStyle name="20% - akcent 3 2" xfId="1538"/>
    <cellStyle name="20% - akcent 4" xfId="1539"/>
    <cellStyle name="20% - akcent 4 2" xfId="1540"/>
    <cellStyle name="20% - akcent 5" xfId="1541"/>
    <cellStyle name="20% - akcent 5 2" xfId="1542"/>
    <cellStyle name="20% - akcent 6" xfId="1543"/>
    <cellStyle name="20% - akcent 6 2" xfId="1544"/>
    <cellStyle name="20% - Akzent1" xfId="1545"/>
    <cellStyle name="20% - Akzent1 2" xfId="1546"/>
    <cellStyle name="20% - Akzent2" xfId="1547"/>
    <cellStyle name="20% - Akzent2 2" xfId="1548"/>
    <cellStyle name="20% - Akzent3" xfId="1549"/>
    <cellStyle name="20% - Akzent3 2" xfId="1550"/>
    <cellStyle name="20% - Akzent4" xfId="1551"/>
    <cellStyle name="20% - Akzent4 2" xfId="1552"/>
    <cellStyle name="20% - Akzent5" xfId="1553"/>
    <cellStyle name="20% - Akzent5 2" xfId="1554"/>
    <cellStyle name="20% - Akzent6" xfId="1555"/>
    <cellStyle name="20% - Akzent6 2" xfId="0"/>
    <cellStyle name="20% - Акцент1" xfId="0"/>
    <cellStyle name="20% - Акцент1 2" xfId="0"/>
    <cellStyle name="20% - Акцент2" xfId="0"/>
    <cellStyle name="20% - Акцент2 2" xfId="0"/>
    <cellStyle name="20% - Акцент3" xfId="0"/>
    <cellStyle name="20% - Акцент3 2" xfId="0"/>
    <cellStyle name="20% - Акцент4" xfId="0"/>
    <cellStyle name="20% - Акцент4 2" xfId="0"/>
    <cellStyle name="20% - Акцент5" xfId="0"/>
    <cellStyle name="20% - Акцент5 2" xfId="0"/>
    <cellStyle name="20% - Акцент6" xfId="0"/>
    <cellStyle name="20% - Акцент6 2" xfId="0"/>
    <cellStyle name="20% - アクセント 1" xfId="0"/>
    <cellStyle name="20% - アクセント 2" xfId="0"/>
    <cellStyle name="20% - アクセント 3" xfId="0"/>
    <cellStyle name="20% - アクセント 4" xfId="0"/>
    <cellStyle name="20% - アクセント 5" xfId="0"/>
    <cellStyle name="20% - アクセント 6" xfId="0"/>
    <cellStyle name="20% - 强调文字颜色 1" xfId="0"/>
    <cellStyle name="20% - 强调文字颜色 1 10" xfId="0"/>
    <cellStyle name="20% - 强调文字颜色 1 11" xfId="0"/>
    <cellStyle name="20% - 强调文字颜色 1 12" xfId="0"/>
    <cellStyle name="20% - 强调文字颜色 1 13" xfId="0"/>
    <cellStyle name="20% - 强调文字颜色 1 14" xfId="0"/>
    <cellStyle name="20% - 强调文字颜色 1 15" xfId="0"/>
    <cellStyle name="20% - 强调文字颜色 1 16" xfId="0"/>
    <cellStyle name="20% - 强调文字颜色 1 17" xfId="0"/>
    <cellStyle name="20% - 强调文字颜色 1 18" xfId="0"/>
    <cellStyle name="20% - 强调文字颜色 1 19" xfId="0"/>
    <cellStyle name="20% - 强调文字颜色 1 2" xfId="0"/>
    <cellStyle name="20% - 强调文字颜色 1 2 10" xfId="0"/>
    <cellStyle name="20% - 强调文字颜色 1 2 11" xfId="0"/>
    <cellStyle name="20% - 强调文字颜色 1 2 12" xfId="0"/>
    <cellStyle name="20% - 强调文字颜色 1 2 13" xfId="0"/>
    <cellStyle name="20% - 强调文字颜色 1 2 14" xfId="0"/>
    <cellStyle name="20% - 强调文字颜色 1 2 15" xfId="0"/>
    <cellStyle name="20% - 强调文字颜色 1 2 16" xfId="0"/>
    <cellStyle name="20% - 强调文字颜色 1 2 17" xfId="0"/>
    <cellStyle name="20% - 强调文字颜色 1 2 18" xfId="0"/>
    <cellStyle name="20% - 强调文字颜色 1 2 19" xfId="0"/>
    <cellStyle name="20% - 强调文字颜色 1 2 2" xfId="0"/>
    <cellStyle name="20% - 强调文字颜色 1 2 20" xfId="0"/>
    <cellStyle name="20% - 强调文字颜色 1 2 21" xfId="0"/>
    <cellStyle name="20% - 强调文字颜色 1 2 22" xfId="0"/>
    <cellStyle name="20% - 强调文字颜色 1 2 23" xfId="0"/>
    <cellStyle name="20% - 强调文字颜色 1 2 24" xfId="0"/>
    <cellStyle name="20% - 强调文字颜色 1 2 25" xfId="0"/>
    <cellStyle name="20% - 强调文字颜色 1 2 3" xfId="0"/>
    <cellStyle name="20% - 强调文字颜色 1 2 4" xfId="0"/>
    <cellStyle name="20% - 强调文字颜色 1 2 5" xfId="0"/>
    <cellStyle name="20% - 强调文字颜色 1 2 6" xfId="0"/>
    <cellStyle name="20% - 强调文字颜色 1 2 7" xfId="0"/>
    <cellStyle name="20% - 强调文字颜色 1 2 8" xfId="0"/>
    <cellStyle name="20% - 强调文字颜色 1 2 9" xfId="0"/>
    <cellStyle name="20% - 强调文字颜色 1 20" xfId="0"/>
    <cellStyle name="20% - 强调文字颜色 1 21" xfId="0"/>
    <cellStyle name="20% - 强调文字颜色 1 22" xfId="0"/>
    <cellStyle name="20% - 强调文字颜色 1 23" xfId="0"/>
    <cellStyle name="20% - 强调文字颜色 1 24" xfId="0"/>
    <cellStyle name="20% - 强调文字颜色 1 25" xfId="0"/>
    <cellStyle name="20% - 强调文字颜色 1 26" xfId="0"/>
    <cellStyle name="20% - 强调文字颜色 1 27" xfId="0"/>
    <cellStyle name="20% - 强调文字颜色 1 28" xfId="0"/>
    <cellStyle name="20% - 强调文字颜色 1 29" xfId="0"/>
    <cellStyle name="20% - 强调文字颜色 1 3" xfId="0"/>
    <cellStyle name="20% - 强调文字颜色 1 30" xfId="0"/>
    <cellStyle name="20% - 强调文字颜色 1 31" xfId="0"/>
    <cellStyle name="20% - 强调文字颜色 1 32" xfId="0"/>
    <cellStyle name="20% - 强调文字颜色 1 33" xfId="0"/>
    <cellStyle name="20% - 强调文字颜色 1 34" xfId="0"/>
    <cellStyle name="20% - 强调文字颜色 1 35" xfId="0"/>
    <cellStyle name="20% - 强调文字颜色 1 36" xfId="0"/>
    <cellStyle name="20% - 强调文字颜色 1 37" xfId="0"/>
    <cellStyle name="20% - 强调文字颜色 1 38" xfId="0"/>
    <cellStyle name="20% - 强调文字颜色 1 39" xfId="0"/>
    <cellStyle name="20% - 强调文字颜色 1 4" xfId="0"/>
    <cellStyle name="20% - 强调文字颜色 1 40" xfId="0"/>
    <cellStyle name="20% - 强调文字颜色 1 41" xfId="0"/>
    <cellStyle name="20% - 强调文字颜色 1 42" xfId="0"/>
    <cellStyle name="20% - 强调文字颜色 1 43" xfId="0"/>
    <cellStyle name="20% - 强调文字颜色 1 44" xfId="0"/>
    <cellStyle name="20% - 强调文字颜色 1 45" xfId="0"/>
    <cellStyle name="20% - 强调文字颜色 1 46" xfId="0"/>
    <cellStyle name="20% - 强调文字颜色 1 47" xfId="0"/>
    <cellStyle name="20% - 强调文字颜色 1 48" xfId="0"/>
    <cellStyle name="20% - 强调文字颜色 1 49" xfId="0"/>
    <cellStyle name="20% - 强调文字颜色 1 5" xfId="0"/>
    <cellStyle name="20% - 强调文字颜色 1 50" xfId="0"/>
    <cellStyle name="20% - 强调文字颜色 1 51" xfId="0"/>
    <cellStyle name="20% - 强调文字颜色 1 52" xfId="0"/>
    <cellStyle name="20% - 强调文字颜色 1 53" xfId="0"/>
    <cellStyle name="20% - 强调文字颜色 1 54" xfId="0"/>
    <cellStyle name="20% - 强调文字颜色 1 55" xfId="0"/>
    <cellStyle name="20% - 强调文字颜色 1 56" xfId="0"/>
    <cellStyle name="20% - 强调文字颜色 1 57" xfId="0"/>
    <cellStyle name="20% - 强调文字颜色 1 58" xfId="0"/>
    <cellStyle name="20% - 强调文字颜色 1 59" xfId="0"/>
    <cellStyle name="20% - 强调文字颜色 1 6" xfId="0"/>
    <cellStyle name="20% - 强调文字颜色 1 60" xfId="0"/>
    <cellStyle name="20% - 强调文字颜色 1 61" xfId="0"/>
    <cellStyle name="20% - 强调文字颜色 1 62" xfId="0"/>
    <cellStyle name="20% - 强调文字颜色 1 63" xfId="0"/>
    <cellStyle name="20% - 强调文字颜色 1 64" xfId="0"/>
    <cellStyle name="20% - 强调文字颜色 1 65" xfId="0"/>
    <cellStyle name="20% - 强调文字颜色 1 66" xfId="0"/>
    <cellStyle name="20% - 强调文字颜色 1 67" xfId="0"/>
    <cellStyle name="20% - 强调文字颜色 1 68" xfId="0"/>
    <cellStyle name="20% - 强调文字颜色 1 69" xfId="0"/>
    <cellStyle name="20% - 强调文字颜色 1 7" xfId="0"/>
    <cellStyle name="20% - 强调文字颜色 1 70" xfId="0"/>
    <cellStyle name="20% - 强调文字颜色 1 71" xfId="0"/>
    <cellStyle name="20% - 强调文字颜色 1 72" xfId="0"/>
    <cellStyle name="20% - 强调文字颜色 1 73" xfId="0"/>
    <cellStyle name="20% - 强调文字颜色 1 74" xfId="0"/>
    <cellStyle name="20% - 强调文字颜色 1 75" xfId="0"/>
    <cellStyle name="20% - 强调文字颜色 1 76" xfId="0"/>
    <cellStyle name="20% - 强调文字颜色 1 77" xfId="0"/>
    <cellStyle name="20% - 强调文字颜色 1 78" xfId="0"/>
    <cellStyle name="20% - 强调文字颜色 1 79" xfId="0"/>
    <cellStyle name="20% - 强调文字颜色 1 8" xfId="0"/>
    <cellStyle name="20% - 强调文字颜色 1 80" xfId="0"/>
    <cellStyle name="20% - 强调文字颜色 1 81" xfId="0"/>
    <cellStyle name="20% - 强调文字颜色 1 82" xfId="0"/>
    <cellStyle name="20% - 强调文字颜色 1 83" xfId="0"/>
    <cellStyle name="20% - 强调文字颜色 1 84" xfId="0"/>
    <cellStyle name="20% - 强调文字颜色 1 9" xfId="0"/>
    <cellStyle name="20% - 强调文字颜色 1_CORP SG&amp;A" xfId="0"/>
    <cellStyle name="20% - 强调文字颜色 2" xfId="0"/>
    <cellStyle name="20% - 强调文字颜色 2 10" xfId="0"/>
    <cellStyle name="20% - 强调文字颜色 2 11" xfId="0"/>
    <cellStyle name="20% - 强调文字颜色 2 12" xfId="0"/>
    <cellStyle name="20% - 强调文字颜色 2 13" xfId="0"/>
    <cellStyle name="20% - 强调文字颜色 2 14" xfId="0"/>
    <cellStyle name="20% - 强调文字颜色 2 15" xfId="0"/>
    <cellStyle name="20% - 强调文字颜色 2 16" xfId="0"/>
    <cellStyle name="20% - 强调文字颜色 2 17" xfId="0"/>
    <cellStyle name="20% - 强调文字颜色 2 18" xfId="0"/>
    <cellStyle name="20% - 强调文字颜色 2 19" xfId="0"/>
    <cellStyle name="20% - 强调文字颜色 2 2" xfId="0"/>
    <cellStyle name="20% - 强调文字颜色 2 2 10" xfId="0"/>
    <cellStyle name="20% - 强调文字颜色 2 2 11" xfId="0"/>
    <cellStyle name="20% - 强调文字颜色 2 2 12" xfId="0"/>
    <cellStyle name="20% - 强调文字颜色 2 2 13" xfId="0"/>
    <cellStyle name="20% - 强调文字颜色 2 2 14" xfId="0"/>
    <cellStyle name="20% - 强调文字颜色 2 2 15" xfId="0"/>
    <cellStyle name="20% - 强调文字颜色 2 2 16" xfId="0"/>
    <cellStyle name="20% - 强调文字颜色 2 2 17" xfId="0"/>
    <cellStyle name="20% - 强调文字颜色 2 2 18" xfId="0"/>
    <cellStyle name="20% - 强调文字颜色 2 2 19" xfId="0"/>
    <cellStyle name="20% - 强调文字颜色 2 2 2" xfId="0"/>
    <cellStyle name="20% - 强调文字颜色 2 2 20" xfId="0"/>
    <cellStyle name="20% - 强调文字颜色 2 2 21" xfId="0"/>
    <cellStyle name="20% - 强调文字颜色 2 2 22" xfId="0"/>
    <cellStyle name="20% - 强调文字颜色 2 2 23" xfId="0"/>
    <cellStyle name="20% - 强调文字颜色 2 2 24" xfId="0"/>
    <cellStyle name="20% - 强调文字颜色 2 2 25" xfId="0"/>
    <cellStyle name="20% - 强调文字颜色 2 2 3" xfId="0"/>
    <cellStyle name="20% - 强调文字颜色 2 2 4" xfId="0"/>
    <cellStyle name="20% - 强调文字颜色 2 2 5" xfId="0"/>
    <cellStyle name="20% - 强调文字颜色 2 2 6" xfId="0"/>
    <cellStyle name="20% - 强调文字颜色 2 2 7" xfId="0"/>
    <cellStyle name="20% - 强调文字颜色 2 2 8" xfId="0"/>
    <cellStyle name="20% - 强调文字颜色 2 2 9" xfId="0"/>
    <cellStyle name="20% - 强调文字颜色 2 20" xfId="0"/>
    <cellStyle name="20% - 强调文字颜色 2 21" xfId="0"/>
    <cellStyle name="20% - 强调文字颜色 2 22" xfId="0"/>
    <cellStyle name="20% - 强调文字颜色 2 23" xfId="0"/>
    <cellStyle name="20% - 强调文字颜色 2 24" xfId="0"/>
    <cellStyle name="20% - 强调文字颜色 2 25" xfId="0"/>
    <cellStyle name="20% - 强调文字颜色 2 26" xfId="0"/>
    <cellStyle name="20% - 强调文字颜色 2 27" xfId="0"/>
    <cellStyle name="20% - 强调文字颜色 2 28" xfId="0"/>
    <cellStyle name="20% - 强调文字颜色 2 29" xfId="0"/>
    <cellStyle name="20% - 强调文字颜色 2 3" xfId="0"/>
    <cellStyle name="20% - 强调文字颜色 2 30" xfId="0"/>
    <cellStyle name="20% - 强调文字颜色 2 31" xfId="0"/>
    <cellStyle name="20% - 强调文字颜色 2 32" xfId="0"/>
    <cellStyle name="20% - 强调文字颜色 2 33" xfId="0"/>
    <cellStyle name="20% - 强调文字颜色 2 34" xfId="0"/>
    <cellStyle name="20% - 强调文字颜色 2 35" xfId="0"/>
    <cellStyle name="20% - 强调文字颜色 2 36" xfId="0"/>
    <cellStyle name="20% - 强调文字颜色 2 37" xfId="0"/>
    <cellStyle name="20% - 强调文字颜色 2 38" xfId="0"/>
    <cellStyle name="20% - 强调文字颜色 2 39" xfId="0"/>
    <cellStyle name="20% - 强调文字颜色 2 4" xfId="0"/>
    <cellStyle name="20% - 强调文字颜色 2 40" xfId="0"/>
    <cellStyle name="20% - 强调文字颜色 2 41" xfId="0"/>
    <cellStyle name="20% - 强调文字颜色 2 42" xfId="0"/>
    <cellStyle name="20% - 强调文字颜色 2 43" xfId="0"/>
    <cellStyle name="20% - 强调文字颜色 2 44" xfId="0"/>
    <cellStyle name="20% - 强调文字颜色 2 45" xfId="0"/>
    <cellStyle name="20% - 强调文字颜色 2 46" xfId="0"/>
    <cellStyle name="20% - 强调文字颜色 2 47" xfId="0"/>
    <cellStyle name="20% - 强调文字颜色 2 48" xfId="0"/>
    <cellStyle name="20% - 强调文字颜色 2 49" xfId="0"/>
    <cellStyle name="20% - 强调文字颜色 2 5" xfId="0"/>
    <cellStyle name="20% - 强调文字颜色 2 50" xfId="0"/>
    <cellStyle name="20% - 强调文字颜色 2 51" xfId="0"/>
    <cellStyle name="20% - 强调文字颜色 2 52" xfId="0"/>
    <cellStyle name="20% - 强调文字颜色 2 53" xfId="0"/>
    <cellStyle name="20% - 强调文字颜色 2 54" xfId="0"/>
    <cellStyle name="20% - 强调文字颜色 2 55" xfId="0"/>
    <cellStyle name="20% - 强调文字颜色 2 56" xfId="0"/>
    <cellStyle name="20% - 强调文字颜色 2 57" xfId="0"/>
    <cellStyle name="20% - 强调文字颜色 2 58" xfId="0"/>
    <cellStyle name="20% - 强调文字颜色 2 59" xfId="0"/>
    <cellStyle name="20% - 强调文字颜色 2 6" xfId="0"/>
    <cellStyle name="20% - 强调文字颜色 2 60" xfId="0"/>
    <cellStyle name="20% - 强调文字颜色 2 61" xfId="0"/>
    <cellStyle name="20% - 强调文字颜色 2 62" xfId="0"/>
    <cellStyle name="20% - 强调文字颜色 2 63" xfId="0"/>
    <cellStyle name="20% - 强调文字颜色 2 64" xfId="0"/>
    <cellStyle name="20% - 强调文字颜色 2 65" xfId="0"/>
    <cellStyle name="20% - 强调文字颜色 2 66" xfId="0"/>
    <cellStyle name="20% - 强调文字颜色 2 67" xfId="0"/>
    <cellStyle name="20% - 强调文字颜色 2 68" xfId="0"/>
    <cellStyle name="20% - 强调文字颜色 2 69" xfId="0"/>
    <cellStyle name="20% - 强调文字颜色 2 7" xfId="0"/>
    <cellStyle name="20% - 强调文字颜色 2 70" xfId="0"/>
    <cellStyle name="20% - 强调文字颜色 2 71" xfId="0"/>
    <cellStyle name="20% - 强调文字颜色 2 72" xfId="0"/>
    <cellStyle name="20% - 强调文字颜色 2 73" xfId="0"/>
    <cellStyle name="20% - 强调文字颜色 2 74" xfId="0"/>
    <cellStyle name="20% - 强调文字颜色 2 75" xfId="0"/>
    <cellStyle name="20% - 强调文字颜色 2 76" xfId="0"/>
    <cellStyle name="20% - 强调文字颜色 2 77" xfId="0"/>
    <cellStyle name="20% - 强调文字颜色 2 78" xfId="0"/>
    <cellStyle name="20% - 强调文字颜色 2 79" xfId="0"/>
    <cellStyle name="20% - 强调文字颜色 2 8" xfId="0"/>
    <cellStyle name="20% - 强调文字颜色 2 80" xfId="0"/>
    <cellStyle name="20% - 强调文字颜色 2 81" xfId="0"/>
    <cellStyle name="20% - 强调文字颜色 2 82" xfId="0"/>
    <cellStyle name="20% - 强调文字颜色 2 83" xfId="0"/>
    <cellStyle name="20% - 强调文字颜色 2 84" xfId="0"/>
    <cellStyle name="20% - 强调文字颜色 2 9" xfId="0"/>
    <cellStyle name="20% - 强调文字颜色 2_CORP SG&amp;A" xfId="0"/>
    <cellStyle name="20% - 强调文字颜色 3" xfId="0"/>
    <cellStyle name="20% - 强调文字颜色 3 10" xfId="0"/>
    <cellStyle name="20% - 强调文字颜色 3 11" xfId="0"/>
    <cellStyle name="20% - 强调文字颜色 3 12" xfId="0"/>
    <cellStyle name="20% - 强调文字颜色 3 13" xfId="0"/>
    <cellStyle name="20% - 强调文字颜色 3 14" xfId="0"/>
    <cellStyle name="20% - 强调文字颜色 3 15" xfId="0"/>
    <cellStyle name="20% - 强调文字颜色 3 16" xfId="0"/>
    <cellStyle name="20% - 强调文字颜色 3 17" xfId="0"/>
    <cellStyle name="20% - 强调文字颜色 3 18" xfId="0"/>
    <cellStyle name="20% - 强调文字颜色 3 19" xfId="0"/>
    <cellStyle name="20% - 强调文字颜色 3 2" xfId="0"/>
    <cellStyle name="20% - 强调文字颜色 3 2 10" xfId="0"/>
    <cellStyle name="20% - 强调文字颜色 3 2 11" xfId="0"/>
    <cellStyle name="20% - 强调文字颜色 3 2 12" xfId="0"/>
    <cellStyle name="20% - 强调文字颜色 3 2 13" xfId="0"/>
    <cellStyle name="20% - 强调文字颜色 3 2 14" xfId="0"/>
    <cellStyle name="20% - 强调文字颜色 3 2 15" xfId="0"/>
    <cellStyle name="20% - 强调文字颜色 3 2 16" xfId="0"/>
    <cellStyle name="20% - 强调文字颜色 3 2 17" xfId="0"/>
    <cellStyle name="20% - 强调文字颜色 3 2 18" xfId="0"/>
    <cellStyle name="20% - 强调文字颜色 3 2 19" xfId="0"/>
    <cellStyle name="20% - 强调文字颜色 3 2 2" xfId="0"/>
    <cellStyle name="20% - 强调文字颜色 3 2 20" xfId="0"/>
    <cellStyle name="20% - 强调文字颜色 3 2 21" xfId="0"/>
    <cellStyle name="20% - 强调文字颜色 3 2 22" xfId="0"/>
    <cellStyle name="20% - 强调文字颜色 3 2 23" xfId="0"/>
    <cellStyle name="20% - 强调文字颜色 3 2 24" xfId="0"/>
    <cellStyle name="20% - 强调文字颜色 3 2 25" xfId="0"/>
    <cellStyle name="20% - 强调文字颜色 3 2 3" xfId="0"/>
    <cellStyle name="20% - 强调文字颜色 3 2 4" xfId="0"/>
    <cellStyle name="20% - 强调文字颜色 3 2 5" xfId="0"/>
    <cellStyle name="20% - 强调文字颜色 3 2 6" xfId="0"/>
    <cellStyle name="20% - 强调文字颜色 3 2 7" xfId="0"/>
    <cellStyle name="20% - 强调文字颜色 3 2 8" xfId="0"/>
    <cellStyle name="20% - 强调文字颜色 3 2 9" xfId="0"/>
    <cellStyle name="20% - 强调文字颜色 3 20" xfId="0"/>
    <cellStyle name="20% - 强调文字颜色 3 21" xfId="0"/>
    <cellStyle name="20% - 强调文字颜色 3 22" xfId="0"/>
    <cellStyle name="20% - 强调文字颜色 3 23" xfId="0"/>
    <cellStyle name="20% - 强调文字颜色 3 24" xfId="0"/>
    <cellStyle name="20% - 强调文字颜色 3 25" xfId="0"/>
    <cellStyle name="20% - 强调文字颜色 3 26" xfId="0"/>
    <cellStyle name="20% - 强调文字颜色 3 27" xfId="0"/>
    <cellStyle name="20% - 强调文字颜色 3 28" xfId="0"/>
    <cellStyle name="20% - 强调文字颜色 3 29" xfId="0"/>
    <cellStyle name="20% - 强调文字颜色 3 3" xfId="0"/>
    <cellStyle name="20% - 强调文字颜色 3 30" xfId="0"/>
    <cellStyle name="20% - 强调文字颜色 3 31" xfId="0"/>
    <cellStyle name="20% - 强调文字颜色 3 32" xfId="0"/>
    <cellStyle name="20% - 强调文字颜色 3 33" xfId="0"/>
    <cellStyle name="20% - 强调文字颜色 3 34" xfId="0"/>
    <cellStyle name="20% - 强调文字颜色 3 35" xfId="0"/>
    <cellStyle name="20% - 强调文字颜色 3 36" xfId="0"/>
    <cellStyle name="20% - 强调文字颜色 3 37" xfId="0"/>
    <cellStyle name="20% - 强调文字颜色 3 38" xfId="0"/>
    <cellStyle name="20% - 强调文字颜色 3 39" xfId="0"/>
    <cellStyle name="20% - 强调文字颜色 3 4" xfId="0"/>
    <cellStyle name="20% - 强调文字颜色 3 40" xfId="0"/>
    <cellStyle name="20% - 强调文字颜色 3 41" xfId="0"/>
    <cellStyle name="20% - 强调文字颜色 3 42" xfId="0"/>
    <cellStyle name="20% - 强调文字颜色 3 43" xfId="0"/>
    <cellStyle name="20% - 强调文字颜色 3 44" xfId="0"/>
    <cellStyle name="20% - 强调文字颜色 3 45" xfId="0"/>
    <cellStyle name="20% - 强调文字颜色 3 46" xfId="0"/>
    <cellStyle name="20% - 强调文字颜色 3 47" xfId="0"/>
    <cellStyle name="20% - 强调文字颜色 3 48" xfId="0"/>
    <cellStyle name="20% - 强调文字颜色 3 49" xfId="0"/>
    <cellStyle name="20% - 强调文字颜色 3 5" xfId="0"/>
    <cellStyle name="20% - 强调文字颜色 3 50" xfId="0"/>
    <cellStyle name="20% - 强调文字颜色 3 51" xfId="0"/>
    <cellStyle name="20% - 强调文字颜色 3 52" xfId="0"/>
    <cellStyle name="20% - 强调文字颜色 3 53" xfId="0"/>
    <cellStyle name="20% - 强调文字颜色 3 54" xfId="0"/>
    <cellStyle name="20% - 强调文字颜色 3 55" xfId="0"/>
    <cellStyle name="20% - 强调文字颜色 3 56" xfId="0"/>
    <cellStyle name="20% - 强调文字颜色 3 57" xfId="0"/>
    <cellStyle name="20% - 强调文字颜色 3 58" xfId="0"/>
    <cellStyle name="20% - 强调文字颜色 3 59" xfId="0"/>
    <cellStyle name="20% - 强调文字颜色 3 6" xfId="0"/>
    <cellStyle name="20% - 强调文字颜色 3 60" xfId="0"/>
    <cellStyle name="20% - 强调文字颜色 3 61" xfId="0"/>
    <cellStyle name="20% - 强调文字颜色 3 62" xfId="0"/>
    <cellStyle name="20% - 强调文字颜色 3 63" xfId="0"/>
    <cellStyle name="20% - 强调文字颜色 3 64" xfId="0"/>
    <cellStyle name="20% - 强调文字颜色 3 65" xfId="0"/>
    <cellStyle name="20% - 强调文字颜色 3 66" xfId="0"/>
    <cellStyle name="20% - 强调文字颜色 3 67" xfId="0"/>
    <cellStyle name="20% - 强调文字颜色 3 68" xfId="0"/>
    <cellStyle name="20% - 强调文字颜色 3 69" xfId="0"/>
    <cellStyle name="20% - 强调文字颜色 3 7" xfId="0"/>
    <cellStyle name="20% - 强调文字颜色 3 70" xfId="0"/>
    <cellStyle name="20% - 强调文字颜色 3 71" xfId="0"/>
    <cellStyle name="20% - 强调文字颜色 3 72" xfId="0"/>
    <cellStyle name="20% - 强调文字颜色 3 73" xfId="0"/>
    <cellStyle name="20% - 强调文字颜色 3 74" xfId="0"/>
    <cellStyle name="20% - 强调文字颜色 3 75" xfId="0"/>
    <cellStyle name="20% - 强调文字颜色 3 76" xfId="0"/>
    <cellStyle name="20% - 强调文字颜色 3 77" xfId="0"/>
    <cellStyle name="20% - 强调文字颜色 3 78" xfId="0"/>
    <cellStyle name="20% - 强调文字颜色 3 79" xfId="0"/>
    <cellStyle name="20% - 强调文字颜色 3 8" xfId="0"/>
    <cellStyle name="20% - 强调文字颜色 3 80" xfId="0"/>
    <cellStyle name="20% - 强调文字颜色 3 81" xfId="0"/>
    <cellStyle name="20% - 强调文字颜色 3 82" xfId="0"/>
    <cellStyle name="20% - 强调文字颜色 3 83" xfId="0"/>
    <cellStyle name="20% - 强调文字颜色 3 84" xfId="0"/>
    <cellStyle name="20% - 强调文字颜色 3 9" xfId="0"/>
    <cellStyle name="20% - 强调文字颜色 3_CORP SG&amp;A" xfId="0"/>
    <cellStyle name="20% - 强调文字颜色 4" xfId="0"/>
    <cellStyle name="20% - 强调文字颜色 4 10" xfId="0"/>
    <cellStyle name="20% - 强调文字颜色 4 11" xfId="0"/>
    <cellStyle name="20% - 强调文字颜色 4 12" xfId="0"/>
    <cellStyle name="20% - 强调文字颜色 4 13" xfId="0"/>
    <cellStyle name="20% - 强调文字颜色 4 14" xfId="0"/>
    <cellStyle name="20% - 强调文字颜色 4 15" xfId="0"/>
    <cellStyle name="20% - 强调文字颜色 4 16" xfId="0"/>
    <cellStyle name="20% - 强调文字颜色 4 17" xfId="0"/>
    <cellStyle name="20% - 强调文字颜色 4 18" xfId="0"/>
    <cellStyle name="20% - 强调文字颜色 4 19" xfId="0"/>
    <cellStyle name="20% - 强调文字颜色 4 2" xfId="0"/>
    <cellStyle name="20% - 强调文字颜色 4 2 10" xfId="0"/>
    <cellStyle name="20% - 强调文字颜色 4 2 11" xfId="0"/>
    <cellStyle name="20% - 强调文字颜色 4 2 12" xfId="0"/>
    <cellStyle name="20% - 强调文字颜色 4 2 13" xfId="0"/>
    <cellStyle name="20% - 强调文字颜色 4 2 14" xfId="0"/>
    <cellStyle name="20% - 强调文字颜色 4 2 15" xfId="0"/>
    <cellStyle name="20% - 强调文字颜色 4 2 16" xfId="0"/>
    <cellStyle name="20% - 强调文字颜色 4 2 17" xfId="0"/>
    <cellStyle name="20% - 强调文字颜色 4 2 18" xfId="0"/>
    <cellStyle name="20% - 强调文字颜色 4 2 19" xfId="0"/>
    <cellStyle name="20% - 强调文字颜色 4 2 2" xfId="0"/>
    <cellStyle name="20% - 强调文字颜色 4 2 20" xfId="0"/>
    <cellStyle name="20% - 强调文字颜色 4 2 21" xfId="0"/>
    <cellStyle name="20% - 强调文字颜色 4 2 22" xfId="0"/>
    <cellStyle name="20% - 强调文字颜色 4 2 23" xfId="0"/>
    <cellStyle name="20% - 强调文字颜色 4 2 24" xfId="0"/>
    <cellStyle name="20% - 强调文字颜色 4 2 25" xfId="0"/>
    <cellStyle name="20% - 强调文字颜色 4 2 3" xfId="0"/>
    <cellStyle name="20% - 强调文字颜色 4 2 4" xfId="0"/>
    <cellStyle name="20% - 强调文字颜色 4 2 5" xfId="0"/>
    <cellStyle name="20% - 强调文字颜色 4 2 6" xfId="0"/>
    <cellStyle name="20% - 强调文字颜色 4 2 7" xfId="0"/>
    <cellStyle name="20% - 强调文字颜色 4 2 8" xfId="0"/>
    <cellStyle name="20% - 强调文字颜色 4 2 9" xfId="0"/>
    <cellStyle name="20% - 强调文字颜色 4 20" xfId="0"/>
    <cellStyle name="20% - 强调文字颜色 4 21" xfId="0"/>
    <cellStyle name="20% - 强调文字颜色 4 22" xfId="0"/>
    <cellStyle name="20% - 强调文字颜色 4 23" xfId="0"/>
    <cellStyle name="20% - 强调文字颜色 4 24" xfId="0"/>
    <cellStyle name="20% - 强调文字颜色 4 25" xfId="0"/>
    <cellStyle name="20% - 强调文字颜色 4 26" xfId="0"/>
    <cellStyle name="20% - 强调文字颜色 4 27" xfId="0"/>
    <cellStyle name="20% - 强调文字颜色 4 28" xfId="0"/>
    <cellStyle name="20% - 强调文字颜色 4 29" xfId="0"/>
    <cellStyle name="20% - 强调文字颜色 4 3" xfId="0"/>
    <cellStyle name="20% - 强调文字颜色 4 30" xfId="0"/>
    <cellStyle name="20% - 强调文字颜色 4 31" xfId="0"/>
    <cellStyle name="20% - 强调文字颜色 4 32" xfId="0"/>
    <cellStyle name="20% - 强调文字颜色 4 33" xfId="0"/>
    <cellStyle name="20% - 强调文字颜色 4 34" xfId="0"/>
    <cellStyle name="20% - 强调文字颜色 4 35" xfId="0"/>
    <cellStyle name="20% - 强调文字颜色 4 36" xfId="0"/>
    <cellStyle name="20% - 强调文字颜色 4 37" xfId="0"/>
    <cellStyle name="20% - 强调文字颜色 4 38" xfId="0"/>
    <cellStyle name="20% - 强调文字颜色 4 39" xfId="0"/>
    <cellStyle name="20% - 强调文字颜色 4 4" xfId="0"/>
    <cellStyle name="20% - 强调文字颜色 4 40" xfId="0"/>
    <cellStyle name="20% - 强调文字颜色 4 41" xfId="0"/>
    <cellStyle name="20% - 强调文字颜色 4 42" xfId="0"/>
    <cellStyle name="20% - 强调文字颜色 4 43" xfId="0"/>
    <cellStyle name="20% - 强调文字颜色 4 44" xfId="0"/>
    <cellStyle name="20% - 强调文字颜色 4 45" xfId="0"/>
    <cellStyle name="20% - 强调文字颜色 4 46" xfId="0"/>
    <cellStyle name="20% - 强调文字颜色 4 47" xfId="0"/>
    <cellStyle name="20% - 强调文字颜色 4 48" xfId="0"/>
    <cellStyle name="20% - 强调文字颜色 4 49" xfId="0"/>
    <cellStyle name="20% - 强调文字颜色 4 5" xfId="0"/>
    <cellStyle name="20% - 强调文字颜色 4 50" xfId="0"/>
    <cellStyle name="20% - 强调文字颜色 4 51" xfId="0"/>
    <cellStyle name="20% - 强调文字颜色 4 52" xfId="0"/>
    <cellStyle name="20% - 强调文字颜色 4 53" xfId="0"/>
    <cellStyle name="20% - 强调文字颜色 4 54" xfId="0"/>
    <cellStyle name="20% - 强调文字颜色 4 55" xfId="0"/>
    <cellStyle name="20% - 强调文字颜色 4 56" xfId="0"/>
    <cellStyle name="20% - 强调文字颜色 4 57" xfId="0"/>
    <cellStyle name="20% - 强调文字颜色 4 58" xfId="0"/>
    <cellStyle name="20% - 强调文字颜色 4 59" xfId="0"/>
    <cellStyle name="20% - 强调文字颜色 4 6" xfId="0"/>
    <cellStyle name="20% - 强调文字颜色 4 60" xfId="0"/>
    <cellStyle name="20% - 强调文字颜色 4 61" xfId="0"/>
    <cellStyle name="20% - 强调文字颜色 4 62" xfId="0"/>
    <cellStyle name="20% - 强调文字颜色 4 63" xfId="0"/>
    <cellStyle name="20% - 强调文字颜色 4 64" xfId="0"/>
    <cellStyle name="20% - 强调文字颜色 4 65" xfId="0"/>
    <cellStyle name="20% - 强调文字颜色 4 66" xfId="0"/>
    <cellStyle name="20% - 强调文字颜色 4 67" xfId="0"/>
    <cellStyle name="20% - 强调文字颜色 4 68" xfId="0"/>
    <cellStyle name="20% - 强调文字颜色 4 69" xfId="0"/>
    <cellStyle name="20% - 强调文字颜色 4 7" xfId="0"/>
    <cellStyle name="20% - 强调文字颜色 4 70" xfId="0"/>
    <cellStyle name="20% - 强调文字颜色 4 71" xfId="0"/>
    <cellStyle name="20% - 强调文字颜色 4 72" xfId="0"/>
    <cellStyle name="20% - 强调文字颜色 4 73" xfId="0"/>
    <cellStyle name="20% - 强调文字颜色 4 74" xfId="0"/>
    <cellStyle name="20% - 强调文字颜色 4 75" xfId="0"/>
    <cellStyle name="20% - 强调文字颜色 4 76" xfId="0"/>
    <cellStyle name="20% - 强调文字颜色 4 77" xfId="0"/>
    <cellStyle name="20% - 强调文字颜色 4 78" xfId="0"/>
    <cellStyle name="20% - 强调文字颜色 4 79" xfId="0"/>
    <cellStyle name="20% - 强调文字颜色 4 8" xfId="0"/>
    <cellStyle name="20% - 强调文字颜色 4 80" xfId="0"/>
    <cellStyle name="20% - 强调文字颜色 4 81" xfId="0"/>
    <cellStyle name="20% - 强调文字颜色 4 82" xfId="0"/>
    <cellStyle name="20% - 强调文字颜色 4 83" xfId="0"/>
    <cellStyle name="20% - 强调文字颜色 4 84" xfId="0"/>
    <cellStyle name="20% - 强调文字颜色 4 9" xfId="0"/>
    <cellStyle name="20% - 强调文字颜色 4_CORP SG&amp;A" xfId="0"/>
    <cellStyle name="20% - 强调文字颜色 5" xfId="0"/>
    <cellStyle name="20% - 强调文字颜色 5 10" xfId="0"/>
    <cellStyle name="20% - 强调文字颜色 5 11" xfId="0"/>
    <cellStyle name="20% - 强调文字颜色 5 12" xfId="0"/>
    <cellStyle name="20% - 强调文字颜色 5 13" xfId="0"/>
    <cellStyle name="20% - 强调文字颜色 5 14" xfId="0"/>
    <cellStyle name="20% - 强调文字颜色 5 15" xfId="0"/>
    <cellStyle name="20% - 强调文字颜色 5 16" xfId="0"/>
    <cellStyle name="20% - 强调文字颜色 5 17" xfId="0"/>
    <cellStyle name="20% - 强调文字颜色 5 18" xfId="0"/>
    <cellStyle name="20% - 强调文字颜色 5 19" xfId="0"/>
    <cellStyle name="20% - 强调文字颜色 5 2" xfId="0"/>
    <cellStyle name="20% - 强调文字颜色 5 2 10" xfId="0"/>
    <cellStyle name="20% - 强调文字颜色 5 2 11" xfId="0"/>
    <cellStyle name="20% - 强调文字颜色 5 2 12" xfId="0"/>
    <cellStyle name="20% - 强调文字颜色 5 2 13" xfId="0"/>
    <cellStyle name="20% - 强调文字颜色 5 2 14" xfId="0"/>
    <cellStyle name="20% - 强调文字颜色 5 2 15" xfId="0"/>
    <cellStyle name="20% - 强调文字颜色 5 2 16" xfId="0"/>
    <cellStyle name="20% - 强调文字颜色 5 2 17" xfId="0"/>
    <cellStyle name="20% - 强调文字颜色 5 2 18" xfId="0"/>
    <cellStyle name="20% - 强调文字颜色 5 2 19" xfId="0"/>
    <cellStyle name="20% - 强调文字颜色 5 2 2" xfId="0"/>
    <cellStyle name="20% - 强调文字颜色 5 2 20" xfId="0"/>
    <cellStyle name="20% - 强调文字颜色 5 2 21" xfId="0"/>
    <cellStyle name="20% - 强调文字颜色 5 2 22" xfId="0"/>
    <cellStyle name="20% - 强调文字颜色 5 2 23" xfId="0"/>
    <cellStyle name="20% - 强调文字颜色 5 2 24" xfId="0"/>
    <cellStyle name="20% - 强调文字颜色 5 2 3" xfId="0"/>
    <cellStyle name="20% - 强调文字颜色 5 2 4" xfId="0"/>
    <cellStyle name="20% - 强调文字颜色 5 2 5" xfId="0"/>
    <cellStyle name="20% - 强调文字颜色 5 2 6" xfId="0"/>
    <cellStyle name="20% - 强调文字颜色 5 2 7" xfId="0"/>
    <cellStyle name="20% - 强调文字颜色 5 2 8" xfId="0"/>
    <cellStyle name="20% - 强调文字颜色 5 2 9" xfId="0"/>
    <cellStyle name="20% - 强调文字颜色 5 20" xfId="0"/>
    <cellStyle name="20% - 强调文字颜色 5 21" xfId="0"/>
    <cellStyle name="20% - 强调文字颜色 5 22" xfId="0"/>
    <cellStyle name="20% - 强调文字颜色 5 23" xfId="0"/>
    <cellStyle name="20% - 强调文字颜色 5 24" xfId="0"/>
    <cellStyle name="20% - 强调文字颜色 5 25" xfId="0"/>
    <cellStyle name="20% - 强调文字颜色 5 26" xfId="0"/>
    <cellStyle name="20% - 强调文字颜色 5 27" xfId="0"/>
    <cellStyle name="20% - 强调文字颜色 5 28" xfId="0"/>
    <cellStyle name="20% - 强调文字颜色 5 29" xfId="0"/>
    <cellStyle name="20% - 强调文字颜色 5 3" xfId="0"/>
    <cellStyle name="20% - 强调文字颜色 5 30" xfId="0"/>
    <cellStyle name="20% - 强调文字颜色 5 31" xfId="0"/>
    <cellStyle name="20% - 强调文字颜色 5 32" xfId="0"/>
    <cellStyle name="20% - 强调文字颜色 5 33" xfId="0"/>
    <cellStyle name="20% - 强调文字颜色 5 34" xfId="0"/>
    <cellStyle name="20% - 强调文字颜色 5 35" xfId="0"/>
    <cellStyle name="20% - 强调文字颜色 5 36" xfId="0"/>
    <cellStyle name="20% - 强调文字颜色 5 37" xfId="0"/>
    <cellStyle name="20% - 强调文字颜色 5 38" xfId="0"/>
    <cellStyle name="20% - 强调文字颜色 5 39" xfId="0"/>
    <cellStyle name="20% - 强调文字颜色 5 4" xfId="0"/>
    <cellStyle name="20% - 强调文字颜色 5 40" xfId="0"/>
    <cellStyle name="20% - 强调文字颜色 5 41" xfId="0"/>
    <cellStyle name="20% - 强调文字颜色 5 42" xfId="0"/>
    <cellStyle name="20% - 强调文字颜色 5 43" xfId="0"/>
    <cellStyle name="20% - 强调文字颜色 5 44" xfId="0"/>
    <cellStyle name="20% - 强调文字颜色 5 45" xfId="0"/>
    <cellStyle name="20% - 强调文字颜色 5 46" xfId="0"/>
    <cellStyle name="20% - 强调文字颜色 5 47" xfId="0"/>
    <cellStyle name="20% - 强调文字颜色 5 48" xfId="0"/>
    <cellStyle name="20% - 强调文字颜色 5 49" xfId="0"/>
    <cellStyle name="20% - 强调文字颜色 5 5" xfId="0"/>
    <cellStyle name="20% - 强调文字颜色 5 50" xfId="0"/>
    <cellStyle name="20% - 强调文字颜色 5 51" xfId="0"/>
    <cellStyle name="20% - 强调文字颜色 5 52" xfId="0"/>
    <cellStyle name="20% - 强调文字颜色 5 53" xfId="0"/>
    <cellStyle name="20% - 强调文字颜色 5 54" xfId="0"/>
    <cellStyle name="20% - 强调文字颜色 5 55" xfId="0"/>
    <cellStyle name="20% - 强调文字颜色 5 56" xfId="0"/>
    <cellStyle name="20% - 强调文字颜色 5 57" xfId="0"/>
    <cellStyle name="20% - 强调文字颜色 5 58" xfId="0"/>
    <cellStyle name="20% - 强调文字颜色 5 59" xfId="0"/>
    <cellStyle name="20% - 强调文字颜色 5 6" xfId="0"/>
    <cellStyle name="20% - 强调文字颜色 5 60" xfId="0"/>
    <cellStyle name="20% - 强调文字颜色 5 61" xfId="0"/>
    <cellStyle name="20% - 强调文字颜色 5 62" xfId="0"/>
    <cellStyle name="20% - 强调文字颜色 5 63" xfId="0"/>
    <cellStyle name="20% - 强调文字颜色 5 64" xfId="0"/>
    <cellStyle name="20% - 强调文字颜色 5 65" xfId="0"/>
    <cellStyle name="20% - 强调文字颜色 5 66" xfId="0"/>
    <cellStyle name="20% - 强调文字颜色 5 67" xfId="0"/>
    <cellStyle name="20% - 强调文字颜色 5 68" xfId="0"/>
    <cellStyle name="20% - 强调文字颜色 5 69" xfId="0"/>
    <cellStyle name="20% - 强调文字颜色 5 7" xfId="0"/>
    <cellStyle name="20% - 强调文字颜色 5 70" xfId="0"/>
    <cellStyle name="20% - 强调文字颜色 5 71" xfId="0"/>
    <cellStyle name="20% - 强调文字颜色 5 72" xfId="0"/>
    <cellStyle name="20% - 强调文字颜色 5 73" xfId="0"/>
    <cellStyle name="20% - 强调文字颜色 5 74" xfId="0"/>
    <cellStyle name="20% - 强调文字颜色 5 75" xfId="0"/>
    <cellStyle name="20% - 强调文字颜色 5 76" xfId="0"/>
    <cellStyle name="20% - 强调文字颜色 5 77" xfId="0"/>
    <cellStyle name="20% - 强调文字颜色 5 78" xfId="0"/>
    <cellStyle name="20% - 强调文字颜色 5 79" xfId="0"/>
    <cellStyle name="20% - 强调文字颜色 5 8" xfId="0"/>
    <cellStyle name="20% - 强调文字颜色 5 80" xfId="0"/>
    <cellStyle name="20% - 强调文字颜色 5 81" xfId="0"/>
    <cellStyle name="20% - 强调文字颜色 5 82" xfId="0"/>
    <cellStyle name="20% - 强调文字颜色 5 83" xfId="0"/>
    <cellStyle name="20% - 强调文字颜色 5 9" xfId="0"/>
    <cellStyle name="20% - 强调文字颜色 5_CORP SG&amp;A" xfId="0"/>
    <cellStyle name="20% - 强调文字颜色 6" xfId="0"/>
    <cellStyle name="20% - 强调文字颜色 6 10" xfId="0"/>
    <cellStyle name="20% - 强调文字颜色 6 11" xfId="0"/>
    <cellStyle name="20% - 强调文字颜色 6 12" xfId="0"/>
    <cellStyle name="20% - 强调文字颜色 6 13" xfId="0"/>
    <cellStyle name="20% - 强调文字颜色 6 14" xfId="0"/>
    <cellStyle name="20% - 强调文字颜色 6 15" xfId="0"/>
    <cellStyle name="20% - 强调文字颜色 6 16" xfId="0"/>
    <cellStyle name="20% - 强调文字颜色 6 17" xfId="0"/>
    <cellStyle name="20% - 强调文字颜色 6 18" xfId="0"/>
    <cellStyle name="20% - 强调文字颜色 6 19" xfId="0"/>
    <cellStyle name="20% - 强调文字颜色 6 2" xfId="0"/>
    <cellStyle name="20% - 强调文字颜色 6 2 10" xfId="0"/>
    <cellStyle name="20% - 强调文字颜色 6 2 11" xfId="0"/>
    <cellStyle name="20% - 强调文字颜色 6 2 12" xfId="0"/>
    <cellStyle name="20% - 强调文字颜色 6 2 13" xfId="0"/>
    <cellStyle name="20% - 强调文字颜色 6 2 14" xfId="0"/>
    <cellStyle name="20% - 强调文字颜色 6 2 15" xfId="0"/>
    <cellStyle name="20% - 强调文字颜色 6 2 16" xfId="0"/>
    <cellStyle name="20% - 强调文字颜色 6 2 17" xfId="0"/>
    <cellStyle name="20% - 强调文字颜色 6 2 18" xfId="0"/>
    <cellStyle name="20% - 强调文字颜色 6 2 19" xfId="0"/>
    <cellStyle name="20% - 强调文字颜色 6 2 2" xfId="0"/>
    <cellStyle name="20% - 强调文字颜色 6 2 20" xfId="0"/>
    <cellStyle name="20% - 强调文字颜色 6 2 21" xfId="0"/>
    <cellStyle name="20% - 强调文字颜色 6 2 22" xfId="0"/>
    <cellStyle name="20% - 强调文字颜色 6 2 23" xfId="0"/>
    <cellStyle name="20% - 强调文字颜色 6 2 24" xfId="0"/>
    <cellStyle name="20% - 强调文字颜色 6 2 3" xfId="0"/>
    <cellStyle name="20% - 强调文字颜色 6 2 4" xfId="0"/>
    <cellStyle name="20% - 强调文字颜色 6 2 5" xfId="0"/>
    <cellStyle name="20% - 强调文字颜色 6 2 6" xfId="0"/>
    <cellStyle name="20% - 强调文字颜色 6 2 7" xfId="0"/>
    <cellStyle name="20% - 强调文字颜色 6 2 8" xfId="0"/>
    <cellStyle name="20% - 强调文字颜色 6 2 9" xfId="0"/>
    <cellStyle name="20% - 强调文字颜色 6 20" xfId="0"/>
    <cellStyle name="20% - 强调文字颜色 6 21" xfId="0"/>
    <cellStyle name="20% - 强调文字颜色 6 22" xfId="0"/>
    <cellStyle name="20% - 强调文字颜色 6 23" xfId="0"/>
    <cellStyle name="20% - 强调文字颜色 6 24" xfId="0"/>
    <cellStyle name="20% - 强调文字颜色 6 25" xfId="0"/>
    <cellStyle name="20% - 强调文字颜色 6 26" xfId="0"/>
    <cellStyle name="20% - 强调文字颜色 6 27" xfId="0"/>
    <cellStyle name="20% - 强调文字颜色 6 28" xfId="0"/>
    <cellStyle name="20% - 强调文字颜色 6 29" xfId="0"/>
    <cellStyle name="20% - 强调文字颜色 6 3" xfId="0"/>
    <cellStyle name="20% - 强调文字颜色 6 30" xfId="0"/>
    <cellStyle name="20% - 强调文字颜色 6 31" xfId="0"/>
    <cellStyle name="20% - 强调文字颜色 6 32" xfId="0"/>
    <cellStyle name="20% - 强调文字颜色 6 33" xfId="0"/>
    <cellStyle name="20% - 强调文字颜色 6 34" xfId="0"/>
    <cellStyle name="20% - 强调文字颜色 6 35" xfId="0"/>
    <cellStyle name="20% - 强调文字颜色 6 36" xfId="0"/>
    <cellStyle name="20% - 强调文字颜色 6 37" xfId="0"/>
    <cellStyle name="20% - 强调文字颜色 6 38" xfId="0"/>
    <cellStyle name="20% - 强调文字颜色 6 39" xfId="0"/>
    <cellStyle name="20% - 强调文字颜色 6 4" xfId="0"/>
    <cellStyle name="20% - 强调文字颜色 6 40" xfId="0"/>
    <cellStyle name="20% - 强调文字颜色 6 41" xfId="0"/>
    <cellStyle name="20% - 强调文字颜色 6 42" xfId="0"/>
    <cellStyle name="20% - 强调文字颜色 6 43" xfId="0"/>
    <cellStyle name="20% - 强调文字颜色 6 44" xfId="0"/>
    <cellStyle name="20% - 强调文字颜色 6 45" xfId="0"/>
    <cellStyle name="20% - 强调文字颜色 6 46" xfId="0"/>
    <cellStyle name="20% - 强调文字颜色 6 47" xfId="0"/>
    <cellStyle name="20% - 强调文字颜色 6 48" xfId="0"/>
    <cellStyle name="20% - 强调文字颜色 6 49" xfId="0"/>
    <cellStyle name="20% - 强调文字颜色 6 5" xfId="0"/>
    <cellStyle name="20% - 强调文字颜色 6 50" xfId="0"/>
    <cellStyle name="20% - 强调文字颜色 6 51" xfId="0"/>
    <cellStyle name="20% - 强调文字颜色 6 52" xfId="0"/>
    <cellStyle name="20% - 强调文字颜色 6 53" xfId="0"/>
    <cellStyle name="20% - 强调文字颜色 6 54" xfId="0"/>
    <cellStyle name="20% - 强调文字颜色 6 55" xfId="0"/>
    <cellStyle name="20% - 强调文字颜色 6 56" xfId="0"/>
    <cellStyle name="20% - 强调文字颜色 6 57" xfId="0"/>
    <cellStyle name="20% - 强调文字颜色 6 58" xfId="0"/>
    <cellStyle name="20% - 强调文字颜色 6 59" xfId="0"/>
    <cellStyle name="20% - 强调文字颜色 6 6" xfId="0"/>
    <cellStyle name="20% - 强调文字颜色 6 60" xfId="0"/>
    <cellStyle name="20% - 强调文字颜色 6 61" xfId="0"/>
    <cellStyle name="20% - 强调文字颜色 6 62" xfId="0"/>
    <cellStyle name="20% - 强调文字颜色 6 63" xfId="0"/>
    <cellStyle name="20% - 强调文字颜色 6 64" xfId="0"/>
    <cellStyle name="20% - 强调文字颜色 6 65" xfId="0"/>
    <cellStyle name="20% - 强调文字颜色 6 66" xfId="0"/>
    <cellStyle name="20% - 强调文字颜色 6 67" xfId="0"/>
    <cellStyle name="20% - 强调文字颜色 6 68" xfId="0"/>
    <cellStyle name="20% - 强调文字颜色 6 69" xfId="0"/>
    <cellStyle name="20% - 强调文字颜色 6 7" xfId="0"/>
    <cellStyle name="20% - 强调文字颜色 6 70" xfId="0"/>
    <cellStyle name="20% - 强调文字颜色 6 71" xfId="0"/>
    <cellStyle name="20% - 强调文字颜色 6 72" xfId="0"/>
    <cellStyle name="20% - 强调文字颜色 6 73" xfId="0"/>
    <cellStyle name="20% - 强调文字颜色 6 74" xfId="0"/>
    <cellStyle name="20% - 强调文字颜色 6 75" xfId="0"/>
    <cellStyle name="20% - 强调文字颜色 6 76" xfId="0"/>
    <cellStyle name="20% - 强调文字颜色 6 77" xfId="0"/>
    <cellStyle name="20% - 强调文字颜色 6 78" xfId="0"/>
    <cellStyle name="20% - 强调文字颜色 6 79" xfId="0"/>
    <cellStyle name="20% - 强调文字颜色 6 8" xfId="0"/>
    <cellStyle name="20% - 强调文字颜色 6 80" xfId="0"/>
    <cellStyle name="20% - 强调文字颜色 6 81" xfId="0"/>
    <cellStyle name="20% - 强调文字颜色 6 82" xfId="0"/>
    <cellStyle name="20% - 强调文字颜色 6 83" xfId="0"/>
    <cellStyle name="20% - 强调文字颜色 6 84" xfId="0"/>
    <cellStyle name="20% - 强调文字颜色 6 9" xfId="0"/>
    <cellStyle name="20% - 强调文字颜色 6_CORP SG&amp;A" xfId="0"/>
    <cellStyle name="20% - 輔色1 2" xfId="0"/>
    <cellStyle name="20% - 輔色1 2 2" xfId="0"/>
    <cellStyle name="20% - 輔色1 3" xfId="0"/>
    <cellStyle name="20% - 輔色1 3 2" xfId="0"/>
    <cellStyle name="20% - 輔色1 3 3" xfId="0"/>
    <cellStyle name="20% - 輔色1 4" xfId="0"/>
    <cellStyle name="20% - 輔色1 5" xfId="0"/>
    <cellStyle name="20% - 輔色2 2" xfId="0"/>
    <cellStyle name="20% - 輔色2 2 2" xfId="0"/>
    <cellStyle name="20% - 輔色2 3" xfId="0"/>
    <cellStyle name="20% - 輔色2 3 2" xfId="0"/>
    <cellStyle name="20% - 輔色2 3 3" xfId="0"/>
    <cellStyle name="20% - 輔色2 4" xfId="0"/>
    <cellStyle name="20% - 輔色2 5" xfId="0"/>
    <cellStyle name="20% - 輔色3 2" xfId="0"/>
    <cellStyle name="20% - 輔色3 2 2" xfId="0"/>
    <cellStyle name="20% - 輔色3 3" xfId="0"/>
    <cellStyle name="20% - 輔色3 3 2" xfId="0"/>
    <cellStyle name="20% - 輔色3 3 3" xfId="0"/>
    <cellStyle name="20% - 輔色3 4" xfId="0"/>
    <cellStyle name="20% - 輔色3 5" xfId="0"/>
    <cellStyle name="20% - 輔色4 2" xfId="0"/>
    <cellStyle name="20% - 輔色4 2 2" xfId="0"/>
    <cellStyle name="20% - 輔色4 3" xfId="0"/>
    <cellStyle name="20% - 輔色4 3 2" xfId="0"/>
    <cellStyle name="20% - 輔色4 3 3" xfId="0"/>
    <cellStyle name="20% - 輔色4 4" xfId="0"/>
    <cellStyle name="20% - 輔色4 5" xfId="0"/>
    <cellStyle name="20% - 輔色5 2" xfId="0"/>
    <cellStyle name="20% - 輔色5 2 2" xfId="0"/>
    <cellStyle name="20% - 輔色5 3" xfId="0"/>
    <cellStyle name="20% - 輔色5 3 2" xfId="0"/>
    <cellStyle name="20% - 輔色5 3 3" xfId="0"/>
    <cellStyle name="20% - 輔色5 4" xfId="0"/>
    <cellStyle name="20% - 輔色5 5" xfId="0"/>
    <cellStyle name="20% - 輔色6 2" xfId="0"/>
    <cellStyle name="20% - 輔色6 2 2" xfId="0"/>
    <cellStyle name="20% - 輔色6 3" xfId="0"/>
    <cellStyle name="20% - 輔色6 3 2" xfId="0"/>
    <cellStyle name="20% - 輔色6 3 3" xfId="0"/>
    <cellStyle name="20% - 輔色6 4" xfId="0"/>
    <cellStyle name="20% - 輔色6 5" xfId="0"/>
    <cellStyle name="20 % - Accent1" xfId="0"/>
    <cellStyle name="20 % - Accent1 2" xfId="0"/>
    <cellStyle name="20 % - Accent2" xfId="0"/>
    <cellStyle name="20 % - Accent2 2" xfId="0"/>
    <cellStyle name="20 % - Accent3" xfId="0"/>
    <cellStyle name="20 % - Accent3 2" xfId="0"/>
    <cellStyle name="20 % - Accent4" xfId="0"/>
    <cellStyle name="20 % - Accent4 2" xfId="0"/>
    <cellStyle name="20 % - Accent5" xfId="0"/>
    <cellStyle name="20 % - Accent5 2" xfId="0"/>
    <cellStyle name="20 % - Accent6" xfId="0"/>
    <cellStyle name="20 % - Accent6 2" xfId="0"/>
    <cellStyle name="3232" xfId="0"/>
    <cellStyle name="3232 2" xfId="0"/>
    <cellStyle name="40 % - Markeringsfarve1" xfId="0"/>
    <cellStyle name="40 % - Markeringsfarve1 2" xfId="0"/>
    <cellStyle name="40 % - Markeringsfarve2" xfId="0"/>
    <cellStyle name="40 % - Markeringsfarve2 2" xfId="0"/>
    <cellStyle name="40 % - Markeringsfarve3" xfId="0"/>
    <cellStyle name="40 % - Markeringsfarve3 2" xfId="0"/>
    <cellStyle name="40 % - Markeringsfarve4" xfId="0"/>
    <cellStyle name="40 % - Markeringsfarve4 2" xfId="0"/>
    <cellStyle name="40 % - Markeringsfarve5" xfId="0"/>
    <cellStyle name="40 % - Markeringsfarve5 2" xfId="0"/>
    <cellStyle name="40 % - Markeringsfarve6" xfId="0"/>
    <cellStyle name="40 % - Markeringsfarve6 2" xfId="0"/>
    <cellStyle name="40% - Accent1" xfId="0"/>
    <cellStyle name="40% - Accent1 10" xfId="0"/>
    <cellStyle name="40% - Accent1 10 2" xfId="0"/>
    <cellStyle name="40% - Accent1 10 2 2" xfId="0"/>
    <cellStyle name="40% - Accent1 10 3" xfId="0"/>
    <cellStyle name="40% - Accent1 10 3 2" xfId="0"/>
    <cellStyle name="40% - Accent1 10 4" xfId="0"/>
    <cellStyle name="40% - Accent1 11" xfId="0"/>
    <cellStyle name="40% - Accent1 11 2" xfId="0"/>
    <cellStyle name="40% - Accent1 11 2 2" xfId="0"/>
    <cellStyle name="40% - Accent1 11 3" xfId="0"/>
    <cellStyle name="40% - Accent1 11 3 2" xfId="0"/>
    <cellStyle name="40% - Accent1 11 4" xfId="0"/>
    <cellStyle name="40% - Accent1 12" xfId="0"/>
    <cellStyle name="40% - Accent1 12 2" xfId="0"/>
    <cellStyle name="40% - Accent1 12 2 2" xfId="0"/>
    <cellStyle name="40% - Accent1 13" xfId="0"/>
    <cellStyle name="40% - Accent1 13 2" xfId="0"/>
    <cellStyle name="40% - Accent1 13 2 2" xfId="0"/>
    <cellStyle name="40% - Accent1 14" xfId="0"/>
    <cellStyle name="40% - Accent1 14 2" xfId="0"/>
    <cellStyle name="40% - Accent1 14 2 2" xfId="0"/>
    <cellStyle name="40% - Accent1 15" xfId="0"/>
    <cellStyle name="40% - Accent1 15 2" xfId="0"/>
    <cellStyle name="40% - Accent1 15 2 2" xfId="0"/>
    <cellStyle name="40% - Accent1 16" xfId="0"/>
    <cellStyle name="40% - Accent1 16 2" xfId="0"/>
    <cellStyle name="40% - Accent1 16 2 2" xfId="0"/>
    <cellStyle name="40% - Accent1 17" xfId="0"/>
    <cellStyle name="40% - Accent1 17 2" xfId="0"/>
    <cellStyle name="40% - Accent1 17 2 2" xfId="0"/>
    <cellStyle name="40% - Accent1 18" xfId="0"/>
    <cellStyle name="40% - Accent1 18 2" xfId="0"/>
    <cellStyle name="40% - Accent1 18 2 2" xfId="0"/>
    <cellStyle name="40% - Accent1 19" xfId="0"/>
    <cellStyle name="40% - Accent1 19 2" xfId="0"/>
    <cellStyle name="40% - Accent1 19 2 2" xfId="0"/>
    <cellStyle name="40% - Accent1 2" xfId="0"/>
    <cellStyle name="40% - Accent1 2 10" xfId="0"/>
    <cellStyle name="40% - Accent1 2 11" xfId="0"/>
    <cellStyle name="40% - Accent1 2 12" xfId="0"/>
    <cellStyle name="40% - Accent1 2 13" xfId="0"/>
    <cellStyle name="40% - Accent1 2 14" xfId="0"/>
    <cellStyle name="40% - Accent1 2 15" xfId="0"/>
    <cellStyle name="40% - Accent1 2 16" xfId="0"/>
    <cellStyle name="40% - Accent1 2 17" xfId="0"/>
    <cellStyle name="40% - Accent1 2 18" xfId="0"/>
    <cellStyle name="40% - Accent1 2 19" xfId="0"/>
    <cellStyle name="40% - Accent1 2 2" xfId="0"/>
    <cellStyle name="40% - Accent1 2 2 2" xfId="0"/>
    <cellStyle name="40% - Accent1 2 2 2 2" xfId="0"/>
    <cellStyle name="40% - Accent1 2 2 3" xfId="0"/>
    <cellStyle name="40% - Accent1 2 2 3 2" xfId="0"/>
    <cellStyle name="40% - Accent1 2 2 4" xfId="0"/>
    <cellStyle name="40% - Accent1 2 2 4 2" xfId="0"/>
    <cellStyle name="40% - Accent1 2 2 5" xfId="0"/>
    <cellStyle name="40% - Accent1 2 2 6" xfId="0"/>
    <cellStyle name="40% - Accent1 2 20" xfId="0"/>
    <cellStyle name="40% - Accent1 2 21" xfId="0"/>
    <cellStyle name="40% - Accent1 2 22" xfId="0"/>
    <cellStyle name="40% - Accent1 2 23" xfId="0"/>
    <cellStyle name="40% - Accent1 2 24" xfId="0"/>
    <cellStyle name="40% - Accent1 2 25" xfId="0"/>
    <cellStyle name="40% - Accent1 2 3" xfId="0"/>
    <cellStyle name="40% - Accent1 2 3 2" xfId="0"/>
    <cellStyle name="40% - Accent1 2 3 3" xfId="0"/>
    <cellStyle name="40% - Accent1 2 4" xfId="0"/>
    <cellStyle name="40% - Accent1 2 4 2" xfId="0"/>
    <cellStyle name="40% - Accent1 2 4 3" xfId="0"/>
    <cellStyle name="40% - Accent1 2 5" xfId="0"/>
    <cellStyle name="40% - Accent1 2 5 2" xfId="0"/>
    <cellStyle name="40% - Accent1 2 5 3" xfId="0"/>
    <cellStyle name="40% - Accent1 2 6" xfId="0"/>
    <cellStyle name="40% - Accent1 2 6 2" xfId="0"/>
    <cellStyle name="40% - Accent1 2 7" xfId="0"/>
    <cellStyle name="40% - Accent1 2 7 2" xfId="0"/>
    <cellStyle name="40% - Accent1 2 8" xfId="0"/>
    <cellStyle name="40% - Accent1 2 8 2" xfId="0"/>
    <cellStyle name="40% - Accent1 2 9" xfId="0"/>
    <cellStyle name="40% - Accent1 20" xfId="0"/>
    <cellStyle name="40% - Accent1 20 2" xfId="0"/>
    <cellStyle name="40% - Accent1 20 2 2" xfId="0"/>
    <cellStyle name="40% - Accent1 21" xfId="0"/>
    <cellStyle name="40% - Accent1 21 2" xfId="0"/>
    <cellStyle name="40% - Accent1 21 2 2" xfId="0"/>
    <cellStyle name="40% - Accent1 22" xfId="0"/>
    <cellStyle name="40% - Accent1 22 2" xfId="0"/>
    <cellStyle name="40% - Accent1 22 2 2" xfId="0"/>
    <cellStyle name="40% - Accent1 23" xfId="0"/>
    <cellStyle name="40% - Accent1 23 2" xfId="0"/>
    <cellStyle name="40% - Accent1 23 2 2" xfId="0"/>
    <cellStyle name="40% - Accent1 23 3" xfId="0"/>
    <cellStyle name="40% - Accent1 24" xfId="0"/>
    <cellStyle name="40% - Accent1 24 2" xfId="0"/>
    <cellStyle name="40% - Accent1 24 2 2" xfId="0"/>
    <cellStyle name="40% - Accent1 24 3" xfId="0"/>
    <cellStyle name="40% - Accent1 25" xfId="0"/>
    <cellStyle name="40% - Accent1 25 2" xfId="0"/>
    <cellStyle name="40% - Accent1 25 2 2" xfId="0"/>
    <cellStyle name="40% - Accent1 25 3" xfId="0"/>
    <cellStyle name="40% - Accent1 26" xfId="0"/>
    <cellStyle name="40% - Accent1 26 2" xfId="0"/>
    <cellStyle name="40% - Accent1 26 3" xfId="0"/>
    <cellStyle name="40% - Accent1 27" xfId="0"/>
    <cellStyle name="40% - Accent1 27 2" xfId="0"/>
    <cellStyle name="40% - Accent1 27 3" xfId="0"/>
    <cellStyle name="40% - Accent1 28" xfId="0"/>
    <cellStyle name="40% - Accent1 28 2" xfId="0"/>
    <cellStyle name="40% - Accent1 28 3" xfId="0"/>
    <cellStyle name="40% - Accent1 29" xfId="0"/>
    <cellStyle name="40% - Accent1 29 2" xfId="0"/>
    <cellStyle name="40% - Accent1 29 3" xfId="0"/>
    <cellStyle name="40% - Accent1 2_2.VSCN - GSC charge" xfId="0"/>
    <cellStyle name="40% - Accent1 3" xfId="0"/>
    <cellStyle name="40% - Accent1 3 2" xfId="0"/>
    <cellStyle name="40% - Accent1 3 2 2" xfId="0"/>
    <cellStyle name="40% - Accent1 3 2 3" xfId="0"/>
    <cellStyle name="40% - Accent1 3 3" xfId="0"/>
    <cellStyle name="40% - Accent1 3 3 2" xfId="0"/>
    <cellStyle name="40% - Accent1 3 3 3" xfId="0"/>
    <cellStyle name="40% - Accent1 3 4" xfId="0"/>
    <cellStyle name="40% - Accent1 3 4 2" xfId="0"/>
    <cellStyle name="40% - Accent1 3 5" xfId="0"/>
    <cellStyle name="40% - Accent1 3 5 2" xfId="0"/>
    <cellStyle name="40% - Accent1 3 6" xfId="0"/>
    <cellStyle name="40% - Accent1 3 7" xfId="0"/>
    <cellStyle name="40% - Accent1 30" xfId="0"/>
    <cellStyle name="40% - Accent1 30 2" xfId="0"/>
    <cellStyle name="40% - Accent1 31" xfId="0"/>
    <cellStyle name="40% - Accent1 31 2" xfId="0"/>
    <cellStyle name="40% - Accent1 32" xfId="0"/>
    <cellStyle name="40% - Accent1 32 2" xfId="0"/>
    <cellStyle name="40% - Accent1 33" xfId="0"/>
    <cellStyle name="40% - Accent1 33 2" xfId="0"/>
    <cellStyle name="40% - Accent1 34" xfId="0"/>
    <cellStyle name="40% - Accent1 34 2" xfId="0"/>
    <cellStyle name="40% - Accent1 35" xfId="0"/>
    <cellStyle name="40% - Accent1 35 2" xfId="0"/>
    <cellStyle name="40% - Accent1 36" xfId="0"/>
    <cellStyle name="40% - Accent1 36 2" xfId="0"/>
    <cellStyle name="40% - Accent1 37" xfId="0"/>
    <cellStyle name="40% - Accent1 37 2" xfId="0"/>
    <cellStyle name="40% - Accent1 38" xfId="0"/>
    <cellStyle name="40% - Accent1 38 2" xfId="0"/>
    <cellStyle name="40% - Accent1 39" xfId="0"/>
    <cellStyle name="40% - Accent1 39 2" xfId="0"/>
    <cellStyle name="40% - Accent1 3_Profitability Detail NT$ Sep-12" xfId="0"/>
    <cellStyle name="40% - Accent1 4" xfId="0"/>
    <cellStyle name="40% - Accent1 4 2" xfId="0"/>
    <cellStyle name="40% - Accent1 4 2 2" xfId="0"/>
    <cellStyle name="40% - Accent1 4 2 3" xfId="0"/>
    <cellStyle name="40% - Accent1 4 3" xfId="0"/>
    <cellStyle name="40% - Accent1 4 3 2" xfId="0"/>
    <cellStyle name="40% - Accent1 4 3 3" xfId="0"/>
    <cellStyle name="40% - Accent1 4 4" xfId="0"/>
    <cellStyle name="40% - Accent1 4 4 2" xfId="0"/>
    <cellStyle name="40% - Accent1 4 5" xfId="0"/>
    <cellStyle name="40% - Accent1 4 5 2" xfId="0"/>
    <cellStyle name="40% - Accent1 4 6" xfId="0"/>
    <cellStyle name="40% - Accent1 4 7" xfId="0"/>
    <cellStyle name="40% - Accent1 40" xfId="0"/>
    <cellStyle name="40% - Accent1 40 2" xfId="0"/>
    <cellStyle name="40% - Accent1 41" xfId="0"/>
    <cellStyle name="40% - Accent1 41 2" xfId="0"/>
    <cellStyle name="40% - Accent1 42" xfId="0"/>
    <cellStyle name="40% - Accent1 43" xfId="0"/>
    <cellStyle name="40% - Accent1 44" xfId="0"/>
    <cellStyle name="40% - Accent1 45" xfId="0"/>
    <cellStyle name="40% - Accent1 46" xfId="0"/>
    <cellStyle name="40% - Accent1 47" xfId="0"/>
    <cellStyle name="40% - Accent1 48" xfId="0"/>
    <cellStyle name="40% - Accent1 49" xfId="0"/>
    <cellStyle name="40% - Accent1 4_Profitability Detail NT$ Sep-12" xfId="0"/>
    <cellStyle name="40% - Accent1 5" xfId="0"/>
    <cellStyle name="40% - Accent1 5 2" xfId="0"/>
    <cellStyle name="40% - Accent1 5 2 2" xfId="0"/>
    <cellStyle name="40% - Accent1 5 2 3" xfId="0"/>
    <cellStyle name="40% - Accent1 5 3" xfId="0"/>
    <cellStyle name="40% - Accent1 5 3 2" xfId="0"/>
    <cellStyle name="40% - Accent1 5 4" xfId="0"/>
    <cellStyle name="40% - Accent1 5 4 2" xfId="0"/>
    <cellStyle name="40% - Accent1 5 5" xfId="0"/>
    <cellStyle name="40% - Accent1 50" xfId="0"/>
    <cellStyle name="40% - Accent1 51" xfId="0"/>
    <cellStyle name="40% - Accent1 52" xfId="0"/>
    <cellStyle name="40% - Accent1 53" xfId="0"/>
    <cellStyle name="40% - Accent1 54" xfId="0"/>
    <cellStyle name="40% - Accent1 55" xfId="0"/>
    <cellStyle name="40% - Accent1 56" xfId="0"/>
    <cellStyle name="40% - Accent1 57" xfId="0"/>
    <cellStyle name="40% - Accent1 58" xfId="0"/>
    <cellStyle name="40% - Accent1 59" xfId="0"/>
    <cellStyle name="40% - Accent1 6" xfId="0"/>
    <cellStyle name="40% - Accent1 6 2" xfId="0"/>
    <cellStyle name="40% - Accent1 6 2 2" xfId="0"/>
    <cellStyle name="40% - Accent1 6 3" xfId="0"/>
    <cellStyle name="40% - Accent1 6 3 2" xfId="0"/>
    <cellStyle name="40% - Accent1 6 4" xfId="0"/>
    <cellStyle name="40% - Accent1 60" xfId="0"/>
    <cellStyle name="40% - Accent1 61" xfId="0"/>
    <cellStyle name="40% - Accent1 62" xfId="0"/>
    <cellStyle name="40% - Accent1 63" xfId="0"/>
    <cellStyle name="40% - Accent1 64" xfId="0"/>
    <cellStyle name="40% - Accent1 65" xfId="0"/>
    <cellStyle name="40% - Accent1 66" xfId="0"/>
    <cellStyle name="40% - Accent1 67" xfId="0"/>
    <cellStyle name="40% - Accent1 68" xfId="0"/>
    <cellStyle name="40% - Accent1 69" xfId="0"/>
    <cellStyle name="40% - Accent1 7" xfId="0"/>
    <cellStyle name="40% - Accent1 7 2" xfId="0"/>
    <cellStyle name="40% - Accent1 7 2 2" xfId="0"/>
    <cellStyle name="40% - Accent1 7 3" xfId="0"/>
    <cellStyle name="40% - Accent1 7 3 2" xfId="0"/>
    <cellStyle name="40% - Accent1 7 4" xfId="0"/>
    <cellStyle name="40% - Accent1 70" xfId="0"/>
    <cellStyle name="40% - Accent1 71" xfId="0"/>
    <cellStyle name="40% - Accent1 72" xfId="0"/>
    <cellStyle name="40% - Accent1 73" xfId="0"/>
    <cellStyle name="40% - Accent1 74" xfId="0"/>
    <cellStyle name="40% - Accent1 75" xfId="0"/>
    <cellStyle name="40% - Accent1 76" xfId="0"/>
    <cellStyle name="40% - Accent1 77" xfId="0"/>
    <cellStyle name="40% - Accent1 78" xfId="0"/>
    <cellStyle name="40% - Accent1 79" xfId="0"/>
    <cellStyle name="40% - Accent1 8" xfId="0"/>
    <cellStyle name="40% - Accent1 8 2" xfId="0"/>
    <cellStyle name="40% - Accent1 8 2 2" xfId="0"/>
    <cellStyle name="40% - Accent1 8 3" xfId="0"/>
    <cellStyle name="40% - Accent1 8 3 2" xfId="0"/>
    <cellStyle name="40% - Accent1 8 4" xfId="0"/>
    <cellStyle name="40% - Accent1 80" xfId="0"/>
    <cellStyle name="40% - Accent1 81" xfId="0"/>
    <cellStyle name="40% - Accent1 82" xfId="0"/>
    <cellStyle name="40% - Accent1 83" xfId="0"/>
    <cellStyle name="40% - Accent1 84" xfId="0"/>
    <cellStyle name="40% - Accent1 85" xfId="0"/>
    <cellStyle name="40% - Accent1 86" xfId="0"/>
    <cellStyle name="40% - Accent1 87" xfId="0"/>
    <cellStyle name="40% - Accent1 88" xfId="0"/>
    <cellStyle name="40% - Accent1 89" xfId="0"/>
    <cellStyle name="40% - Accent1 9" xfId="0"/>
    <cellStyle name="40% - Accent1 9 2" xfId="0"/>
    <cellStyle name="40% - Accent1 9 2 2" xfId="0"/>
    <cellStyle name="40% - Accent1 9 3" xfId="0"/>
    <cellStyle name="40% - Accent1 9 3 2" xfId="0"/>
    <cellStyle name="40% - Accent1 9 4" xfId="0"/>
    <cellStyle name="40% - Accent1 90" xfId="0"/>
    <cellStyle name="40% - Accent1 91" xfId="0"/>
    <cellStyle name="40% - Accent1 92" xfId="0"/>
    <cellStyle name="40% - Accent1 93" xfId="0"/>
    <cellStyle name="40% - Accent1 94" xfId="0"/>
    <cellStyle name="40% - Accent1 95" xfId="0"/>
    <cellStyle name="40% - Accent1 96" xfId="0"/>
    <cellStyle name="40% - Accent1_ALL inventory onhand data 0912" xfId="0"/>
    <cellStyle name="40% - Accent2" xfId="0"/>
    <cellStyle name="40% - Accent2 10" xfId="0"/>
    <cellStyle name="40% - Accent2 10 2" xfId="0"/>
    <cellStyle name="40% - Accent2 10 2 2" xfId="0"/>
    <cellStyle name="40% - Accent2 10 3" xfId="0"/>
    <cellStyle name="40% - Accent2 10 3 2" xfId="0"/>
    <cellStyle name="40% - Accent2 10 4" xfId="0"/>
    <cellStyle name="40% - Accent2 11" xfId="0"/>
    <cellStyle name="40% - Accent2 11 2" xfId="0"/>
    <cellStyle name="40% - Accent2 11 2 2" xfId="0"/>
    <cellStyle name="40% - Accent2 11 3" xfId="0"/>
    <cellStyle name="40% - Accent2 11 3 2" xfId="0"/>
    <cellStyle name="40% - Accent2 11 4" xfId="0"/>
    <cellStyle name="40% - Accent2 12" xfId="0"/>
    <cellStyle name="40% - Accent2 12 2" xfId="0"/>
    <cellStyle name="40% - Accent2 12 2 2" xfId="0"/>
    <cellStyle name="40% - Accent2 13" xfId="0"/>
    <cellStyle name="40% - Accent2 13 2" xfId="0"/>
    <cellStyle name="40% - Accent2 13 2 2" xfId="0"/>
    <cellStyle name="40% - Accent2 14" xfId="0"/>
    <cellStyle name="40% - Accent2 14 2" xfId="0"/>
    <cellStyle name="40% - Accent2 14 2 2" xfId="0"/>
    <cellStyle name="40% - Accent2 15" xfId="0"/>
    <cellStyle name="40% - Accent2 15 2" xfId="0"/>
    <cellStyle name="40% - Accent2 15 2 2" xfId="0"/>
    <cellStyle name="40% - Accent2 16" xfId="0"/>
    <cellStyle name="40% - Accent2 16 2" xfId="0"/>
    <cellStyle name="40% - Accent2 16 2 2" xfId="0"/>
    <cellStyle name="40% - Accent2 17" xfId="0"/>
    <cellStyle name="40% - Accent2 17 2" xfId="0"/>
    <cellStyle name="40% - Accent2 17 2 2" xfId="0"/>
    <cellStyle name="40% - Accent2 18" xfId="0"/>
    <cellStyle name="40% - Accent2 18 2" xfId="0"/>
    <cellStyle name="40% - Accent2 18 2 2" xfId="0"/>
    <cellStyle name="40% - Accent2 19" xfId="0"/>
    <cellStyle name="40% - Accent2 19 2" xfId="0"/>
    <cellStyle name="40% - Accent2 19 2 2" xfId="0"/>
    <cellStyle name="40% - Accent2 2" xfId="0"/>
    <cellStyle name="40% - Accent2 2 10" xfId="0"/>
    <cellStyle name="40% - Accent2 2 11" xfId="0"/>
    <cellStyle name="40% - Accent2 2 12" xfId="0"/>
    <cellStyle name="40% - Accent2 2 13" xfId="0"/>
    <cellStyle name="40% - Accent2 2 14" xfId="0"/>
    <cellStyle name="40% - Accent2 2 15" xfId="0"/>
    <cellStyle name="40% - Accent2 2 16" xfId="0"/>
    <cellStyle name="40% - Accent2 2 17" xfId="0"/>
    <cellStyle name="40% - Accent2 2 18" xfId="0"/>
    <cellStyle name="40% - Accent2 2 19" xfId="0"/>
    <cellStyle name="40% - Accent2 2 2" xfId="0"/>
    <cellStyle name="40% - Accent2 2 2 2" xfId="0"/>
    <cellStyle name="40% - Accent2 2 2 2 2" xfId="0"/>
    <cellStyle name="40% - Accent2 2 2 3" xfId="0"/>
    <cellStyle name="40% - Accent2 2 2 3 2" xfId="0"/>
    <cellStyle name="40% - Accent2 2 2 4" xfId="0"/>
    <cellStyle name="40% - Accent2 2 2 4 2" xfId="0"/>
    <cellStyle name="40% - Accent2 2 2 5" xfId="0"/>
    <cellStyle name="40% - Accent2 2 2 6" xfId="0"/>
    <cellStyle name="40% - Accent2 2 20" xfId="0"/>
    <cellStyle name="40% - Accent2 2 21" xfId="0"/>
    <cellStyle name="40% - Accent2 2 22" xfId="0"/>
    <cellStyle name="40% - Accent2 2 23" xfId="0"/>
    <cellStyle name="40% - Accent2 2 24" xfId="0"/>
    <cellStyle name="40% - Accent2 2 25" xfId="0"/>
    <cellStyle name="40% - Accent2 2 3" xfId="0"/>
    <cellStyle name="40% - Accent2 2 3 2" xfId="0"/>
    <cellStyle name="40% - Accent2 2 3 3" xfId="0"/>
    <cellStyle name="40% - Accent2 2 4" xfId="0"/>
    <cellStyle name="40% - Accent2 2 4 2" xfId="0"/>
    <cellStyle name="40% - Accent2 2 4 3" xfId="0"/>
    <cellStyle name="40% - Accent2 2 5" xfId="0"/>
    <cellStyle name="40% - Accent2 2 5 2" xfId="0"/>
    <cellStyle name="40% - Accent2 2 5 3" xfId="0"/>
    <cellStyle name="40% - Accent2 2 6" xfId="0"/>
    <cellStyle name="40% - Accent2 2 6 2" xfId="0"/>
    <cellStyle name="40% - Accent2 2 7" xfId="0"/>
    <cellStyle name="40% - Accent2 2 7 2" xfId="0"/>
    <cellStyle name="40% - Accent2 2 8" xfId="0"/>
    <cellStyle name="40% - Accent2 2 8 2" xfId="0"/>
    <cellStyle name="40% - Accent2 2 9" xfId="0"/>
    <cellStyle name="40% - Accent2 20" xfId="0"/>
    <cellStyle name="40% - Accent2 20 2" xfId="0"/>
    <cellStyle name="40% - Accent2 20 2 2" xfId="0"/>
    <cellStyle name="40% - Accent2 21" xfId="0"/>
    <cellStyle name="40% - Accent2 21 2" xfId="0"/>
    <cellStyle name="40% - Accent2 21 2 2" xfId="0"/>
    <cellStyle name="40% - Accent2 22" xfId="0"/>
    <cellStyle name="40% - Accent2 22 2" xfId="0"/>
    <cellStyle name="40% - Accent2 22 2 2" xfId="0"/>
    <cellStyle name="40% - Accent2 23" xfId="0"/>
    <cellStyle name="40% - Accent2 23 2" xfId="0"/>
    <cellStyle name="40% - Accent2 23 2 2" xfId="0"/>
    <cellStyle name="40% - Accent2 23 3" xfId="0"/>
    <cellStyle name="40% - Accent2 24" xfId="0"/>
    <cellStyle name="40% - Accent2 24 2" xfId="0"/>
    <cellStyle name="40% - Accent2 24 2 2" xfId="0"/>
    <cellStyle name="40% - Accent2 24 3" xfId="0"/>
    <cellStyle name="40% - Accent2 25" xfId="0"/>
    <cellStyle name="40% - Accent2 25 2" xfId="0"/>
    <cellStyle name="40% - Accent2 25 3" xfId="0"/>
    <cellStyle name="40% - Accent2 26" xfId="0"/>
    <cellStyle name="40% - Accent2 26 2" xfId="0"/>
    <cellStyle name="40% - Accent2 27" xfId="0"/>
    <cellStyle name="40% - Accent2 27 2" xfId="0"/>
    <cellStyle name="40% - Accent2 28" xfId="0"/>
    <cellStyle name="40% - Accent2 28 2" xfId="0"/>
    <cellStyle name="40% - Accent2 29" xfId="0"/>
    <cellStyle name="40% - Accent2 29 2" xfId="0"/>
    <cellStyle name="40% - Accent2 2_2.VSCN - GSC charge" xfId="0"/>
    <cellStyle name="40% - Accent2 3" xfId="0"/>
    <cellStyle name="40% - Accent2 3 2" xfId="0"/>
    <cellStyle name="40% - Accent2 3 2 2" xfId="0"/>
    <cellStyle name="40% - Accent2 3 2 3" xfId="0"/>
    <cellStyle name="40% - Accent2 3 3" xfId="0"/>
    <cellStyle name="40% - Accent2 3 3 2" xfId="0"/>
    <cellStyle name="40% - Accent2 3 3 3" xfId="0"/>
    <cellStyle name="40% - Accent2 3 4" xfId="0"/>
    <cellStyle name="40% - Accent2 3 4 2" xfId="0"/>
    <cellStyle name="40% - Accent2 3 5" xfId="0"/>
    <cellStyle name="40% - Accent2 3 5 2" xfId="0"/>
    <cellStyle name="40% - Accent2 3 6" xfId="0"/>
    <cellStyle name="40% - Accent2 3 7" xfId="0"/>
    <cellStyle name="40% - Accent2 30" xfId="0"/>
    <cellStyle name="40% - Accent2 30 2" xfId="0"/>
    <cellStyle name="40% - Accent2 31" xfId="0"/>
    <cellStyle name="40% - Accent2 31 2" xfId="0"/>
    <cellStyle name="40% - Accent2 32" xfId="0"/>
    <cellStyle name="40% - Accent2 32 2" xfId="0"/>
    <cellStyle name="40% - Accent2 33" xfId="0"/>
    <cellStyle name="40% - Accent2 33 2" xfId="0"/>
    <cellStyle name="40% - Accent2 34" xfId="0"/>
    <cellStyle name="40% - Accent2 34 2" xfId="0"/>
    <cellStyle name="40% - Accent2 35" xfId="0"/>
    <cellStyle name="40% - Accent2 35 2" xfId="0"/>
    <cellStyle name="40% - Accent2 36" xfId="0"/>
    <cellStyle name="40% - Accent2 37" xfId="0"/>
    <cellStyle name="40% - Accent2 38" xfId="0"/>
    <cellStyle name="40% - Accent2 39" xfId="0"/>
    <cellStyle name="40% - Accent2 3_Profitability Detail NT$ Sep-12" xfId="0"/>
    <cellStyle name="40% - Accent2 4" xfId="0"/>
    <cellStyle name="40% - Accent2 4 2" xfId="0"/>
    <cellStyle name="40% - Accent2 4 2 2" xfId="0"/>
    <cellStyle name="40% - Accent2 4 2 3" xfId="0"/>
    <cellStyle name="40% - Accent2 4 3" xfId="0"/>
    <cellStyle name="40% - Accent2 4 3 2" xfId="0"/>
    <cellStyle name="40% - Accent2 4 3 3" xfId="0"/>
    <cellStyle name="40% - Accent2 4 4" xfId="0"/>
    <cellStyle name="40% - Accent2 4 4 2" xfId="0"/>
    <cellStyle name="40% - Accent2 4 5" xfId="0"/>
    <cellStyle name="40% - Accent2 4 5 2" xfId="0"/>
    <cellStyle name="40% - Accent2 4 6" xfId="0"/>
    <cellStyle name="40% - Accent2 4 7" xfId="0"/>
    <cellStyle name="40% - Accent2 40" xfId="0"/>
    <cellStyle name="40% - Accent2 41" xfId="0"/>
    <cellStyle name="40% - Accent2 42" xfId="0"/>
    <cellStyle name="40% - Accent2 43" xfId="0"/>
    <cellStyle name="40% - Accent2 44" xfId="0"/>
    <cellStyle name="40% - Accent2 45" xfId="0"/>
    <cellStyle name="40% - Accent2 46" xfId="0"/>
    <cellStyle name="40% - Accent2 47" xfId="0"/>
    <cellStyle name="40% - Accent2 48" xfId="0"/>
    <cellStyle name="40% - Accent2 49" xfId="0"/>
    <cellStyle name="40% - Accent2 4_Profitability Detail NT$ Sep-12" xfId="0"/>
    <cellStyle name="40% - Accent2 5" xfId="0"/>
    <cellStyle name="40% - Accent2 5 2" xfId="0"/>
    <cellStyle name="40% - Accent2 5 2 2" xfId="0"/>
    <cellStyle name="40% - Accent2 5 2 3" xfId="0"/>
    <cellStyle name="40% - Accent2 5 3" xfId="0"/>
    <cellStyle name="40% - Accent2 5 3 2" xfId="0"/>
    <cellStyle name="40% - Accent2 5 4" xfId="0"/>
    <cellStyle name="40% - Accent2 50" xfId="0"/>
    <cellStyle name="40% - Accent2 51" xfId="0"/>
    <cellStyle name="40% - Accent2 52" xfId="0"/>
    <cellStyle name="40% - Accent2 53" xfId="0"/>
    <cellStyle name="40% - Accent2 54" xfId="0"/>
    <cellStyle name="40% - Accent2 55" xfId="0"/>
    <cellStyle name="40% - Accent2 56" xfId="0"/>
    <cellStyle name="40% - Accent2 57" xfId="0"/>
    <cellStyle name="40% - Accent2 58" xfId="0"/>
    <cellStyle name="40% - Accent2 59" xfId="0"/>
    <cellStyle name="40% - Accent2 6" xfId="0"/>
    <cellStyle name="40% - Accent2 6 2" xfId="0"/>
    <cellStyle name="40% - Accent2 6 2 2" xfId="0"/>
    <cellStyle name="40% - Accent2 6 3" xfId="0"/>
    <cellStyle name="40% - Accent2 6 3 2" xfId="0"/>
    <cellStyle name="40% - Accent2 6 4" xfId="0"/>
    <cellStyle name="40% - Accent2 60" xfId="0"/>
    <cellStyle name="40% - Accent2 61" xfId="0"/>
    <cellStyle name="40% - Accent2 62" xfId="0"/>
    <cellStyle name="40% - Accent2 63" xfId="0"/>
    <cellStyle name="40% - Accent2 64" xfId="0"/>
    <cellStyle name="40% - Accent2 65" xfId="0"/>
    <cellStyle name="40% - Accent2 66" xfId="0"/>
    <cellStyle name="40% - Accent2 67" xfId="0"/>
    <cellStyle name="40% - Accent2 68" xfId="0"/>
    <cellStyle name="40% - Accent2 69" xfId="0"/>
    <cellStyle name="40% - Accent2 7" xfId="0"/>
    <cellStyle name="40% - Accent2 7 2" xfId="0"/>
    <cellStyle name="40% - Accent2 7 2 2" xfId="0"/>
    <cellStyle name="40% - Accent2 7 3" xfId="0"/>
    <cellStyle name="40% - Accent2 7 3 2" xfId="0"/>
    <cellStyle name="40% - Accent2 7 4" xfId="0"/>
    <cellStyle name="40% - Accent2 70" xfId="0"/>
    <cellStyle name="40% - Accent2 71" xfId="0"/>
    <cellStyle name="40% - Accent2 72" xfId="0"/>
    <cellStyle name="40% - Accent2 73" xfId="0"/>
    <cellStyle name="40% - Accent2 74" xfId="0"/>
    <cellStyle name="40% - Accent2 75" xfId="0"/>
    <cellStyle name="40% - Accent2 76" xfId="0"/>
    <cellStyle name="40% - Accent2 77" xfId="0"/>
    <cellStyle name="40% - Accent2 78" xfId="0"/>
    <cellStyle name="40% - Accent2 79" xfId="0"/>
    <cellStyle name="40% - Accent2 8" xfId="0"/>
    <cellStyle name="40% - Accent2 8 2" xfId="0"/>
    <cellStyle name="40% - Accent2 8 2 2" xfId="0"/>
    <cellStyle name="40% - Accent2 8 3" xfId="0"/>
    <cellStyle name="40% - Accent2 8 3 2" xfId="0"/>
    <cellStyle name="40% - Accent2 8 4" xfId="0"/>
    <cellStyle name="40% - Accent2 80" xfId="0"/>
    <cellStyle name="40% - Accent2 81" xfId="0"/>
    <cellStyle name="40% - Accent2 82" xfId="0"/>
    <cellStyle name="40% - Accent2 83" xfId="0"/>
    <cellStyle name="40% - Accent2 84" xfId="0"/>
    <cellStyle name="40% - Accent2 85" xfId="0"/>
    <cellStyle name="40% - Accent2 86" xfId="0"/>
    <cellStyle name="40% - Accent2 87" xfId="0"/>
    <cellStyle name="40% - Accent2 88" xfId="0"/>
    <cellStyle name="40% - Accent2 89" xfId="0"/>
    <cellStyle name="40% - Accent2 9" xfId="0"/>
    <cellStyle name="40% - Accent2 9 2" xfId="0"/>
    <cellStyle name="40% - Accent2 9 2 2" xfId="0"/>
    <cellStyle name="40% - Accent2 9 3" xfId="0"/>
    <cellStyle name="40% - Accent2 9 3 2" xfId="0"/>
    <cellStyle name="40% - Accent2 9 4" xfId="0"/>
    <cellStyle name="40% - Accent2 90" xfId="0"/>
    <cellStyle name="40% - Accent2 91" xfId="0"/>
    <cellStyle name="40% - Accent2 92" xfId="0"/>
    <cellStyle name="40% - Accent2 93" xfId="0"/>
    <cellStyle name="40% - Accent2 94" xfId="0"/>
    <cellStyle name="40% - Accent2 95" xfId="0"/>
    <cellStyle name="40% - Accent2 96" xfId="0"/>
    <cellStyle name="40% - Accent2_ALL inventory onhand data 0912" xfId="0"/>
    <cellStyle name="40% - Accent3" xfId="0"/>
    <cellStyle name="40% - Accent3 10" xfId="0"/>
    <cellStyle name="40% - Accent3 10 2" xfId="0"/>
    <cellStyle name="40% - Accent3 10 2 2" xfId="0"/>
    <cellStyle name="40% - Accent3 10 3" xfId="0"/>
    <cellStyle name="40% - Accent3 10 3 2" xfId="0"/>
    <cellStyle name="40% - Accent3 10 4" xfId="0"/>
    <cellStyle name="40% - Accent3 11" xfId="0"/>
    <cellStyle name="40% - Accent3 11 2" xfId="0"/>
    <cellStyle name="40% - Accent3 11 2 2" xfId="0"/>
    <cellStyle name="40% - Accent3 11 3" xfId="0"/>
    <cellStyle name="40% - Accent3 11 3 2" xfId="0"/>
    <cellStyle name="40% - Accent3 11 4" xfId="0"/>
    <cellStyle name="40% - Accent3 12" xfId="0"/>
    <cellStyle name="40% - Accent3 12 2" xfId="0"/>
    <cellStyle name="40% - Accent3 12 2 2" xfId="0"/>
    <cellStyle name="40% - Accent3 13" xfId="0"/>
    <cellStyle name="40% - Accent3 13 2" xfId="0"/>
    <cellStyle name="40% - Accent3 13 2 2" xfId="0"/>
    <cellStyle name="40% - Accent3 14" xfId="0"/>
    <cellStyle name="40% - Accent3 14 2" xfId="0"/>
    <cellStyle name="40% - Accent3 14 2 2" xfId="0"/>
    <cellStyle name="40% - Accent3 15" xfId="0"/>
    <cellStyle name="40% - Accent3 15 2" xfId="0"/>
    <cellStyle name="40% - Accent3 15 2 2" xfId="0"/>
    <cellStyle name="40% - Accent3 16" xfId="0"/>
    <cellStyle name="40% - Accent3 16 2" xfId="0"/>
    <cellStyle name="40% - Accent3 16 2 2" xfId="0"/>
    <cellStyle name="40% - Accent3 17" xfId="0"/>
    <cellStyle name="40% - Accent3 17 2" xfId="0"/>
    <cellStyle name="40% - Accent3 17 2 2" xfId="0"/>
    <cellStyle name="40% - Accent3 18" xfId="0"/>
    <cellStyle name="40% - Accent3 18 2" xfId="0"/>
    <cellStyle name="40% - Accent3 18 2 2" xfId="0"/>
    <cellStyle name="40% - Accent3 19" xfId="0"/>
    <cellStyle name="40% - Accent3 19 2" xfId="0"/>
    <cellStyle name="40% - Accent3 19 2 2" xfId="0"/>
    <cellStyle name="40% - Accent3 2" xfId="0"/>
    <cellStyle name="40% - Accent3 2 10" xfId="0"/>
    <cellStyle name="40% - Accent3 2 11" xfId="0"/>
    <cellStyle name="40% - Accent3 2 12" xfId="0"/>
    <cellStyle name="40% - Accent3 2 13" xfId="0"/>
    <cellStyle name="40% - Accent3 2 14" xfId="0"/>
    <cellStyle name="40% - Accent3 2 15" xfId="0"/>
    <cellStyle name="40% - Accent3 2 16" xfId="0"/>
    <cellStyle name="40% - Accent3 2 17" xfId="0"/>
    <cellStyle name="40% - Accent3 2 18" xfId="0"/>
    <cellStyle name="40% - Accent3 2 19" xfId="0"/>
    <cellStyle name="40% - Accent3 2 2" xfId="0"/>
    <cellStyle name="40% - Accent3 2 2 2" xfId="0"/>
    <cellStyle name="40% - Accent3 2 2 2 2" xfId="0"/>
    <cellStyle name="40% - Accent3 2 2 3" xfId="0"/>
    <cellStyle name="40% - Accent3 2 2 3 2" xfId="0"/>
    <cellStyle name="40% - Accent3 2 2 4" xfId="0"/>
    <cellStyle name="40% - Accent3 2 2 4 2" xfId="0"/>
    <cellStyle name="40% - Accent3 2 2 5" xfId="0"/>
    <cellStyle name="40% - Accent3 2 2 6" xfId="0"/>
    <cellStyle name="40% - Accent3 2 20" xfId="0"/>
    <cellStyle name="40% - Accent3 2 21" xfId="0"/>
    <cellStyle name="40% - Accent3 2 22" xfId="0"/>
    <cellStyle name="40% - Accent3 2 23" xfId="0"/>
    <cellStyle name="40% - Accent3 2 24" xfId="0"/>
    <cellStyle name="40% - Accent3 2 25" xfId="0"/>
    <cellStyle name="40% - Accent3 2 3" xfId="0"/>
    <cellStyle name="40% - Accent3 2 3 2" xfId="0"/>
    <cellStyle name="40% - Accent3 2 3 3" xfId="0"/>
    <cellStyle name="40% - Accent3 2 4" xfId="0"/>
    <cellStyle name="40% - Accent3 2 4 2" xfId="0"/>
    <cellStyle name="40% - Accent3 2 4 3" xfId="0"/>
    <cellStyle name="40% - Accent3 2 5" xfId="0"/>
    <cellStyle name="40% - Accent3 2 5 2" xfId="0"/>
    <cellStyle name="40% - Accent3 2 5 3" xfId="0"/>
    <cellStyle name="40% - Accent3 2 6" xfId="0"/>
    <cellStyle name="40% - Accent3 2 6 2" xfId="0"/>
    <cellStyle name="40% - Accent3 2 7" xfId="0"/>
    <cellStyle name="40% - Accent3 2 7 2" xfId="0"/>
    <cellStyle name="40% - Accent3 2 8" xfId="0"/>
    <cellStyle name="40% - Accent3 2 8 2" xfId="0"/>
    <cellStyle name="40% - Accent3 2 9" xfId="0"/>
    <cellStyle name="40% - Accent3 20" xfId="0"/>
    <cellStyle name="40% - Accent3 20 2" xfId="0"/>
    <cellStyle name="40% - Accent3 20 2 2" xfId="0"/>
    <cellStyle name="40% - Accent3 21" xfId="0"/>
    <cellStyle name="40% - Accent3 21 2" xfId="0"/>
    <cellStyle name="40% - Accent3 21 2 2" xfId="0"/>
    <cellStyle name="40% - Accent3 22" xfId="0"/>
    <cellStyle name="40% - Accent3 22 2" xfId="0"/>
    <cellStyle name="40% - Accent3 22 2 2" xfId="0"/>
    <cellStyle name="40% - Accent3 23" xfId="0"/>
    <cellStyle name="40% - Accent3 23 2" xfId="0"/>
    <cellStyle name="40% - Accent3 23 2 2" xfId="0"/>
    <cellStyle name="40% - Accent3 23 3" xfId="0"/>
    <cellStyle name="40% - Accent3 24" xfId="0"/>
    <cellStyle name="40% - Accent3 24 2" xfId="0"/>
    <cellStyle name="40% - Accent3 24 2 2" xfId="0"/>
    <cellStyle name="40% - Accent3 24 3" xfId="0"/>
    <cellStyle name="40% - Accent3 25" xfId="0"/>
    <cellStyle name="40% - Accent3 25 2" xfId="0"/>
    <cellStyle name="40% - Accent3 25 3" xfId="0"/>
    <cellStyle name="40% - Accent3 26" xfId="0"/>
    <cellStyle name="40% - Accent3 26 2" xfId="0"/>
    <cellStyle name="40% - Accent3 27" xfId="0"/>
    <cellStyle name="40% - Accent3 27 2" xfId="0"/>
    <cellStyle name="40% - Accent3 28" xfId="0"/>
    <cellStyle name="40% - Accent3 28 2" xfId="0"/>
    <cellStyle name="40% - Accent3 29" xfId="0"/>
    <cellStyle name="40% - Accent3 29 2" xfId="0"/>
    <cellStyle name="40% - Accent3 2_2.VSCN - GSC charge" xfId="0"/>
    <cellStyle name="40% - Accent3 3" xfId="0"/>
    <cellStyle name="40% - Accent3 3 2" xfId="0"/>
    <cellStyle name="40% - Accent3 3 2 2" xfId="0"/>
    <cellStyle name="40% - Accent3 3 2 3" xfId="0"/>
    <cellStyle name="40% - Accent3 3 3" xfId="0"/>
    <cellStyle name="40% - Accent3 3 3 2" xfId="0"/>
    <cellStyle name="40% - Accent3 3 3 3" xfId="0"/>
    <cellStyle name="40% - Accent3 3 4" xfId="0"/>
    <cellStyle name="40% - Accent3 3 4 2" xfId="0"/>
    <cellStyle name="40% - Accent3 3 5" xfId="0"/>
    <cellStyle name="40% - Accent3 3 5 2" xfId="0"/>
    <cellStyle name="40% - Accent3 3 6" xfId="0"/>
    <cellStyle name="40% - Accent3 3 7" xfId="0"/>
    <cellStyle name="40% - Accent3 30" xfId="0"/>
    <cellStyle name="40% - Accent3 30 2" xfId="0"/>
    <cellStyle name="40% - Accent3 31" xfId="0"/>
    <cellStyle name="40% - Accent3 31 2" xfId="0"/>
    <cellStyle name="40% - Accent3 32" xfId="0"/>
    <cellStyle name="40% - Accent3 32 2" xfId="0"/>
    <cellStyle name="40% - Accent3 33" xfId="0"/>
    <cellStyle name="40% - Accent3 33 2" xfId="0"/>
    <cellStyle name="40% - Accent3 34" xfId="0"/>
    <cellStyle name="40% - Accent3 34 2" xfId="0"/>
    <cellStyle name="40% - Accent3 35" xfId="0"/>
    <cellStyle name="40% - Accent3 35 2" xfId="0"/>
    <cellStyle name="40% - Accent3 36" xfId="0"/>
    <cellStyle name="40% - Accent3 36 2" xfId="0"/>
    <cellStyle name="40% - Accent3 37" xfId="0"/>
    <cellStyle name="40% - Accent3 37 2" xfId="0"/>
    <cellStyle name="40% - Accent3 38" xfId="0"/>
    <cellStyle name="40% - Accent3 38 2" xfId="0"/>
    <cellStyle name="40% - Accent3 39" xfId="0"/>
    <cellStyle name="40% - Accent3 39 2" xfId="0"/>
    <cellStyle name="40% - Accent3 3_Profitability Detail NT$ Sep-12" xfId="0"/>
    <cellStyle name="40% - Accent3 4" xfId="0"/>
    <cellStyle name="40% - Accent3 4 2" xfId="0"/>
    <cellStyle name="40% - Accent3 4 2 2" xfId="0"/>
    <cellStyle name="40% - Accent3 4 2 3" xfId="0"/>
    <cellStyle name="40% - Accent3 4 3" xfId="0"/>
    <cellStyle name="40% - Accent3 4 3 2" xfId="0"/>
    <cellStyle name="40% - Accent3 4 3 3" xfId="0"/>
    <cellStyle name="40% - Accent3 4 4" xfId="0"/>
    <cellStyle name="40% - Accent3 4 4 2" xfId="0"/>
    <cellStyle name="40% - Accent3 4 5" xfId="0"/>
    <cellStyle name="40% - Accent3 4 5 2" xfId="0"/>
    <cellStyle name="40% - Accent3 4 6" xfId="0"/>
    <cellStyle name="40% - Accent3 4 7" xfId="0"/>
    <cellStyle name="40% - Accent3 40" xfId="0"/>
    <cellStyle name="40% - Accent3 40 2" xfId="0"/>
    <cellStyle name="40% - Accent3 41" xfId="0"/>
    <cellStyle name="40% - Accent3 41 2" xfId="0"/>
    <cellStyle name="40% - Accent3 42" xfId="0"/>
    <cellStyle name="40% - Accent3 43" xfId="0"/>
    <cellStyle name="40% - Accent3 44" xfId="0"/>
    <cellStyle name="40% - Accent3 45" xfId="0"/>
    <cellStyle name="40% - Accent3 46" xfId="0"/>
    <cellStyle name="40% - Accent3 47" xfId="0"/>
    <cellStyle name="40% - Accent3 48" xfId="0"/>
    <cellStyle name="40% - Accent3 49" xfId="0"/>
    <cellStyle name="40% - Accent3 4_Profitability Detail NT$ Sep-12" xfId="0"/>
    <cellStyle name="40% - Accent3 5" xfId="0"/>
    <cellStyle name="40% - Accent3 5 2" xfId="0"/>
    <cellStyle name="40% - Accent3 5 2 2" xfId="0"/>
    <cellStyle name="40% - Accent3 5 2 3" xfId="0"/>
    <cellStyle name="40% - Accent3 5 3" xfId="0"/>
    <cellStyle name="40% - Accent3 5 3 2" xfId="0"/>
    <cellStyle name="40% - Accent3 5 4" xfId="0"/>
    <cellStyle name="40% - Accent3 5 4 2" xfId="0"/>
    <cellStyle name="40% - Accent3 5 5" xfId="0"/>
    <cellStyle name="40% - Accent3 50" xfId="0"/>
    <cellStyle name="40% - Accent3 51" xfId="0"/>
    <cellStyle name="40% - Accent3 52" xfId="0"/>
    <cellStyle name="40% - Accent3 53" xfId="0"/>
    <cellStyle name="40% - Accent3 54" xfId="0"/>
    <cellStyle name="40% - Accent3 55" xfId="0"/>
    <cellStyle name="40% - Accent3 56" xfId="0"/>
    <cellStyle name="40% - Accent3 57" xfId="0"/>
    <cellStyle name="40% - Accent3 58" xfId="0"/>
    <cellStyle name="40% - Accent3 59" xfId="0"/>
    <cellStyle name="40% - Accent3 6" xfId="0"/>
    <cellStyle name="40% - Accent3 6 2" xfId="0"/>
    <cellStyle name="40% - Accent3 6 2 2" xfId="0"/>
    <cellStyle name="40% - Accent3 6 3" xfId="0"/>
    <cellStyle name="40% - Accent3 6 3 2" xfId="0"/>
    <cellStyle name="40% - Accent3 6 4" xfId="0"/>
    <cellStyle name="40% - Accent3 60" xfId="0"/>
    <cellStyle name="40% - Accent3 61" xfId="0"/>
    <cellStyle name="40% - Accent3 62" xfId="0"/>
    <cellStyle name="40% - Accent3 63" xfId="0"/>
    <cellStyle name="40% - Accent3 64" xfId="0"/>
    <cellStyle name="40% - Accent3 65" xfId="0"/>
    <cellStyle name="40% - Accent3 66" xfId="0"/>
    <cellStyle name="40% - Accent3 67" xfId="0"/>
    <cellStyle name="40% - Accent3 68" xfId="0"/>
    <cellStyle name="40% - Accent3 69" xfId="0"/>
    <cellStyle name="40% - Accent3 7" xfId="0"/>
    <cellStyle name="40% - Accent3 7 2" xfId="0"/>
    <cellStyle name="40% - Accent3 7 2 2" xfId="0"/>
    <cellStyle name="40% - Accent3 7 3" xfId="0"/>
    <cellStyle name="40% - Accent3 7 3 2" xfId="0"/>
    <cellStyle name="40% - Accent3 7 4" xfId="0"/>
    <cellStyle name="40% - Accent3 70" xfId="0"/>
    <cellStyle name="40% - Accent3 71" xfId="0"/>
    <cellStyle name="40% - Accent3 72" xfId="0"/>
    <cellStyle name="40% - Accent3 73" xfId="0"/>
    <cellStyle name="40% - Accent3 74" xfId="0"/>
    <cellStyle name="40% - Accent3 75" xfId="0"/>
    <cellStyle name="40% - Accent3 76" xfId="0"/>
    <cellStyle name="40% - Accent3 77" xfId="0"/>
    <cellStyle name="40% - Accent3 78" xfId="0"/>
    <cellStyle name="40% - Accent3 79" xfId="0"/>
    <cellStyle name="40% - Accent3 8" xfId="0"/>
    <cellStyle name="40% - Accent3 8 2" xfId="0"/>
    <cellStyle name="40% - Accent3 8 2 2" xfId="0"/>
    <cellStyle name="40% - Accent3 8 3" xfId="0"/>
    <cellStyle name="40% - Accent3 8 3 2" xfId="0"/>
    <cellStyle name="40% - Accent3 8 4" xfId="0"/>
    <cellStyle name="40% - Accent3 80" xfId="0"/>
    <cellStyle name="40% - Accent3 81" xfId="0"/>
    <cellStyle name="40% - Accent3 82" xfId="0"/>
    <cellStyle name="40% - Accent3 83" xfId="0"/>
    <cellStyle name="40% - Accent3 84" xfId="0"/>
    <cellStyle name="40% - Accent3 85" xfId="0"/>
    <cellStyle name="40% - Accent3 86" xfId="0"/>
    <cellStyle name="40% - Accent3 87" xfId="0"/>
    <cellStyle name="40% - Accent3 88" xfId="0"/>
    <cellStyle name="40% - Accent3 89" xfId="0"/>
    <cellStyle name="40% - Accent3 9" xfId="0"/>
    <cellStyle name="40% - Accent3 9 2" xfId="0"/>
    <cellStyle name="40% - Accent3 9 2 2" xfId="0"/>
    <cellStyle name="40% - Accent3 9 3" xfId="0"/>
    <cellStyle name="40% - Accent3 9 3 2" xfId="0"/>
    <cellStyle name="40% - Accent3 9 4" xfId="0"/>
    <cellStyle name="40% - Accent3 90" xfId="0"/>
    <cellStyle name="40% - Accent3 91" xfId="0"/>
    <cellStyle name="40% - Accent3 92" xfId="0"/>
    <cellStyle name="40% - Accent3 93" xfId="0"/>
    <cellStyle name="40% - Accent3 94" xfId="0"/>
    <cellStyle name="40% - Accent3 95" xfId="0"/>
    <cellStyle name="40% - Accent3 96" xfId="0"/>
    <cellStyle name="40% - Accent3_ALL inventory onhand data 0912" xfId="0"/>
    <cellStyle name="40% - Accent4" xfId="0"/>
    <cellStyle name="40% - Accent4 10" xfId="0"/>
    <cellStyle name="40% - Accent4 10 2" xfId="0"/>
    <cellStyle name="40% - Accent4 10 2 2" xfId="0"/>
    <cellStyle name="40% - Accent4 10 3" xfId="0"/>
    <cellStyle name="40% - Accent4 10 3 2" xfId="0"/>
    <cellStyle name="40% - Accent4 10 4" xfId="0"/>
    <cellStyle name="40% - Accent4 11" xfId="0"/>
    <cellStyle name="40% - Accent4 11 2" xfId="0"/>
    <cellStyle name="40% - Accent4 11 2 2" xfId="0"/>
    <cellStyle name="40% - Accent4 11 3" xfId="0"/>
    <cellStyle name="40% - Accent4 11 3 2" xfId="0"/>
    <cellStyle name="40% - Accent4 11 4" xfId="0"/>
    <cellStyle name="40% - Accent4 12" xfId="0"/>
    <cellStyle name="40% - Accent4 12 2" xfId="0"/>
    <cellStyle name="40% - Accent4 12 2 2" xfId="0"/>
    <cellStyle name="40% - Accent4 13" xfId="0"/>
    <cellStyle name="40% - Accent4 13 2" xfId="0"/>
    <cellStyle name="40% - Accent4 13 2 2" xfId="0"/>
    <cellStyle name="40% - Accent4 14" xfId="0"/>
    <cellStyle name="40% - Accent4 14 2" xfId="0"/>
    <cellStyle name="40% - Accent4 14 2 2" xfId="0"/>
    <cellStyle name="40% - Accent4 15" xfId="0"/>
    <cellStyle name="40% - Accent4 15 2" xfId="0"/>
    <cellStyle name="40% - Accent4 15 2 2" xfId="0"/>
    <cellStyle name="40% - Accent4 16" xfId="0"/>
    <cellStyle name="40% - Accent4 16 2" xfId="0"/>
    <cellStyle name="40% - Accent4 16 2 2" xfId="0"/>
    <cellStyle name="40% - Accent4 17" xfId="0"/>
    <cellStyle name="40% - Accent4 17 2" xfId="0"/>
    <cellStyle name="40% - Accent4 17 2 2" xfId="0"/>
    <cellStyle name="40% - Accent4 18" xfId="0"/>
    <cellStyle name="40% - Accent4 18 2" xfId="0"/>
    <cellStyle name="40% - Accent4 18 2 2" xfId="0"/>
    <cellStyle name="40% - Accent4 19" xfId="0"/>
    <cellStyle name="40% - Accent4 19 2" xfId="0"/>
    <cellStyle name="40% - Accent4 19 2 2" xfId="0"/>
    <cellStyle name="40% - Accent4 2" xfId="0"/>
    <cellStyle name="40% - Accent4 2 10" xfId="0"/>
    <cellStyle name="40% - Accent4 2 11" xfId="0"/>
    <cellStyle name="40% - Accent4 2 12" xfId="0"/>
    <cellStyle name="40% - Accent4 2 13" xfId="0"/>
    <cellStyle name="40% - Accent4 2 14" xfId="0"/>
    <cellStyle name="40% - Accent4 2 15" xfId="0"/>
    <cellStyle name="40% - Accent4 2 16" xfId="0"/>
    <cellStyle name="40% - Accent4 2 17" xfId="0"/>
    <cellStyle name="40% - Accent4 2 18" xfId="0"/>
    <cellStyle name="40% - Accent4 2 19" xfId="0"/>
    <cellStyle name="40% - Accent4 2 2" xfId="0"/>
    <cellStyle name="40% - Accent4 2 2 2" xfId="0"/>
    <cellStyle name="40% - Accent4 2 2 2 2" xfId="0"/>
    <cellStyle name="40% - Accent4 2 2 3" xfId="0"/>
    <cellStyle name="40% - Accent4 2 2 3 2" xfId="0"/>
    <cellStyle name="40% - Accent4 2 2 4" xfId="0"/>
    <cellStyle name="40% - Accent4 2 2 4 2" xfId="0"/>
    <cellStyle name="40% - Accent4 2 2 5" xfId="0"/>
    <cellStyle name="40% - Accent4 2 2 6" xfId="0"/>
    <cellStyle name="40% - Accent4 2 20" xfId="0"/>
    <cellStyle name="40% - Accent4 2 21" xfId="0"/>
    <cellStyle name="40% - Accent4 2 22" xfId="0"/>
    <cellStyle name="40% - Accent4 2 23" xfId="0"/>
    <cellStyle name="40% - Accent4 2 24" xfId="0"/>
    <cellStyle name="40% - Accent4 2 25" xfId="0"/>
    <cellStyle name="40% - Accent4 2 3" xfId="0"/>
    <cellStyle name="40% - Accent4 2 3 2" xfId="0"/>
    <cellStyle name="40% - Accent4 2 3 3" xfId="0"/>
    <cellStyle name="40% - Accent4 2 4" xfId="0"/>
    <cellStyle name="40% - Accent4 2 4 2" xfId="0"/>
    <cellStyle name="40% - Accent4 2 4 3" xfId="0"/>
    <cellStyle name="40% - Accent4 2 5" xfId="0"/>
    <cellStyle name="40% - Accent4 2 5 2" xfId="0"/>
    <cellStyle name="40% - Accent4 2 5 3" xfId="0"/>
    <cellStyle name="40% - Accent4 2 6" xfId="0"/>
    <cellStyle name="40% - Accent4 2 6 2" xfId="0"/>
    <cellStyle name="40% - Accent4 2 7" xfId="0"/>
    <cellStyle name="40% - Accent4 2 7 2" xfId="0"/>
    <cellStyle name="40% - Accent4 2 8" xfId="0"/>
    <cellStyle name="40% - Accent4 2 8 2" xfId="0"/>
    <cellStyle name="40% - Accent4 2 9" xfId="0"/>
    <cellStyle name="40% - Accent4 20" xfId="0"/>
    <cellStyle name="40% - Accent4 20 2" xfId="0"/>
    <cellStyle name="40% - Accent4 20 2 2" xfId="0"/>
    <cellStyle name="40% - Accent4 21" xfId="0"/>
    <cellStyle name="40% - Accent4 21 2" xfId="0"/>
    <cellStyle name="40% - Accent4 21 2 2" xfId="0"/>
    <cellStyle name="40% - Accent4 22" xfId="0"/>
    <cellStyle name="40% - Accent4 22 2" xfId="0"/>
    <cellStyle name="40% - Accent4 22 2 2" xfId="0"/>
    <cellStyle name="40% - Accent4 23" xfId="0"/>
    <cellStyle name="40% - Accent4 23 2" xfId="0"/>
    <cellStyle name="40% - Accent4 23 2 2" xfId="0"/>
    <cellStyle name="40% - Accent4 23 3" xfId="0"/>
    <cellStyle name="40% - Accent4 24" xfId="0"/>
    <cellStyle name="40% - Accent4 24 2" xfId="0"/>
    <cellStyle name="40% - Accent4 24 2 2" xfId="0"/>
    <cellStyle name="40% - Accent4 24 3" xfId="0"/>
    <cellStyle name="40% - Accent4 25" xfId="0"/>
    <cellStyle name="40% - Accent4 25 2" xfId="0"/>
    <cellStyle name="40% - Accent4 25 2 2" xfId="0"/>
    <cellStyle name="40% - Accent4 25 3" xfId="0"/>
    <cellStyle name="40% - Accent4 26" xfId="0"/>
    <cellStyle name="40% - Accent4 26 2" xfId="0"/>
    <cellStyle name="40% - Accent4 26 3" xfId="0"/>
    <cellStyle name="40% - Accent4 27" xfId="0"/>
    <cellStyle name="40% - Accent4 27 2" xfId="0"/>
    <cellStyle name="40% - Accent4 27 3" xfId="0"/>
    <cellStyle name="40% - Accent4 28" xfId="0"/>
    <cellStyle name="40% - Accent4 28 2" xfId="0"/>
    <cellStyle name="40% - Accent4 28 3" xfId="0"/>
    <cellStyle name="40% - Accent4 29" xfId="0"/>
    <cellStyle name="40% - Accent4 29 2" xfId="0"/>
    <cellStyle name="40% - Accent4 29 3" xfId="0"/>
    <cellStyle name="40% - Accent4 2_2.VSCN - GSC charge" xfId="0"/>
    <cellStyle name="40% - Accent4 3" xfId="0"/>
    <cellStyle name="40% - Accent4 3 2" xfId="0"/>
    <cellStyle name="40% - Accent4 3 2 2" xfId="0"/>
    <cellStyle name="40% - Accent4 3 2 3" xfId="0"/>
    <cellStyle name="40% - Accent4 3 3" xfId="0"/>
    <cellStyle name="40% - Accent4 3 3 2" xfId="0"/>
    <cellStyle name="40% - Accent4 3 3 3" xfId="0"/>
    <cellStyle name="40% - Accent4 3 4" xfId="0"/>
    <cellStyle name="40% - Accent4 3 4 2" xfId="0"/>
    <cellStyle name="40% - Accent4 3 5" xfId="0"/>
    <cellStyle name="40% - Accent4 3 5 2" xfId="0"/>
    <cellStyle name="40% - Accent4 3 6" xfId="0"/>
    <cellStyle name="40% - Accent4 3 7" xfId="0"/>
    <cellStyle name="40% - Accent4 30" xfId="0"/>
    <cellStyle name="40% - Accent4 30 2" xfId="0"/>
    <cellStyle name="40% - Accent4 31" xfId="0"/>
    <cellStyle name="40% - Accent4 31 2" xfId="0"/>
    <cellStyle name="40% - Accent4 32" xfId="0"/>
    <cellStyle name="40% - Accent4 32 2" xfId="0"/>
    <cellStyle name="40% - Accent4 33" xfId="0"/>
    <cellStyle name="40% - Accent4 33 2" xfId="0"/>
    <cellStyle name="40% - Accent4 34" xfId="0"/>
    <cellStyle name="40% - Accent4 34 2" xfId="0"/>
    <cellStyle name="40% - Accent4 35" xfId="0"/>
    <cellStyle name="40% - Accent4 35 2" xfId="0"/>
    <cellStyle name="40% - Accent4 36" xfId="0"/>
    <cellStyle name="40% - Accent4 36 2" xfId="0"/>
    <cellStyle name="40% - Accent4 37" xfId="0"/>
    <cellStyle name="40% - Accent4 37 2" xfId="0"/>
    <cellStyle name="40% - Accent4 38" xfId="0"/>
    <cellStyle name="40% - Accent4 38 2" xfId="0"/>
    <cellStyle name="40% - Accent4 39" xfId="0"/>
    <cellStyle name="40% - Accent4 39 2" xfId="0"/>
    <cellStyle name="40% - Accent4 3_Profitability Detail NT$ Sep-12" xfId="0"/>
    <cellStyle name="40% - Accent4 4" xfId="0"/>
    <cellStyle name="40% - Accent4 4 2" xfId="0"/>
    <cellStyle name="40% - Accent4 4 2 2" xfId="0"/>
    <cellStyle name="40% - Accent4 4 2 3" xfId="0"/>
    <cellStyle name="40% - Accent4 4 3" xfId="0"/>
    <cellStyle name="40% - Accent4 4 3 2" xfId="0"/>
    <cellStyle name="40% - Accent4 4 3 3" xfId="0"/>
    <cellStyle name="40% - Accent4 4 4" xfId="0"/>
    <cellStyle name="40% - Accent4 4 4 2" xfId="0"/>
    <cellStyle name="40% - Accent4 4 5" xfId="0"/>
    <cellStyle name="40% - Accent4 4 5 2" xfId="0"/>
    <cellStyle name="40% - Accent4 4 6" xfId="0"/>
    <cellStyle name="40% - Accent4 4 7" xfId="0"/>
    <cellStyle name="40% - Accent4 40" xfId="0"/>
    <cellStyle name="40% - Accent4 40 2" xfId="0"/>
    <cellStyle name="40% - Accent4 41" xfId="0"/>
    <cellStyle name="40% - Accent4 41 2" xfId="0"/>
    <cellStyle name="40% - Accent4 42" xfId="0"/>
    <cellStyle name="40% - Accent4 43" xfId="0"/>
    <cellStyle name="40% - Accent4 44" xfId="0"/>
    <cellStyle name="40% - Accent4 45" xfId="0"/>
    <cellStyle name="40% - Accent4 46" xfId="0"/>
    <cellStyle name="40% - Accent4 47" xfId="0"/>
    <cellStyle name="40% - Accent4 48" xfId="0"/>
    <cellStyle name="40% - Accent4 49" xfId="0"/>
    <cellStyle name="40% - Accent4 4_Profitability Detail NT$ Sep-12" xfId="0"/>
    <cellStyle name="40% - Accent4 5" xfId="0"/>
    <cellStyle name="40% - Accent4 5 2" xfId="0"/>
    <cellStyle name="40% - Accent4 5 2 2" xfId="0"/>
    <cellStyle name="40% - Accent4 5 2 3" xfId="0"/>
    <cellStyle name="40% - Accent4 5 3" xfId="0"/>
    <cellStyle name="40% - Accent4 5 3 2" xfId="0"/>
    <cellStyle name="40% - Accent4 5 4" xfId="0"/>
    <cellStyle name="40% - Accent4 5 4 2" xfId="0"/>
    <cellStyle name="40% - Accent4 5 5" xfId="0"/>
    <cellStyle name="40% - Accent4 50" xfId="0"/>
    <cellStyle name="40% - Accent4 51" xfId="0"/>
    <cellStyle name="40% - Accent4 52" xfId="0"/>
    <cellStyle name="40% - Accent4 53" xfId="0"/>
    <cellStyle name="40% - Accent4 54" xfId="0"/>
    <cellStyle name="40% - Accent4 55" xfId="0"/>
    <cellStyle name="40% - Accent4 56" xfId="0"/>
    <cellStyle name="40% - Accent4 57" xfId="0"/>
    <cellStyle name="40% - Accent4 58" xfId="0"/>
    <cellStyle name="40% - Accent4 59" xfId="0"/>
    <cellStyle name="40% - Accent4 6" xfId="0"/>
    <cellStyle name="40% - Accent4 6 2" xfId="0"/>
    <cellStyle name="40% - Accent4 6 2 2" xfId="0"/>
    <cellStyle name="40% - Accent4 6 3" xfId="0"/>
    <cellStyle name="40% - Accent4 6 3 2" xfId="0"/>
    <cellStyle name="40% - Accent4 6 4" xfId="0"/>
    <cellStyle name="40% - Accent4 60" xfId="0"/>
    <cellStyle name="40% - Accent4 61" xfId="0"/>
    <cellStyle name="40% - Accent4 62" xfId="0"/>
    <cellStyle name="40% - Accent4 63" xfId="0"/>
    <cellStyle name="40% - Accent4 64" xfId="0"/>
    <cellStyle name="40% - Accent4 65" xfId="0"/>
    <cellStyle name="40% - Accent4 66" xfId="0"/>
    <cellStyle name="40% - Accent4 67" xfId="0"/>
    <cellStyle name="40% - Accent4 68" xfId="0"/>
    <cellStyle name="40% - Accent4 69" xfId="0"/>
    <cellStyle name="40% - Accent4 7" xfId="0"/>
    <cellStyle name="40% - Accent4 7 2" xfId="0"/>
    <cellStyle name="40% - Accent4 7 2 2" xfId="0"/>
    <cellStyle name="40% - Accent4 7 3" xfId="0"/>
    <cellStyle name="40% - Accent4 7 3 2" xfId="0"/>
    <cellStyle name="40% - Accent4 7 4" xfId="0"/>
    <cellStyle name="40% - Accent4 70" xfId="0"/>
    <cellStyle name="40% - Accent4 71" xfId="0"/>
    <cellStyle name="40% - Accent4 72" xfId="0"/>
    <cellStyle name="40% - Accent4 73" xfId="0"/>
    <cellStyle name="40% - Accent4 74" xfId="0"/>
    <cellStyle name="40% - Accent4 75" xfId="0"/>
    <cellStyle name="40% - Accent4 76" xfId="0"/>
    <cellStyle name="40% - Accent4 77" xfId="0"/>
    <cellStyle name="40% - Accent4 78" xfId="0"/>
    <cellStyle name="40% - Accent4 79" xfId="0"/>
    <cellStyle name="40% - Accent4 8" xfId="0"/>
    <cellStyle name="40% - Accent4 8 2" xfId="0"/>
    <cellStyle name="40% - Accent4 8 2 2" xfId="0"/>
    <cellStyle name="40% - Accent4 8 3" xfId="0"/>
    <cellStyle name="40% - Accent4 8 3 2" xfId="0"/>
    <cellStyle name="40% - Accent4 8 4" xfId="0"/>
    <cellStyle name="40% - Accent4 80" xfId="0"/>
    <cellStyle name="40% - Accent4 81" xfId="0"/>
    <cellStyle name="40% - Accent4 82" xfId="0"/>
    <cellStyle name="40% - Accent4 83" xfId="0"/>
    <cellStyle name="40% - Accent4 84" xfId="0"/>
    <cellStyle name="40% - Accent4 85" xfId="0"/>
    <cellStyle name="40% - Accent4 86" xfId="0"/>
    <cellStyle name="40% - Accent4 87" xfId="0"/>
    <cellStyle name="40% - Accent4 88" xfId="0"/>
    <cellStyle name="40% - Accent4 89" xfId="0"/>
    <cellStyle name="40% - Accent4 9" xfId="0"/>
    <cellStyle name="40% - Accent4 9 2" xfId="0"/>
    <cellStyle name="40% - Accent4 9 2 2" xfId="0"/>
    <cellStyle name="40% - Accent4 9 3" xfId="0"/>
    <cellStyle name="40% - Accent4 9 3 2" xfId="0"/>
    <cellStyle name="40% - Accent4 9 4" xfId="0"/>
    <cellStyle name="40% - Accent4 90" xfId="0"/>
    <cellStyle name="40% - Accent4 91" xfId="0"/>
    <cellStyle name="40% - Accent4 92" xfId="0"/>
    <cellStyle name="40% - Accent4 93" xfId="0"/>
    <cellStyle name="40% - Accent4 94" xfId="0"/>
    <cellStyle name="40% - Accent4 95" xfId="0"/>
    <cellStyle name="40% - Accent4 96" xfId="0"/>
    <cellStyle name="40% - Accent4_ALL inventory onhand data 0912" xfId="0"/>
    <cellStyle name="40% - Accent5" xfId="0"/>
    <cellStyle name="40% - Accent5 10" xfId="0"/>
    <cellStyle name="40% - Accent5 10 2" xfId="0"/>
    <cellStyle name="40% - Accent5 10 2 2" xfId="0"/>
    <cellStyle name="40% - Accent5 10 3" xfId="0"/>
    <cellStyle name="40% - Accent5 10 3 2" xfId="0"/>
    <cellStyle name="40% - Accent5 10 4" xfId="0"/>
    <cellStyle name="40% - Accent5 11" xfId="0"/>
    <cellStyle name="40% - Accent5 11 2" xfId="0"/>
    <cellStyle name="40% - Accent5 11 2 2" xfId="0"/>
    <cellStyle name="40% - Accent5 11 3" xfId="0"/>
    <cellStyle name="40% - Accent5 11 3 2" xfId="0"/>
    <cellStyle name="40% - Accent5 11 4" xfId="0"/>
    <cellStyle name="40% - Accent5 12" xfId="0"/>
    <cellStyle name="40% - Accent5 12 2" xfId="0"/>
    <cellStyle name="40% - Accent5 12 2 2" xfId="0"/>
    <cellStyle name="40% - Accent5 13" xfId="0"/>
    <cellStyle name="40% - Accent5 13 2" xfId="0"/>
    <cellStyle name="40% - Accent5 13 2 2" xfId="0"/>
    <cellStyle name="40% - Accent5 14" xfId="0"/>
    <cellStyle name="40% - Accent5 14 2" xfId="0"/>
    <cellStyle name="40% - Accent5 14 2 2" xfId="0"/>
    <cellStyle name="40% - Accent5 15" xfId="0"/>
    <cellStyle name="40% - Accent5 15 2" xfId="0"/>
    <cellStyle name="40% - Accent5 15 2 2" xfId="0"/>
    <cellStyle name="40% - Accent5 16" xfId="0"/>
    <cellStyle name="40% - Accent5 16 2" xfId="0"/>
    <cellStyle name="40% - Accent5 16 2 2" xfId="0"/>
    <cellStyle name="40% - Accent5 17" xfId="0"/>
    <cellStyle name="40% - Accent5 17 2" xfId="0"/>
    <cellStyle name="40% - Accent5 17 2 2" xfId="0"/>
    <cellStyle name="40% - Accent5 18" xfId="0"/>
    <cellStyle name="40% - Accent5 18 2" xfId="0"/>
    <cellStyle name="40% - Accent5 18 2 2" xfId="0"/>
    <cellStyle name="40% - Accent5 19" xfId="0"/>
    <cellStyle name="40% - Accent5 19 2" xfId="0"/>
    <cellStyle name="40% - Accent5 19 2 2" xfId="0"/>
    <cellStyle name="40% - Accent5 2" xfId="0"/>
    <cellStyle name="40% - Accent5 2 10" xfId="0"/>
    <cellStyle name="40% - Accent5 2 11" xfId="0"/>
    <cellStyle name="40% - Accent5 2 12" xfId="0"/>
    <cellStyle name="40% - Accent5 2 13" xfId="0"/>
    <cellStyle name="40% - Accent5 2 14" xfId="0"/>
    <cellStyle name="40% - Accent5 2 15" xfId="0"/>
    <cellStyle name="40% - Accent5 2 16" xfId="0"/>
    <cellStyle name="40% - Accent5 2 17" xfId="0"/>
    <cellStyle name="40% - Accent5 2 18" xfId="0"/>
    <cellStyle name="40% - Accent5 2 19" xfId="0"/>
    <cellStyle name="40% - Accent5 2 2" xfId="0"/>
    <cellStyle name="40% - Accent5 2 2 2" xfId="0"/>
    <cellStyle name="40% - Accent5 2 2 2 2" xfId="0"/>
    <cellStyle name="40% - Accent5 2 2 3" xfId="0"/>
    <cellStyle name="40% - Accent5 2 2 3 2" xfId="0"/>
    <cellStyle name="40% - Accent5 2 2 4" xfId="0"/>
    <cellStyle name="40% - Accent5 2 2 4 2" xfId="0"/>
    <cellStyle name="40% - Accent5 2 2 5" xfId="0"/>
    <cellStyle name="40% - Accent5 2 2 6" xfId="0"/>
    <cellStyle name="40% - Accent5 2 20" xfId="0"/>
    <cellStyle name="40% - Accent5 2 21" xfId="0"/>
    <cellStyle name="40% - Accent5 2 22" xfId="0"/>
    <cellStyle name="40% - Accent5 2 23" xfId="0"/>
    <cellStyle name="40% - Accent5 2 24" xfId="0"/>
    <cellStyle name="40% - Accent5 2 25" xfId="0"/>
    <cellStyle name="40% - Accent5 2 3" xfId="0"/>
    <cellStyle name="40% - Accent5 2 3 2" xfId="0"/>
    <cellStyle name="40% - Accent5 2 3 3" xfId="0"/>
    <cellStyle name="40% - Accent5 2 4" xfId="0"/>
    <cellStyle name="40% - Accent5 2 4 2" xfId="0"/>
    <cellStyle name="40% - Accent5 2 4 3" xfId="0"/>
    <cellStyle name="40% - Accent5 2 5" xfId="0"/>
    <cellStyle name="40% - Accent5 2 5 2" xfId="0"/>
    <cellStyle name="40% - Accent5 2 5 3" xfId="0"/>
    <cellStyle name="40% - Accent5 2 6" xfId="0"/>
    <cellStyle name="40% - Accent5 2 6 2" xfId="0"/>
    <cellStyle name="40% - Accent5 2 7" xfId="0"/>
    <cellStyle name="40% - Accent5 2 7 2" xfId="0"/>
    <cellStyle name="40% - Accent5 2 8" xfId="0"/>
    <cellStyle name="40% - Accent5 2 8 2" xfId="0"/>
    <cellStyle name="40% - Accent5 2 9" xfId="0"/>
    <cellStyle name="40% - Accent5 20" xfId="0"/>
    <cellStyle name="40% - Accent5 20 2" xfId="0"/>
    <cellStyle name="40% - Accent5 20 2 2" xfId="0"/>
    <cellStyle name="40% - Accent5 21" xfId="0"/>
    <cellStyle name="40% - Accent5 21 2" xfId="0"/>
    <cellStyle name="40% - Accent5 21 2 2" xfId="0"/>
    <cellStyle name="40% - Accent5 22" xfId="0"/>
    <cellStyle name="40% - Accent5 22 2" xfId="0"/>
    <cellStyle name="40% - Accent5 22 2 2" xfId="0"/>
    <cellStyle name="40% - Accent5 23" xfId="0"/>
    <cellStyle name="40% - Accent5 23 2" xfId="0"/>
    <cellStyle name="40% - Accent5 23 2 2" xfId="0"/>
    <cellStyle name="40% - Accent5 23 3" xfId="0"/>
    <cellStyle name="40% - Accent5 24" xfId="0"/>
    <cellStyle name="40% - Accent5 24 2" xfId="0"/>
    <cellStyle name="40% - Accent5 24 2 2" xfId="0"/>
    <cellStyle name="40% - Accent5 24 3" xfId="0"/>
    <cellStyle name="40% - Accent5 25" xfId="0"/>
    <cellStyle name="40% - Accent5 25 2" xfId="0"/>
    <cellStyle name="40% - Accent5 25 3" xfId="0"/>
    <cellStyle name="40% - Accent5 26" xfId="0"/>
    <cellStyle name="40% - Accent5 26 2" xfId="0"/>
    <cellStyle name="40% - Accent5 27" xfId="0"/>
    <cellStyle name="40% - Accent5 27 2" xfId="0"/>
    <cellStyle name="40% - Accent5 28" xfId="0"/>
    <cellStyle name="40% - Accent5 28 2" xfId="0"/>
    <cellStyle name="40% - Accent5 29" xfId="0"/>
    <cellStyle name="40% - Accent5 29 2" xfId="0"/>
    <cellStyle name="40% - Accent5 2_2.VSCN - GSC charge" xfId="0"/>
    <cellStyle name="40% - Accent5 3" xfId="0"/>
    <cellStyle name="40% - Accent5 3 2" xfId="0"/>
    <cellStyle name="40% - Accent5 3 2 2" xfId="0"/>
    <cellStyle name="40% - Accent5 3 2 3" xfId="0"/>
    <cellStyle name="40% - Accent5 3 3" xfId="0"/>
    <cellStyle name="40% - Accent5 3 3 2" xfId="0"/>
    <cellStyle name="40% - Accent5 3 3 3" xfId="0"/>
    <cellStyle name="40% - Accent5 3 4" xfId="0"/>
    <cellStyle name="40% - Accent5 3 4 2" xfId="0"/>
    <cellStyle name="40% - Accent5 3 5" xfId="0"/>
    <cellStyle name="40% - Accent5 3 5 2" xfId="0"/>
    <cellStyle name="40% - Accent5 3 6" xfId="0"/>
    <cellStyle name="40% - Accent5 3 7" xfId="0"/>
    <cellStyle name="40% - Accent5 30" xfId="0"/>
    <cellStyle name="40% - Accent5 30 2" xfId="0"/>
    <cellStyle name="40% - Accent5 31" xfId="0"/>
    <cellStyle name="40% - Accent5 31 2" xfId="0"/>
    <cellStyle name="40% - Accent5 32" xfId="0"/>
    <cellStyle name="40% - Accent5 32 2" xfId="0"/>
    <cellStyle name="40% - Accent5 33" xfId="0"/>
    <cellStyle name="40% - Accent5 33 2" xfId="0"/>
    <cellStyle name="40% - Accent5 34" xfId="0"/>
    <cellStyle name="40% - Accent5 34 2" xfId="0"/>
    <cellStyle name="40% - Accent5 35" xfId="0"/>
    <cellStyle name="40% - Accent5 35 2" xfId="0"/>
    <cellStyle name="40% - Accent5 36" xfId="0"/>
    <cellStyle name="40% - Accent5 37" xfId="0"/>
    <cellStyle name="40% - Accent5 38" xfId="0"/>
    <cellStyle name="40% - Accent5 39" xfId="0"/>
    <cellStyle name="40% - Accent5 3_Profitability Detail NT$ Sep-12" xfId="0"/>
    <cellStyle name="40% - Accent5 4" xfId="0"/>
    <cellStyle name="40% - Accent5 4 2" xfId="0"/>
    <cellStyle name="40% - Accent5 4 2 2" xfId="0"/>
    <cellStyle name="40% - Accent5 4 2 3" xfId="0"/>
    <cellStyle name="40% - Accent5 4 3" xfId="0"/>
    <cellStyle name="40% - Accent5 4 3 2" xfId="0"/>
    <cellStyle name="40% - Accent5 4 3 3" xfId="0"/>
    <cellStyle name="40% - Accent5 4 4" xfId="0"/>
    <cellStyle name="40% - Accent5 4 4 2" xfId="0"/>
    <cellStyle name="40% - Accent5 4 5" xfId="0"/>
    <cellStyle name="40% - Accent5 4 5 2" xfId="0"/>
    <cellStyle name="40% - Accent5 4 6" xfId="0"/>
    <cellStyle name="40% - Accent5 4 7" xfId="0"/>
    <cellStyle name="40% - Accent5 40" xfId="0"/>
    <cellStyle name="40% - Accent5 41" xfId="0"/>
    <cellStyle name="40% - Accent5 42" xfId="0"/>
    <cellStyle name="40% - Accent5 43" xfId="0"/>
    <cellStyle name="40% - Accent5 44" xfId="0"/>
    <cellStyle name="40% - Accent5 45" xfId="0"/>
    <cellStyle name="40% - Accent5 46" xfId="0"/>
    <cellStyle name="40% - Accent5 47" xfId="0"/>
    <cellStyle name="40% - Accent5 48" xfId="0"/>
    <cellStyle name="40% - Accent5 49" xfId="0"/>
    <cellStyle name="40% - Accent5 4_Profitability Detail NT$ Sep-12" xfId="0"/>
    <cellStyle name="40% - Accent5 5" xfId="0"/>
    <cellStyle name="40% - Accent5 5 2" xfId="0"/>
    <cellStyle name="40% - Accent5 5 2 2" xfId="0"/>
    <cellStyle name="40% - Accent5 5 2 3" xfId="0"/>
    <cellStyle name="40% - Accent5 5 3" xfId="0"/>
    <cellStyle name="40% - Accent5 5 3 2" xfId="0"/>
    <cellStyle name="40% - Accent5 5 4" xfId="0"/>
    <cellStyle name="40% - Accent5 5 4 2" xfId="0"/>
    <cellStyle name="40% - Accent5 5 5" xfId="0"/>
    <cellStyle name="40% - Accent5 50" xfId="0"/>
    <cellStyle name="40% - Accent5 51" xfId="0"/>
    <cellStyle name="40% - Accent5 52" xfId="0"/>
    <cellStyle name="40% - Accent5 53" xfId="0"/>
    <cellStyle name="40% - Accent5 54" xfId="0"/>
    <cellStyle name="40% - Accent5 55" xfId="0"/>
    <cellStyle name="40% - Accent5 56" xfId="0"/>
    <cellStyle name="40% - Accent5 57" xfId="0"/>
    <cellStyle name="40% - Accent5 58" xfId="0"/>
    <cellStyle name="40% - Accent5 59" xfId="0"/>
    <cellStyle name="40% - Accent5 6" xfId="0"/>
    <cellStyle name="40% - Accent5 6 2" xfId="0"/>
    <cellStyle name="40% - Accent5 6 2 2" xfId="0"/>
    <cellStyle name="40% - Accent5 6 3" xfId="0"/>
    <cellStyle name="40% - Accent5 6 3 2" xfId="0"/>
    <cellStyle name="40% - Accent5 6 4" xfId="0"/>
    <cellStyle name="40% - Accent5 60" xfId="0"/>
    <cellStyle name="40% - Accent5 61" xfId="0"/>
    <cellStyle name="40% - Accent5 62" xfId="0"/>
    <cellStyle name="40% - Accent5 63" xfId="0"/>
    <cellStyle name="40% - Accent5 64" xfId="0"/>
    <cellStyle name="40% - Accent5 65" xfId="0"/>
    <cellStyle name="40% - Accent5 66" xfId="0"/>
    <cellStyle name="40% - Accent5 67" xfId="0"/>
    <cellStyle name="40% - Accent5 68" xfId="0"/>
    <cellStyle name="40% - Accent5 69" xfId="0"/>
    <cellStyle name="40% - Accent5 7" xfId="0"/>
    <cellStyle name="40% - Accent5 7 2" xfId="0"/>
    <cellStyle name="40% - Accent5 7 2 2" xfId="0"/>
    <cellStyle name="40% - Accent5 7 3" xfId="0"/>
    <cellStyle name="40% - Accent5 7 3 2" xfId="0"/>
    <cellStyle name="40% - Accent5 7 4" xfId="0"/>
    <cellStyle name="40% - Accent5 70" xfId="0"/>
    <cellStyle name="40% - Accent5 71" xfId="0"/>
    <cellStyle name="40% - Accent5 72" xfId="0"/>
    <cellStyle name="40% - Accent5 73" xfId="0"/>
    <cellStyle name="40% - Accent5 74" xfId="0"/>
    <cellStyle name="40% - Accent5 75" xfId="0"/>
    <cellStyle name="40% - Accent5 76" xfId="0"/>
    <cellStyle name="40% - Accent5 77" xfId="0"/>
    <cellStyle name="40% - Accent5 78" xfId="0"/>
    <cellStyle name="40% - Accent5 79" xfId="0"/>
    <cellStyle name="40% - Accent5 8" xfId="0"/>
    <cellStyle name="40% - Accent5 8 2" xfId="0"/>
    <cellStyle name="40% - Accent5 8 2 2" xfId="0"/>
    <cellStyle name="40% - Accent5 8 3" xfId="0"/>
    <cellStyle name="40% - Accent5 8 3 2" xfId="0"/>
    <cellStyle name="40% - Accent5 8 4" xfId="0"/>
    <cellStyle name="40% - Accent5 80" xfId="0"/>
    <cellStyle name="40% - Accent5 81" xfId="0"/>
    <cellStyle name="40% - Accent5 82" xfId="0"/>
    <cellStyle name="40% - Accent5 83" xfId="0"/>
    <cellStyle name="40% - Accent5 84" xfId="0"/>
    <cellStyle name="40% - Accent5 85" xfId="0"/>
    <cellStyle name="40% - Accent5 86" xfId="0"/>
    <cellStyle name="40% - Accent5 87" xfId="0"/>
    <cellStyle name="40% - Accent5 88" xfId="0"/>
    <cellStyle name="40% - Accent5 89" xfId="0"/>
    <cellStyle name="40% - Accent5 9" xfId="0"/>
    <cellStyle name="40% - Accent5 9 2" xfId="0"/>
    <cellStyle name="40% - Accent5 9 2 2" xfId="0"/>
    <cellStyle name="40% - Accent5 9 3" xfId="0"/>
    <cellStyle name="40% - Accent5 9 3 2" xfId="0"/>
    <cellStyle name="40% - Accent5 9 4" xfId="0"/>
    <cellStyle name="40% - Accent5 90" xfId="0"/>
    <cellStyle name="40% - Accent5 91" xfId="0"/>
    <cellStyle name="40% - Accent5 92" xfId="0"/>
    <cellStyle name="40% - Accent5 93" xfId="0"/>
    <cellStyle name="40% - Accent5 94" xfId="0"/>
    <cellStyle name="40% - Accent5 95" xfId="0"/>
    <cellStyle name="40% - Accent5 96" xfId="0"/>
    <cellStyle name="40% - Accent5_ALL inventory onhand data 0912" xfId="0"/>
    <cellStyle name="40% - Accent6" xfId="0"/>
    <cellStyle name="40% - Accent6 10" xfId="0"/>
    <cellStyle name="40% - Accent6 10 2" xfId="0"/>
    <cellStyle name="40% - Accent6 10 2 2" xfId="0"/>
    <cellStyle name="40% - Accent6 10 3" xfId="0"/>
    <cellStyle name="40% - Accent6 10 3 2" xfId="0"/>
    <cellStyle name="40% - Accent6 10 4" xfId="0"/>
    <cellStyle name="40% - Accent6 11" xfId="0"/>
    <cellStyle name="40% - Accent6 11 2" xfId="0"/>
    <cellStyle name="40% - Accent6 11 2 2" xfId="0"/>
    <cellStyle name="40% - Accent6 11 3" xfId="0"/>
    <cellStyle name="40% - Accent6 11 3 2" xfId="0"/>
    <cellStyle name="40% - Accent6 11 4" xfId="0"/>
    <cellStyle name="40% - Accent6 12" xfId="0"/>
    <cellStyle name="40% - Accent6 12 2" xfId="0"/>
    <cellStyle name="40% - Accent6 12 2 2" xfId="0"/>
    <cellStyle name="40% - Accent6 13" xfId="0"/>
    <cellStyle name="40% - Accent6 13 2" xfId="0"/>
    <cellStyle name="40% - Accent6 13 2 2" xfId="0"/>
    <cellStyle name="40% - Accent6 14" xfId="0"/>
    <cellStyle name="40% - Accent6 14 2" xfId="0"/>
    <cellStyle name="40% - Accent6 14 2 2" xfId="0"/>
    <cellStyle name="40% - Accent6 15" xfId="0"/>
    <cellStyle name="40% - Accent6 15 2" xfId="0"/>
    <cellStyle name="40% - Accent6 15 2 2" xfId="0"/>
    <cellStyle name="40% - Accent6 16" xfId="0"/>
    <cellStyle name="40% - Accent6 16 2" xfId="0"/>
    <cellStyle name="40% - Accent6 16 2 2" xfId="0"/>
    <cellStyle name="40% - Accent6 17" xfId="0"/>
    <cellStyle name="40% - Accent6 17 2" xfId="0"/>
    <cellStyle name="40% - Accent6 17 2 2" xfId="0"/>
    <cellStyle name="40% - Accent6 18" xfId="0"/>
    <cellStyle name="40% - Accent6 18 2" xfId="0"/>
    <cellStyle name="40% - Accent6 18 2 2" xfId="0"/>
    <cellStyle name="40% - Accent6 19" xfId="0"/>
    <cellStyle name="40% - Accent6 19 2" xfId="0"/>
    <cellStyle name="40% - Accent6 19 2 2" xfId="0"/>
    <cellStyle name="40% - Accent6 2" xfId="0"/>
    <cellStyle name="40% - Accent6 2 10" xfId="0"/>
    <cellStyle name="40% - Accent6 2 11" xfId="0"/>
    <cellStyle name="40% - Accent6 2 12" xfId="0"/>
    <cellStyle name="40% - Accent6 2 13" xfId="0"/>
    <cellStyle name="40% - Accent6 2 14" xfId="0"/>
    <cellStyle name="40% - Accent6 2 15" xfId="0"/>
    <cellStyle name="40% - Accent6 2 16" xfId="0"/>
    <cellStyle name="40% - Accent6 2 17" xfId="0"/>
    <cellStyle name="40% - Accent6 2 18" xfId="0"/>
    <cellStyle name="40% - Accent6 2 19" xfId="0"/>
    <cellStyle name="40% - Accent6 2 2" xfId="0"/>
    <cellStyle name="40% - Accent6 2 2 2" xfId="0"/>
    <cellStyle name="40% - Accent6 2 2 2 2" xfId="0"/>
    <cellStyle name="40% - Accent6 2 2 3" xfId="0"/>
    <cellStyle name="40% - Accent6 2 2 3 2" xfId="0"/>
    <cellStyle name="40% - Accent6 2 2 4" xfId="0"/>
    <cellStyle name="40% - Accent6 2 2 4 2" xfId="0"/>
    <cellStyle name="40% - Accent6 2 2 5" xfId="0"/>
    <cellStyle name="40% - Accent6 2 2 6" xfId="0"/>
    <cellStyle name="40% - Accent6 2 20" xfId="0"/>
    <cellStyle name="40% - Accent6 2 21" xfId="0"/>
    <cellStyle name="40% - Accent6 2 22" xfId="0"/>
    <cellStyle name="40% - Accent6 2 23" xfId="0"/>
    <cellStyle name="40% - Accent6 2 24" xfId="0"/>
    <cellStyle name="40% - Accent6 2 25" xfId="0"/>
    <cellStyle name="40% - Accent6 2 3" xfId="0"/>
    <cellStyle name="40% - Accent6 2 3 2" xfId="0"/>
    <cellStyle name="40% - Accent6 2 3 3" xfId="0"/>
    <cellStyle name="40% - Accent6 2 4" xfId="0"/>
    <cellStyle name="40% - Accent6 2 4 2" xfId="0"/>
    <cellStyle name="40% - Accent6 2 4 3" xfId="0"/>
    <cellStyle name="40% - Accent6 2 5" xfId="0"/>
    <cellStyle name="40% - Accent6 2 5 2" xfId="0"/>
    <cellStyle name="40% - Accent6 2 5 3" xfId="0"/>
    <cellStyle name="40% - Accent6 2 6" xfId="0"/>
    <cellStyle name="40% - Accent6 2 6 2" xfId="0"/>
    <cellStyle name="40% - Accent6 2 7" xfId="0"/>
    <cellStyle name="40% - Accent6 2 7 2" xfId="0"/>
    <cellStyle name="40% - Accent6 2 8" xfId="0"/>
    <cellStyle name="40% - Accent6 2 8 2" xfId="0"/>
    <cellStyle name="40% - Accent6 2 9" xfId="0"/>
    <cellStyle name="40% - Accent6 20" xfId="0"/>
    <cellStyle name="40% - Accent6 20 2" xfId="0"/>
    <cellStyle name="40% - Accent6 20 2 2" xfId="0"/>
    <cellStyle name="40% - Accent6 21" xfId="0"/>
    <cellStyle name="40% - Accent6 21 2" xfId="0"/>
    <cellStyle name="40% - Accent6 21 2 2" xfId="0"/>
    <cellStyle name="40% - Accent6 22" xfId="0"/>
    <cellStyle name="40% - Accent6 22 2" xfId="0"/>
    <cellStyle name="40% - Accent6 22 2 2" xfId="0"/>
    <cellStyle name="40% - Accent6 23" xfId="0"/>
    <cellStyle name="40% - Accent6 23 2" xfId="0"/>
    <cellStyle name="40% - Accent6 23 2 2" xfId="0"/>
    <cellStyle name="40% - Accent6 23 3" xfId="0"/>
    <cellStyle name="40% - Accent6 24" xfId="0"/>
    <cellStyle name="40% - Accent6 24 2" xfId="0"/>
    <cellStyle name="40% - Accent6 24 2 2" xfId="0"/>
    <cellStyle name="40% - Accent6 24 3" xfId="0"/>
    <cellStyle name="40% - Accent6 25" xfId="0"/>
    <cellStyle name="40% - Accent6 25 2" xfId="0"/>
    <cellStyle name="40% - Accent6 25 2 2" xfId="0"/>
    <cellStyle name="40% - Accent6 25 3" xfId="0"/>
    <cellStyle name="40% - Accent6 26" xfId="0"/>
    <cellStyle name="40% - Accent6 26 2" xfId="0"/>
    <cellStyle name="40% - Accent6 26 3" xfId="0"/>
    <cellStyle name="40% - Accent6 27" xfId="0"/>
    <cellStyle name="40% - Accent6 27 2" xfId="0"/>
    <cellStyle name="40% - Accent6 27 3" xfId="0"/>
    <cellStyle name="40% - Accent6 28" xfId="0"/>
    <cellStyle name="40% - Accent6 28 2" xfId="0"/>
    <cellStyle name="40% - Accent6 28 3" xfId="0"/>
    <cellStyle name="40% - Accent6 29" xfId="0"/>
    <cellStyle name="40% - Accent6 29 2" xfId="0"/>
    <cellStyle name="40% - Accent6 29 3" xfId="0"/>
    <cellStyle name="40% - Accent6 2_2.VSCN - GSC charge" xfId="0"/>
    <cellStyle name="40% - Accent6 3" xfId="0"/>
    <cellStyle name="40% - Accent6 3 2" xfId="0"/>
    <cellStyle name="40% - Accent6 3 2 2" xfId="0"/>
    <cellStyle name="40% - Accent6 3 2 3" xfId="0"/>
    <cellStyle name="40% - Accent6 3 3" xfId="0"/>
    <cellStyle name="40% - Accent6 3 3 2" xfId="0"/>
    <cellStyle name="40% - Accent6 3 3 3" xfId="0"/>
    <cellStyle name="40% - Accent6 3 4" xfId="0"/>
    <cellStyle name="40% - Accent6 3 4 2" xfId="0"/>
    <cellStyle name="40% - Accent6 3 5" xfId="0"/>
    <cellStyle name="40% - Accent6 3 5 2" xfId="0"/>
    <cellStyle name="40% - Accent6 3 6" xfId="0"/>
    <cellStyle name="40% - Accent6 3 7" xfId="0"/>
    <cellStyle name="40% - Accent6 30" xfId="0"/>
    <cellStyle name="40% - Accent6 30 2" xfId="0"/>
    <cellStyle name="40% - Accent6 31" xfId="0"/>
    <cellStyle name="40% - Accent6 31 2" xfId="0"/>
    <cellStyle name="40% - Accent6 32" xfId="0"/>
    <cellStyle name="40% - Accent6 32 2" xfId="0"/>
    <cellStyle name="40% - Accent6 33" xfId="0"/>
    <cellStyle name="40% - Accent6 33 2" xfId="0"/>
    <cellStyle name="40% - Accent6 34" xfId="0"/>
    <cellStyle name="40% - Accent6 34 2" xfId="0"/>
    <cellStyle name="40% - Accent6 35" xfId="0"/>
    <cellStyle name="40% - Accent6 35 2" xfId="0"/>
    <cellStyle name="40% - Accent6 36" xfId="0"/>
    <cellStyle name="40% - Accent6 36 2" xfId="0"/>
    <cellStyle name="40% - Accent6 37" xfId="0"/>
    <cellStyle name="40% - Accent6 37 2" xfId="0"/>
    <cellStyle name="40% - Accent6 38" xfId="0"/>
    <cellStyle name="40% - Accent6 38 2" xfId="0"/>
    <cellStyle name="40% - Accent6 39" xfId="0"/>
    <cellStyle name="40% - Accent6 39 2" xfId="0"/>
    <cellStyle name="40% - Accent6 3_Profitability Detail NT$ Sep-12" xfId="0"/>
    <cellStyle name="40% - Accent6 4" xfId="0"/>
    <cellStyle name="40% - Accent6 4 2" xfId="0"/>
    <cellStyle name="40% - Accent6 4 2 2" xfId="0"/>
    <cellStyle name="40% - Accent6 4 2 3" xfId="0"/>
    <cellStyle name="40% - Accent6 4 3" xfId="0"/>
    <cellStyle name="40% - Accent6 4 3 2" xfId="0"/>
    <cellStyle name="40% - Accent6 4 3 3" xfId="0"/>
    <cellStyle name="40% - Accent6 4 4" xfId="0"/>
    <cellStyle name="40% - Accent6 4 4 2" xfId="0"/>
    <cellStyle name="40% - Accent6 4 5" xfId="0"/>
    <cellStyle name="40% - Accent6 4 5 2" xfId="0"/>
    <cellStyle name="40% - Accent6 4 6" xfId="0"/>
    <cellStyle name="40% - Accent6 4 7" xfId="0"/>
    <cellStyle name="40% - Accent6 40" xfId="0"/>
    <cellStyle name="40% - Accent6 40 2" xfId="0"/>
    <cellStyle name="40% - Accent6 41" xfId="0"/>
    <cellStyle name="40% - Accent6 41 2" xfId="0"/>
    <cellStyle name="40% - Accent6 42" xfId="0"/>
    <cellStyle name="40% - Accent6 43" xfId="0"/>
    <cellStyle name="40% - Accent6 44" xfId="0"/>
    <cellStyle name="40% - Accent6 45" xfId="0"/>
    <cellStyle name="40% - Accent6 46" xfId="0"/>
    <cellStyle name="40% - Accent6 47" xfId="0"/>
    <cellStyle name="40% - Accent6 48" xfId="0"/>
    <cellStyle name="40% - Accent6 49" xfId="0"/>
    <cellStyle name="40% - Accent6 4_Profitability Detail NT$ Sep-12" xfId="0"/>
    <cellStyle name="40% - Accent6 5" xfId="0"/>
    <cellStyle name="40% - Accent6 5 2" xfId="0"/>
    <cellStyle name="40% - Accent6 5 2 2" xfId="0"/>
    <cellStyle name="40% - Accent6 5 2 3" xfId="0"/>
    <cellStyle name="40% - Accent6 5 3" xfId="0"/>
    <cellStyle name="40% - Accent6 5 3 2" xfId="0"/>
    <cellStyle name="40% - Accent6 5 4" xfId="0"/>
    <cellStyle name="40% - Accent6 5 4 2" xfId="0"/>
    <cellStyle name="40% - Accent6 5 5" xfId="0"/>
    <cellStyle name="40% - Accent6 50" xfId="0"/>
    <cellStyle name="40% - Accent6 51" xfId="0"/>
    <cellStyle name="40% - Accent6 52" xfId="0"/>
    <cellStyle name="40% - Accent6 53" xfId="0"/>
    <cellStyle name="40% - Accent6 54" xfId="0"/>
    <cellStyle name="40% - Accent6 55" xfId="0"/>
    <cellStyle name="40% - Accent6 56" xfId="0"/>
    <cellStyle name="40% - Accent6 57" xfId="0"/>
    <cellStyle name="40% - Accent6 58" xfId="0"/>
    <cellStyle name="40% - Accent6 59" xfId="0"/>
    <cellStyle name="40% - Accent6 6" xfId="0"/>
    <cellStyle name="40% - Accent6 6 2" xfId="0"/>
    <cellStyle name="40% - Accent6 6 2 2" xfId="0"/>
    <cellStyle name="40% - Accent6 6 3" xfId="0"/>
    <cellStyle name="40% - Accent6 6 3 2" xfId="0"/>
    <cellStyle name="40% - Accent6 6 4" xfId="0"/>
    <cellStyle name="40% - Accent6 60" xfId="0"/>
    <cellStyle name="40% - Accent6 61" xfId="0"/>
    <cellStyle name="40% - Accent6 62" xfId="0"/>
    <cellStyle name="40% - Accent6 63" xfId="0"/>
    <cellStyle name="40% - Accent6 64" xfId="0"/>
    <cellStyle name="40% - Accent6 65" xfId="0"/>
    <cellStyle name="40% - Accent6 66" xfId="0"/>
    <cellStyle name="40% - Accent6 67" xfId="0"/>
    <cellStyle name="40% - Accent6 68" xfId="0"/>
    <cellStyle name="40% - Accent6 69" xfId="0"/>
    <cellStyle name="40% - Accent6 7" xfId="0"/>
    <cellStyle name="40% - Accent6 7 2" xfId="0"/>
    <cellStyle name="40% - Accent6 7 2 2" xfId="0"/>
    <cellStyle name="40% - Accent6 7 3" xfId="0"/>
    <cellStyle name="40% - Accent6 7 3 2" xfId="0"/>
    <cellStyle name="40% - Accent6 7 4" xfId="0"/>
    <cellStyle name="40% - Accent6 70" xfId="0"/>
    <cellStyle name="40% - Accent6 71" xfId="0"/>
    <cellStyle name="40% - Accent6 72" xfId="0"/>
    <cellStyle name="40% - Accent6 73" xfId="0"/>
    <cellStyle name="40% - Accent6 74" xfId="0"/>
    <cellStyle name="40% - Accent6 75" xfId="0"/>
    <cellStyle name="40% - Accent6 76" xfId="0"/>
    <cellStyle name="40% - Accent6 77" xfId="0"/>
    <cellStyle name="40% - Accent6 78" xfId="0"/>
    <cellStyle name="40% - Accent6 79" xfId="0"/>
    <cellStyle name="40% - Accent6 8" xfId="0"/>
    <cellStyle name="40% - Accent6 8 2" xfId="0"/>
    <cellStyle name="40% - Accent6 8 2 2" xfId="0"/>
    <cellStyle name="40% - Accent6 8 3" xfId="0"/>
    <cellStyle name="40% - Accent6 8 3 2" xfId="0"/>
    <cellStyle name="40% - Accent6 8 4" xfId="0"/>
    <cellStyle name="40% - Accent6 80" xfId="0"/>
    <cellStyle name="40% - Accent6 81" xfId="0"/>
    <cellStyle name="40% - Accent6 82" xfId="0"/>
    <cellStyle name="40% - Accent6 83" xfId="0"/>
    <cellStyle name="40% - Accent6 84" xfId="0"/>
    <cellStyle name="40% - Accent6 85" xfId="0"/>
    <cellStyle name="40% - Accent6 86" xfId="0"/>
    <cellStyle name="40% - Accent6 87" xfId="0"/>
    <cellStyle name="40% - Accent6 88" xfId="0"/>
    <cellStyle name="40% - Accent6 89" xfId="0"/>
    <cellStyle name="40% - Accent6 9" xfId="0"/>
    <cellStyle name="40% - Accent6 9 2" xfId="0"/>
    <cellStyle name="40% - Accent6 9 2 2" xfId="0"/>
    <cellStyle name="40% - Accent6 9 3" xfId="0"/>
    <cellStyle name="40% - Accent6 9 3 2" xfId="0"/>
    <cellStyle name="40% - Accent6 9 4" xfId="0"/>
    <cellStyle name="40% - Accent6 90" xfId="0"/>
    <cellStyle name="40% - Accent6 91" xfId="0"/>
    <cellStyle name="40% - Accent6 92" xfId="0"/>
    <cellStyle name="40% - Accent6 93" xfId="0"/>
    <cellStyle name="40% - Accent6 94" xfId="0"/>
    <cellStyle name="40% - Accent6 95" xfId="0"/>
    <cellStyle name="40% - Accent6 96" xfId="0"/>
    <cellStyle name="40% - Accent6_ALL inventory onhand data 0912" xfId="0"/>
    <cellStyle name="40% - akcent 1" xfId="0"/>
    <cellStyle name="40% - akcent 1 2" xfId="0"/>
    <cellStyle name="40% - akcent 2" xfId="0"/>
    <cellStyle name="40% - akcent 2 2" xfId="0"/>
    <cellStyle name="40% - akcent 3" xfId="0"/>
    <cellStyle name="40% - akcent 3 2" xfId="0"/>
    <cellStyle name="40% - akcent 4" xfId="0"/>
    <cellStyle name="40% - akcent 4 2" xfId="0"/>
    <cellStyle name="40% - akcent 5" xfId="0"/>
    <cellStyle name="40% - akcent 5 2" xfId="0"/>
    <cellStyle name="40% - akcent 6" xfId="0"/>
    <cellStyle name="40% - akcent 6 2" xfId="0"/>
    <cellStyle name="40% - Akzent1" xfId="0"/>
    <cellStyle name="40% - Akzent1 2" xfId="0"/>
    <cellStyle name="40% - Akzent2" xfId="0"/>
    <cellStyle name="40% - Akzent2 2" xfId="0"/>
    <cellStyle name="40% - Akzent3" xfId="0"/>
    <cellStyle name="40% - Akzent3 2" xfId="0"/>
    <cellStyle name="40% - Akzent4" xfId="0"/>
    <cellStyle name="40% - Akzent4 2" xfId="0"/>
    <cellStyle name="40% - Akzent5" xfId="0"/>
    <cellStyle name="40% - Akzent5 2" xfId="0"/>
    <cellStyle name="40% - Akzent6" xfId="0"/>
    <cellStyle name="40% - Akzent6 2" xfId="0"/>
    <cellStyle name="40% - Акцент1" xfId="0"/>
    <cellStyle name="40% - Акцент1 2" xfId="0"/>
    <cellStyle name="40% - Акцент2" xfId="0"/>
    <cellStyle name="40% - Акцент2 2" xfId="0"/>
    <cellStyle name="40% - Акцент3" xfId="0"/>
    <cellStyle name="40% - Акцент3 2" xfId="0"/>
    <cellStyle name="40% - Акцент4" xfId="0"/>
    <cellStyle name="40% - Акцент4 2" xfId="0"/>
    <cellStyle name="40% - Акцент5" xfId="0"/>
    <cellStyle name="40% - Акцент5 2" xfId="0"/>
    <cellStyle name="40% - Акцент6" xfId="0"/>
    <cellStyle name="40% - Акцент6 2" xfId="0"/>
    <cellStyle name="40% - アクセント 1" xfId="0"/>
    <cellStyle name="40% - アクセント 2" xfId="0"/>
    <cellStyle name="40% - アクセント 3" xfId="0"/>
    <cellStyle name="40% - アクセント 4" xfId="0"/>
    <cellStyle name="40% - アクセント 5" xfId="0"/>
    <cellStyle name="40% - アクセント 6" xfId="0"/>
    <cellStyle name="40% - 强调文字颜色 1" xfId="0"/>
    <cellStyle name="40% - 强调文字颜色 1 10" xfId="0"/>
    <cellStyle name="40% - 强调文字颜色 1 11" xfId="0"/>
    <cellStyle name="40% - 强调文字颜色 1 12" xfId="0"/>
    <cellStyle name="40% - 强调文字颜色 1 13" xfId="0"/>
    <cellStyle name="40% - 强调文字颜色 1 14" xfId="0"/>
    <cellStyle name="40% - 强调文字颜色 1 15" xfId="0"/>
    <cellStyle name="40% - 强调文字颜色 1 16" xfId="0"/>
    <cellStyle name="40% - 强调文字颜色 1 17" xfId="0"/>
    <cellStyle name="40% - 强调文字颜色 1 18" xfId="0"/>
    <cellStyle name="40% - 强调文字颜色 1 19" xfId="0"/>
    <cellStyle name="40% - 强调文字颜色 1 2" xfId="0"/>
    <cellStyle name="40% - 强调文字颜色 1 2 10" xfId="0"/>
    <cellStyle name="40% - 强调文字颜色 1 2 11" xfId="0"/>
    <cellStyle name="40% - 强调文字颜色 1 2 12" xfId="0"/>
    <cellStyle name="40% - 强调文字颜色 1 2 13" xfId="0"/>
    <cellStyle name="40% - 强调文字颜色 1 2 14" xfId="0"/>
    <cellStyle name="40% - 强调文字颜色 1 2 15" xfId="0"/>
    <cellStyle name="40% - 强调文字颜色 1 2 16" xfId="0"/>
    <cellStyle name="40% - 强调文字颜色 1 2 17" xfId="0"/>
    <cellStyle name="40% - 强调文字颜色 1 2 18" xfId="0"/>
    <cellStyle name="40% - 强调文字颜色 1 2 19" xfId="0"/>
    <cellStyle name="40% - 强调文字颜色 1 2 2" xfId="0"/>
    <cellStyle name="40% - 强调文字颜色 1 2 20" xfId="0"/>
    <cellStyle name="40% - 强调文字颜色 1 2 21" xfId="0"/>
    <cellStyle name="40% - 强调文字颜色 1 2 22" xfId="0"/>
    <cellStyle name="40% - 强调文字颜色 1 2 23" xfId="0"/>
    <cellStyle name="40% - 强调文字颜色 1 2 24" xfId="0"/>
    <cellStyle name="40% - 强调文字颜色 1 2 25" xfId="0"/>
    <cellStyle name="40% - 强调文字颜色 1 2 3" xfId="0"/>
    <cellStyle name="40% - 强调文字颜色 1 2 4" xfId="0"/>
    <cellStyle name="40% - 强调文字颜色 1 2 5" xfId="0"/>
    <cellStyle name="40% - 强调文字颜色 1 2 6" xfId="0"/>
    <cellStyle name="40% - 强调文字颜色 1 2 7" xfId="0"/>
    <cellStyle name="40% - 强调文字颜色 1 2 8" xfId="0"/>
    <cellStyle name="40% - 强调文字颜色 1 2 9" xfId="0"/>
    <cellStyle name="40% - 强调文字颜色 1 20" xfId="0"/>
    <cellStyle name="40% - 强调文字颜色 1 21" xfId="0"/>
    <cellStyle name="40% - 强调文字颜色 1 22" xfId="0"/>
    <cellStyle name="40% - 强调文字颜色 1 23" xfId="0"/>
    <cellStyle name="40% - 强调文字颜色 1 24" xfId="0"/>
    <cellStyle name="40% - 强调文字颜色 1 25" xfId="0"/>
    <cellStyle name="40% - 强调文字颜色 1 26" xfId="0"/>
    <cellStyle name="40% - 强调文字颜色 1 27" xfId="0"/>
    <cellStyle name="40% - 强调文字颜色 1 28" xfId="0"/>
    <cellStyle name="40% - 强调文字颜色 1 29" xfId="0"/>
    <cellStyle name="40% - 强调文字颜色 1 3" xfId="0"/>
    <cellStyle name="40% - 强调文字颜色 1 30" xfId="0"/>
    <cellStyle name="40% - 强调文字颜色 1 31" xfId="0"/>
    <cellStyle name="40% - 强调文字颜色 1 32" xfId="0"/>
    <cellStyle name="40% - 强调文字颜色 1 33" xfId="0"/>
    <cellStyle name="40% - 强调文字颜色 1 34" xfId="0"/>
    <cellStyle name="40% - 强调文字颜色 1 35" xfId="0"/>
    <cellStyle name="40% - 强调文字颜色 1 36" xfId="0"/>
    <cellStyle name="40% - 强调文字颜色 1 37" xfId="0"/>
    <cellStyle name="40% - 强调文字颜色 1 38" xfId="0"/>
    <cellStyle name="40% - 强调文字颜色 1 39" xfId="0"/>
    <cellStyle name="40% - 强调文字颜色 1 4" xfId="0"/>
    <cellStyle name="40% - 强调文字颜色 1 40" xfId="0"/>
    <cellStyle name="40% - 强调文字颜色 1 41" xfId="0"/>
    <cellStyle name="40% - 强调文字颜色 1 42" xfId="0"/>
    <cellStyle name="40% - 强调文字颜色 1 43" xfId="0"/>
    <cellStyle name="40% - 强调文字颜色 1 44" xfId="0"/>
    <cellStyle name="40% - 强调文字颜色 1 45" xfId="0"/>
    <cellStyle name="40% - 强调文字颜色 1 46" xfId="0"/>
    <cellStyle name="40% - 强调文字颜色 1 47" xfId="0"/>
    <cellStyle name="40% - 强调文字颜色 1 48" xfId="0"/>
    <cellStyle name="40% - 强调文字颜色 1 49" xfId="0"/>
    <cellStyle name="40% - 强调文字颜色 1 5" xfId="0"/>
    <cellStyle name="40% - 强调文字颜色 1 50" xfId="0"/>
    <cellStyle name="40% - 强调文字颜色 1 51" xfId="0"/>
    <cellStyle name="40% - 强调文字颜色 1 52" xfId="0"/>
    <cellStyle name="40% - 强调文字颜色 1 53" xfId="0"/>
    <cellStyle name="40% - 强调文字颜色 1 54" xfId="0"/>
    <cellStyle name="40% - 强调文字颜色 1 55" xfId="0"/>
    <cellStyle name="40% - 强调文字颜色 1 56" xfId="0"/>
    <cellStyle name="40% - 强调文字颜色 1 57" xfId="0"/>
    <cellStyle name="40% - 强调文字颜色 1 58" xfId="0"/>
    <cellStyle name="40% - 强调文字颜色 1 59" xfId="0"/>
    <cellStyle name="40% - 强调文字颜色 1 6" xfId="0"/>
    <cellStyle name="40% - 强调文字颜色 1 60" xfId="0"/>
    <cellStyle name="40% - 强调文字颜色 1 61" xfId="0"/>
    <cellStyle name="40% - 强调文字颜色 1 62" xfId="0"/>
    <cellStyle name="40% - 强调文字颜色 1 63" xfId="0"/>
    <cellStyle name="40% - 强调文字颜色 1 64" xfId="0"/>
    <cellStyle name="40% - 强调文字颜色 1 65" xfId="0"/>
    <cellStyle name="40% - 强调文字颜色 1 66" xfId="0"/>
    <cellStyle name="40% - 强调文字颜色 1 67" xfId="0"/>
    <cellStyle name="40% - 强调文字颜色 1 68" xfId="0"/>
    <cellStyle name="40% - 强调文字颜色 1 69" xfId="0"/>
    <cellStyle name="40% - 强调文字颜色 1 7" xfId="0"/>
    <cellStyle name="40% - 强调文字颜色 1 70" xfId="0"/>
    <cellStyle name="40% - 强调文字颜色 1 71" xfId="0"/>
    <cellStyle name="40% - 强调文字颜色 1 72" xfId="0"/>
    <cellStyle name="40% - 强调文字颜色 1 73" xfId="0"/>
    <cellStyle name="40% - 强调文字颜色 1 74" xfId="0"/>
    <cellStyle name="40% - 强调文字颜色 1 75" xfId="0"/>
    <cellStyle name="40% - 强调文字颜色 1 76" xfId="0"/>
    <cellStyle name="40% - 强调文字颜色 1 77" xfId="0"/>
    <cellStyle name="40% - 强调文字颜色 1 78" xfId="0"/>
    <cellStyle name="40% - 强调文字颜色 1 79" xfId="0"/>
    <cellStyle name="40% - 强调文字颜色 1 8" xfId="0"/>
    <cellStyle name="40% - 强调文字颜色 1 80" xfId="0"/>
    <cellStyle name="40% - 强调文字颜色 1 81" xfId="0"/>
    <cellStyle name="40% - 强调文字颜色 1 82" xfId="0"/>
    <cellStyle name="40% - 强调文字颜色 1 83" xfId="0"/>
    <cellStyle name="40% - 强调文字颜色 1 84" xfId="0"/>
    <cellStyle name="40% - 强调文字颜色 1 9" xfId="0"/>
    <cellStyle name="40% - 强调文字颜色 1_CORP SG&amp;A" xfId="0"/>
    <cellStyle name="40% - 强调文字颜色 2" xfId="0"/>
    <cellStyle name="40% - 强调文字颜色 2 10" xfId="0"/>
    <cellStyle name="40% - 强调文字颜色 2 11" xfId="0"/>
    <cellStyle name="40% - 强调文字颜色 2 12" xfId="0"/>
    <cellStyle name="40% - 强调文字颜色 2 13" xfId="0"/>
    <cellStyle name="40% - 强调文字颜色 2 14" xfId="0"/>
    <cellStyle name="40% - 强调文字颜色 2 15" xfId="0"/>
    <cellStyle name="40% - 强调文字颜色 2 16" xfId="0"/>
    <cellStyle name="40% - 强调文字颜色 2 17" xfId="0"/>
    <cellStyle name="40% - 强调文字颜色 2 18" xfId="0"/>
    <cellStyle name="40% - 强调文字颜色 2 19" xfId="0"/>
    <cellStyle name="40% - 强调文字颜色 2 2" xfId="0"/>
    <cellStyle name="40% - 强调文字颜色 2 2 10" xfId="0"/>
    <cellStyle name="40% - 强调文字颜色 2 2 11" xfId="0"/>
    <cellStyle name="40% - 强调文字颜色 2 2 12" xfId="0"/>
    <cellStyle name="40% - 强调文字颜色 2 2 13" xfId="0"/>
    <cellStyle name="40% - 强调文字颜色 2 2 14" xfId="0"/>
    <cellStyle name="40% - 强调文字颜色 2 2 15" xfId="0"/>
    <cellStyle name="40% - 强调文字颜色 2 2 16" xfId="0"/>
    <cellStyle name="40% - 强调文字颜色 2 2 17" xfId="0"/>
    <cellStyle name="40% - 强调文字颜色 2 2 18" xfId="0"/>
    <cellStyle name="40% - 强调文字颜色 2 2 19" xfId="0"/>
    <cellStyle name="40% - 强调文字颜色 2 2 2" xfId="0"/>
    <cellStyle name="40% - 强调文字颜色 2 2 20" xfId="0"/>
    <cellStyle name="40% - 强调文字颜色 2 2 21" xfId="0"/>
    <cellStyle name="40% - 强调文字颜色 2 2 22" xfId="0"/>
    <cellStyle name="40% - 强调文字颜色 2 2 23" xfId="0"/>
    <cellStyle name="40% - 强调文字颜色 2 2 24" xfId="0"/>
    <cellStyle name="40% - 强调文字颜色 2 2 3" xfId="0"/>
    <cellStyle name="40% - 强调文字颜色 2 2 4" xfId="0"/>
    <cellStyle name="40% - 强调文字颜色 2 2 5" xfId="0"/>
    <cellStyle name="40% - 强调文字颜色 2 2 6" xfId="0"/>
    <cellStyle name="40% - 强调文字颜色 2 2 7" xfId="0"/>
    <cellStyle name="40% - 强调文字颜色 2 2 8" xfId="0"/>
    <cellStyle name="40% - 强调文字颜色 2 2 9" xfId="0"/>
    <cellStyle name="40% - 强调文字颜色 2 20" xfId="0"/>
    <cellStyle name="40% - 强调文字颜色 2 21" xfId="0"/>
    <cellStyle name="40% - 强调文字颜色 2 22" xfId="0"/>
    <cellStyle name="40% - 强调文字颜色 2 23" xfId="0"/>
    <cellStyle name="40% - 强调文字颜色 2 24" xfId="0"/>
    <cellStyle name="40% - 强调文字颜色 2 25" xfId="0"/>
    <cellStyle name="40% - 强调文字颜色 2 26" xfId="0"/>
    <cellStyle name="40% - 强调文字颜色 2 27" xfId="0"/>
    <cellStyle name="40% - 强调文字颜色 2 28" xfId="0"/>
    <cellStyle name="40% - 强调文字颜色 2 29" xfId="0"/>
    <cellStyle name="40% - 强调文字颜色 2 3" xfId="0"/>
    <cellStyle name="40% - 强调文字颜色 2 30" xfId="0"/>
    <cellStyle name="40% - 强调文字颜色 2 31" xfId="0"/>
    <cellStyle name="40% - 强调文字颜色 2 32" xfId="0"/>
    <cellStyle name="40% - 强调文字颜色 2 33" xfId="0"/>
    <cellStyle name="40% - 强调文字颜色 2 34" xfId="0"/>
    <cellStyle name="40% - 强调文字颜色 2 35" xfId="0"/>
    <cellStyle name="40% - 强调文字颜色 2 36" xfId="0"/>
    <cellStyle name="40% - 强调文字颜色 2 37" xfId="0"/>
    <cellStyle name="40% - 强调文字颜色 2 38" xfId="0"/>
    <cellStyle name="40% - 强调文字颜色 2 39" xfId="0"/>
    <cellStyle name="40% - 强调文字颜色 2 4" xfId="0"/>
    <cellStyle name="40% - 强调文字颜色 2 40" xfId="0"/>
    <cellStyle name="40% - 强调文字颜色 2 41" xfId="0"/>
    <cellStyle name="40% - 强调文字颜色 2 42" xfId="0"/>
    <cellStyle name="40% - 强调文字颜色 2 43" xfId="0"/>
    <cellStyle name="40% - 强调文字颜色 2 44" xfId="0"/>
    <cellStyle name="40% - 强调文字颜色 2 45" xfId="0"/>
    <cellStyle name="40% - 强调文字颜色 2 46" xfId="0"/>
    <cellStyle name="40% - 强调文字颜色 2 47" xfId="0"/>
    <cellStyle name="40% - 强调文字颜色 2 48" xfId="0"/>
    <cellStyle name="40% - 强调文字颜色 2 49" xfId="0"/>
    <cellStyle name="40% - 强调文字颜色 2 5" xfId="0"/>
    <cellStyle name="40% - 强调文字颜色 2 50" xfId="0"/>
    <cellStyle name="40% - 强调文字颜色 2 51" xfId="0"/>
    <cellStyle name="40% - 强调文字颜色 2 52" xfId="0"/>
    <cellStyle name="40% - 强调文字颜色 2 53" xfId="0"/>
    <cellStyle name="40% - 强调文字颜色 2 54" xfId="0"/>
    <cellStyle name="40% - 强调文字颜色 2 55" xfId="0"/>
    <cellStyle name="40% - 强调文字颜色 2 56" xfId="0"/>
    <cellStyle name="40% - 强调文字颜色 2 57" xfId="0"/>
    <cellStyle name="40% - 强调文字颜色 2 58" xfId="0"/>
    <cellStyle name="40% - 强调文字颜色 2 59" xfId="0"/>
    <cellStyle name="40% - 强调文字颜色 2 6" xfId="0"/>
    <cellStyle name="40% - 强调文字颜色 2 60" xfId="0"/>
    <cellStyle name="40% - 强调文字颜色 2 61" xfId="0"/>
    <cellStyle name="40% - 强调文字颜色 2 62" xfId="0"/>
    <cellStyle name="40% - 强调文字颜色 2 63" xfId="0"/>
    <cellStyle name="40% - 强调文字颜色 2 64" xfId="0"/>
    <cellStyle name="40% - 强调文字颜色 2 65" xfId="0"/>
    <cellStyle name="40% - 强调文字颜色 2 66" xfId="0"/>
    <cellStyle name="40% - 强调文字颜色 2 67" xfId="0"/>
    <cellStyle name="40% - 强调文字颜色 2 68" xfId="0"/>
    <cellStyle name="40% - 强调文字颜色 2 69" xfId="0"/>
    <cellStyle name="40% - 强调文字颜色 2 7" xfId="0"/>
    <cellStyle name="40% - 强调文字颜色 2 70" xfId="0"/>
    <cellStyle name="40% - 强调文字颜色 2 71" xfId="0"/>
    <cellStyle name="40% - 强调文字颜色 2 72" xfId="0"/>
    <cellStyle name="40% - 强调文字颜色 2 73" xfId="0"/>
    <cellStyle name="40% - 强调文字颜色 2 74" xfId="0"/>
    <cellStyle name="40% - 强调文字颜色 2 75" xfId="0"/>
    <cellStyle name="40% - 强调文字颜色 2 76" xfId="0"/>
    <cellStyle name="40% - 强调文字颜色 2 77" xfId="0"/>
    <cellStyle name="40% - 强调文字颜色 2 78" xfId="0"/>
    <cellStyle name="40% - 强调文字颜色 2 79" xfId="0"/>
    <cellStyle name="40% - 强调文字颜色 2 8" xfId="0"/>
    <cellStyle name="40% - 强调文字颜色 2 80" xfId="0"/>
    <cellStyle name="40% - 强调文字颜色 2 81" xfId="0"/>
    <cellStyle name="40% - 强调文字颜色 2 82" xfId="0"/>
    <cellStyle name="40% - 强调文字颜色 2 83" xfId="0"/>
    <cellStyle name="40% - 强调文字颜色 2 9" xfId="0"/>
    <cellStyle name="40% - 强调文字颜色 2_CORP SG&amp;A" xfId="0"/>
    <cellStyle name="40% - 强调文字颜色 3" xfId="0"/>
    <cellStyle name="40% - 强调文字颜色 3 10" xfId="0"/>
    <cellStyle name="40% - 强调文字颜色 3 11" xfId="0"/>
    <cellStyle name="40% - 强调文字颜色 3 12" xfId="0"/>
    <cellStyle name="40% - 强调文字颜色 3 13" xfId="0"/>
    <cellStyle name="40% - 强调文字颜色 3 14" xfId="0"/>
    <cellStyle name="40% - 强调文字颜色 3 15" xfId="0"/>
    <cellStyle name="40% - 强调文字颜色 3 16" xfId="0"/>
    <cellStyle name="40% - 强调文字颜色 3 17" xfId="0"/>
    <cellStyle name="40% - 强调文字颜色 3 18" xfId="0"/>
    <cellStyle name="40% - 强调文字颜色 3 19" xfId="0"/>
    <cellStyle name="40% - 强调文字颜色 3 2" xfId="0"/>
    <cellStyle name="40% - 强调文字颜色 3 2 10" xfId="0"/>
    <cellStyle name="40% - 强调文字颜色 3 2 11" xfId="0"/>
    <cellStyle name="40% - 强调文字颜色 3 2 12" xfId="0"/>
    <cellStyle name="40% - 强调文字颜色 3 2 13" xfId="0"/>
    <cellStyle name="40% - 强调文字颜色 3 2 14" xfId="0"/>
    <cellStyle name="40% - 强调文字颜色 3 2 15" xfId="0"/>
    <cellStyle name="40% - 强调文字颜色 3 2 16" xfId="0"/>
    <cellStyle name="40% - 强调文字颜色 3 2 17" xfId="0"/>
    <cellStyle name="40% - 强调文字颜色 3 2 18" xfId="0"/>
    <cellStyle name="40% - 强调文字颜色 3 2 19" xfId="0"/>
    <cellStyle name="40% - 强调文字颜色 3 2 2" xfId="0"/>
    <cellStyle name="40% - 强调文字颜色 3 2 20" xfId="0"/>
    <cellStyle name="40% - 强调文字颜色 3 2 21" xfId="0"/>
    <cellStyle name="40% - 强调文字颜色 3 2 22" xfId="0"/>
    <cellStyle name="40% - 强调文字颜色 3 2 23" xfId="0"/>
    <cellStyle name="40% - 强调文字颜色 3 2 24" xfId="0"/>
    <cellStyle name="40% - 强调文字颜色 3 2 25" xfId="0"/>
    <cellStyle name="40% - 强调文字颜色 3 2 3" xfId="0"/>
    <cellStyle name="40% - 强调文字颜色 3 2 4" xfId="0"/>
    <cellStyle name="40% - 强调文字颜色 3 2 5" xfId="0"/>
    <cellStyle name="40% - 强调文字颜色 3 2 6" xfId="0"/>
    <cellStyle name="40% - 强调文字颜色 3 2 7" xfId="0"/>
    <cellStyle name="40% - 强调文字颜色 3 2 8" xfId="0"/>
    <cellStyle name="40% - 强调文字颜色 3 2 9" xfId="0"/>
    <cellStyle name="40% - 强调文字颜色 3 20" xfId="0"/>
    <cellStyle name="40% - 强调文字颜色 3 21" xfId="0"/>
    <cellStyle name="40% - 强调文字颜色 3 22" xfId="0"/>
    <cellStyle name="40% - 强调文字颜色 3 23" xfId="0"/>
    <cellStyle name="40% - 强调文字颜色 3 24" xfId="0"/>
    <cellStyle name="40% - 强调文字颜色 3 25" xfId="0"/>
    <cellStyle name="40% - 强调文字颜色 3 26" xfId="0"/>
    <cellStyle name="40% - 强调文字颜色 3 27" xfId="0"/>
    <cellStyle name="40% - 强调文字颜色 3 28" xfId="0"/>
    <cellStyle name="40% - 强调文字颜色 3 29" xfId="0"/>
    <cellStyle name="40% - 强调文字颜色 3 3" xfId="0"/>
    <cellStyle name="40% - 强调文字颜色 3 30" xfId="0"/>
    <cellStyle name="40% - 强调文字颜色 3 31" xfId="0"/>
    <cellStyle name="40% - 强调文字颜色 3 32" xfId="0"/>
    <cellStyle name="40% - 强调文字颜色 3 33" xfId="0"/>
    <cellStyle name="40% - 强调文字颜色 3 34" xfId="0"/>
    <cellStyle name="40% - 强调文字颜色 3 35" xfId="0"/>
    <cellStyle name="40% - 强调文字颜色 3 36" xfId="0"/>
    <cellStyle name="40% - 强调文字颜色 3 37" xfId="0"/>
    <cellStyle name="40% - 强调文字颜色 3 38" xfId="0"/>
    <cellStyle name="40% - 强调文字颜色 3 39" xfId="0"/>
    <cellStyle name="40% - 强调文字颜色 3 4" xfId="0"/>
    <cellStyle name="40% - 强调文字颜色 3 40" xfId="0"/>
    <cellStyle name="40% - 强调文字颜色 3 41" xfId="0"/>
    <cellStyle name="40% - 强调文字颜色 3 42" xfId="0"/>
    <cellStyle name="40% - 强调文字颜色 3 43" xfId="0"/>
    <cellStyle name="40% - 强调文字颜色 3 44" xfId="0"/>
    <cellStyle name="40% - 强调文字颜色 3 45" xfId="0"/>
    <cellStyle name="40% - 强调文字颜色 3 46" xfId="0"/>
    <cellStyle name="40% - 强调文字颜色 3 47" xfId="0"/>
    <cellStyle name="40% - 强调文字颜色 3 48" xfId="0"/>
    <cellStyle name="40% - 强调文字颜色 3 49" xfId="0"/>
    <cellStyle name="40% - 强调文字颜色 3 5" xfId="0"/>
    <cellStyle name="40% - 强调文字颜色 3 50" xfId="0"/>
    <cellStyle name="40% - 强调文字颜色 3 51" xfId="0"/>
    <cellStyle name="40% - 强调文字颜色 3 52" xfId="0"/>
    <cellStyle name="40% - 强调文字颜色 3 53" xfId="0"/>
    <cellStyle name="40% - 强调文字颜色 3 54" xfId="0"/>
    <cellStyle name="40% - 强调文字颜色 3 55" xfId="0"/>
    <cellStyle name="40% - 强调文字颜色 3 56" xfId="0"/>
    <cellStyle name="40% - 强调文字颜色 3 57" xfId="0"/>
    <cellStyle name="40% - 强调文字颜色 3 58" xfId="0"/>
    <cellStyle name="40% - 强调文字颜色 3 59" xfId="0"/>
    <cellStyle name="40% - 强调文字颜色 3 6" xfId="0"/>
    <cellStyle name="40% - 强调文字颜色 3 60" xfId="0"/>
    <cellStyle name="40% - 强调文字颜色 3 61" xfId="0"/>
    <cellStyle name="40% - 强调文字颜色 3 62" xfId="0"/>
    <cellStyle name="40% - 强调文字颜色 3 63" xfId="0"/>
    <cellStyle name="40% - 强调文字颜色 3 64" xfId="0"/>
    <cellStyle name="40% - 强调文字颜色 3 65" xfId="0"/>
    <cellStyle name="40% - 强调文字颜色 3 66" xfId="0"/>
    <cellStyle name="40% - 强调文字颜色 3 67" xfId="0"/>
    <cellStyle name="40% - 强调文字颜色 3 68" xfId="0"/>
    <cellStyle name="40% - 强调文字颜色 3 69" xfId="0"/>
    <cellStyle name="40% - 强调文字颜色 3 7" xfId="0"/>
    <cellStyle name="40% - 强调文字颜色 3 70" xfId="0"/>
    <cellStyle name="40% - 强调文字颜色 3 71" xfId="0"/>
    <cellStyle name="40% - 强调文字颜色 3 72" xfId="0"/>
    <cellStyle name="40% - 强调文字颜色 3 73" xfId="0"/>
    <cellStyle name="40% - 强调文字颜色 3 74" xfId="0"/>
    <cellStyle name="40% - 强调文字颜色 3 75" xfId="0"/>
    <cellStyle name="40% - 强调文字颜色 3 76" xfId="0"/>
    <cellStyle name="40% - 强调文字颜色 3 77" xfId="0"/>
    <cellStyle name="40% - 强调文字颜色 3 78" xfId="0"/>
    <cellStyle name="40% - 强调文字颜色 3 79" xfId="0"/>
    <cellStyle name="40% - 强调文字颜色 3 8" xfId="0"/>
    <cellStyle name="40% - 强调文字颜色 3 80" xfId="0"/>
    <cellStyle name="40% - 强调文字颜色 3 81" xfId="0"/>
    <cellStyle name="40% - 强调文字颜色 3 82" xfId="0"/>
    <cellStyle name="40% - 强调文字颜色 3 83" xfId="0"/>
    <cellStyle name="40% - 强调文字颜色 3 84" xfId="0"/>
    <cellStyle name="40% - 强调文字颜色 3 9" xfId="0"/>
    <cellStyle name="40% - 强调文字颜色 3_CORP SG&amp;A" xfId="0"/>
    <cellStyle name="40% - 强调文字颜色 4" xfId="0"/>
    <cellStyle name="40% - 强调文字颜色 4 10" xfId="0"/>
    <cellStyle name="40% - 强调文字颜色 4 11" xfId="0"/>
    <cellStyle name="40% - 强调文字颜色 4 12" xfId="0"/>
    <cellStyle name="40% - 强调文字颜色 4 13" xfId="0"/>
    <cellStyle name="40% - 强调文字颜色 4 14" xfId="0"/>
    <cellStyle name="40% - 强调文字颜色 4 15" xfId="0"/>
    <cellStyle name="40% - 强调文字颜色 4 16" xfId="0"/>
    <cellStyle name="40% - 强调文字颜色 4 17" xfId="0"/>
    <cellStyle name="40% - 强调文字颜色 4 18" xfId="0"/>
    <cellStyle name="40% - 强调文字颜色 4 19" xfId="0"/>
    <cellStyle name="40% - 强调文字颜色 4 2" xfId="0"/>
    <cellStyle name="40% - 强调文字颜色 4 2 10" xfId="0"/>
    <cellStyle name="40% - 强调文字颜色 4 2 11" xfId="0"/>
    <cellStyle name="40% - 强调文字颜色 4 2 12" xfId="0"/>
    <cellStyle name="40% - 强调文字颜色 4 2 13" xfId="0"/>
    <cellStyle name="40% - 强调文字颜色 4 2 14" xfId="0"/>
    <cellStyle name="40% - 强调文字颜色 4 2 15" xfId="0"/>
    <cellStyle name="40% - 强调文字颜色 4 2 16" xfId="0"/>
    <cellStyle name="40% - 强调文字颜色 4 2 17" xfId="0"/>
    <cellStyle name="40% - 强调文字颜色 4 2 18" xfId="0"/>
    <cellStyle name="40% - 强调文字颜色 4 2 19" xfId="0"/>
    <cellStyle name="40% - 强调文字颜色 4 2 2" xfId="0"/>
    <cellStyle name="40% - 强调文字颜色 4 2 20" xfId="0"/>
    <cellStyle name="40% - 强调文字颜色 4 2 21" xfId="0"/>
    <cellStyle name="40% - 强调文字颜色 4 2 22" xfId="0"/>
    <cellStyle name="40% - 强调文字颜色 4 2 23" xfId="0"/>
    <cellStyle name="40% - 强调文字颜色 4 2 24" xfId="0"/>
    <cellStyle name="40% - 强调文字颜色 4 2 25" xfId="0"/>
    <cellStyle name="40% - 强调文字颜色 4 2 3" xfId="0"/>
    <cellStyle name="40% - 强调文字颜色 4 2 4" xfId="0"/>
    <cellStyle name="40% - 强调文字颜色 4 2 5" xfId="0"/>
    <cellStyle name="40% - 强调文字颜色 4 2 6" xfId="0"/>
    <cellStyle name="40% - 强调文字颜色 4 2 7" xfId="0"/>
    <cellStyle name="40% - 强调文字颜色 4 2 8" xfId="0"/>
    <cellStyle name="40% - 强调文字颜色 4 2 9" xfId="0"/>
    <cellStyle name="40% - 强调文字颜色 4 20" xfId="0"/>
    <cellStyle name="40% - 强调文字颜色 4 21" xfId="0"/>
    <cellStyle name="40% - 强调文字颜色 4 22" xfId="0"/>
    <cellStyle name="40% - 强调文字颜色 4 23" xfId="0"/>
    <cellStyle name="40% - 强调文字颜色 4 24" xfId="0"/>
    <cellStyle name="40% - 强调文字颜色 4 25" xfId="0"/>
    <cellStyle name="40% - 强调文字颜色 4 26" xfId="0"/>
    <cellStyle name="40% - 强调文字颜色 4 27" xfId="0"/>
    <cellStyle name="40% - 强调文字颜色 4 28" xfId="0"/>
    <cellStyle name="40% - 强调文字颜色 4 29" xfId="0"/>
    <cellStyle name="40% - 强调文字颜色 4 3" xfId="0"/>
    <cellStyle name="40% - 强调文字颜色 4 30" xfId="0"/>
    <cellStyle name="40% - 强调文字颜色 4 31" xfId="0"/>
    <cellStyle name="40% - 强调文字颜色 4 32" xfId="0"/>
    <cellStyle name="40% - 强调文字颜色 4 33" xfId="0"/>
    <cellStyle name="40% - 强调文字颜色 4 34" xfId="0"/>
    <cellStyle name="40% - 强调文字颜色 4 35" xfId="0"/>
    <cellStyle name="40% - 强调文字颜色 4 36" xfId="0"/>
    <cellStyle name="40% - 强调文字颜色 4 37" xfId="0"/>
    <cellStyle name="40% - 强调文字颜色 4 38" xfId="0"/>
    <cellStyle name="40% - 强调文字颜色 4 39" xfId="0"/>
    <cellStyle name="40% - 强调文字颜色 4 4" xfId="0"/>
    <cellStyle name="40% - 强调文字颜色 4 40" xfId="0"/>
    <cellStyle name="40% - 强调文字颜色 4 41" xfId="0"/>
    <cellStyle name="40% - 强调文字颜色 4 42" xfId="0"/>
    <cellStyle name="40% - 强调文字颜色 4 43" xfId="0"/>
    <cellStyle name="40% - 强调文字颜色 4 44" xfId="0"/>
    <cellStyle name="40% - 强调文字颜色 4 45" xfId="0"/>
    <cellStyle name="40% - 强调文字颜色 4 46" xfId="0"/>
    <cellStyle name="40% - 强调文字颜色 4 47" xfId="0"/>
    <cellStyle name="40% - 强调文字颜色 4 48" xfId="0"/>
    <cellStyle name="40% - 强调文字颜色 4 49" xfId="0"/>
    <cellStyle name="40% - 强调文字颜色 4 5" xfId="0"/>
    <cellStyle name="40% - 强调文字颜色 4 50" xfId="0"/>
    <cellStyle name="40% - 强调文字颜色 4 51" xfId="0"/>
    <cellStyle name="40% - 强调文字颜色 4 52" xfId="0"/>
    <cellStyle name="40% - 强调文字颜色 4 53" xfId="0"/>
    <cellStyle name="40% - 强调文字颜色 4 54" xfId="0"/>
    <cellStyle name="40% - 强调文字颜色 4 55" xfId="0"/>
    <cellStyle name="40% - 强调文字颜色 4 56" xfId="0"/>
    <cellStyle name="40% - 强调文字颜色 4 57" xfId="0"/>
    <cellStyle name="40% - 强调文字颜色 4 58" xfId="0"/>
    <cellStyle name="40% - 强调文字颜色 4 59" xfId="0"/>
    <cellStyle name="40% - 强调文字颜色 4 6" xfId="0"/>
    <cellStyle name="40% - 强调文字颜色 4 60" xfId="0"/>
    <cellStyle name="40% - 强调文字颜色 4 61" xfId="0"/>
    <cellStyle name="40% - 强调文字颜色 4 62" xfId="0"/>
    <cellStyle name="40% - 强调文字颜色 4 63" xfId="0"/>
    <cellStyle name="40% - 强调文字颜色 4 64" xfId="0"/>
    <cellStyle name="40% - 强调文字颜色 4 65" xfId="0"/>
    <cellStyle name="40% - 强调文字颜色 4 66" xfId="0"/>
    <cellStyle name="40% - 强调文字颜色 4 67" xfId="0"/>
    <cellStyle name="40% - 强调文字颜色 4 68" xfId="0"/>
    <cellStyle name="40% - 强调文字颜色 4 69" xfId="0"/>
    <cellStyle name="40% - 强调文字颜色 4 7" xfId="0"/>
    <cellStyle name="40% - 强调文字颜色 4 70" xfId="0"/>
    <cellStyle name="40% - 强调文字颜色 4 71" xfId="0"/>
    <cellStyle name="40% - 强调文字颜色 4 72" xfId="0"/>
    <cellStyle name="40% - 强调文字颜色 4 73" xfId="0"/>
    <cellStyle name="40% - 强调文字颜色 4 74" xfId="0"/>
    <cellStyle name="40% - 强调文字颜色 4 75" xfId="0"/>
    <cellStyle name="40% - 强调文字颜色 4 76" xfId="0"/>
    <cellStyle name="40% - 强调文字颜色 4 77" xfId="0"/>
    <cellStyle name="40% - 强调文字颜色 4 78" xfId="0"/>
    <cellStyle name="40% - 强调文字颜色 4 79" xfId="0"/>
    <cellStyle name="40% - 强调文字颜色 4 8" xfId="0"/>
    <cellStyle name="40% - 强调文字颜色 4 80" xfId="0"/>
    <cellStyle name="40% - 强调文字颜色 4 81" xfId="0"/>
    <cellStyle name="40% - 强调文字颜色 4 82" xfId="0"/>
    <cellStyle name="40% - 强调文字颜色 4 83" xfId="0"/>
    <cellStyle name="40% - 强调文字颜色 4 84" xfId="0"/>
    <cellStyle name="40% - 强调文字颜色 4 9" xfId="0"/>
    <cellStyle name="40% - 强调文字颜色 4_CORP SG&amp;A" xfId="0"/>
    <cellStyle name="40% - 强调文字颜色 5" xfId="0"/>
    <cellStyle name="40% - 强调文字颜色 5 10" xfId="0"/>
    <cellStyle name="40% - 强调文字颜色 5 11" xfId="0"/>
    <cellStyle name="40% - 强调文字颜色 5 12" xfId="0"/>
    <cellStyle name="40% - 强调文字颜色 5 13" xfId="0"/>
    <cellStyle name="40% - 强调文字颜色 5 14" xfId="0"/>
    <cellStyle name="40% - 强调文字颜色 5 15" xfId="0"/>
    <cellStyle name="40% - 强调文字颜色 5 16" xfId="0"/>
    <cellStyle name="40% - 强调文字颜色 5 17" xfId="0"/>
    <cellStyle name="40% - 强调文字颜色 5 18" xfId="0"/>
    <cellStyle name="40% - 强调文字颜色 5 19" xfId="0"/>
    <cellStyle name="40% - 强调文字颜色 5 2" xfId="0"/>
    <cellStyle name="40% - 强调文字颜色 5 2 10" xfId="0"/>
    <cellStyle name="40% - 强调文字颜色 5 2 11" xfId="0"/>
    <cellStyle name="40% - 强调文字颜色 5 2 12" xfId="0"/>
    <cellStyle name="40% - 强调文字颜色 5 2 13" xfId="0"/>
    <cellStyle name="40% - 强调文字颜色 5 2 14" xfId="0"/>
    <cellStyle name="40% - 强调文字颜色 5 2 15" xfId="0"/>
    <cellStyle name="40% - 强调文字颜色 5 2 16" xfId="0"/>
    <cellStyle name="40% - 强调文字颜色 5 2 17" xfId="0"/>
    <cellStyle name="40% - 强调文字颜色 5 2 18" xfId="0"/>
    <cellStyle name="40% - 强调文字颜色 5 2 19" xfId="0"/>
    <cellStyle name="40% - 强调文字颜色 5 2 2" xfId="0"/>
    <cellStyle name="40% - 强调文字颜色 5 2 20" xfId="0"/>
    <cellStyle name="40% - 强调文字颜色 5 2 21" xfId="0"/>
    <cellStyle name="40% - 强调文字颜色 5 2 22" xfId="0"/>
    <cellStyle name="40% - 强调文字颜色 5 2 23" xfId="0"/>
    <cellStyle name="40% - 强调文字颜色 5 2 24" xfId="0"/>
    <cellStyle name="40% - 强调文字颜色 5 2 3" xfId="0"/>
    <cellStyle name="40% - 强调文字颜色 5 2 4" xfId="0"/>
    <cellStyle name="40% - 强调文字颜色 5 2 5" xfId="0"/>
    <cellStyle name="40% - 强调文字颜色 5 2 6" xfId="0"/>
    <cellStyle name="40% - 强调文字颜色 5 2 7" xfId="0"/>
    <cellStyle name="40% - 强调文字颜色 5 2 8" xfId="0"/>
    <cellStyle name="40% - 强调文字颜色 5 2 9" xfId="0"/>
    <cellStyle name="40% - 强调文字颜色 5 20" xfId="0"/>
    <cellStyle name="40% - 强调文字颜色 5 21" xfId="0"/>
    <cellStyle name="40% - 强调文字颜色 5 22" xfId="0"/>
    <cellStyle name="40% - 强调文字颜色 5 23" xfId="0"/>
    <cellStyle name="40% - 强调文字颜色 5 24" xfId="0"/>
    <cellStyle name="40% - 强调文字颜色 5 25" xfId="0"/>
    <cellStyle name="40% - 强调文字颜色 5 26" xfId="0"/>
    <cellStyle name="40% - 强调文字颜色 5 27" xfId="0"/>
    <cellStyle name="40% - 强调文字颜色 5 28" xfId="0"/>
    <cellStyle name="40% - 强调文字颜色 5 29" xfId="0"/>
    <cellStyle name="40% - 强调文字颜色 5 3" xfId="0"/>
    <cellStyle name="40% - 强调文字颜色 5 30" xfId="0"/>
    <cellStyle name="40% - 强调文字颜色 5 31" xfId="0"/>
    <cellStyle name="40% - 强调文字颜色 5 32" xfId="0"/>
    <cellStyle name="40% - 强调文字颜色 5 33" xfId="0"/>
    <cellStyle name="40% - 强调文字颜色 5 34" xfId="0"/>
    <cellStyle name="40% - 强调文字颜色 5 35" xfId="0"/>
    <cellStyle name="40% - 强调文字颜色 5 36" xfId="0"/>
    <cellStyle name="40% - 强调文字颜色 5 37" xfId="0"/>
    <cellStyle name="40% - 强调文字颜色 5 38" xfId="0"/>
    <cellStyle name="40% - 强调文字颜色 5 39" xfId="0"/>
    <cellStyle name="40% - 强调文字颜色 5 4" xfId="0"/>
    <cellStyle name="40% - 强调文字颜色 5 40" xfId="0"/>
    <cellStyle name="40% - 强调文字颜色 5 41" xfId="0"/>
    <cellStyle name="40% - 强调文字颜色 5 42" xfId="0"/>
    <cellStyle name="40% - 强调文字颜色 5 43" xfId="0"/>
    <cellStyle name="40% - 强调文字颜色 5 44" xfId="0"/>
    <cellStyle name="40% - 强调文字颜色 5 45" xfId="0"/>
    <cellStyle name="40% - 强调文字颜色 5 46" xfId="0"/>
    <cellStyle name="40% - 强调文字颜色 5 47" xfId="0"/>
    <cellStyle name="40% - 强调文字颜色 5 48" xfId="0"/>
    <cellStyle name="40% - 强调文字颜色 5 49" xfId="0"/>
    <cellStyle name="40% - 强调文字颜色 5 5" xfId="0"/>
    <cellStyle name="40% - 强调文字颜色 5 50" xfId="0"/>
    <cellStyle name="40% - 强调文字颜色 5 51" xfId="0"/>
    <cellStyle name="40% - 强调文字颜色 5 52" xfId="0"/>
    <cellStyle name="40% - 强调文字颜色 5 53" xfId="0"/>
    <cellStyle name="40% - 强调文字颜色 5 54" xfId="0"/>
    <cellStyle name="40% - 强调文字颜色 5 55" xfId="0"/>
    <cellStyle name="40% - 强调文字颜色 5 56" xfId="0"/>
    <cellStyle name="40% - 强调文字颜色 5 57" xfId="0"/>
    <cellStyle name="40% - 强调文字颜色 5 58" xfId="0"/>
    <cellStyle name="40% - 强调文字颜色 5 59" xfId="0"/>
    <cellStyle name="40% - 强调文字颜色 5 6" xfId="0"/>
    <cellStyle name="40% - 强调文字颜色 5 60" xfId="0"/>
    <cellStyle name="40% - 强调文字颜色 5 61" xfId="0"/>
    <cellStyle name="40% - 强调文字颜色 5 62" xfId="0"/>
    <cellStyle name="40% - 强调文字颜色 5 63" xfId="0"/>
    <cellStyle name="40% - 强调文字颜色 5 64" xfId="0"/>
    <cellStyle name="40% - 强调文字颜色 5 65" xfId="0"/>
    <cellStyle name="40% - 强调文字颜色 5 66" xfId="0"/>
    <cellStyle name="40% - 强调文字颜色 5 67" xfId="0"/>
    <cellStyle name="40% - 强调文字颜色 5 68" xfId="0"/>
    <cellStyle name="40% - 强调文字颜色 5 69" xfId="0"/>
    <cellStyle name="40% - 强调文字颜色 5 7" xfId="0"/>
    <cellStyle name="40% - 强调文字颜色 5 70" xfId="0"/>
    <cellStyle name="40% - 强调文字颜色 5 71" xfId="0"/>
    <cellStyle name="40% - 强调文字颜色 5 72" xfId="0"/>
    <cellStyle name="40% - 强调文字颜色 5 73" xfId="0"/>
    <cellStyle name="40% - 强调文字颜色 5 74" xfId="0"/>
    <cellStyle name="40% - 强调文字颜色 5 75" xfId="0"/>
    <cellStyle name="40% - 强调文字颜色 5 76" xfId="0"/>
    <cellStyle name="40% - 强调文字颜色 5 77" xfId="0"/>
    <cellStyle name="40% - 强调文字颜色 5 78" xfId="0"/>
    <cellStyle name="40% - 强调文字颜色 5 79" xfId="0"/>
    <cellStyle name="40% - 强调文字颜色 5 8" xfId="0"/>
    <cellStyle name="40% - 强调文字颜色 5 80" xfId="0"/>
    <cellStyle name="40% - 强调文字颜色 5 81" xfId="0"/>
    <cellStyle name="40% - 强调文字颜色 5 82" xfId="0"/>
    <cellStyle name="40% - 强调文字颜色 5 83" xfId="0"/>
    <cellStyle name="40% - 强调文字颜色 5 9" xfId="0"/>
    <cellStyle name="40% - 强调文字颜色 5_CORP SG&amp;A" xfId="0"/>
    <cellStyle name="40% - 强调文字颜色 6" xfId="0"/>
    <cellStyle name="40% - 强调文字颜色 6 10" xfId="0"/>
    <cellStyle name="40% - 强调文字颜色 6 11" xfId="0"/>
    <cellStyle name="40% - 强调文字颜色 6 12" xfId="0"/>
    <cellStyle name="40% - 强调文字颜色 6 13" xfId="0"/>
    <cellStyle name="40% - 强调文字颜色 6 14" xfId="0"/>
    <cellStyle name="40% - 强调文字颜色 6 15" xfId="0"/>
    <cellStyle name="40% - 强调文字颜色 6 16" xfId="0"/>
    <cellStyle name="40% - 强调文字颜色 6 17" xfId="0"/>
    <cellStyle name="40% - 强调文字颜色 6 18" xfId="0"/>
    <cellStyle name="40% - 强调文字颜色 6 19" xfId="0"/>
    <cellStyle name="40% - 强调文字颜色 6 2" xfId="0"/>
    <cellStyle name="40% - 强调文字颜色 6 2 10" xfId="0"/>
    <cellStyle name="40% - 强调文字颜色 6 2 11" xfId="0"/>
    <cellStyle name="40% - 强调文字颜色 6 2 12" xfId="0"/>
    <cellStyle name="40% - 强调文字颜色 6 2 13" xfId="0"/>
    <cellStyle name="40% - 强调文字颜色 6 2 14" xfId="0"/>
    <cellStyle name="40% - 强调文字颜色 6 2 15" xfId="0"/>
    <cellStyle name="40% - 强调文字颜色 6 2 16" xfId="0"/>
    <cellStyle name="40% - 强调文字颜色 6 2 17" xfId="0"/>
    <cellStyle name="40% - 强调文字颜色 6 2 18" xfId="0"/>
    <cellStyle name="40% - 强调文字颜色 6 2 19" xfId="0"/>
    <cellStyle name="40% - 强调文字颜色 6 2 2" xfId="0"/>
    <cellStyle name="40% - 强调文字颜色 6 2 20" xfId="0"/>
    <cellStyle name="40% - 强调文字颜色 6 2 21" xfId="0"/>
    <cellStyle name="40% - 强调文字颜色 6 2 22" xfId="0"/>
    <cellStyle name="40% - 强调文字颜色 6 2 23" xfId="0"/>
    <cellStyle name="40% - 强调文字颜色 6 2 24" xfId="0"/>
    <cellStyle name="40% - 强调文字颜色 6 2 25" xfId="0"/>
    <cellStyle name="40% - 强调文字颜色 6 2 3" xfId="0"/>
    <cellStyle name="40% - 强调文字颜色 6 2 4" xfId="0"/>
    <cellStyle name="40% - 强调文字颜色 6 2 5" xfId="0"/>
    <cellStyle name="40% - 强调文字颜色 6 2 6" xfId="0"/>
    <cellStyle name="40% - 强调文字颜色 6 2 7" xfId="0"/>
    <cellStyle name="40% - 强调文字颜色 6 2 8" xfId="0"/>
    <cellStyle name="40% - 强调文字颜色 6 2 9" xfId="0"/>
    <cellStyle name="40% - 强调文字颜色 6 20" xfId="0"/>
    <cellStyle name="40% - 强调文字颜色 6 21" xfId="0"/>
    <cellStyle name="40% - 强调文字颜色 6 22" xfId="0"/>
    <cellStyle name="40% - 强调文字颜色 6 23" xfId="0"/>
    <cellStyle name="40% - 强调文字颜色 6 24" xfId="0"/>
    <cellStyle name="40% - 强调文字颜色 6 25" xfId="0"/>
    <cellStyle name="40% - 强调文字颜色 6 26" xfId="0"/>
    <cellStyle name="40% - 强调文字颜色 6 27" xfId="0"/>
    <cellStyle name="40% - 强调文字颜色 6 28" xfId="0"/>
    <cellStyle name="40% - 强调文字颜色 6 29" xfId="0"/>
    <cellStyle name="40% - 强调文字颜色 6 3" xfId="0"/>
    <cellStyle name="40% - 强调文字颜色 6 30" xfId="0"/>
    <cellStyle name="40% - 强调文字颜色 6 31" xfId="0"/>
    <cellStyle name="40% - 强调文字颜色 6 32" xfId="0"/>
    <cellStyle name="40% - 强调文字颜色 6 33" xfId="0"/>
    <cellStyle name="40% - 强调文字颜色 6 34" xfId="0"/>
    <cellStyle name="40% - 强调文字颜色 6 35" xfId="0"/>
    <cellStyle name="40% - 强调文字颜色 6 36" xfId="0"/>
    <cellStyle name="40% - 强调文字颜色 6 37" xfId="0"/>
    <cellStyle name="40% - 强调文字颜色 6 38" xfId="0"/>
    <cellStyle name="40% - 强调文字颜色 6 39" xfId="0"/>
    <cellStyle name="40% - 强调文字颜色 6 4" xfId="0"/>
    <cellStyle name="40% - 强调文字颜色 6 40" xfId="0"/>
    <cellStyle name="40% - 强调文字颜色 6 41" xfId="0"/>
    <cellStyle name="40% - 强调文字颜色 6 42" xfId="0"/>
    <cellStyle name="40% - 强调文字颜色 6 43" xfId="0"/>
    <cellStyle name="40% - 强调文字颜色 6 44" xfId="0"/>
    <cellStyle name="40% - 强调文字颜色 6 45" xfId="0"/>
    <cellStyle name="40% - 强调文字颜色 6 46" xfId="0"/>
    <cellStyle name="40% - 强调文字颜色 6 47" xfId="0"/>
    <cellStyle name="40% - 强调文字颜色 6 48" xfId="0"/>
    <cellStyle name="40% - 强调文字颜色 6 49" xfId="0"/>
    <cellStyle name="40% - 强调文字颜色 6 5" xfId="0"/>
    <cellStyle name="40% - 强调文字颜色 6 50" xfId="0"/>
    <cellStyle name="40% - 强调文字颜色 6 51" xfId="0"/>
    <cellStyle name="40% - 强调文字颜色 6 52" xfId="0"/>
    <cellStyle name="40% - 强调文字颜色 6 53" xfId="0"/>
    <cellStyle name="40% - 强调文字颜色 6 54" xfId="0"/>
    <cellStyle name="40% - 强调文字颜色 6 55" xfId="0"/>
    <cellStyle name="40% - 强调文字颜色 6 56" xfId="0"/>
    <cellStyle name="40% - 强调文字颜色 6 57" xfId="0"/>
    <cellStyle name="40% - 强调文字颜色 6 58" xfId="0"/>
    <cellStyle name="40% - 强调文字颜色 6 59" xfId="0"/>
    <cellStyle name="40% - 强调文字颜色 6 6" xfId="0"/>
    <cellStyle name="40% - 强调文字颜色 6 7" xfId="0"/>
    <cellStyle name="40% - 强调文字颜色 6_CORP SG&amp;A" xfId="0"/>
    <cellStyle name="40% - 輔色1 2" xfId="0"/>
    <cellStyle name="40% - 輔色1 2 2" xfId="0"/>
    <cellStyle name="40% - 輔色1 3" xfId="0"/>
    <cellStyle name="40% - 輔色1 3 2" xfId="0"/>
    <cellStyle name="40% - 輔色1 3 3" xfId="0"/>
    <cellStyle name="40% - 輔色1 4" xfId="0"/>
    <cellStyle name="40% - 輔色1 5" xfId="0"/>
    <cellStyle name="40% - 輔色2 2" xfId="0"/>
    <cellStyle name="40% - 輔色2 2 2" xfId="0"/>
    <cellStyle name="40% - 輔色2 3" xfId="0"/>
    <cellStyle name="40% - 輔色2 3 2" xfId="0"/>
    <cellStyle name="40% - 輔色2 3 3" xfId="0"/>
    <cellStyle name="40% - 輔色2 4" xfId="0"/>
    <cellStyle name="40% - 輔色2 5" xfId="0"/>
    <cellStyle name="40% - 輔色3 2" xfId="0"/>
    <cellStyle name="40% - 輔色3 2 2" xfId="0"/>
    <cellStyle name="40% - 輔色3 3" xfId="0"/>
    <cellStyle name="40% - 輔色3 3 2" xfId="0"/>
    <cellStyle name="40% - 輔色3 3 3" xfId="0"/>
    <cellStyle name="40% - 輔色3 4" xfId="0"/>
    <cellStyle name="40% - 輔色3 5" xfId="0"/>
    <cellStyle name="40% - 輔色4 2" xfId="0"/>
    <cellStyle name="40% - 輔色4 2 2" xfId="0"/>
    <cellStyle name="40% - 輔色4 3" xfId="0"/>
    <cellStyle name="40% - 輔色4 3 2" xfId="0"/>
    <cellStyle name="40% - 輔色4 3 3" xfId="0"/>
    <cellStyle name="40% - 輔色4 4" xfId="0"/>
    <cellStyle name="40% - 輔色4 5" xfId="0"/>
    <cellStyle name="40% - 輔色5 2" xfId="0"/>
    <cellStyle name="40% - 輔色5 2 2" xfId="0"/>
    <cellStyle name="40% - 輔色5 3" xfId="0"/>
    <cellStyle name="40% - 輔色5 3 2" xfId="0"/>
    <cellStyle name="40% - 輔色5 3 3" xfId="0"/>
    <cellStyle name="40% - 輔色5 4" xfId="0"/>
    <cellStyle name="40% - 輔色5 5" xfId="0"/>
    <cellStyle name="40% - 輔色6 2" xfId="0"/>
    <cellStyle name="40% - 輔色6 2 2" xfId="0"/>
    <cellStyle name="40% - 輔色6 3" xfId="0"/>
    <cellStyle name="40% - 輔色6 3 2" xfId="0"/>
    <cellStyle name="40% - 輔色6 3 3" xfId="0"/>
    <cellStyle name="40% - 輔色6 4" xfId="0"/>
    <cellStyle name="40% - 輔色6 5" xfId="0"/>
    <cellStyle name="40 % - Accent1" xfId="0"/>
    <cellStyle name="40 % - Accent1 2" xfId="0"/>
    <cellStyle name="40 % - Accent2" xfId="0"/>
    <cellStyle name="40 % - Accent2 2" xfId="0"/>
    <cellStyle name="40 % - Accent3" xfId="0"/>
    <cellStyle name="40 % - Accent3 2" xfId="0"/>
    <cellStyle name="40 % - Accent4" xfId="0"/>
    <cellStyle name="40 % - Accent4 2" xfId="0"/>
    <cellStyle name="40 % - Accent5" xfId="0"/>
    <cellStyle name="40 % - Accent5 2" xfId="0"/>
    <cellStyle name="40 % - Accent6" xfId="0"/>
    <cellStyle name="40 % - Accent6 2" xfId="0"/>
    <cellStyle name="60 % - Markeringsfarve1" xfId="0"/>
    <cellStyle name="60 % - Markeringsfarve1 2" xfId="0"/>
    <cellStyle name="60 % - Markeringsfarve2" xfId="0"/>
    <cellStyle name="60 % - Markeringsfarve2 2" xfId="0"/>
    <cellStyle name="60 % - Markeringsfarve3" xfId="0"/>
    <cellStyle name="60 % - Markeringsfarve3 2" xfId="0"/>
    <cellStyle name="60 % - Markeringsfarve4" xfId="0"/>
    <cellStyle name="60 % - Markeringsfarve4 2" xfId="0"/>
    <cellStyle name="60 % - Markeringsfarve5" xfId="0"/>
    <cellStyle name="60 % - Markeringsfarve5 2" xfId="0"/>
    <cellStyle name="60 % - Markeringsfarve6" xfId="0"/>
    <cellStyle name="60 % - Markeringsfarve6 2" xfId="0"/>
    <cellStyle name="60% - Accent1" xfId="0"/>
    <cellStyle name="60% - Accent1 10" xfId="0"/>
    <cellStyle name="60% - Accent1 10 2" xfId="0"/>
    <cellStyle name="60% - Accent1 10 2 2" xfId="0"/>
    <cellStyle name="60% - Accent1 10 3" xfId="0"/>
    <cellStyle name="60% - Accent1 10 3 2" xfId="0"/>
    <cellStyle name="60% - Accent1 10 4" xfId="0"/>
    <cellStyle name="60% - Accent1 11" xfId="0"/>
    <cellStyle name="60% - Accent1 11 2" xfId="0"/>
    <cellStyle name="60% - Accent1 11 2 2" xfId="0"/>
    <cellStyle name="60% - Accent1 11 3" xfId="0"/>
    <cellStyle name="60% - Accent1 11 3 2" xfId="0"/>
    <cellStyle name="60% - Accent1 11 4" xfId="0"/>
    <cellStyle name="60% - Accent1 12" xfId="0"/>
    <cellStyle name="60% - Accent1 12 2" xfId="0"/>
    <cellStyle name="60% - Accent1 13" xfId="0"/>
    <cellStyle name="60% - Accent1 13 2" xfId="0"/>
    <cellStyle name="60% - Accent1 14" xfId="0"/>
    <cellStyle name="60% - Accent1 14 2" xfId="0"/>
    <cellStyle name="60% - Accent1 15" xfId="0"/>
    <cellStyle name="60% - Accent1 15 2" xfId="0"/>
    <cellStyle name="60% - Accent1 16" xfId="0"/>
    <cellStyle name="60% - Accent1 16 2" xfId="0"/>
    <cellStyle name="60% - Accent1 17" xfId="0"/>
    <cellStyle name="60% - Accent1 17 2" xfId="0"/>
    <cellStyle name="60% - Accent1 18" xfId="0"/>
    <cellStyle name="60% - Accent1 18 2" xfId="0"/>
    <cellStyle name="60% - Accent1 19" xfId="0"/>
    <cellStyle name="60% - Accent1 19 2" xfId="0"/>
    <cellStyle name="60% - Accent1 2" xfId="0"/>
    <cellStyle name="60% - Accent1 2 2" xfId="0"/>
    <cellStyle name="60% - Accent1 2 2 2" xfId="0"/>
    <cellStyle name="60% - Accent1 2 2 2 2" xfId="0"/>
    <cellStyle name="60% - Accent1 2 2 3" xfId="0"/>
    <cellStyle name="60% - Accent1 2 2 3 2" xfId="0"/>
    <cellStyle name="60% - Accent1 2 2 4" xfId="0"/>
    <cellStyle name="60% - Accent1 2 2 4 2" xfId="0"/>
    <cellStyle name="60% - Accent1 2 2 5" xfId="0"/>
    <cellStyle name="60% - Accent1 2 2 6" xfId="0"/>
    <cellStyle name="60% - Accent1 2 3" xfId="0"/>
    <cellStyle name="60% - Accent1 2 3 2" xfId="0"/>
    <cellStyle name="60% - Accent1 2 3 3" xfId="0"/>
    <cellStyle name="60% - Accent1 2 4" xfId="0"/>
    <cellStyle name="60% - Accent1 2 4 2" xfId="0"/>
    <cellStyle name="60% - Accent1 2 4 3" xfId="0"/>
    <cellStyle name="60% - Accent1 2 5" xfId="0"/>
    <cellStyle name="60% - Accent1 2 5 2" xfId="0"/>
    <cellStyle name="60% - Accent1 2 5 3" xfId="0"/>
    <cellStyle name="60% - Accent1 2 6" xfId="0"/>
    <cellStyle name="60% - Accent1 2 7" xfId="0"/>
    <cellStyle name="60% - Accent1 2 8" xfId="0"/>
    <cellStyle name="60% - Accent1 20" xfId="0"/>
    <cellStyle name="60% - Accent1 20 2" xfId="0"/>
    <cellStyle name="60% - Accent1 21" xfId="0"/>
    <cellStyle name="60% - Accent1 21 2" xfId="0"/>
    <cellStyle name="60% - Accent1 22" xfId="0"/>
    <cellStyle name="60% - Accent1 22 2" xfId="0"/>
    <cellStyle name="60% - Accent1 23" xfId="0"/>
    <cellStyle name="60% - Accent1 23 2" xfId="0"/>
    <cellStyle name="60% - Accent1 23 3" xfId="0"/>
    <cellStyle name="60% - Accent1 24" xfId="0"/>
    <cellStyle name="60% - Accent1 24 2" xfId="0"/>
    <cellStyle name="60% - Accent1 24 3" xfId="0"/>
    <cellStyle name="60% - Accent1 25" xfId="0"/>
    <cellStyle name="60% - Accent1 25 2" xfId="0"/>
    <cellStyle name="60% - Accent1 25 3" xfId="0"/>
    <cellStyle name="60% - Accent1 26" xfId="0"/>
    <cellStyle name="60% - Accent1 26 2" xfId="0"/>
    <cellStyle name="60% - Accent1 27" xfId="0"/>
    <cellStyle name="60% - Accent1 27 2" xfId="0"/>
    <cellStyle name="60% - Accent1 28" xfId="0"/>
    <cellStyle name="60% - Accent1 28 2" xfId="0"/>
    <cellStyle name="60% - Accent1 29" xfId="0"/>
    <cellStyle name="60% - Accent1 29 2" xfId="0"/>
    <cellStyle name="60% - Accent1 2_2.VSCN - GSC charge" xfId="0"/>
    <cellStyle name="60% - Accent1 3" xfId="0"/>
    <cellStyle name="60% - Accent1 3 2" xfId="0"/>
    <cellStyle name="60% - Accent1 3 2 2" xfId="0"/>
    <cellStyle name="60% - Accent1 3 2 3" xfId="0"/>
    <cellStyle name="60% - Accent1 3 3" xfId="0"/>
    <cellStyle name="60% - Accent1 3 3 2" xfId="0"/>
    <cellStyle name="60% - Accent1 3 3 3" xfId="0"/>
    <cellStyle name="60% - Accent1 3 4" xfId="0"/>
    <cellStyle name="60% - Accent1 3 4 2" xfId="0"/>
    <cellStyle name="60% - Accent1 3 5" xfId="0"/>
    <cellStyle name="60% - Accent1 3 5 2" xfId="0"/>
    <cellStyle name="60% - Accent1 3 6" xfId="0"/>
    <cellStyle name="60% - Accent1 3 7" xfId="0"/>
    <cellStyle name="60% - Accent1 30" xfId="0"/>
    <cellStyle name="60% - Accent1 30 2" xfId="0"/>
    <cellStyle name="60% - Accent1 31" xfId="0"/>
    <cellStyle name="60% - Accent1 31 2" xfId="0"/>
    <cellStyle name="60% - Accent1 32" xfId="0"/>
    <cellStyle name="60% - Accent1 32 2" xfId="0"/>
    <cellStyle name="60% - Accent1 33" xfId="0"/>
    <cellStyle name="60% - Accent1 33 2" xfId="0"/>
    <cellStyle name="60% - Accent1 34" xfId="0"/>
    <cellStyle name="60% - Accent1 34 2" xfId="0"/>
    <cellStyle name="60% - Accent1 35" xfId="0"/>
    <cellStyle name="60% - Accent1 35 2" xfId="0"/>
    <cellStyle name="60% - Accent1 36" xfId="0"/>
    <cellStyle name="60% - Accent1 36 2" xfId="0"/>
    <cellStyle name="60% - Accent1 37" xfId="0"/>
    <cellStyle name="60% - Accent1 37 2" xfId="0"/>
    <cellStyle name="60% - Accent1 38" xfId="0"/>
    <cellStyle name="60% - Accent1 38 2" xfId="0"/>
    <cellStyle name="60% - Accent1 39" xfId="0"/>
    <cellStyle name="60% - Accent1 39 2" xfId="0"/>
    <cellStyle name="60% - Accent1 3_Profitability Detail NT$ Sep-12" xfId="0"/>
    <cellStyle name="60% - Accent1 4" xfId="0"/>
    <cellStyle name="60% - Accent1 4 2" xfId="0"/>
    <cellStyle name="60% - Accent1 4 2 2" xfId="0"/>
    <cellStyle name="60% - Accent1 4 2 3" xfId="0"/>
    <cellStyle name="60% - Accent1 4 3" xfId="0"/>
    <cellStyle name="60% - Accent1 4 3 2" xfId="0"/>
    <cellStyle name="60% - Accent1 4 3 3" xfId="0"/>
    <cellStyle name="60% - Accent1 4 4" xfId="0"/>
    <cellStyle name="60% - Accent1 4 4 2" xfId="0"/>
    <cellStyle name="60% - Accent1 4 5" xfId="0"/>
    <cellStyle name="60% - Accent1 4 5 2" xfId="0"/>
    <cellStyle name="60% - Accent1 4 6" xfId="0"/>
    <cellStyle name="60% - Accent1 4 7" xfId="0"/>
    <cellStyle name="60% - Accent1 40" xfId="0"/>
    <cellStyle name="60% - Accent1 40 2" xfId="0"/>
    <cellStyle name="60% - Accent1 41" xfId="0"/>
    <cellStyle name="60% - Accent1 41 2" xfId="0"/>
    <cellStyle name="60% - Accent1 42" xfId="0"/>
    <cellStyle name="60% - Accent1 43" xfId="0"/>
    <cellStyle name="60% - Accent1 4_Profitability Detail NT$ Sep-12" xfId="0"/>
    <cellStyle name="60% - Accent1 5" xfId="0"/>
    <cellStyle name="60% - Accent1 5 2" xfId="0"/>
    <cellStyle name="60% - Accent1 5 2 2" xfId="0"/>
    <cellStyle name="60% - Accent1 5 2 3" xfId="0"/>
    <cellStyle name="60% - Accent1 5 3" xfId="0"/>
    <cellStyle name="60% - Accent1 5 3 2" xfId="0"/>
    <cellStyle name="60% - Accent1 5 4" xfId="0"/>
    <cellStyle name="60% - Accent1 5 4 2" xfId="0"/>
    <cellStyle name="60% - Accent1 5 5" xfId="0"/>
    <cellStyle name="60% - Accent1 6" xfId="0"/>
    <cellStyle name="60% - Accent1 6 2" xfId="0"/>
    <cellStyle name="60% - Accent1 6 2 2" xfId="0"/>
    <cellStyle name="60% - Accent1 6 3" xfId="0"/>
    <cellStyle name="60% - Accent1 6 3 2" xfId="0"/>
    <cellStyle name="60% - Accent1 6 4" xfId="0"/>
    <cellStyle name="60% - Accent1 7" xfId="0"/>
    <cellStyle name="60% - Accent1 7 2" xfId="0"/>
    <cellStyle name="60% - Accent1 7 2 2" xfId="0"/>
    <cellStyle name="60% - Accent1 7 3" xfId="0"/>
    <cellStyle name="60% - Accent1 7 3 2" xfId="0"/>
    <cellStyle name="60% - Accent1 7 4" xfId="0"/>
    <cellStyle name="60% - Accent1 8" xfId="0"/>
    <cellStyle name="60% - Accent1 8 2" xfId="0"/>
    <cellStyle name="60% - Accent1 8 2 2" xfId="0"/>
    <cellStyle name="60% - Accent1 8 3" xfId="0"/>
    <cellStyle name="60% - Accent1 8 3 2" xfId="0"/>
    <cellStyle name="60% - Accent1 8 4" xfId="0"/>
    <cellStyle name="60% - Accent1 9" xfId="0"/>
    <cellStyle name="60% - Accent1 9 2" xfId="0"/>
    <cellStyle name="60% - Accent1 9 2 2" xfId="0"/>
    <cellStyle name="60% - Accent1 9 3" xfId="0"/>
    <cellStyle name="60% - Accent1 9 3 2" xfId="0"/>
    <cellStyle name="60% - Accent1 9 4" xfId="0"/>
    <cellStyle name="60% - Accent1_ALL inventory onhand data 0912" xfId="0"/>
    <cellStyle name="60% - Accent2" xfId="0"/>
    <cellStyle name="60% - Accent2 10" xfId="0"/>
    <cellStyle name="60% - Accent2 10 2" xfId="0"/>
    <cellStyle name="60% - Accent2 10 2 2" xfId="0"/>
    <cellStyle name="60% - Accent2 10 3" xfId="0"/>
    <cellStyle name="60% - Accent2 10 3 2" xfId="0"/>
    <cellStyle name="60% - Accent2 10 4" xfId="0"/>
    <cellStyle name="60% - Accent2 11" xfId="0"/>
    <cellStyle name="60% - Accent2 11 2" xfId="0"/>
    <cellStyle name="60% - Accent2 11 2 2" xfId="0"/>
    <cellStyle name="60% - Accent2 11 3" xfId="0"/>
    <cellStyle name="60% - Accent2 11 3 2" xfId="0"/>
    <cellStyle name="60% - Accent2 11 4" xfId="0"/>
    <cellStyle name="60% - Accent2 12" xfId="0"/>
    <cellStyle name="60% - Accent2 12 2" xfId="0"/>
    <cellStyle name="60% - Accent2 13" xfId="0"/>
    <cellStyle name="60% - Accent2 13 2" xfId="0"/>
    <cellStyle name="60% - Accent2 14" xfId="0"/>
    <cellStyle name="60% - Accent2 14 2" xfId="0"/>
    <cellStyle name="60% - Accent2 15" xfId="0"/>
    <cellStyle name="60% - Accent2 15 2" xfId="0"/>
    <cellStyle name="60% - Accent2 16" xfId="0"/>
    <cellStyle name="60% - Accent2 16 2" xfId="0"/>
    <cellStyle name="60% - Accent2 17" xfId="0"/>
    <cellStyle name="60% - Accent2 17 2" xfId="0"/>
    <cellStyle name="60% - Accent2 18" xfId="0"/>
    <cellStyle name="60% - Accent2 18 2" xfId="0"/>
    <cellStyle name="60% - Accent2 19" xfId="0"/>
    <cellStyle name="60% - Accent2 19 2" xfId="0"/>
    <cellStyle name="60% - Accent2 2" xfId="0"/>
    <cellStyle name="60% - Accent2 2 2" xfId="0"/>
    <cellStyle name="60% - Accent2 2 2 2" xfId="0"/>
    <cellStyle name="60% - Accent2 2 2 2 2" xfId="0"/>
    <cellStyle name="60% - Accent2 2 2 3" xfId="0"/>
    <cellStyle name="60% - Accent2 2 2 3 2" xfId="0"/>
    <cellStyle name="60% - Accent2 2 2 4" xfId="0"/>
    <cellStyle name="60% - Accent2 2 2 4 2" xfId="0"/>
    <cellStyle name="60% - Accent2 2 2 5" xfId="0"/>
    <cellStyle name="60% - Accent2 2 2 6" xfId="0"/>
    <cellStyle name="60% - Accent2 2 3" xfId="0"/>
    <cellStyle name="60% - Accent2 2 3 2" xfId="0"/>
    <cellStyle name="60% - Accent2 2 3 3" xfId="0"/>
    <cellStyle name="60% - Accent2 2 4" xfId="0"/>
    <cellStyle name="60% - Accent2 2 4 2" xfId="0"/>
    <cellStyle name="60% - Accent2 2 4 3" xfId="0"/>
    <cellStyle name="60% - Accent2 2 5" xfId="0"/>
    <cellStyle name="60% - Accent2 2 5 2" xfId="0"/>
    <cellStyle name="60% - Accent2 2 5 3" xfId="0"/>
    <cellStyle name="60% - Accent2 2 6" xfId="0"/>
    <cellStyle name="60% - Accent2 2 7" xfId="0"/>
    <cellStyle name="60% - Accent2 2 8" xfId="0"/>
    <cellStyle name="60% - Accent2 20" xfId="0"/>
    <cellStyle name="60% - Accent2 20 2" xfId="0"/>
    <cellStyle name="60% - Accent2 21" xfId="0"/>
    <cellStyle name="60% - Accent2 21 2" xfId="0"/>
    <cellStyle name="60% - Accent2 22" xfId="0"/>
    <cellStyle name="60% - Accent2 22 2" xfId="0"/>
    <cellStyle name="60% - Accent2 23" xfId="0"/>
    <cellStyle name="60% - Accent2 23 2" xfId="0"/>
    <cellStyle name="60% - Accent2 23 3" xfId="0"/>
    <cellStyle name="60% - Accent2 24" xfId="0"/>
    <cellStyle name="60% - Accent2 24 2" xfId="0"/>
    <cellStyle name="60% - Accent2 24 3" xfId="0"/>
    <cellStyle name="60% - Accent2 25" xfId="0"/>
    <cellStyle name="60% - Accent2 25 2" xfId="0"/>
    <cellStyle name="60% - Accent2 25 3" xfId="0"/>
    <cellStyle name="60% - Accent2 26" xfId="0"/>
    <cellStyle name="60% - Accent2 26 2" xfId="0"/>
    <cellStyle name="60% - Accent2 27" xfId="0"/>
    <cellStyle name="60% - Accent2 27 2" xfId="0"/>
    <cellStyle name="60% - Accent2 28" xfId="0"/>
    <cellStyle name="60% - Accent2 28 2" xfId="0"/>
    <cellStyle name="60% - Accent2 29" xfId="0"/>
    <cellStyle name="60% - Accent2 29 2" xfId="0"/>
    <cellStyle name="60% - Accent2 2_2.VSCN - GSC charge" xfId="0"/>
    <cellStyle name="60% - Accent2 3" xfId="0"/>
    <cellStyle name="60% - Accent2 3 2" xfId="0"/>
    <cellStyle name="60% - Accent2 3 2 2" xfId="0"/>
    <cellStyle name="60% - Accent2 3 2 3" xfId="0"/>
    <cellStyle name="60% - Accent2 3 3" xfId="0"/>
    <cellStyle name="60% - Accent2 3 3 2" xfId="0"/>
    <cellStyle name="60% - Accent2 3 3 3" xfId="0"/>
    <cellStyle name="60% - Accent2 3 4" xfId="0"/>
    <cellStyle name="60% - Accent2 3 4 2" xfId="0"/>
    <cellStyle name="60% - Accent2 3 5" xfId="0"/>
    <cellStyle name="60% - Accent2 3 5 2" xfId="0"/>
    <cellStyle name="60% - Accent2 3 6" xfId="0"/>
    <cellStyle name="60% - Accent2 3 7" xfId="0"/>
    <cellStyle name="60% - Accent2 30" xfId="0"/>
    <cellStyle name="60% - Accent2 30 2" xfId="0"/>
    <cellStyle name="60% - Accent2 31" xfId="0"/>
    <cellStyle name="60% - Accent2 31 2" xfId="0"/>
    <cellStyle name="60% - Accent2 32" xfId="0"/>
    <cellStyle name="60% - Accent2 32 2" xfId="0"/>
    <cellStyle name="60% - Accent2 33" xfId="0"/>
    <cellStyle name="60% - Accent2 33 2" xfId="0"/>
    <cellStyle name="60% - Accent2 34" xfId="0"/>
    <cellStyle name="60% - Accent2 34 2" xfId="0"/>
    <cellStyle name="60% - Accent2 35" xfId="0"/>
    <cellStyle name="60% - Accent2 35 2" xfId="0"/>
    <cellStyle name="60% - Accent2 36" xfId="0"/>
    <cellStyle name="60% - Accent2 37" xfId="0"/>
    <cellStyle name="60% - Accent2 38" xfId="0"/>
    <cellStyle name="60% - Accent2 3_Profitability Detail NT$ Sep-12" xfId="0"/>
    <cellStyle name="60% - Accent2 4" xfId="0"/>
    <cellStyle name="60% - Accent2 4 2" xfId="0"/>
    <cellStyle name="60% - Accent2 4 2 2" xfId="0"/>
    <cellStyle name="60% - Accent2 4 2 3" xfId="0"/>
    <cellStyle name="60% - Accent2 4 3" xfId="0"/>
    <cellStyle name="60% - Accent2 4 3 2" xfId="0"/>
    <cellStyle name="60% - Accent2 4 3 3" xfId="0"/>
    <cellStyle name="60% - Accent2 4 4" xfId="0"/>
    <cellStyle name="60% - Accent2 4 4 2" xfId="0"/>
    <cellStyle name="60% - Accent2 4 5" xfId="0"/>
    <cellStyle name="60% - Accent2 4 5 2" xfId="0"/>
    <cellStyle name="60% - Accent2 4 6" xfId="0"/>
    <cellStyle name="60% - Accent2 4 7" xfId="0"/>
    <cellStyle name="60% - Accent2 4_Profitability Detail NT$ Sep-12" xfId="0"/>
    <cellStyle name="60% - Accent2 5" xfId="0"/>
    <cellStyle name="60% - Accent2 5 2" xfId="0"/>
    <cellStyle name="60% - Accent2 5 2 2" xfId="0"/>
    <cellStyle name="60% - Accent2 5 2 3" xfId="0"/>
    <cellStyle name="60% - Accent2 5 3" xfId="0"/>
    <cellStyle name="60% - Accent2 5 3 2" xfId="0"/>
    <cellStyle name="60% - Accent2 5 4" xfId="0"/>
    <cellStyle name="60% - Accent2 5 4 2" xfId="0"/>
    <cellStyle name="60% - Accent2 5 5" xfId="0"/>
    <cellStyle name="60% - Accent2 6" xfId="0"/>
    <cellStyle name="60% - Accent2 6 2" xfId="0"/>
    <cellStyle name="60% - Accent2 6 2 2" xfId="0"/>
    <cellStyle name="60% - Accent2 6 3" xfId="0"/>
    <cellStyle name="60% - Accent2 6 3 2" xfId="0"/>
    <cellStyle name="60% - Accent2 6 4" xfId="0"/>
    <cellStyle name="60% - Accent2 7" xfId="0"/>
    <cellStyle name="60% - Accent2 7 2" xfId="0"/>
    <cellStyle name="60% - Accent2 7 2 2" xfId="0"/>
    <cellStyle name="60% - Accent2 7 3" xfId="0"/>
    <cellStyle name="60% - Accent2 7 3 2" xfId="0"/>
    <cellStyle name="60% - Accent2 7 4" xfId="0"/>
    <cellStyle name="60% - Accent2 8" xfId="0"/>
    <cellStyle name="60% - Accent2 8 2" xfId="0"/>
    <cellStyle name="60% - Accent2 8 2 2" xfId="0"/>
    <cellStyle name="60% - Accent2 8 3" xfId="0"/>
    <cellStyle name="60% - Accent2 8 3 2" xfId="0"/>
    <cellStyle name="60% - Accent2 8 4" xfId="0"/>
    <cellStyle name="60% - Accent2 9" xfId="0"/>
    <cellStyle name="60% - Accent2 9 2" xfId="0"/>
    <cellStyle name="60% - Accent2 9 2 2" xfId="0"/>
    <cellStyle name="60% - Accent2 9 3" xfId="0"/>
    <cellStyle name="60% - Accent2 9 3 2" xfId="0"/>
    <cellStyle name="60% - Accent2 9 4" xfId="0"/>
    <cellStyle name="60% - Accent2_ALL inventory onhand data 0912" xfId="0"/>
    <cellStyle name="60% - Accent3" xfId="0"/>
    <cellStyle name="60% - Accent3 10" xfId="0"/>
    <cellStyle name="60% - Accent3 10 2" xfId="0"/>
    <cellStyle name="60% - Accent3 10 2 2" xfId="0"/>
    <cellStyle name="60% - Accent3 10 3" xfId="0"/>
    <cellStyle name="60% - Accent3 10 3 2" xfId="0"/>
    <cellStyle name="60% - Accent3 10 4" xfId="0"/>
    <cellStyle name="60% - Accent3 11" xfId="0"/>
    <cellStyle name="60% - Accent3 11 2" xfId="0"/>
    <cellStyle name="60% - Accent3 11 2 2" xfId="0"/>
    <cellStyle name="60% - Accent3 11 3" xfId="0"/>
    <cellStyle name="60% - Accent3 11 3 2" xfId="0"/>
    <cellStyle name="60% - Accent3 11 4" xfId="0"/>
    <cellStyle name="60% - Accent3 12" xfId="0"/>
    <cellStyle name="60% - Accent3 12 2" xfId="0"/>
    <cellStyle name="60% - Accent3 13" xfId="0"/>
    <cellStyle name="60% - Accent3 13 2" xfId="0"/>
    <cellStyle name="60% - Accent3 14" xfId="0"/>
    <cellStyle name="60% - Accent3 14 2" xfId="0"/>
    <cellStyle name="60% - Accent3 15" xfId="0"/>
    <cellStyle name="60% - Accent3 15 2" xfId="0"/>
    <cellStyle name="60% - Accent3 16" xfId="0"/>
    <cellStyle name="60% - Accent3 16 2" xfId="0"/>
    <cellStyle name="60% - Accent3 17" xfId="0"/>
    <cellStyle name="60% - Accent3 17 2" xfId="0"/>
    <cellStyle name="60% - Accent3 18" xfId="0"/>
    <cellStyle name="60% - Accent3 18 2" xfId="0"/>
    <cellStyle name="60% - Accent3 19" xfId="0"/>
    <cellStyle name="60% - Accent3 19 2" xfId="0"/>
    <cellStyle name="60% - Accent3 2" xfId="0"/>
    <cellStyle name="60% - Accent3 2 2" xfId="0"/>
    <cellStyle name="60% - Accent3 2 2 2" xfId="0"/>
    <cellStyle name="60% - Accent3 2 2 2 2" xfId="0"/>
    <cellStyle name="60% - Accent3 2 2 3" xfId="0"/>
    <cellStyle name="60% - Accent3 2 2 3 2" xfId="0"/>
    <cellStyle name="60% - Accent3 2 2 4" xfId="0"/>
    <cellStyle name="60% - Accent3 2 2 4 2" xfId="0"/>
    <cellStyle name="60% - Accent3 2 2 5" xfId="0"/>
    <cellStyle name="60% - Accent3 2 2 6" xfId="0"/>
    <cellStyle name="60% - Accent3 2 3" xfId="0"/>
    <cellStyle name="60% - Accent3 2 3 2" xfId="0"/>
    <cellStyle name="60% - Accent3 2 3 3" xfId="0"/>
    <cellStyle name="60% - Accent3 2 4" xfId="0"/>
    <cellStyle name="60% - Accent3 2 4 2" xfId="0"/>
    <cellStyle name="60% - Accent3 2 4 3" xfId="0"/>
    <cellStyle name="60% - Accent3 2 5" xfId="0"/>
    <cellStyle name="60% - Accent3 2 5 2" xfId="0"/>
    <cellStyle name="60% - Accent3 2 5 3" xfId="0"/>
    <cellStyle name="60% - Accent3 2 6" xfId="0"/>
    <cellStyle name="60% - Accent3 2 7" xfId="0"/>
    <cellStyle name="60% - Accent3 2 8" xfId="0"/>
    <cellStyle name="60% - Accent3 20" xfId="0"/>
    <cellStyle name="60% - Accent3 20 2" xfId="0"/>
    <cellStyle name="60% - Accent3 21" xfId="0"/>
    <cellStyle name="60% - Accent3 21 2" xfId="0"/>
    <cellStyle name="60% - Accent3 22" xfId="0"/>
    <cellStyle name="60% - Accent3 22 2" xfId="0"/>
    <cellStyle name="60% - Accent3 23" xfId="0"/>
    <cellStyle name="60% - Accent3 23 2" xfId="0"/>
    <cellStyle name="60% - Accent3 23 3" xfId="0"/>
    <cellStyle name="60% - Accent3 24" xfId="0"/>
    <cellStyle name="60% - Accent3 24 2" xfId="0"/>
    <cellStyle name="60% - Accent3 24 3" xfId="0"/>
    <cellStyle name="60% - Accent3 25" xfId="0"/>
    <cellStyle name="60% - Accent3 25 2" xfId="0"/>
    <cellStyle name="60% - Accent3 26" xfId="0"/>
    <cellStyle name="60% - Accent3 26 2" xfId="0"/>
    <cellStyle name="60% - Accent3 27" xfId="0"/>
    <cellStyle name="60% - Accent3 27 2" xfId="0"/>
    <cellStyle name="60% - Accent3 28" xfId="0"/>
    <cellStyle name="60% - Accent3 28 2" xfId="0"/>
    <cellStyle name="60% - Accent3 29" xfId="0"/>
    <cellStyle name="60% - Accent3 29 2" xfId="0"/>
    <cellStyle name="60% - Accent3 2_2.VSCN - GSC charge" xfId="0"/>
    <cellStyle name="60% - Accent3 3" xfId="0"/>
    <cellStyle name="60% - Accent3 3 2" xfId="0"/>
    <cellStyle name="60% - Accent3 3 2 2" xfId="0"/>
    <cellStyle name="60% - Accent3 3 2 3" xfId="0"/>
    <cellStyle name="60% - Accent3 3 3" xfId="0"/>
    <cellStyle name="60% - Accent3 3 3 2" xfId="0"/>
    <cellStyle name="60% - Accent3 3 3 3" xfId="0"/>
    <cellStyle name="60% - Accent3 3 4" xfId="0"/>
    <cellStyle name="60% - Accent3 3 4 2" xfId="0"/>
    <cellStyle name="60% - Accent3 3 5" xfId="0"/>
    <cellStyle name="60% - Accent3 3 5 2" xfId="0"/>
    <cellStyle name="60% - Accent3 3 6" xfId="0"/>
    <cellStyle name="60% - Accent3 3 7" xfId="0"/>
    <cellStyle name="60% - Accent3 30" xfId="0"/>
    <cellStyle name="60% - Accent3 30 2" xfId="0"/>
    <cellStyle name="60% - Accent3 31" xfId="0"/>
    <cellStyle name="60% - Accent3 31 2" xfId="0"/>
    <cellStyle name="60% - Accent3 32" xfId="0"/>
    <cellStyle name="60% - Accent3 32 2" xfId="0"/>
    <cellStyle name="60% - Accent3 33" xfId="0"/>
    <cellStyle name="60% - Accent3 33 2" xfId="0"/>
    <cellStyle name="60% - Accent3 34" xfId="0"/>
    <cellStyle name="60% - Accent3 34 2" xfId="0"/>
    <cellStyle name="60% - Accent3 35" xfId="0"/>
    <cellStyle name="60% - Accent3 35 2" xfId="0"/>
    <cellStyle name="60% - Accent3 36" xfId="0"/>
    <cellStyle name="60% - Accent3 36 2" xfId="0"/>
    <cellStyle name="60% - Accent3 37" xfId="0"/>
    <cellStyle name="60% - Accent3 37 2" xfId="0"/>
    <cellStyle name="60% - Accent3 38" xfId="0"/>
    <cellStyle name="60% - Accent3 38 2" xfId="0"/>
    <cellStyle name="60% - Accent3 39" xfId="0"/>
    <cellStyle name="60% - Accent3 39 2" xfId="0"/>
    <cellStyle name="60% - Accent3 3_Profitability Detail NT$ Sep-12" xfId="0"/>
    <cellStyle name="60% - Accent3 4" xfId="0"/>
    <cellStyle name="60% - Accent3 4 2" xfId="0"/>
    <cellStyle name="60% - Accent3 4 2 2" xfId="0"/>
    <cellStyle name="60% - Accent3 4 2 3" xfId="0"/>
    <cellStyle name="60% - Accent3 4 3" xfId="0"/>
    <cellStyle name="60% - Accent3 4 3 2" xfId="0"/>
    <cellStyle name="60% - Accent3 4 3 3" xfId="0"/>
    <cellStyle name="60% - Accent3 4 4" xfId="0"/>
    <cellStyle name="60% - Accent3 4 4 2" xfId="0"/>
    <cellStyle name="60% - Accent3 4 5" xfId="0"/>
    <cellStyle name="60% - Accent3 4 5 2" xfId="0"/>
    <cellStyle name="60% - Accent3 4 6" xfId="0"/>
    <cellStyle name="60% - Accent3 4 7" xfId="0"/>
    <cellStyle name="60% - Accent3 40" xfId="0"/>
    <cellStyle name="60% - Accent3 41" xfId="0"/>
    <cellStyle name="60% - Accent3 4_Profitability Detail NT$ Sep-12" xfId="0"/>
    <cellStyle name="60% - Accent3 5" xfId="0"/>
    <cellStyle name="60% - Accent3 5 2" xfId="0"/>
    <cellStyle name="60% - Accent3 5 3" xfId="0"/>
    <cellStyle name="60% - Accent3 5 3 2" xfId="0"/>
    <cellStyle name="60% - Accent3 6" xfId="0"/>
    <cellStyle name="60% - Accent3 6 2" xfId="0"/>
    <cellStyle name="60% - Accent3 6 3" xfId="0"/>
    <cellStyle name="60% - Accent3 7" xfId="0"/>
    <cellStyle name="60% - Accent3 7 2" xfId="0"/>
    <cellStyle name="60% - Accent3 7 3" xfId="0"/>
    <cellStyle name="60% - Accent3 8" xfId="0"/>
    <cellStyle name="60% - Accent3 8 2" xfId="0"/>
    <cellStyle name="60% - Accent3 8 3" xfId="0"/>
    <cellStyle name="60% - Accent3 9" xfId="0"/>
    <cellStyle name="60% - Accent3 9 2" xfId="0"/>
    <cellStyle name="60% - Accent3 9 3" xfId="0"/>
    <cellStyle name="60% - Accent3_ALL inventory onhand data 0912" xfId="0"/>
    <cellStyle name="60% - Accent4" xfId="0"/>
    <cellStyle name="60% - Accent4 10" xfId="0"/>
    <cellStyle name="60% - Accent4 10 2" xfId="0"/>
    <cellStyle name="60% - Accent4 11" xfId="0"/>
    <cellStyle name="60% - Accent4 11 2" xfId="0"/>
    <cellStyle name="60% - Accent4 12" xfId="0"/>
    <cellStyle name="60% - Accent4 12 2" xfId="0"/>
    <cellStyle name="60% - Accent4 13" xfId="0"/>
    <cellStyle name="60% - Accent4 13 2" xfId="0"/>
    <cellStyle name="60% - Accent4 14" xfId="0"/>
    <cellStyle name="60% - Accent4 14 2" xfId="0"/>
    <cellStyle name="60% - Accent4 15" xfId="0"/>
    <cellStyle name="60% - Accent4 15 2" xfId="0"/>
    <cellStyle name="60% - Accent4 16" xfId="0"/>
    <cellStyle name="60% - Accent4 16 2" xfId="0"/>
    <cellStyle name="60% - Accent4 17" xfId="0"/>
    <cellStyle name="60% - Accent4 17 2" xfId="0"/>
    <cellStyle name="60% - Accent4 18" xfId="0"/>
    <cellStyle name="60% - Accent4 18 2" xfId="0"/>
    <cellStyle name="60% - Accent4 19" xfId="0"/>
    <cellStyle name="60% - Accent4 19 2" xfId="0"/>
    <cellStyle name="60% - Accent4 2" xfId="0"/>
    <cellStyle name="60% - Accent4 2 2" xfId="0"/>
    <cellStyle name="60% - Accent4 2 2 2" xfId="0"/>
    <cellStyle name="60% - Accent4 2 2 3" xfId="0"/>
    <cellStyle name="60% - Accent4 2 3" xfId="0"/>
    <cellStyle name="60% - Accent4 2 3 2" xfId="0"/>
    <cellStyle name="60% - Accent4 2 3 3" xfId="0"/>
    <cellStyle name="60% - Accent4 2 4" xfId="0"/>
    <cellStyle name="60% - Accent4 2 4 2" xfId="0"/>
    <cellStyle name="60% - Accent4 2 5" xfId="0"/>
    <cellStyle name="60% - Accent4 2 5 2" xfId="0"/>
    <cellStyle name="60% - Accent4 2 6" xfId="0"/>
    <cellStyle name="60% - Accent4 2 7" xfId="0"/>
    <cellStyle name="60% - Accent4 2 8" xfId="0"/>
    <cellStyle name="60% - Accent4 20" xfId="0"/>
    <cellStyle name="60% - Accent4 20 2" xfId="0"/>
    <cellStyle name="60% - Accent4 21" xfId="0"/>
    <cellStyle name="60% - Accent4 21 2" xfId="0"/>
    <cellStyle name="60% - Accent4 22" xfId="0"/>
    <cellStyle name="60% - Accent4 22 2" xfId="0"/>
    <cellStyle name="60% - Accent4 23" xfId="0"/>
    <cellStyle name="60% - Accent4 24" xfId="0"/>
    <cellStyle name="60% - Accent4 25" xfId="0"/>
    <cellStyle name="60% - Accent4 26" xfId="0"/>
    <cellStyle name="60% - Accent4 27" xfId="0"/>
    <cellStyle name="60% - Accent4 28" xfId="0"/>
    <cellStyle name="60% - Accent4 29" xfId="0"/>
    <cellStyle name="60% - Accent4 2_Profitability Detail NT$ Sep-12" xfId="0"/>
    <cellStyle name="60% - Accent4 3" xfId="0"/>
    <cellStyle name="60% - Accent4 3 2" xfId="0"/>
    <cellStyle name="60% - Accent4 3 2 2" xfId="0"/>
    <cellStyle name="60% - Accent4 3 3" xfId="0"/>
    <cellStyle name="60% - Accent4 3 3 2" xfId="0"/>
    <cellStyle name="60% - Accent4 3 4" xfId="0"/>
    <cellStyle name="60% - Accent4 3 4 2" xfId="0"/>
    <cellStyle name="60% - Accent4 3 5" xfId="0"/>
    <cellStyle name="60% - Accent4 3 5 2" xfId="0"/>
    <cellStyle name="60% - Accent4 3 6" xfId="0"/>
    <cellStyle name="60% - Accent4 3 7" xfId="0"/>
    <cellStyle name="60% - Accent4 30" xfId="0"/>
    <cellStyle name="60% - Accent4 31" xfId="0"/>
    <cellStyle name="60% - Accent4 32" xfId="0"/>
    <cellStyle name="60% - Accent4 33" xfId="0"/>
    <cellStyle name="60% - Accent4 34" xfId="0"/>
    <cellStyle name="60% - Accent4 35" xfId="0"/>
    <cellStyle name="60% - Accent4 36" xfId="0"/>
    <cellStyle name="60% - Accent4 37" xfId="0"/>
    <cellStyle name="60% - Accent4 38" xfId="0"/>
    <cellStyle name="60% - Accent4 39" xfId="0"/>
    <cellStyle name="60% - Accent4 3_Profitability Detail NT$ Sep-12" xfId="0"/>
    <cellStyle name="60% - Accent4 4" xfId="0"/>
    <cellStyle name="60% - Accent4 4 2" xfId="0"/>
    <cellStyle name="60% - Accent4 4 2 2" xfId="0"/>
    <cellStyle name="60% - Accent4 4 3" xfId="0"/>
    <cellStyle name="60% - Accent4 4 3 2" xfId="0"/>
    <cellStyle name="60% - Accent4 4 4" xfId="0"/>
    <cellStyle name="60% - Accent4 4 4 2" xfId="0"/>
    <cellStyle name="60% - Accent4 4 5" xfId="0"/>
    <cellStyle name="60% - Accent4 4 5 2" xfId="0"/>
    <cellStyle name="60% - Accent4 4 6" xfId="0"/>
    <cellStyle name="60% - Accent4 4 7" xfId="0"/>
    <cellStyle name="60% - Accent4 40" xfId="0"/>
    <cellStyle name="60% - Accent4 41" xfId="0"/>
    <cellStyle name="60% - Accent4 4_Profitability Detail NT$ Sep-12" xfId="0"/>
    <cellStyle name="60% - Accent4 5" xfId="0"/>
    <cellStyle name="60% - Accent4 5 2" xfId="0"/>
    <cellStyle name="60% - Accent4 5 3" xfId="0"/>
    <cellStyle name="60% - Accent4 5 4" xfId="0"/>
    <cellStyle name="60% - Accent4 6" xfId="0"/>
    <cellStyle name="60% - Accent4 6 2" xfId="0"/>
    <cellStyle name="60% - Accent4 6 3" xfId="0"/>
    <cellStyle name="60% - Accent4 7" xfId="0"/>
    <cellStyle name="60% - Accent4 7 2" xfId="0"/>
    <cellStyle name="60% - Accent4 8" xfId="0"/>
    <cellStyle name="60% - Accent4 8 2" xfId="0"/>
    <cellStyle name="60% - Accent4 9" xfId="0"/>
    <cellStyle name="60% - Accent4 9 2" xfId="0"/>
    <cellStyle name="60% - Accent4_ALL inventory onhand data 0912" xfId="0"/>
    <cellStyle name="60% - Accent5" xfId="0"/>
    <cellStyle name="60% - Accent5 10" xfId="0"/>
    <cellStyle name="60% - Accent5 10 2" xfId="0"/>
    <cellStyle name="60% - Accent5 11" xfId="0"/>
    <cellStyle name="60% - Accent5 11 2" xfId="0"/>
    <cellStyle name="60% - Accent5 12" xfId="0"/>
    <cellStyle name="60% - Accent5 12 2" xfId="0"/>
    <cellStyle name="60% - Accent5 13" xfId="0"/>
    <cellStyle name="60% - Accent5 13 2" xfId="0"/>
    <cellStyle name="60% - Accent5 14" xfId="0"/>
    <cellStyle name="60% - Accent5 14 2" xfId="0"/>
    <cellStyle name="60% - Accent5 15" xfId="0"/>
    <cellStyle name="60% - Accent5 15 2" xfId="0"/>
    <cellStyle name="60% - Accent5 16" xfId="0"/>
    <cellStyle name="60% - Accent5 16 2" xfId="0"/>
    <cellStyle name="60% - Accent5 17" xfId="0"/>
    <cellStyle name="60% - Accent5 17 2" xfId="0"/>
    <cellStyle name="60% - Accent5 18" xfId="0"/>
    <cellStyle name="60% - Accent5 18 2" xfId="0"/>
    <cellStyle name="60% - Accent5 19" xfId="0"/>
    <cellStyle name="60% - Accent5 19 2" xfId="0"/>
    <cellStyle name="60% - Accent5 2" xfId="0"/>
    <cellStyle name="60% - Accent5 2 2" xfId="0"/>
    <cellStyle name="60% - Accent5 2 2 2" xfId="0"/>
    <cellStyle name="60% - Accent5 2 2 3" xfId="0"/>
    <cellStyle name="60% - Accent5 2 3" xfId="0"/>
    <cellStyle name="60% - Accent5 2 3 2" xfId="0"/>
    <cellStyle name="60% - Accent5 2 3 3" xfId="0"/>
    <cellStyle name="60% - Accent5 2 4" xfId="0"/>
    <cellStyle name="60% - Accent5 2 4 2" xfId="0"/>
    <cellStyle name="60% - Accent5 2 5" xfId="0"/>
    <cellStyle name="60% - Accent5 2 5 2" xfId="0"/>
    <cellStyle name="60% - Accent5 2 6" xfId="0"/>
    <cellStyle name="60% - Accent5 2 7" xfId="0"/>
    <cellStyle name="60% - Accent5 2 8" xfId="0"/>
    <cellStyle name="60% - Accent5 20" xfId="0"/>
    <cellStyle name="60% - Accent5 20 2" xfId="0"/>
    <cellStyle name="60% - Accent5 21" xfId="0"/>
    <cellStyle name="60% - Accent5 21 2" xfId="0"/>
    <cellStyle name="60% - Accent5 22" xfId="0"/>
    <cellStyle name="60% - Accent5 22 2" xfId="0"/>
    <cellStyle name="60% - Accent5 23" xfId="0"/>
    <cellStyle name="60% - Accent5 24" xfId="0"/>
    <cellStyle name="60% - Accent5 25" xfId="0"/>
    <cellStyle name="60% - Accent5 26" xfId="0"/>
    <cellStyle name="60% - Accent5 27" xfId="0"/>
    <cellStyle name="60% - Accent5 28" xfId="0"/>
    <cellStyle name="60% - Accent5 29" xfId="0"/>
    <cellStyle name="60% - Accent5 2_Profitability Detail NT$ Sep-12" xfId="0"/>
    <cellStyle name="60% - Accent5 3" xfId="0"/>
    <cellStyle name="60% - Accent5 3 2" xfId="0"/>
    <cellStyle name="60% - Accent5 3 2 2" xfId="0"/>
    <cellStyle name="60% - Accent5 3 3" xfId="0"/>
    <cellStyle name="60% - Accent5 3 3 2" xfId="0"/>
    <cellStyle name="60% - Accent5 3 4" xfId="0"/>
    <cellStyle name="60% - Accent5 3 4 2" xfId="0"/>
    <cellStyle name="60% - Accent5 3 5" xfId="0"/>
    <cellStyle name="60% - Accent5 3 5 2" xfId="0"/>
    <cellStyle name="60% - Accent5 3 6" xfId="0"/>
    <cellStyle name="60% - Accent5 3 7" xfId="0"/>
    <cellStyle name="60% - Accent5 30" xfId="0"/>
    <cellStyle name="60% - Accent5 31" xfId="0"/>
    <cellStyle name="60% - Accent5 32" xfId="0"/>
    <cellStyle name="60% - Accent5 33" xfId="0"/>
    <cellStyle name="60% - Accent5 34" xfId="0"/>
    <cellStyle name="60% - Accent5 35" xfId="0"/>
    <cellStyle name="60% - Accent5 3_Profitability Detail NT$ Sep-12" xfId="0"/>
    <cellStyle name="60% - Accent5 4" xfId="0"/>
    <cellStyle name="60% - Accent5 4 2" xfId="0"/>
    <cellStyle name="60% - Accent5 4 2 2" xfId="0"/>
    <cellStyle name="60% - Accent5 4 3" xfId="0"/>
    <cellStyle name="60% - Accent5 4 3 2" xfId="0"/>
    <cellStyle name="60% - Accent5 4 4" xfId="0"/>
    <cellStyle name="60% - Accent5 4 4 2" xfId="0"/>
    <cellStyle name="60% - Accent5 4 5" xfId="0"/>
    <cellStyle name="60% - Accent5 4 5 2" xfId="0"/>
    <cellStyle name="60% - Accent5 4 6" xfId="0"/>
    <cellStyle name="60% - Accent5 4 7" xfId="0"/>
    <cellStyle name="60% - Accent5 4_Profitability Detail NT$ Sep-12" xfId="0"/>
    <cellStyle name="60% - Accent5 5" xfId="0"/>
    <cellStyle name="60% - Accent5 5 2" xfId="0"/>
    <cellStyle name="60% - Accent5 5 3" xfId="0"/>
    <cellStyle name="60% - Accent5 5 4" xfId="0"/>
    <cellStyle name="60% - Accent5 6" xfId="0"/>
    <cellStyle name="60% - Accent5 6 2" xfId="0"/>
    <cellStyle name="60% - Accent5 7" xfId="0"/>
    <cellStyle name="60% - Accent5 7 2" xfId="0"/>
    <cellStyle name="60% - Accent5 8" xfId="0"/>
    <cellStyle name="60% - Accent5 8 2" xfId="0"/>
    <cellStyle name="60% - Accent5 9" xfId="0"/>
    <cellStyle name="60% - Accent5 9 2" xfId="0"/>
    <cellStyle name="60% - Accent5_ALL inventory onhand data 0912" xfId="0"/>
    <cellStyle name="60% - Accent6" xfId="0"/>
    <cellStyle name="60% - Accent6 10" xfId="0"/>
    <cellStyle name="60% - Accent6 10 2" xfId="0"/>
    <cellStyle name="60% - Accent6 11" xfId="0"/>
    <cellStyle name="60% - Accent6 11 2" xfId="0"/>
    <cellStyle name="60% - Accent6 12" xfId="0"/>
    <cellStyle name="60% - Accent6 12 2" xfId="0"/>
    <cellStyle name="60% - Accent6 13" xfId="0"/>
    <cellStyle name="60% - Accent6 13 2" xfId="0"/>
    <cellStyle name="60% - Accent6 14" xfId="0"/>
    <cellStyle name="60% - Accent6 14 2" xfId="0"/>
    <cellStyle name="60% - Accent6 15" xfId="0"/>
    <cellStyle name="60% - Accent6 15 2" xfId="0"/>
    <cellStyle name="60% - Accent6 16" xfId="0"/>
    <cellStyle name="60% - Accent6 16 2" xfId="0"/>
    <cellStyle name="60% - Accent6 17" xfId="0"/>
    <cellStyle name="60% - Accent6 17 2" xfId="0"/>
    <cellStyle name="60% - Accent6 18" xfId="0"/>
    <cellStyle name="60% - Accent6 18 2" xfId="0"/>
    <cellStyle name="60% - Accent6 19" xfId="0"/>
    <cellStyle name="60% - Accent6 19 2" xfId="0"/>
    <cellStyle name="60% - Accent6 2" xfId="0"/>
    <cellStyle name="60% - Accent6 2 2" xfId="0"/>
    <cellStyle name="60% - Accent6 2 2 2" xfId="0"/>
    <cellStyle name="60% - Accent6 2 2 3" xfId="0"/>
    <cellStyle name="60% - Accent6 2 3" xfId="0"/>
    <cellStyle name="60% - Accent6 2 3 2" xfId="0"/>
    <cellStyle name="60% - Accent6 2 3 3" xfId="0"/>
    <cellStyle name="60% - Accent6 2 4" xfId="0"/>
    <cellStyle name="60% - Accent6 2 4 2" xfId="0"/>
    <cellStyle name="60% - Accent6 2 5" xfId="0"/>
    <cellStyle name="60% - Accent6 2 5 2" xfId="0"/>
    <cellStyle name="60% - Accent6 2 6" xfId="0"/>
    <cellStyle name="60% - Accent6 2 7" xfId="0"/>
    <cellStyle name="60% - Accent6 2 8" xfId="0"/>
    <cellStyle name="60% - Accent6 20" xfId="0"/>
    <cellStyle name="60% - Accent6 20 2" xfId="0"/>
    <cellStyle name="60% - Accent6 21" xfId="0"/>
    <cellStyle name="60% - Accent6 21 2" xfId="0"/>
    <cellStyle name="60% - Accent6 22" xfId="0"/>
    <cellStyle name="60% - Accent6 22 2" xfId="0"/>
    <cellStyle name="60% - Accent6 23" xfId="0"/>
    <cellStyle name="60% - Accent6 24" xfId="0"/>
    <cellStyle name="60% - Accent6 25" xfId="0"/>
    <cellStyle name="60% - Accent6 26" xfId="0"/>
    <cellStyle name="60% - Accent6 27" xfId="0"/>
    <cellStyle name="60% - Accent6 28" xfId="0"/>
    <cellStyle name="60% - Accent6 29" xfId="0"/>
    <cellStyle name="60% - Accent6 2_Profitability Detail NT$ Sep-12" xfId="0"/>
    <cellStyle name="60% - Accent6 3" xfId="0"/>
    <cellStyle name="60% - Accent6 3 2" xfId="0"/>
    <cellStyle name="60% - Accent6 3 2 2" xfId="0"/>
    <cellStyle name="60% - Accent6 3 3" xfId="0"/>
    <cellStyle name="60% - Accent6 3 3 2" xfId="0"/>
    <cellStyle name="60% - Accent6 3 4" xfId="0"/>
    <cellStyle name="60% - Accent6 3 4 2" xfId="0"/>
    <cellStyle name="60% - Accent6 3 5" xfId="0"/>
    <cellStyle name="60% - Accent6 3 5 2" xfId="0"/>
    <cellStyle name="60% - Accent6 3 6" xfId="0"/>
    <cellStyle name="60% - Accent6 3 7" xfId="0"/>
    <cellStyle name="60% - Accent6 30" xfId="0"/>
    <cellStyle name="60% - Accent6 31" xfId="0"/>
    <cellStyle name="60% - Accent6 32" xfId="0"/>
    <cellStyle name="60% - Accent6 33" xfId="0"/>
    <cellStyle name="60% - Accent6 34" xfId="0"/>
    <cellStyle name="60% - Accent6 35" xfId="0"/>
    <cellStyle name="60% - Accent6 36" xfId="0"/>
    <cellStyle name="60% - Accent6 37" xfId="0"/>
    <cellStyle name="60% - Accent6 38" xfId="0"/>
    <cellStyle name="60% - Accent6 39" xfId="0"/>
    <cellStyle name="60% - Accent6 3_Profitability Detail NT$ Sep-12" xfId="0"/>
    <cellStyle name="60% - Accent6 4" xfId="0"/>
    <cellStyle name="60% - Accent6 4 2" xfId="0"/>
    <cellStyle name="60% - Accent6 4 2 2" xfId="0"/>
    <cellStyle name="60% - Accent6 4 3" xfId="0"/>
    <cellStyle name="60% - Accent6 4 3 2" xfId="0"/>
    <cellStyle name="60% - Accent6 4 4" xfId="0"/>
    <cellStyle name="60% - Accent6 4 4 2" xfId="0"/>
    <cellStyle name="60% - Accent6 4 5" xfId="0"/>
    <cellStyle name="60% - Accent6 4 5 2" xfId="0"/>
    <cellStyle name="60% - Accent6 4 6" xfId="0"/>
    <cellStyle name="60% - Accent6 4 7" xfId="0"/>
    <cellStyle name="60% - Accent6 40" xfId="0"/>
    <cellStyle name="60% - Accent6 41" xfId="0"/>
    <cellStyle name="60% - Accent6 4_Profitability Detail NT$ Sep-12" xfId="0"/>
    <cellStyle name="60% - Accent6 5" xfId="0"/>
    <cellStyle name="60% - Accent6 5 2" xfId="0"/>
    <cellStyle name="60% - Accent6 5 3" xfId="0"/>
    <cellStyle name="60% - Accent6 5 4" xfId="0"/>
    <cellStyle name="60% - Accent6 6" xfId="0"/>
    <cellStyle name="60% - Accent6 6 2" xfId="0"/>
    <cellStyle name="60% - Accent6 7" xfId="0"/>
    <cellStyle name="60% - Accent6 7 2" xfId="0"/>
    <cellStyle name="60% - Accent6 8" xfId="0"/>
    <cellStyle name="60% - Accent6 8 2" xfId="0"/>
    <cellStyle name="60% - Accent6 9" xfId="0"/>
    <cellStyle name="60% - Accent6 9 2" xfId="0"/>
    <cellStyle name="60% - Accent6_ALL inventory onhand data 0912" xfId="0"/>
    <cellStyle name="60% - Akzent1" xfId="0"/>
    <cellStyle name="60% - Akzent1 2" xfId="0"/>
    <cellStyle name="60% - Akzent2" xfId="0"/>
    <cellStyle name="60% - Akzent2 2" xfId="0"/>
    <cellStyle name="60% - Akzent3" xfId="0"/>
    <cellStyle name="60% - Akzent3 2" xfId="0"/>
    <cellStyle name="60% - Akzent4" xfId="0"/>
    <cellStyle name="60% - Akzent4 2" xfId="0"/>
    <cellStyle name="60% - Akzent5" xfId="0"/>
    <cellStyle name="60% - Akzent5 2" xfId="0"/>
    <cellStyle name="60% - Akzent6" xfId="0"/>
    <cellStyle name="60% - Akzent6 2" xfId="0"/>
    <cellStyle name="60% - 强调文字颜色 1" xfId="0"/>
    <cellStyle name="60% - 强调文字颜色 1 2" xfId="0"/>
    <cellStyle name="60% - 强调文字颜色 2" xfId="0"/>
    <cellStyle name="60% - 强调文字颜色 2 2" xfId="0"/>
    <cellStyle name="60% - 强调文字颜色 3" xfId="0"/>
    <cellStyle name="60% - 强调文字颜色 3 2" xfId="0"/>
    <cellStyle name="60% - 强调文字颜色 4" xfId="0"/>
    <cellStyle name="60% - 强调文字颜色 4 2" xfId="0"/>
    <cellStyle name="60% - 强调文字颜色 5" xfId="0"/>
    <cellStyle name="60% - 强调文字颜色 5 2" xfId="0"/>
    <cellStyle name="60% - 强调文字颜色 6" xfId="0"/>
    <cellStyle name="60% - 强调文字颜色 6 2" xfId="0"/>
    <cellStyle name="60% - 輔色1 2" xfId="0"/>
    <cellStyle name="60% - 輔色1 2 2" xfId="0"/>
    <cellStyle name="60% - 輔色1 2 3" xfId="0"/>
    <cellStyle name="60% - 輔色1 3" xfId="0"/>
    <cellStyle name="60% - 輔色2 2" xfId="0"/>
    <cellStyle name="60% - 輔色2 2 2" xfId="0"/>
    <cellStyle name="60% - 輔色2 2 3" xfId="0"/>
    <cellStyle name="60% - 輔色2 3" xfId="0"/>
    <cellStyle name="60% - 輔色3 2" xfId="0"/>
    <cellStyle name="60% - 輔色3 2 2" xfId="0"/>
    <cellStyle name="60% - 輔色3 2 3" xfId="0"/>
    <cellStyle name="60% - 輔色3 3" xfId="0"/>
    <cellStyle name="60% - 輔色4 2" xfId="0"/>
    <cellStyle name="60% - 輔色4 2 2" xfId="0"/>
    <cellStyle name="60% - 輔色4 2 3" xfId="0"/>
    <cellStyle name="60% - 輔色4 3" xfId="0"/>
    <cellStyle name="60% - 輔色5 2" xfId="0"/>
    <cellStyle name="60% - 輔色5 2 2" xfId="0"/>
    <cellStyle name="60% - 輔色5 2 3" xfId="0"/>
    <cellStyle name="60% - 輔色5 3" xfId="0"/>
    <cellStyle name="60% - 輔色6 2" xfId="0"/>
    <cellStyle name="60% - 輔色6 2 2" xfId="0"/>
    <cellStyle name="60% - 輔色6 2 3" xfId="0"/>
    <cellStyle name="60% - 輔色6 3" xfId="0"/>
    <cellStyle name="60 % - Accent1" xfId="0"/>
    <cellStyle name="60 % - Accent1 2" xfId="0"/>
    <cellStyle name="60 % - Accent2" xfId="0"/>
    <cellStyle name="60 % - Accent2 2" xfId="0"/>
    <cellStyle name="60 % - Accent3" xfId="0"/>
    <cellStyle name="60 % - Accent3 2" xfId="0"/>
    <cellStyle name="60 % - Accent4" xfId="0"/>
    <cellStyle name="60 % - Accent4 2" xfId="0"/>
    <cellStyle name="60 % - Accent5" xfId="0"/>
    <cellStyle name="60 % - Accent5 2" xfId="0"/>
    <cellStyle name="60 % - Accent6" xfId="0"/>
    <cellStyle name="60 % - Accent6 2" xfId="0"/>
    <cellStyle name="?" xfId="0"/>
    <cellStyle name="? 2" xfId="0"/>
    <cellStyle name="?_Lenovo CLI Ramp up Plan-0813 的 工作表" xfId="0"/>
    <cellStyle name="?_Lenovo CLI Ramp up Plan-0813 的 工作表 2" xfId="0"/>
    <cellStyle name="?_Lenovo CLI Ramp up Plan-0813 的 工作表_13-wk VSI_Revised" xfId="0"/>
    <cellStyle name="?_Lenovo CLI Ramp up Plan-0813 的 工作表_13-wk VSI_Revised 2" xfId="0"/>
    <cellStyle name="?_Lenovo CLI Ramp up Plan-0813 的 工作表_WMR VSI" xfId="0"/>
    <cellStyle name="?_Lenovo CLI Ramp up Plan-0813 的 工作表_WMR VSI 2" xfId="0"/>
    <cellStyle name="_03-Dec-2010" xfId="0"/>
    <cellStyle name="_03-Dec-2010 2" xfId="0"/>
    <cellStyle name="_041129 WMR_VSI" xfId="0"/>
    <cellStyle name="_041129 WMR_VSI 2" xfId="0"/>
    <cellStyle name="_041129 WMR_VSI 2 2" xfId="0"/>
    <cellStyle name="_041129 WMR_VSI 3" xfId="0"/>
    <cellStyle name="_041129 WMR_VSI_050121 WMR_VSC" xfId="0"/>
    <cellStyle name="_041129 WMR_VSI_050121 WMR_VSC 2" xfId="0"/>
    <cellStyle name="_041129 WMR_VSI_050121 WMR_VSC_080822 WMR-VSC" xfId="0"/>
    <cellStyle name="_041129 WMR_VSI_050121 WMR_VSC_080822 WMR-VSC 2" xfId="0"/>
    <cellStyle name="_041129 WMR_VSI_050121 WMR_VSC_080829 WMR" xfId="0"/>
    <cellStyle name="_041129 WMR_VSI_050121 WMR_VSC_080829 WMR 2" xfId="0"/>
    <cellStyle name="_041129 WMR_VSI_050121 WMR_VSC_080905 WMR-VSC" xfId="0"/>
    <cellStyle name="_041129 WMR_VSI_050121 WMR_VSC_080905 WMR-VSC 2" xfId="0"/>
    <cellStyle name="_041129 WMR_VSI_050121 WMR_VSC_080912 WMR-VSC" xfId="0"/>
    <cellStyle name="_041129 WMR_VSI_050121 WMR_VSC_080912 WMR-VSC 2" xfId="0"/>
    <cellStyle name="_041129 WMR_VSI_050121 WMR_VSC_080919 WMR-VSC" xfId="0"/>
    <cellStyle name="_041129 WMR_VSI_050121 WMR_VSC_080919 WMR-VSC 2" xfId="0"/>
    <cellStyle name="_041129 WMR_VSI_050121 WMR_VSC_080926 WMR-VSC" xfId="0"/>
    <cellStyle name="_041129 WMR_VSI_050121 WMR_VSC_080926 WMR-VSC 2" xfId="0"/>
    <cellStyle name="_041129 WMR_VSI_050121 WMR_VSC_081003 WMR-VSC_1" xfId="0"/>
    <cellStyle name="_041129 WMR_VSI_050121 WMR_VSC_081003 WMR-VSC_1 2" xfId="0"/>
    <cellStyle name="_041129 WMR_VSI_050121 WMR_VSC_081010 WMR-VSC" xfId="0"/>
    <cellStyle name="_041129 WMR_VSI_050121 WMR_VSC_081010 WMR-VSC 2" xfId="0"/>
    <cellStyle name="_041129 WMR_VSI_050121 WMR_VSC_081017 WMR-VSC_1" xfId="0"/>
    <cellStyle name="_041129 WMR_VSI_050121 WMR_VSC_081017 WMR-VSC_1 2" xfId="0"/>
    <cellStyle name="_041129 WMR_VSI_050121 WMR_VSC_081024 WMR-VSC" xfId="0"/>
    <cellStyle name="_041129 WMR_VSI_050121 WMR_VSC_081024 WMR-VSC 2" xfId="0"/>
    <cellStyle name="_041129 WMR_VSI_050121 WMR_VSC_081031 WMR-VSC" xfId="0"/>
    <cellStyle name="_041129 WMR_VSI_050121 WMR_VSC_081031 WMR-VSC 2" xfId="0"/>
    <cellStyle name="_041129 WMR_VSI_050121 WMR_VSC_081107 WMR-VSC (2)" xfId="0"/>
    <cellStyle name="_041129 WMR_VSI_050121 WMR_VSC_081107 WMR-VSC (2) 2" xfId="0"/>
    <cellStyle name="_041129 WMR_VSI_050121 WMR_VSC_081107 WMR-VSC_1" xfId="0"/>
    <cellStyle name="_041129 WMR_VSI_050121 WMR_VSC_081107 WMR-VSC_1 2" xfId="0"/>
    <cellStyle name="_041129 WMR_VSI_050121 WMR_VSC_081114 WMR-VSC" xfId="0"/>
    <cellStyle name="_041129 WMR_VSI_050121 WMR_VSC_081114 WMR-VSC 2" xfId="0"/>
    <cellStyle name="_041129 WMR_VSI_050121 WMR_VSC_081121 WMR-VSC" xfId="0"/>
    <cellStyle name="_041129 WMR_VSI_050121 WMR_VSC_081121 WMR-VSC 2" xfId="0"/>
    <cellStyle name="_041129 WMR_VSI_050121 WMR_VSC_081128 WMR-VSC" xfId="0"/>
    <cellStyle name="_041129 WMR_VSI_050121 WMR_VSC_081128 WMR-VSC 2" xfId="0"/>
    <cellStyle name="_041129 WMR_VSI_050121 WMR_VSC_081128 WMR-VSC_1" xfId="0"/>
    <cellStyle name="_041129 WMR_VSI_050121 WMR_VSC_081128 WMR-VSC_1 2" xfId="0"/>
    <cellStyle name="_041129 WMR_VSI_050121 WMR_VSC_081205 WMR-VSC" xfId="0"/>
    <cellStyle name="_041129 WMR_VSI_050121 WMR_VSC_081205 WMR-VSC 2" xfId="0"/>
    <cellStyle name="_041129 WMR_VSI_050121 WMR_VSC_081212 WMR-VSC" xfId="0"/>
    <cellStyle name="_041129 WMR_VSI_050121 WMR_VSC_081212 WMR-VSC 2" xfId="0"/>
    <cellStyle name="_041129 WMR_VSI_050121 WMR_VSC_081219 WMR-VSC" xfId="0"/>
    <cellStyle name="_041129 WMR_VSI_050121 WMR_VSC_081219 WMR-VSC 2" xfId="0"/>
    <cellStyle name="_041129 WMR_VSI_050121 WMR_VSC_090102 WMR-VSC" xfId="0"/>
    <cellStyle name="_041129 WMR_VSI_050121 WMR_VSC_090102 WMR-VSC 2" xfId="0"/>
    <cellStyle name="_041129 WMR_VSI_050121 WMR_VSC_090424 WMR_VSE (2)" xfId="0"/>
    <cellStyle name="_041129 WMR_VSI_050121 WMR_VSC_090424 WMR_VSE (2) 2" xfId="0"/>
    <cellStyle name="_041129 WMR_VSI_050121 WMR_VSC_090703 WMR-VSC" xfId="0"/>
    <cellStyle name="_041129 WMR_VSI_050121 WMR_VSC_090703 WMR-VSC 2" xfId="0"/>
    <cellStyle name="_041129 WMR_VSI_050121 WMR_VSC_AP Turn Days old" xfId="0"/>
    <cellStyle name="_041129 WMR_VSI_050121 WMR_VSC_AP Turn Days old 2" xfId="0"/>
    <cellStyle name="_041129 WMR_VSI_050121 WMR_VSC_Cash" xfId="0"/>
    <cellStyle name="_041129 WMR_VSI_050121 WMR_VSC_Cash 2" xfId="0"/>
    <cellStyle name="_041129 WMR_VSI_050121 WMR_VSC_Charts" xfId="0"/>
    <cellStyle name="_041129 WMR_VSI_050121 WMR_VSC_Charts 2" xfId="0"/>
    <cellStyle name="_041129 WMR_VSI_050121 WMR_VSC_Inv Data" xfId="0"/>
    <cellStyle name="_041129 WMR_VSI_050121 WMR_VSC_Inv Data 2" xfId="0"/>
    <cellStyle name="_041129 WMR_VSI_050121 WMR_VSC_Inventory Pivot" xfId="0"/>
    <cellStyle name="_041129 WMR_VSI_050121 WMR_VSC_Inventory Pivot 2" xfId="0"/>
    <cellStyle name="_041129 WMR_VSI_050121 WMR_VSC_NEW WMR" xfId="0"/>
    <cellStyle name="_041129 WMR_VSI_050121 WMR_VSC_NEW WMR 2" xfId="0"/>
    <cellStyle name="_041129 WMR_VSI_050121 WMR_VSC_OpenOrder Data" xfId="0"/>
    <cellStyle name="_041129 WMR_VSI_050121 WMR_VSC_OpenOrder Data 2" xfId="0"/>
    <cellStyle name="_041129 WMR_VSI_050121 WMR_VSC_Revenue % Forecast" xfId="0"/>
    <cellStyle name="_041129 WMR_VSI_050121 WMR_VSC_Revenue % Forecast 2" xfId="0"/>
    <cellStyle name="_041129 WMR_VSI_050121 WMR_VSC_Turn Days" xfId="0"/>
    <cellStyle name="_041129 WMR_VSI_050121 WMR_VSC_Turn Days 2" xfId="0"/>
    <cellStyle name="_041129 WMR_VSI_050121 WMR_VSC_VDL" xfId="0"/>
    <cellStyle name="_041129 WMR_VSI_050121 WMR_VSC_VDL 2" xfId="0"/>
    <cellStyle name="_041129 WMR_VSI_050121 WMR_VSC_VSA" xfId="0"/>
    <cellStyle name="_041129 WMR_VSI_050121 WMR_VSC_VSA 2" xfId="0"/>
    <cellStyle name="_041129 WMR_VSI_050121 WMR_VSC_VSA Cash Flow Model (6-4-07)" xfId="0"/>
    <cellStyle name="_041129 WMR_VSI_050121 WMR_VSC_VSA Cash Flow Model (6-4-07) 2" xfId="0"/>
    <cellStyle name="_041129 WMR_VSI_050121 WMR_VSC_VSACE" xfId="0"/>
    <cellStyle name="_041129 WMR_VSI_050121 WMR_VSC_VSACE 2" xfId="0"/>
    <cellStyle name="_041129 WMR_VSI_050121 WMR_VSC_VSC" xfId="0"/>
    <cellStyle name="_041129 WMR_VSI_050121 WMR_VSC_VSC 2" xfId="0"/>
    <cellStyle name="_041129 WMR_VSI_050121 WMR_VSC_VSCN" xfId="0"/>
    <cellStyle name="_041129 WMR_VSI_050121 WMR_VSC_VSCN 2" xfId="0"/>
    <cellStyle name="_041129 WMR_VSI_050121 WMR_VSC_VSE" xfId="0"/>
    <cellStyle name="_041129 WMR_VSI_050121 WMR_VSC_VSE 2" xfId="0"/>
    <cellStyle name="_041129 WMR_VSI_050121 WMR_VSC_VSE WMR Workbook 08-07-09" xfId="0"/>
    <cellStyle name="_041129 WMR_VSI_050121 WMR_VSC_VSE WMR Workbook 08-07-09 2" xfId="0"/>
    <cellStyle name="_041129 WMR_VSI_050121 WMR_VSC_VSE WMR Workbook 11-19-10" xfId="0"/>
    <cellStyle name="_041129 WMR_VSI_050121 WMR_VSC_VSE WMR Workbook 11-19-10 2" xfId="0"/>
    <cellStyle name="_041129 WMR_VSI_050121 WMR_VSC_VSE WMR Workbook 12-31-10" xfId="0"/>
    <cellStyle name="_041129 WMR_VSI_050121 WMR_VSC_VSE WMR Workbook 12-31-10 2" xfId="0"/>
    <cellStyle name="_041129 WMR_VSI_050121 WMR_VSC_VSI" xfId="0"/>
    <cellStyle name="_041129 WMR_VSI_050121 WMR_VSC_VSI 2" xfId="0"/>
    <cellStyle name="_041129 WMR_VSI_050121 WMR_VSC_WMR" xfId="0"/>
    <cellStyle name="_041129 WMR_VSI_050121 WMR_VSC_WMR (by QTY)" xfId="0"/>
    <cellStyle name="_041129 WMR_VSI_050121 WMR_VSC_WMR (by QTY) 2" xfId="0"/>
    <cellStyle name="_041129 WMR_VSI_050121 WMR_VSC_WMR 2" xfId="0"/>
    <cellStyle name="_041129 WMR_VSI_050121 WMR_VSC_WMR 3" xfId="0"/>
    <cellStyle name="_041129 WMR_VSI_050121 WMR_VSC_WMR 4" xfId="0"/>
    <cellStyle name="_041129 WMR_VSI_050422 WMR_VSC" xfId="0"/>
    <cellStyle name="_041129 WMR_VSI_050422 WMR_VSC 2" xfId="0"/>
    <cellStyle name="_041129 WMR_VSI_050422 WMR_VSC_080822 WMR-VSC" xfId="0"/>
    <cellStyle name="_041129 WMR_VSI_050422 WMR_VSC_080822 WMR-VSC 2" xfId="0"/>
    <cellStyle name="_041129 WMR_VSI_050422 WMR_VSC_080829 WMR" xfId="0"/>
    <cellStyle name="_041129 WMR_VSI_050422 WMR_VSC_080829 WMR 2" xfId="0"/>
    <cellStyle name="_041129 WMR_VSI_050422 WMR_VSC_080905 WMR-VSC" xfId="0"/>
    <cellStyle name="_041129 WMR_VSI_050422 WMR_VSC_080905 WMR-VSC 2" xfId="0"/>
    <cellStyle name="_041129 WMR_VSI_050422 WMR_VSC_080912 WMR-VSC" xfId="0"/>
    <cellStyle name="_041129 WMR_VSI_050422 WMR_VSC_080912 WMR-VSC 2" xfId="0"/>
    <cellStyle name="_041129 WMR_VSI_050422 WMR_VSC_080919 WMR-VSC" xfId="0"/>
    <cellStyle name="_041129 WMR_VSI_050422 WMR_VSC_080919 WMR-VSC 2" xfId="0"/>
    <cellStyle name="_041129 WMR_VSI_050422 WMR_VSC_080926 WMR-VSC" xfId="0"/>
    <cellStyle name="_041129 WMR_VSI_050422 WMR_VSC_080926 WMR-VSC 2" xfId="0"/>
    <cellStyle name="_041129 WMR_VSI_050422 WMR_VSC_081003 WMR-VSC_1" xfId="0"/>
    <cellStyle name="_041129 WMR_VSI_050422 WMR_VSC_081003 WMR-VSC_1 2" xfId="0"/>
    <cellStyle name="_041129 WMR_VSI_050422 WMR_VSC_081010 WMR-VSC" xfId="0"/>
    <cellStyle name="_041129 WMR_VSI_050422 WMR_VSC_081010 WMR-VSC 2" xfId="0"/>
    <cellStyle name="_041129 WMR_VSI_050422 WMR_VSC_081017 WMR-VSC_1" xfId="0"/>
    <cellStyle name="_041129 WMR_VSI_050422 WMR_VSC_081017 WMR-VSC_1 2" xfId="0"/>
    <cellStyle name="_041129 WMR_VSI_050422 WMR_VSC_081024 WMR-VSC" xfId="0"/>
    <cellStyle name="_041129 WMR_VSI_050422 WMR_VSC_081024 WMR-VSC 2" xfId="0"/>
    <cellStyle name="_041129 WMR_VSI_050422 WMR_VSC_081031 WMR-VSC" xfId="0"/>
    <cellStyle name="_041129 WMR_VSI_050422 WMR_VSC_081031 WMR-VSC 2" xfId="0"/>
    <cellStyle name="_041129 WMR_VSI_050422 WMR_VSC_081107 WMR-VSC (2)" xfId="0"/>
    <cellStyle name="_041129 WMR_VSI_050422 WMR_VSC_081107 WMR-VSC (2) 2" xfId="0"/>
    <cellStyle name="_041129 WMR_VSI_050422 WMR_VSC_081107 WMR-VSC_1" xfId="0"/>
    <cellStyle name="_041129 WMR_VSI_050422 WMR_VSC_081107 WMR-VSC_1 2" xfId="0"/>
    <cellStyle name="_041129 WMR_VSI_050422 WMR_VSC_081114 WMR-VSC" xfId="0"/>
    <cellStyle name="_041129 WMR_VSI_050422 WMR_VSC_081114 WMR-VSC 2" xfId="0"/>
    <cellStyle name="_041129 WMR_VSI_050422 WMR_VSC_081121 WMR-VSC" xfId="0"/>
    <cellStyle name="_041129 WMR_VSI_050422 WMR_VSC_081121 WMR-VSC 2" xfId="0"/>
    <cellStyle name="_041129 WMR_VSI_050422 WMR_VSC_081128 WMR-VSC" xfId="0"/>
    <cellStyle name="_041129 WMR_VSI_050422 WMR_VSC_081128 WMR-VSC 2" xfId="0"/>
    <cellStyle name="_041129 WMR_VSI_050422 WMR_VSC_081128 WMR-VSC_1" xfId="0"/>
    <cellStyle name="_041129 WMR_VSI_050422 WMR_VSC_081128 WMR-VSC_1 2" xfId="0"/>
    <cellStyle name="_041129 WMR_VSI_050422 WMR_VSC_081205 WMR-VSC" xfId="0"/>
    <cellStyle name="_041129 WMR_VSI_050422 WMR_VSC_081205 WMR-VSC 2" xfId="0"/>
    <cellStyle name="_041129 WMR_VSI_050422 WMR_VSC_081212 WMR-VSC" xfId="0"/>
    <cellStyle name="_041129 WMR_VSI_050422 WMR_VSC_081212 WMR-VSC 2" xfId="0"/>
    <cellStyle name="_041129 WMR_VSI_050422 WMR_VSC_081219 WMR-VSC" xfId="0"/>
    <cellStyle name="_041129 WMR_VSI_050422 WMR_VSC_081219 WMR-VSC 2" xfId="0"/>
    <cellStyle name="_041129 WMR_VSI_050422 WMR_VSC_090102 WMR-VSC" xfId="0"/>
    <cellStyle name="_041129 WMR_VSI_050422 WMR_VSC_090102 WMR-VSC 2" xfId="0"/>
    <cellStyle name="_041129 WMR_VSI_050422 WMR_VSC_090424 WMR_VSE (2)" xfId="0"/>
    <cellStyle name="_041129 WMR_VSI_050422 WMR_VSC_090424 WMR_VSE (2) 2" xfId="0"/>
    <cellStyle name="_041129 WMR_VSI_050422 WMR_VSC_090703 WMR-VSC" xfId="0"/>
    <cellStyle name="_041129 WMR_VSI_050422 WMR_VSC_090703 WMR-VSC 2" xfId="0"/>
    <cellStyle name="_041129 WMR_VSI_050422 WMR_VSC_AP Turn Days old" xfId="0"/>
    <cellStyle name="_041129 WMR_VSI_050422 WMR_VSC_AP Turn Days old 2" xfId="0"/>
    <cellStyle name="_041129 WMR_VSI_050422 WMR_VSC_Cash" xfId="0"/>
    <cellStyle name="_041129 WMR_VSI_050422 WMR_VSC_Cash 2" xfId="0"/>
    <cellStyle name="_041129 WMR_VSI_050422 WMR_VSC_Charts" xfId="0"/>
    <cellStyle name="_041129 WMR_VSI_050422 WMR_VSC_Charts 2" xfId="0"/>
    <cellStyle name="_041129 WMR_VSI_050422 WMR_VSC_Inv Data" xfId="0"/>
    <cellStyle name="_041129 WMR_VSI_050422 WMR_VSC_Inv Data 2" xfId="0"/>
    <cellStyle name="_041129 WMR_VSI_050422 WMR_VSC_Inventory Pivot" xfId="0"/>
    <cellStyle name="_041129 WMR_VSI_050422 WMR_VSC_Inventory Pivot 2" xfId="0"/>
    <cellStyle name="_041129 WMR_VSI_050422 WMR_VSC_NEW WMR" xfId="0"/>
    <cellStyle name="_041129 WMR_VSI_050422 WMR_VSC_NEW WMR 2" xfId="0"/>
    <cellStyle name="_041129 WMR_VSI_050422 WMR_VSC_OpenOrder Data" xfId="0"/>
    <cellStyle name="_041129 WMR_VSI_050422 WMR_VSC_OpenOrder Data 2" xfId="0"/>
    <cellStyle name="_041129 WMR_VSI_050422 WMR_VSC_Revenue % Forecast" xfId="0"/>
    <cellStyle name="_041129 WMR_VSI_050422 WMR_VSC_Revenue % Forecast 2" xfId="0"/>
    <cellStyle name="_041129 WMR_VSI_050422 WMR_VSC_Turn Days" xfId="0"/>
    <cellStyle name="_041129 WMR_VSI_050422 WMR_VSC_Turn Days 2" xfId="0"/>
    <cellStyle name="_041129 WMR_VSI_050422 WMR_VSC_VDL" xfId="0"/>
    <cellStyle name="_041129 WMR_VSI_050422 WMR_VSC_VDL 2" xfId="0"/>
    <cellStyle name="_041129 WMR_VSI_050422 WMR_VSC_VSA" xfId="0"/>
    <cellStyle name="_041129 WMR_VSI_050422 WMR_VSC_VSA 2" xfId="0"/>
    <cellStyle name="_041129 WMR_VSI_050422 WMR_VSC_VSA Cash Flow Model (6-4-07)" xfId="0"/>
    <cellStyle name="_041129 WMR_VSI_050422 WMR_VSC_VSA Cash Flow Model (6-4-07) 2" xfId="0"/>
    <cellStyle name="_041129 WMR_VSI_050422 WMR_VSC_VSACE" xfId="0"/>
    <cellStyle name="_041129 WMR_VSI_050422 WMR_VSC_VSACE 2" xfId="0"/>
    <cellStyle name="_041129 WMR_VSI_050422 WMR_VSC_VSC" xfId="0"/>
    <cellStyle name="_041129 WMR_VSI_050422 WMR_VSC_VSC 2" xfId="0"/>
    <cellStyle name="_041129 WMR_VSI_050422 WMR_VSC_VSCN" xfId="0"/>
    <cellStyle name="_041129 WMR_VSI_050422 WMR_VSC_VSCN 2" xfId="0"/>
    <cellStyle name="_041129 WMR_VSI_050422 WMR_VSC_VSE" xfId="0"/>
    <cellStyle name="_041129 WMR_VSI_050422 WMR_VSC_VSE 2" xfId="0"/>
    <cellStyle name="_041129 WMR_VSI_050422 WMR_VSC_VSE WMR Workbook 08-07-09" xfId="0"/>
    <cellStyle name="_041129 WMR_VSI_050422 WMR_VSC_VSE WMR Workbook 08-07-09 2" xfId="0"/>
    <cellStyle name="_041129 WMR_VSI_050422 WMR_VSC_VSE WMR Workbook 11-19-10" xfId="0"/>
    <cellStyle name="_041129 WMR_VSI_050422 WMR_VSC_VSE WMR Workbook 11-19-10 2" xfId="0"/>
    <cellStyle name="_041129 WMR_VSI_050422 WMR_VSC_VSE WMR Workbook 12-31-10" xfId="0"/>
    <cellStyle name="_041129 WMR_VSI_050422 WMR_VSC_VSE WMR Workbook 12-31-10 2" xfId="0"/>
    <cellStyle name="_041129 WMR_VSI_050422 WMR_VSC_VSI" xfId="0"/>
    <cellStyle name="_041129 WMR_VSI_050422 WMR_VSC_VSI 2" xfId="0"/>
    <cellStyle name="_041129 WMR_VSI_050422 WMR_VSC_WMR" xfId="0"/>
    <cellStyle name="_041129 WMR_VSI_050422 WMR_VSC_WMR (by QTY)" xfId="0"/>
    <cellStyle name="_041129 WMR_VSI_050422 WMR_VSC_WMR (by QTY) 2" xfId="0"/>
    <cellStyle name="_041129 WMR_VSI_050422 WMR_VSC_WMR 2" xfId="0"/>
    <cellStyle name="_041129 WMR_VSI_050422 WMR_VSC_WMR 3" xfId="0"/>
    <cellStyle name="_041129 WMR_VSI_050422 WMR_VSC_WMR 4" xfId="0"/>
    <cellStyle name="_041129 WMR_VSI_080606 WMR-VSC" xfId="0"/>
    <cellStyle name="_041129 WMR_VSI_080606 WMR-VSC 2" xfId="0"/>
    <cellStyle name="_041129 WMR_VSI_080606 WMR_VSA" xfId="0"/>
    <cellStyle name="_041129 WMR_VSI_080606 WMR_VSA 2" xfId="0"/>
    <cellStyle name="_041129 WMR_VSI_080606 WMR_VSA Template_POS 5weeks" xfId="0"/>
    <cellStyle name="_041129 WMR_VSI_080606 WMR_VSA Template_POS 5weeks 2" xfId="0"/>
    <cellStyle name="_041129 WMR_VSI_080613 new WMR_VSCN" xfId="0"/>
    <cellStyle name="_041129 WMR_VSI_080613 new WMR_VSCN 2" xfId="0"/>
    <cellStyle name="_041129 WMR_VSI_080620 VSE-WMR" xfId="0"/>
    <cellStyle name="_041129 WMR_VSI_080620 VSE-WMR 2" xfId="0"/>
    <cellStyle name="_041129 WMR_VSI_080822 WMR-VSC" xfId="0"/>
    <cellStyle name="_041129 WMR_VSI_080822 WMR-VSC 2" xfId="0"/>
    <cellStyle name="_041129 WMR_VSI_080829 VSI Cash Flow Forecast" xfId="0"/>
    <cellStyle name="_041129 WMR_VSI_080829 VSI Cash Flow Forecast 2" xfId="0"/>
    <cellStyle name="_041129 WMR_VSI_080829 VSI Cash Flow Forecast_VSA Cash Forecast 04-4-10" xfId="0"/>
    <cellStyle name="_041129 WMR_VSI_080829 VSI Cash Flow Forecast_VSA Cash Forecast 04-4-10 2" xfId="0"/>
    <cellStyle name="_041129 WMR_VSI_080829 WMR" xfId="0"/>
    <cellStyle name="_041129 WMR_VSI_080829 WMR 2" xfId="0"/>
    <cellStyle name="_041129 WMR_VSI_080905 WMR-VSC" xfId="0"/>
    <cellStyle name="_041129 WMR_VSI_080905 WMR-VSC 2" xfId="0"/>
    <cellStyle name="_041129 WMR_VSI_080912 WMR-VSC" xfId="0"/>
    <cellStyle name="_041129 WMR_VSI_080912 WMR-VSC 2" xfId="0"/>
    <cellStyle name="_041129 WMR_VSI_080919 WMR-VSC" xfId="0"/>
    <cellStyle name="_041129 WMR_VSI_080919 WMR-VSC 2" xfId="0"/>
    <cellStyle name="_041129 WMR_VSI_080926 WMR-VSC" xfId="0"/>
    <cellStyle name="_041129 WMR_VSI_080926 WMR-VSC 2" xfId="0"/>
    <cellStyle name="_041129 WMR_VSI_081003 WMR-VSC_1" xfId="0"/>
    <cellStyle name="_041129 WMR_VSI_081003 WMR-VSC_1 2" xfId="0"/>
    <cellStyle name="_041129 WMR_VSI_081003 WMR_VSA" xfId="0"/>
    <cellStyle name="_041129 WMR_VSI_081003 WMR_VSA 2" xfId="0"/>
    <cellStyle name="_041129 WMR_VSI_081010 WMR-VSC" xfId="0"/>
    <cellStyle name="_041129 WMR_VSI_081010 WMR-VSC 2" xfId="0"/>
    <cellStyle name="_041129 WMR_VSI_081017 WMR-VSC_1" xfId="0"/>
    <cellStyle name="_041129 WMR_VSI_081017 WMR-VSC_1 2" xfId="0"/>
    <cellStyle name="_041129 WMR_VSI_081024 WMR-VSC" xfId="0"/>
    <cellStyle name="_041129 WMR_VSI_081024 WMR-VSC 2" xfId="0"/>
    <cellStyle name="_041129 WMR_VSI_081031 WMR-VSC" xfId="0"/>
    <cellStyle name="_041129 WMR_VSI_081031 WMR-VSC 2" xfId="0"/>
    <cellStyle name="_041129 WMR_VSI_081107 WMR-VSC (2)" xfId="0"/>
    <cellStyle name="_041129 WMR_VSI_081107 WMR-VSC (2) 2" xfId="0"/>
    <cellStyle name="_041129 WMR_VSI_081107 WMR-VSC_1" xfId="0"/>
    <cellStyle name="_041129 WMR_VSI_081107 WMR-VSC_1 2" xfId="0"/>
    <cellStyle name="_041129 WMR_VSI_081114 WMR-VSC" xfId="0"/>
    <cellStyle name="_041129 WMR_VSI_081114 WMR-VSC 2" xfId="0"/>
    <cellStyle name="_041129 WMR_VSI_081121 WMR-VSC" xfId="0"/>
    <cellStyle name="_041129 WMR_VSI_081121 WMR-VSC 2" xfId="0"/>
    <cellStyle name="_041129 WMR_VSI_081128 WMR-VSC" xfId="0"/>
    <cellStyle name="_041129 WMR_VSI_081128 WMR-VSC 2" xfId="0"/>
    <cellStyle name="_041129 WMR_VSI_081128 WMR-VSC_1" xfId="0"/>
    <cellStyle name="_041129 WMR_VSI_081128 WMR-VSC_1 2" xfId="0"/>
    <cellStyle name="_041129 WMR_VSI_081205 WMR-VSC" xfId="0"/>
    <cellStyle name="_041129 WMR_VSI_081205 WMR-VSC 2" xfId="0"/>
    <cellStyle name="_041129 WMR_VSI_081212 WMR-VSC" xfId="0"/>
    <cellStyle name="_041129 WMR_VSI_081212 WMR-VSC 2" xfId="0"/>
    <cellStyle name="_041129 WMR_VSI_081219 WMR-VSC" xfId="0"/>
    <cellStyle name="_041129 WMR_VSI_081219 WMR-VSC 2" xfId="0"/>
    <cellStyle name="_041129 WMR_VSI_081226 VSE Cash Flow Forecast-1" xfId="0"/>
    <cellStyle name="_041129 WMR_VSI_081226 VSE Cash Flow Forecast-1 2" xfId="0"/>
    <cellStyle name="_041129 WMR_VSI_090102 WMR-VSC" xfId="0"/>
    <cellStyle name="_041129 WMR_VSI_090102 WMR-VSC 2" xfId="0"/>
    <cellStyle name="_041129 WMR_VSI_090102 WMR_VSA" xfId="0"/>
    <cellStyle name="_041129 WMR_VSI_090102 WMR_VSA 2" xfId="0"/>
    <cellStyle name="_041129 WMR_VSI_090424 WMR_VSA-Template" xfId="0"/>
    <cellStyle name="_041129 WMR_VSI_090424 WMR_VSA-Template (2)" xfId="0"/>
    <cellStyle name="_041129 WMR_VSI_090424 WMR_VSA-Template (2) 2" xfId="0"/>
    <cellStyle name="_041129 WMR_VSI_090424 WMR_VSA-Template 2" xfId="0"/>
    <cellStyle name="_041129 WMR_VSI_090424 WMR_VSA-Template 3" xfId="0"/>
    <cellStyle name="_041129 WMR_VSI_090424 WMR_VSA-Template 4" xfId="0"/>
    <cellStyle name="_041129 WMR_VSI_090424 WMR_VSE (2)" xfId="0"/>
    <cellStyle name="_041129 WMR_VSI_090424 WMR_VSE (2) 2" xfId="0"/>
    <cellStyle name="_041129 WMR_VSI_090703 WMR-VSC" xfId="0"/>
    <cellStyle name="_041129 WMR_VSI_090703 WMR-VSC 2" xfId="0"/>
    <cellStyle name="_041129 WMR_VSI_1" xfId="0"/>
    <cellStyle name="_041129 WMR_VSI_1 2" xfId="0"/>
    <cellStyle name="_041129 WMR_VSI_100305 VSE Cash Flow Forecast_Draft" xfId="0"/>
    <cellStyle name="_041129 WMR_VSI_100305 VSE Cash Flow Forecast_Draft 2" xfId="0"/>
    <cellStyle name="_041129 WMR_VSI_13-wk VSA_Revised" xfId="0"/>
    <cellStyle name="_041129 WMR_VSI_13-wk VSA_Revised 2" xfId="0"/>
    <cellStyle name="_041129 WMR_VSI_13-wk VSCN Revised" xfId="0"/>
    <cellStyle name="_041129 WMR_VSI_13-wk VSCN Revised 2" xfId="0"/>
    <cellStyle name="_041129 WMR_VSI_13-wk VSCN_Revised" xfId="0"/>
    <cellStyle name="_041129 WMR_VSI_13-wk VSCN_Revised 2" xfId="0"/>
    <cellStyle name="_041129 WMR_VSI_13-wk VSE - Old" xfId="0"/>
    <cellStyle name="_041129 WMR_VSI_13-wk VSE - Old 2" xfId="0"/>
    <cellStyle name="_041129 WMR_VSI_13-wk VSE Revised" xfId="0"/>
    <cellStyle name="_041129 WMR_VSI_13-wk VSE Revised 2" xfId="0"/>
    <cellStyle name="_041129 WMR_VSI_13-wk VSE_Revised" xfId="0"/>
    <cellStyle name="_041129 WMR_VSI_13-wk VSE_Revised 2" xfId="0"/>
    <cellStyle name="_041129 WMR_VSI_13-wk VSI Revised" xfId="0"/>
    <cellStyle name="_041129 WMR_VSI_13-wk VSI Revised 2" xfId="0"/>
    <cellStyle name="_041129 WMR_VSI_13-wk VSI_Revised" xfId="0"/>
    <cellStyle name="_041129 WMR_VSI_13-wk VSI_Revised 2" xfId="0"/>
    <cellStyle name="_041129 WMR_VSI_20081107 VSI Cash Flow Forecast" xfId="0"/>
    <cellStyle name="_041129 WMR_VSI_20081107 VSI Cash Flow Forecast 2" xfId="0"/>
    <cellStyle name="_041129 WMR_VSI_All Regions WMR Definitions - Updated 7-27-07" xfId="0"/>
    <cellStyle name="_041129 WMR_VSI_All Regions WMR Definitions - Updated 7-27-07 (3)" xfId="0"/>
    <cellStyle name="_041129 WMR_VSI_All Regions WMR Definitions - Updated 7-27-07 (3) 2" xfId="0"/>
    <cellStyle name="_041129 WMR_VSI_All Regions WMR Definitions - Updated 7-27-07 2" xfId="0"/>
    <cellStyle name="_041129 WMR_VSI_All Regions WMR Definitions - Updated 7-27-07 3" xfId="0"/>
    <cellStyle name="_041129 WMR_VSI_All Regions WMR Definitions - Updated 7-27-07 4" xfId="0"/>
    <cellStyle name="_041129 WMR_VSI_AP Turn Days old" xfId="0"/>
    <cellStyle name="_041129 WMR_VSI_AP Turn Days old 2" xfId="0"/>
    <cellStyle name="_041129 WMR_VSI_AP Vendors" xfId="0"/>
    <cellStyle name="_041129 WMR_VSI_AP Vendors 2" xfId="0"/>
    <cellStyle name="_041129 WMR_VSI_Buy Plan adj" xfId="0"/>
    <cellStyle name="_041129 WMR_VSI_Buy Plan adj 2" xfId="0"/>
    <cellStyle name="_041129 WMR_VSI_Buy plan From DSB" xfId="0"/>
    <cellStyle name="_041129 WMR_VSI_Buy plan From DSB 2" xfId="0"/>
    <cellStyle name="_041129 WMR_VSI_Buy Plan raw " xfId="0"/>
    <cellStyle name="_041129 WMR_VSI_Buy Plan raw  2" xfId="0"/>
    <cellStyle name="_041129 WMR_VSI_Cash" xfId="0"/>
    <cellStyle name="_041129 WMR_VSI_Cash 2" xfId="0"/>
    <cellStyle name="_041129 WMR_VSI_Charts" xfId="0"/>
    <cellStyle name="_041129 WMR_VSI_Charts 2" xfId="0"/>
    <cellStyle name="_041129 WMR_VSI_DCR" xfId="0"/>
    <cellStyle name="_041129 WMR_VSI_DCR 2" xfId="0"/>
    <cellStyle name="_041129 WMR_VSI_DCR Trend Chart" xfId="0"/>
    <cellStyle name="_041129 WMR_VSI_DCR Trend Chart 2" xfId="0"/>
    <cellStyle name="_041129 WMR_VSI_DSB &amp; Actuals" xfId="0"/>
    <cellStyle name="_041129 WMR_VSI_DSB &amp; Actuals 2" xfId="0"/>
    <cellStyle name="_041129 WMR_VSI_DSB vs On water chart" xfId="0"/>
    <cellStyle name="_041129 WMR_VSI_DSB vs On water chart 2" xfId="0"/>
    <cellStyle name="_041129 WMR_VSI_DSBvsWFP" xfId="0"/>
    <cellStyle name="_041129 WMR_VSI_DSBvsWFP 2" xfId="0"/>
    <cellStyle name="_041129 WMR_VSI_Innolux Display Corporation" xfId="0"/>
    <cellStyle name="_041129 WMR_VSI_Innolux Display Corporation 2" xfId="0"/>
    <cellStyle name="_041129 WMR_VSI_Inv Data" xfId="0"/>
    <cellStyle name="_041129 WMR_VSI_Inv Data 2" xfId="0"/>
    <cellStyle name="_041129 WMR_VSI_Inventory Cashflow" xfId="0"/>
    <cellStyle name="_041129 WMR_VSI_Inventory Cashflow 2" xfId="0"/>
    <cellStyle name="_041129 WMR_VSI_Inventory Pivot" xfId="0"/>
    <cellStyle name="_041129 WMR_VSI_Inventory Pivot 2" xfId="0"/>
    <cellStyle name="_041129 WMR_VSI_Invoice" xfId="0"/>
    <cellStyle name="_041129 WMR_VSI_Invoice 2" xfId="0"/>
    <cellStyle name="_041129 WMR_VSI_J &amp; W Technology Ltd" xfId="0"/>
    <cellStyle name="_041129 WMR_VSI_J &amp; W Technology Ltd 2" xfId="0"/>
    <cellStyle name="_041129 WMR_VSI_New Calculation of Inventory turn day" xfId="0"/>
    <cellStyle name="_041129 WMR_VSI_New Calculation of Inventory turn day 2" xfId="0"/>
    <cellStyle name="_041129 WMR_VSI_new WMR" xfId="0"/>
    <cellStyle name="_041129 WMR_VSI_new WMR 2" xfId="0"/>
    <cellStyle name="_041129 WMR_VSI_new WMR_080822 WMR-VSC" xfId="0"/>
    <cellStyle name="_041129 WMR_VSI_new WMR_080822 WMR-VSC 2" xfId="0"/>
    <cellStyle name="_041129 WMR_VSI_new WMR_080829 WMR" xfId="0"/>
    <cellStyle name="_041129 WMR_VSI_new WMR_080829 WMR 2" xfId="0"/>
    <cellStyle name="_041129 WMR_VSI_new WMR_080905 WMR-VSC" xfId="0"/>
    <cellStyle name="_041129 WMR_VSI_new WMR_080905 WMR-VSC 2" xfId="0"/>
    <cellStyle name="_041129 WMR_VSI_new WMR_080912 WMR-VSC" xfId="0"/>
    <cellStyle name="_041129 WMR_VSI_new WMR_080912 WMR-VSC 2" xfId="0"/>
    <cellStyle name="_041129 WMR_VSI_new WMR_080919 WMR-VSC" xfId="0"/>
    <cellStyle name="_041129 WMR_VSI_new WMR_080919 WMR-VSC 2" xfId="0"/>
    <cellStyle name="_041129 WMR_VSI_new WMR_080926 WMR-VSC" xfId="0"/>
    <cellStyle name="_041129 WMR_VSI_new WMR_080926 WMR-VSC 2" xfId="0"/>
    <cellStyle name="_041129 WMR_VSI_new WMR_081003 WMR-VSC_1" xfId="0"/>
    <cellStyle name="_041129 WMR_VSI_new WMR_081003 WMR-VSC_1 2" xfId="0"/>
    <cellStyle name="_041129 WMR_VSI_new WMR_081010 WMR-VSC" xfId="0"/>
    <cellStyle name="_041129 WMR_VSI_new WMR_081010 WMR-VSC 2" xfId="0"/>
    <cellStyle name="_041129 WMR_VSI_new WMR_081017 WMR-VSC_1" xfId="0"/>
    <cellStyle name="_041129 WMR_VSI_new WMR_081017 WMR-VSC_1 2" xfId="0"/>
    <cellStyle name="_041129 WMR_VSI_new WMR_081024 WMR-VSC" xfId="0"/>
    <cellStyle name="_041129 WMR_VSI_new WMR_081024 WMR-VSC 2" xfId="0"/>
    <cellStyle name="_041129 WMR_VSI_new WMR_081031 WMR-VSC" xfId="0"/>
    <cellStyle name="_041129 WMR_VSI_new WMR_081031 WMR-VSC 2" xfId="0"/>
    <cellStyle name="_041129 WMR_VSI_new WMR_081107 WMR-VSC (2)" xfId="0"/>
    <cellStyle name="_041129 WMR_VSI_new WMR_081107 WMR-VSC (2) 2" xfId="0"/>
    <cellStyle name="_041129 WMR_VSI_new WMR_081107 WMR-VSC_1" xfId="0"/>
    <cellStyle name="_041129 WMR_VSI_new WMR_081107 WMR-VSC_1 2" xfId="0"/>
    <cellStyle name="_041129 WMR_VSI_new WMR_081114 WMR-VSC" xfId="0"/>
    <cellStyle name="_041129 WMR_VSI_new WMR_081114 WMR-VSC 2" xfId="0"/>
    <cellStyle name="_041129 WMR_VSI_new WMR_081121 WMR-VSC" xfId="0"/>
    <cellStyle name="_041129 WMR_VSI_new WMR_081121 WMR-VSC 2" xfId="0"/>
    <cellStyle name="_041129 WMR_VSI_new WMR_081128 WMR-VSC" xfId="0"/>
    <cellStyle name="_041129 WMR_VSI_new WMR_081128 WMR-VSC 2" xfId="0"/>
    <cellStyle name="_041129 WMR_VSI_new WMR_081128 WMR-VSC_1" xfId="0"/>
    <cellStyle name="_041129 WMR_VSI_new WMR_081128 WMR-VSC_1 2" xfId="0"/>
    <cellStyle name="_041129 WMR_VSI_new WMR_081205 WMR-VSC" xfId="0"/>
    <cellStyle name="_041129 WMR_VSI_new WMR_081205 WMR-VSC 2" xfId="0"/>
    <cellStyle name="_041129 WMR_VSI_new WMR_081212 WMR-VSC" xfId="0"/>
    <cellStyle name="_041129 WMR_VSI_new WMR_081212 WMR-VSC 2" xfId="0"/>
    <cellStyle name="_041129 WMR_VSI_new WMR_081219 WMR-VSC" xfId="0"/>
    <cellStyle name="_041129 WMR_VSI_new WMR_081219 WMR-VSC 2" xfId="0"/>
    <cellStyle name="_041129 WMR_VSI_new WMR_090102 WMR-VSC" xfId="0"/>
    <cellStyle name="_041129 WMR_VSI_new WMR_090102 WMR-VSC 2" xfId="0"/>
    <cellStyle name="_041129 WMR_VSI_new WMR_090424 WMR_VSE (2)" xfId="0"/>
    <cellStyle name="_041129 WMR_VSI_new WMR_090424 WMR_VSE (2) 2" xfId="0"/>
    <cellStyle name="_041129 WMR_VSI_new WMR_090703 WMR-VSC" xfId="0"/>
    <cellStyle name="_041129 WMR_VSI_new WMR_090703 WMR-VSC 2" xfId="0"/>
    <cellStyle name="_041129 WMR_VSI_NEW WMR_1" xfId="0"/>
    <cellStyle name="_041129 WMR_VSI_NEW WMR_1 2" xfId="0"/>
    <cellStyle name="_041129 WMR_VSI_new WMR_AP Turn Days old" xfId="0"/>
    <cellStyle name="_041129 WMR_VSI_new WMR_AP Turn Days old 2" xfId="0"/>
    <cellStyle name="_041129 WMR_VSI_new WMR_Cash" xfId="0"/>
    <cellStyle name="_041129 WMR_VSI_new WMR_Cash 2" xfId="0"/>
    <cellStyle name="_041129 WMR_VSI_new WMR_Charts" xfId="0"/>
    <cellStyle name="_041129 WMR_VSI_new WMR_Charts 2" xfId="0"/>
    <cellStyle name="_041129 WMR_VSI_new WMR_Inv Data" xfId="0"/>
    <cellStyle name="_041129 WMR_VSI_new WMR_Inv Data 2" xfId="0"/>
    <cellStyle name="_041129 WMR_VSI_new WMR_Inventory Pivot" xfId="0"/>
    <cellStyle name="_041129 WMR_VSI_new WMR_Inventory Pivot 2" xfId="0"/>
    <cellStyle name="_041129 WMR_VSI_new WMR_NEW WMR" xfId="0"/>
    <cellStyle name="_041129 WMR_VSI_new WMR_NEW WMR 2" xfId="0"/>
    <cellStyle name="_041129 WMR_VSI_new WMR_OpenOrder Data" xfId="0"/>
    <cellStyle name="_041129 WMR_VSI_new WMR_OpenOrder Data 2" xfId="0"/>
    <cellStyle name="_041129 WMR_VSI_new WMR_Revenue % Forecast" xfId="0"/>
    <cellStyle name="_041129 WMR_VSI_new WMR_Revenue % Forecast 2" xfId="0"/>
    <cellStyle name="_041129 WMR_VSI_new WMR_Turn Days" xfId="0"/>
    <cellStyle name="_041129 WMR_VSI_new WMR_Turn Days 2" xfId="0"/>
    <cellStyle name="_041129 WMR_VSI_new WMR_VDL" xfId="0"/>
    <cellStyle name="_041129 WMR_VSI_new WMR_VDL 2" xfId="0"/>
    <cellStyle name="_041129 WMR_VSI_new WMR_VSA" xfId="0"/>
    <cellStyle name="_041129 WMR_VSI_new WMR_VSA 2" xfId="0"/>
    <cellStyle name="_041129 WMR_VSI_new WMR_VSA Cash Flow Model (6-4-07)" xfId="0"/>
    <cellStyle name="_041129 WMR_VSI_new WMR_VSA Cash Flow Model (6-4-07) 2" xfId="0"/>
    <cellStyle name="_041129 WMR_VSI_new WMR_VSACE" xfId="0"/>
    <cellStyle name="_041129 WMR_VSI_new WMR_VSACE 2" xfId="0"/>
    <cellStyle name="_041129 WMR_VSI_new WMR_VSC" xfId="0"/>
    <cellStyle name="_041129 WMR_VSI_new WMR_VSC 2" xfId="0"/>
    <cellStyle name="_041129 WMR_VSI_new WMR_VSCN" xfId="0"/>
    <cellStyle name="_041129 WMR_VSI_new WMR_VSCN 2" xfId="0"/>
    <cellStyle name="_041129 WMR_VSI_new WMR_VSE" xfId="0"/>
    <cellStyle name="_041129 WMR_VSI_new WMR_VSE 2" xfId="0"/>
    <cellStyle name="_041129 WMR_VSI_new WMR_VSE WMR Workbook 08-07-09" xfId="0"/>
    <cellStyle name="_041129 WMR_VSI_new WMR_VSE WMR Workbook 08-07-09 2" xfId="0"/>
    <cellStyle name="_041129 WMR_VSI_new WMR_VSE WMR Workbook 11-19-10" xfId="0"/>
    <cellStyle name="_041129 WMR_VSI_new WMR_VSE WMR Workbook 11-19-10 2" xfId="0"/>
    <cellStyle name="_041129 WMR_VSI_new WMR_VSE WMR Workbook 12-31-10" xfId="0"/>
    <cellStyle name="_041129 WMR_VSI_new WMR_VSE WMR Workbook 12-31-10 2" xfId="0"/>
    <cellStyle name="_041129 WMR_VSI_new WMR_VSI" xfId="0"/>
    <cellStyle name="_041129 WMR_VSI_new WMR_VSI 2" xfId="0"/>
    <cellStyle name="_041129 WMR_VSI_new WMR_WMR" xfId="0"/>
    <cellStyle name="_041129 WMR_VSI_new WMR_WMR (by QTY)" xfId="0"/>
    <cellStyle name="_041129 WMR_VSI_new WMR_WMR (by QTY) 2" xfId="0"/>
    <cellStyle name="_041129 WMR_VSI_new WMR_WMR 2" xfId="0"/>
    <cellStyle name="_041129 WMR_VSI_new WMR_WMR 3" xfId="0"/>
    <cellStyle name="_041129 WMR_VSI_new WMR_WMR 4" xfId="0"/>
    <cellStyle name="_041129 WMR_VSI_OpenOrder Data" xfId="0"/>
    <cellStyle name="_041129 WMR_VSI_OpenOrder Data 2" xfId="0"/>
    <cellStyle name="_041129 WMR_VSI_POS-2009" xfId="0"/>
    <cellStyle name="_041129 WMR_VSI_POS-2009 2" xfId="0"/>
    <cellStyle name="_041129 WMR_VSI_POS_COGS_$" xfId="0"/>
    <cellStyle name="_041129 WMR_VSI_POS_COGS_$ 2" xfId="0"/>
    <cellStyle name="_041129 WMR_VSI_POS_QTY" xfId="0"/>
    <cellStyle name="_041129 WMR_VSI_POS_QTY 2" xfId="0"/>
    <cellStyle name="_041129 WMR_VSI_Reconciliation" xfId="0"/>
    <cellStyle name="_041129 WMR_VSI_Reconciliation 2" xfId="0"/>
    <cellStyle name="_041129 WMR_VSI_Revenue % Forecast" xfId="0"/>
    <cellStyle name="_041129 WMR_VSI_Revenue % Forecast 2" xfId="0"/>
    <cellStyle name="_041129 WMR_VSI_Summary 091023" xfId="0"/>
    <cellStyle name="_041129 WMR_VSI_Summary 091023 2" xfId="0"/>
    <cellStyle name="_041129 WMR_VSI_Summary 091113" xfId="0"/>
    <cellStyle name="_041129 WMR_VSI_Summary 091113 2" xfId="0"/>
    <cellStyle name="_041129 WMR_VSI_Summary 091204" xfId="0"/>
    <cellStyle name="_041129 WMR_VSI_Summary 091204 2" xfId="0"/>
    <cellStyle name="_041129 WMR_VSI_Summary 100115" xfId="0"/>
    <cellStyle name="_041129 WMR_VSI_Summary 100115 2" xfId="0"/>
    <cellStyle name="_041129 WMR_VSI_Summary 100312" xfId="0"/>
    <cellStyle name="_041129 WMR_VSI_Summary 100312 2" xfId="0"/>
    <cellStyle name="_041129 WMR_VSI_Summary 100709" xfId="0"/>
    <cellStyle name="_041129 WMR_VSI_Summary 100709 2" xfId="0"/>
    <cellStyle name="_041129 WMR_VSI_Summary 100723" xfId="0"/>
    <cellStyle name="_041129 WMR_VSI_Summary 100723 2" xfId="0"/>
    <cellStyle name="_041129 WMR_VSI_Summary 100730" xfId="0"/>
    <cellStyle name="_041129 WMR_VSI_Summary 100730 2" xfId="0"/>
    <cellStyle name="_041129 WMR_VSI_Summary 100917" xfId="0"/>
    <cellStyle name="_041129 WMR_VSI_Summary 100917 2" xfId="0"/>
    <cellStyle name="_041129 WMR_VSI_Summary 101001" xfId="0"/>
    <cellStyle name="_041129 WMR_VSI_Summary 101001 2" xfId="0"/>
    <cellStyle name="_041129 WMR_VSI_Summary 101008" xfId="0"/>
    <cellStyle name="_041129 WMR_VSI_Summary 101008 2" xfId="0"/>
    <cellStyle name="_041129 WMR_VSI_Summary 101015" xfId="0"/>
    <cellStyle name="_041129 WMR_VSI_Summary 101015 2" xfId="0"/>
    <cellStyle name="_041129 WMR_VSI_Summary 101029" xfId="0"/>
    <cellStyle name="_041129 WMR_VSI_Summary 101029 2" xfId="0"/>
    <cellStyle name="_041129 WMR_VSI_Topstar" xfId="0"/>
    <cellStyle name="_041129 WMR_VSI_Topstar 2" xfId="0"/>
    <cellStyle name="_041129 WMR_VSI_TT" xfId="0"/>
    <cellStyle name="_041129 WMR_VSI_TT 2" xfId="0"/>
    <cellStyle name="_041129 WMR_VSI_Turn Days" xfId="0"/>
    <cellStyle name="_041129 WMR_VSI_Turn Days 2" xfId="0"/>
    <cellStyle name="_041129 WMR_VSI_VDL" xfId="0"/>
    <cellStyle name="_041129 WMR_VSI_VDL 2" xfId="0"/>
    <cellStyle name="_041129 WMR_VSI_VSA" xfId="0"/>
    <cellStyle name="_041129 WMR_VSI_VSA 2" xfId="0"/>
    <cellStyle name="_041129 WMR_VSI_VSA Cash Flow Model (6-4-07)" xfId="0"/>
    <cellStyle name="_041129 WMR_VSI_VSA Cash Flow Model (6-4-07) 2" xfId="0"/>
    <cellStyle name="_041129 WMR_VSI_VSA Cash Forecast 03-07-10 (2)" xfId="0"/>
    <cellStyle name="_041129 WMR_VSI_VSA Cash Forecast 03-07-10 (2) 2" xfId="0"/>
    <cellStyle name="_041129 WMR_VSI_VSA Cash Forecast 04-4-10" xfId="0"/>
    <cellStyle name="_041129 WMR_VSI_VSA Cash Forecast 04-4-10 2" xfId="0"/>
    <cellStyle name="_041129 WMR_VSI_VSA CE WMR" xfId="0"/>
    <cellStyle name="_041129 WMR_VSI_VSA CE WMR 101008" xfId="0"/>
    <cellStyle name="_041129 WMR_VSI_VSA CE WMR 101008 2" xfId="0"/>
    <cellStyle name="_041129 WMR_VSI_VSA CE WMR 2" xfId="0"/>
    <cellStyle name="_041129 WMR_VSI_VSACE" xfId="0"/>
    <cellStyle name="_041129 WMR_VSI_VSACE 2" xfId="0"/>
    <cellStyle name="_041129 WMR_VSI_VSC" xfId="0"/>
    <cellStyle name="_041129 WMR_VSI_VSC 2" xfId="0"/>
    <cellStyle name="_041129 WMR_VSI_VSCN" xfId="0"/>
    <cellStyle name="_041129 WMR_VSI_VSCN 2" xfId="0"/>
    <cellStyle name="_041129 WMR_VSI_VSE" xfId="0"/>
    <cellStyle name="_041129 WMR_VSI_VSE 2" xfId="0"/>
    <cellStyle name="_041129 WMR_VSI_VSE Cash Forecast 100820_Final" xfId="0"/>
    <cellStyle name="_041129 WMR_VSI_VSE Cash Forecast 100820_Final 2" xfId="0"/>
    <cellStyle name="_041129 WMR_VSI_VSE WMR Workbook 06-13-08" xfId="0"/>
    <cellStyle name="_041129 WMR_VSI_VSE WMR Workbook 06-13-08 2" xfId="0"/>
    <cellStyle name="_041129 WMR_VSI_VSE WMR Workbook 08-07-09" xfId="0"/>
    <cellStyle name="_041129 WMR_VSI_VSE WMR Workbook 08-07-09 2" xfId="0"/>
    <cellStyle name="_041129 WMR_VSI_VSE WMR Workbook 11-19-10" xfId="0"/>
    <cellStyle name="_041129 WMR_VSI_VSE WMR Workbook 11-19-10 2" xfId="0"/>
    <cellStyle name="_041129 WMR_VSI_VSE WMR Workbook 12-31-10" xfId="0"/>
    <cellStyle name="_041129 WMR_VSI_VSE WMR Workbook 12-31-10 2" xfId="0"/>
    <cellStyle name="_041129 WMR_VSI_VSE-WMR 2007" xfId="0"/>
    <cellStyle name="_041129 WMR_VSI_VSE-WMR 2007 2" xfId="0"/>
    <cellStyle name="_041129 WMR_VSI_VSE-WMR 2008_New Value" xfId="0"/>
    <cellStyle name="_041129 WMR_VSI_VSE-WMR 2008_New Value 2" xfId="0"/>
    <cellStyle name="_041129 WMR_VSI_VSI" xfId="0"/>
    <cellStyle name="_041129 WMR_VSI_VSI 2" xfId="0"/>
    <cellStyle name="_041129 WMR_VSI_VSI-WMR" xfId="0"/>
    <cellStyle name="_041129 WMR_VSI_VSI-WMR (2)" xfId="0"/>
    <cellStyle name="_041129 WMR_VSI_VSI-WMR (2) 2" xfId="0"/>
    <cellStyle name="_041129 WMR_VSI_VSI-WMR (4)" xfId="0"/>
    <cellStyle name="_041129 WMR_VSI_VSI-WMR (4) 2" xfId="0"/>
    <cellStyle name="_041129 WMR_VSI_VSI-WMR (5)" xfId="0"/>
    <cellStyle name="_041129 WMR_VSI_VSI-WMR (5) 2" xfId="0"/>
    <cellStyle name="_041129 WMR_VSI_VSI-WMR (6)" xfId="0"/>
    <cellStyle name="_041129 WMR_VSI_VSI-WMR (6) 2" xfId="0"/>
    <cellStyle name="_041129 WMR_VSI_VSI-WMR 10" xfId="0"/>
    <cellStyle name="_041129 WMR_VSI_VSI-WMR 2" xfId="0"/>
    <cellStyle name="_041129 WMR_VSI_VSI-WMR 2007-07-06" xfId="0"/>
    <cellStyle name="_041129 WMR_VSI_VSI-WMR 2007-07-06 2" xfId="0"/>
    <cellStyle name="_041129 WMR_VSI_VSI-WMR 2008-06-13" xfId="0"/>
    <cellStyle name="_041129 WMR_VSI_VSI-WMR 2008-06-13 2" xfId="0"/>
    <cellStyle name="_041129 WMR_VSI_VSI-WMR 2008-06-20" xfId="0"/>
    <cellStyle name="_041129 WMR_VSI_VSI-WMR 2008-06-20 2" xfId="0"/>
    <cellStyle name="_041129 WMR_VSI_VSI-WMR 2008-09-26" xfId="0"/>
    <cellStyle name="_041129 WMR_VSI_VSI-WMR 2008-09-26 2" xfId="0"/>
    <cellStyle name="_041129 WMR_VSI_VSI-WMR 3" xfId="0"/>
    <cellStyle name="_041129 WMR_VSI_VSI-WMR 4" xfId="0"/>
    <cellStyle name="_041129 WMR_VSI_VSI-WMR 5" xfId="0"/>
    <cellStyle name="_041129 WMR_VSI_VSI-WMR 6" xfId="0"/>
    <cellStyle name="_041129 WMR_VSI_VSI-WMR 7" xfId="0"/>
    <cellStyle name="_041129 WMR_VSI_VSI-WMR 8" xfId="0"/>
    <cellStyle name="_041129 WMR_VSI_VSI-WMR 9" xfId="0"/>
    <cellStyle name="_041129 WMR_VSI_VSI-WMR_080822 WMR-VSC" xfId="0"/>
    <cellStyle name="_041129 WMR_VSI_VSI-WMR_080822 WMR-VSC 2" xfId="0"/>
    <cellStyle name="_041129 WMR_VSI_VSI-WMR_080829 WMR" xfId="0"/>
    <cellStyle name="_041129 WMR_VSI_VSI-WMR_080829 WMR 2" xfId="0"/>
    <cellStyle name="_041129 WMR_VSI_VSI-WMR_080905 WMR-VSC" xfId="0"/>
    <cellStyle name="_041129 WMR_VSI_VSI-WMR_080905 WMR-VSC 2" xfId="0"/>
    <cellStyle name="_041129 WMR_VSI_VSI-WMR_080912 WMR-VSC" xfId="0"/>
    <cellStyle name="_041129 WMR_VSI_VSI-WMR_080912 WMR-VSC 2" xfId="0"/>
    <cellStyle name="_041129 WMR_VSI_VSI-WMR_080919 WMR-VSC" xfId="0"/>
    <cellStyle name="_041129 WMR_VSI_VSI-WMR_080919 WMR-VSC 2" xfId="0"/>
    <cellStyle name="_041129 WMR_VSI_VSI-WMR_080926 WMR-VSC" xfId="0"/>
    <cellStyle name="_041129 WMR_VSI_VSI-WMR_080926 WMR-VSC 2" xfId="0"/>
    <cellStyle name="_041129 WMR_VSI_VSI-WMR_081003 WMR-VSC_1" xfId="0"/>
    <cellStyle name="_041129 WMR_VSI_VSI-WMR_081003 WMR-VSC_1 2" xfId="0"/>
    <cellStyle name="_041129 WMR_VSI_VSI-WMR_081010 WMR-VSC" xfId="0"/>
    <cellStyle name="_041129 WMR_VSI_VSI-WMR_081010 WMR-VSC 2" xfId="0"/>
    <cellStyle name="_041129 WMR_VSI_VSI-WMR_081017 WMR-VSC_1" xfId="0"/>
    <cellStyle name="_041129 WMR_VSI_VSI-WMR_081017 WMR-VSC_1 2" xfId="0"/>
    <cellStyle name="_041129 WMR_VSI_VSI-WMR_081024 WMR-VSC" xfId="0"/>
    <cellStyle name="_041129 WMR_VSI_VSI-WMR_081024 WMR-VSC 2" xfId="0"/>
    <cellStyle name="_041129 WMR_VSI_VSI-WMR_081031 WMR-VSC" xfId="0"/>
    <cellStyle name="_041129 WMR_VSI_VSI-WMR_081031 WMR-VSC 2" xfId="0"/>
    <cellStyle name="_041129 WMR_VSI_VSI-WMR_081107 WMR-VSC (2)" xfId="0"/>
    <cellStyle name="_041129 WMR_VSI_VSI-WMR_081107 WMR-VSC (2) 2" xfId="0"/>
    <cellStyle name="_041129 WMR_VSI_VSI-WMR_081107 WMR-VSC_1" xfId="0"/>
    <cellStyle name="_041129 WMR_VSI_VSI-WMR_081107 WMR-VSC_1 2" xfId="0"/>
    <cellStyle name="_041129 WMR_VSI_VSI-WMR_081114 WMR-VSC" xfId="0"/>
    <cellStyle name="_041129 WMR_VSI_VSI-WMR_081114 WMR-VSC 2" xfId="0"/>
    <cellStyle name="_041129 WMR_VSI_VSI-WMR_081121 WMR-VSC" xfId="0"/>
    <cellStyle name="_041129 WMR_VSI_VSI-WMR_081121 WMR-VSC 2" xfId="0"/>
    <cellStyle name="_041129 WMR_VSI_VSI-WMR_081128 WMR-VSC" xfId="0"/>
    <cellStyle name="_041129 WMR_VSI_VSI-WMR_081128 WMR-VSC 2" xfId="0"/>
    <cellStyle name="_041129 WMR_VSI_VSI-WMR_081128 WMR-VSC_1" xfId="0"/>
    <cellStyle name="_041129 WMR_VSI_VSI-WMR_081128 WMR-VSC_1 2" xfId="0"/>
    <cellStyle name="_041129 WMR_VSI_VSI-WMR_081205 WMR-VSC" xfId="0"/>
    <cellStyle name="_041129 WMR_VSI_VSI-WMR_081205 WMR-VSC 2" xfId="0"/>
    <cellStyle name="_041129 WMR_VSI_VSI-WMR_081212 WMR-VSC" xfId="0"/>
    <cellStyle name="_041129 WMR_VSI_VSI-WMR_081212 WMR-VSC 2" xfId="0"/>
    <cellStyle name="_041129 WMR_VSI_VSI-WMR_081219 WMR-VSC" xfId="0"/>
    <cellStyle name="_041129 WMR_VSI_VSI-WMR_081219 WMR-VSC 2" xfId="0"/>
    <cellStyle name="_041129 WMR_VSI_VSI-WMR_090102 WMR-VSC" xfId="0"/>
    <cellStyle name="_041129 WMR_VSI_VSI-WMR_090102 WMR-VSC 2" xfId="0"/>
    <cellStyle name="_041129 WMR_VSI_VSI-WMR_090424 WMR_VSE (2)" xfId="0"/>
    <cellStyle name="_041129 WMR_VSI_VSI-WMR_090424 WMR_VSE (2) 2" xfId="0"/>
    <cellStyle name="_041129 WMR_VSI_VSI-WMR_090703 WMR-VSC" xfId="0"/>
    <cellStyle name="_041129 WMR_VSI_VSI-WMR_090703 WMR-VSC 2" xfId="0"/>
    <cellStyle name="_041129 WMR_VSI_VSI-WMR_AP Turn Days old" xfId="0"/>
    <cellStyle name="_041129 WMR_VSI_VSI-WMR_AP Turn Days old 2" xfId="0"/>
    <cellStyle name="_041129 WMR_VSI_VSI-WMR_Cash" xfId="0"/>
    <cellStyle name="_041129 WMR_VSI_VSI-WMR_Cash 2" xfId="0"/>
    <cellStyle name="_041129 WMR_VSI_VSI-WMR_Charts" xfId="0"/>
    <cellStyle name="_041129 WMR_VSI_VSI-WMR_Charts 2" xfId="0"/>
    <cellStyle name="_041129 WMR_VSI_VSI-WMR_Inv Data" xfId="0"/>
    <cellStyle name="_041129 WMR_VSI_VSI-WMR_Inv Data 2" xfId="0"/>
    <cellStyle name="_041129 WMR_VSI_VSI-WMR_Inventory Pivot" xfId="0"/>
    <cellStyle name="_041129 WMR_VSI_VSI-WMR_Inventory Pivot 2" xfId="0"/>
    <cellStyle name="_041129 WMR_VSI_VSI-WMR_NEW WMR" xfId="0"/>
    <cellStyle name="_041129 WMR_VSI_VSI-WMR_NEW WMR 2" xfId="0"/>
    <cellStyle name="_041129 WMR_VSI_VSI-WMR_OpenOrder Data" xfId="0"/>
    <cellStyle name="_041129 WMR_VSI_VSI-WMR_OpenOrder Data 2" xfId="0"/>
    <cellStyle name="_041129 WMR_VSI_VSI-WMR_Revenue % Forecast" xfId="0"/>
    <cellStyle name="_041129 WMR_VSI_VSI-WMR_Revenue % Forecast 2" xfId="0"/>
    <cellStyle name="_041129 WMR_VSI_VSI-WMR_Turn Days" xfId="0"/>
    <cellStyle name="_041129 WMR_VSI_VSI-WMR_Turn Days 2" xfId="0"/>
    <cellStyle name="_041129 WMR_VSI_VSI-WMR_VDL" xfId="0"/>
    <cellStyle name="_041129 WMR_VSI_VSI-WMR_VDL 2" xfId="0"/>
    <cellStyle name="_041129 WMR_VSI_VSI-WMR_VSA" xfId="0"/>
    <cellStyle name="_041129 WMR_VSI_VSI-WMR_VSA 2" xfId="0"/>
    <cellStyle name="_041129 WMR_VSI_VSI-WMR_VSA Cash Flow Model (6-4-07)" xfId="0"/>
    <cellStyle name="_041129 WMR_VSI_VSI-WMR_VSA Cash Flow Model (6-4-07) 2" xfId="0"/>
    <cellStyle name="_041129 WMR_VSI_VSI-WMR_VSACE" xfId="0"/>
    <cellStyle name="_041129 WMR_VSI_VSI-WMR_VSACE 2" xfId="0"/>
    <cellStyle name="_041129 WMR_VSI_VSI-WMR_VSC" xfId="0"/>
    <cellStyle name="_041129 WMR_VSI_VSI-WMR_VSC 2" xfId="0"/>
    <cellStyle name="_041129 WMR_VSI_VSI-WMR_VSCN" xfId="0"/>
    <cellStyle name="_041129 WMR_VSI_VSI-WMR_VSCN 2" xfId="0"/>
    <cellStyle name="_041129 WMR_VSI_VSI-WMR_VSE" xfId="0"/>
    <cellStyle name="_041129 WMR_VSI_VSI-WMR_VSE 2" xfId="0"/>
    <cellStyle name="_041129 WMR_VSI_VSI-WMR_VSE WMR Workbook 08-07-09" xfId="0"/>
    <cellStyle name="_041129 WMR_VSI_VSI-WMR_VSE WMR Workbook 08-07-09 2" xfId="0"/>
    <cellStyle name="_041129 WMR_VSI_VSI-WMR_VSE WMR Workbook 11-19-10" xfId="0"/>
    <cellStyle name="_041129 WMR_VSI_VSI-WMR_VSE WMR Workbook 11-19-10 2" xfId="0"/>
    <cellStyle name="_041129 WMR_VSI_VSI-WMR_VSE WMR Workbook 12-31-10" xfId="0"/>
    <cellStyle name="_041129 WMR_VSI_VSI-WMR_VSE WMR Workbook 12-31-10 2" xfId="0"/>
    <cellStyle name="_041129 WMR_VSI_VSI-WMR_VSI" xfId="0"/>
    <cellStyle name="_041129 WMR_VSI_VSI-WMR_VSI 2" xfId="0"/>
    <cellStyle name="_041129 WMR_VSI_VSI-WMR_WMR" xfId="0"/>
    <cellStyle name="_041129 WMR_VSI_VSI-WMR_WMR (by QTY)" xfId="0"/>
    <cellStyle name="_041129 WMR_VSI_VSI-WMR_WMR (by QTY) 2" xfId="0"/>
    <cellStyle name="_041129 WMR_VSI_VSI-WMR_WMR 2" xfId="0"/>
    <cellStyle name="_041129 WMR_VSI_VSI-WMR_WMR 3" xfId="0"/>
    <cellStyle name="_041129 WMR_VSI_VSI-WMR_WMR 4" xfId="0"/>
    <cellStyle name="_041129 WMR_VSI_WMR" xfId="0"/>
    <cellStyle name="_041129 WMR_VSI_WMR (by QTY)" xfId="0"/>
    <cellStyle name="_041129 WMR_VSI_WMR (by QTY) 2" xfId="0"/>
    <cellStyle name="_041129 WMR_VSI_WMR 2" xfId="0"/>
    <cellStyle name="_041129 WMR_VSI_WMR 3" xfId="0"/>
    <cellStyle name="_041129 WMR_VSI_WMR 4" xfId="0"/>
    <cellStyle name="_041129 WMR_VSI_WMR Definitions" xfId="0"/>
    <cellStyle name="_041129 WMR_VSI_WMR Definitions 2" xfId="0"/>
    <cellStyle name="_041129 WMR_VSI_WMR VSA" xfId="0"/>
    <cellStyle name="_041129 WMR_VSI_WMR VSA (by Value)" xfId="0"/>
    <cellStyle name="_041129 WMR_VSI_WMR VSA (by Value) 2" xfId="0"/>
    <cellStyle name="_041129 WMR_VSI_WMR VSA 2" xfId="0"/>
    <cellStyle name="_041129 WMR_VSI_WMR VSA 3" xfId="0"/>
    <cellStyle name="_041129 WMR_VSI_WMR VSA 4" xfId="0"/>
    <cellStyle name="_041129 WMR_VSI_WMR VSCN" xfId="0"/>
    <cellStyle name="_041129 WMR_VSI_WMR VSCN (by Value)" xfId="0"/>
    <cellStyle name="_041129 WMR_VSI_WMR VSCN (by Value) 2" xfId="0"/>
    <cellStyle name="_041129 WMR_VSI_WMR VSCN 2" xfId="0"/>
    <cellStyle name="_041129 WMR_VSI_WMR VSCN 3" xfId="0"/>
    <cellStyle name="_041129 WMR_VSI_WMR VSCN 4" xfId="0"/>
    <cellStyle name="_041129 WMR_VSI_WMR VSCN(by Value)" xfId="0"/>
    <cellStyle name="_041129 WMR_VSI_WMR VSCN(by Value) 2" xfId="0"/>
    <cellStyle name="_041129 WMR_VSI_WMR VSE" xfId="0"/>
    <cellStyle name="_041129 WMR_VSI_WMR VSE (by QTY)" xfId="0"/>
    <cellStyle name="_041129 WMR_VSI_WMR VSE (by QTY) 2" xfId="0"/>
    <cellStyle name="_041129 WMR_VSI_WMR VSE (by Value)" xfId="0"/>
    <cellStyle name="_041129 WMR_VSI_WMR VSE (by Value) 2" xfId="0"/>
    <cellStyle name="_041129 WMR_VSI_WMR VSE 2" xfId="0"/>
    <cellStyle name="_041129 WMR_VSI_WMR VSE 3" xfId="0"/>
    <cellStyle name="_041129 WMR_VSI_WMR VSE 4" xfId="0"/>
    <cellStyle name="_041129 WMR_VSI_WMR VSI" xfId="0"/>
    <cellStyle name="_041129 WMR_VSI_WMR VSI (by Value)" xfId="0"/>
    <cellStyle name="_041129 WMR_VSI_WMR VSI (by Value) 2" xfId="0"/>
    <cellStyle name="_041129 WMR_VSI_WMR VSI 2" xfId="0"/>
    <cellStyle name="_041129 WMR_VSI_WMR VSI 3" xfId="0"/>
    <cellStyle name="_041129 WMR_VSI_WMR VSI 4" xfId="0"/>
    <cellStyle name="_041129 WMR_VSI_WMR_VSCN (13 wks history restated)" xfId="0"/>
    <cellStyle name="_041129 WMR_VSI_WMR_VSCN (13 wks history restated) 2" xfId="0"/>
    <cellStyle name="_041129 WMR_VSI_WMR_VSCN (13 wks history restated)_080822 WMR-VSC" xfId="0"/>
    <cellStyle name="_041129 WMR_VSI_WMR_VSCN (13 wks history restated)_080822 WMR-VSC 2" xfId="0"/>
    <cellStyle name="_041129 WMR_VSI_WMR_VSCN (13 wks history restated)_080829 WMR" xfId="0"/>
    <cellStyle name="_041129 WMR_VSI_WMR_VSCN (13 wks history restated)_080829 WMR 2" xfId="0"/>
    <cellStyle name="_041129 WMR_VSI_WMR_VSCN (13 wks history restated)_080905 WMR-VSC" xfId="0"/>
    <cellStyle name="_041129 WMR_VSI_WMR_VSCN (13 wks history restated)_080905 WMR-VSC 2" xfId="0"/>
    <cellStyle name="_041129 WMR_VSI_WMR_VSCN (13 wks history restated)_080912 WMR-VSC" xfId="0"/>
    <cellStyle name="_041129 WMR_VSI_WMR_VSCN (13 wks history restated)_080912 WMR-VSC 2" xfId="0"/>
    <cellStyle name="_041129 WMR_VSI_WMR_VSCN (13 wks history restated)_080919 WMR-VSC" xfId="0"/>
    <cellStyle name="_041129 WMR_VSI_WMR_VSCN (13 wks history restated)_080919 WMR-VSC 2" xfId="0"/>
    <cellStyle name="_041129 WMR_VSI_WMR_VSCN (13 wks history restated)_080926 WMR-VSC" xfId="0"/>
    <cellStyle name="_041129 WMR_VSI_WMR_VSCN (13 wks history restated)_080926 WMR-VSC 2" xfId="0"/>
    <cellStyle name="_041129 WMR_VSI_WMR_VSCN (13 wks history restated)_081003 WMR-VSC_1" xfId="0"/>
    <cellStyle name="_041129 WMR_VSI_WMR_VSCN (13 wks history restated)_081003 WMR-VSC_1 2" xfId="0"/>
    <cellStyle name="_041129 WMR_VSI_WMR_VSCN (13 wks history restated)_081010 WMR-VSC" xfId="0"/>
    <cellStyle name="_041129 WMR_VSI_WMR_VSCN (13 wks history restated)_081010 WMR-VSC 2" xfId="0"/>
    <cellStyle name="_041129 WMR_VSI_WMR_VSCN (13 wks history restated)_081017 WMR-VSC_1" xfId="0"/>
    <cellStyle name="_041129 WMR_VSI_WMR_VSCN (13 wks history restated)_081017 WMR-VSC_1 2" xfId="0"/>
    <cellStyle name="_041129 WMR_VSI_WMR_VSCN (13 wks history restated)_081024 WMR-VSC" xfId="0"/>
    <cellStyle name="_041129 WMR_VSI_WMR_VSCN (13 wks history restated)_081024 WMR-VSC 2" xfId="0"/>
    <cellStyle name="_041129 WMR_VSI_WMR_VSCN (13 wks history restated)_081031 WMR-VSC" xfId="0"/>
    <cellStyle name="_041129 WMR_VSI_WMR_VSCN (13 wks history restated)_081031 WMR-VSC 2" xfId="0"/>
    <cellStyle name="_041129 WMR_VSI_WMR_VSCN (13 wks history restated)_081107 WMR-VSC (2)" xfId="0"/>
    <cellStyle name="_041129 WMR_VSI_WMR_VSCN (13 wks history restated)_081107 WMR-VSC (2) 2" xfId="0"/>
    <cellStyle name="_041129 WMR_VSI_WMR_VSCN (13 wks history restated)_081107 WMR-VSC_1" xfId="0"/>
    <cellStyle name="_041129 WMR_VSI_WMR_VSCN (13 wks history restated)_081107 WMR-VSC_1 2" xfId="0"/>
    <cellStyle name="_041129 WMR_VSI_WMR_VSCN (13 wks history restated)_081114 WMR-VSC" xfId="0"/>
    <cellStyle name="_041129 WMR_VSI_WMR_VSCN (13 wks history restated)_081114 WMR-VSC 2" xfId="0"/>
    <cellStyle name="_041129 WMR_VSI_WMR_VSCN (13 wks history restated)_081121 WMR-VSC" xfId="0"/>
    <cellStyle name="_041129 WMR_VSI_WMR_VSCN (13 wks history restated)_081121 WMR-VSC 2" xfId="0"/>
    <cellStyle name="_041129 WMR_VSI_WMR_VSCN (13 wks history restated)_081128 WMR-VSC" xfId="0"/>
    <cellStyle name="_041129 WMR_VSI_WMR_VSCN (13 wks history restated)_081128 WMR-VSC 2" xfId="0"/>
    <cellStyle name="_041129 WMR_VSI_WMR_VSCN (13 wks history restated)_081128 WMR-VSC_1" xfId="0"/>
    <cellStyle name="_041129 WMR_VSI_WMR_VSCN (13 wks history restated)_081128 WMR-VSC_1 2" xfId="0"/>
    <cellStyle name="_041129 WMR_VSI_WMR_VSCN (13 wks history restated)_081205 WMR-VSC" xfId="0"/>
    <cellStyle name="_041129 WMR_VSI_WMR_VSCN (13 wks history restated)_081205 WMR-VSC 2" xfId="0"/>
    <cellStyle name="_041129 WMR_VSI_WMR_VSCN (13 wks history restated)_081212 WMR-VSC" xfId="0"/>
    <cellStyle name="_041129 WMR_VSI_WMR_VSCN (13 wks history restated)_081212 WMR-VSC 2" xfId="0"/>
    <cellStyle name="_041129 WMR_VSI_WMR_VSCN (13 wks history restated)_081219 WMR-VSC" xfId="0"/>
    <cellStyle name="_041129 WMR_VSI_WMR_VSCN (13 wks history restated)_081219 WMR-VSC 2" xfId="0"/>
    <cellStyle name="_041129 WMR_VSI_WMR_VSCN (13 wks history restated)_090102 WMR-VSC" xfId="0"/>
    <cellStyle name="_041129 WMR_VSI_WMR_VSCN (13 wks history restated)_090102 WMR-VSC 2" xfId="0"/>
    <cellStyle name="_041129 WMR_VSI_WMR_VSCN (13 wks history restated)_090424 WMR_VSE (2)" xfId="0"/>
    <cellStyle name="_041129 WMR_VSI_WMR_VSCN (13 wks history restated)_090424 WMR_VSE (2) 2" xfId="0"/>
    <cellStyle name="_041129 WMR_VSI_WMR_VSCN (13 wks history restated)_090703 WMR-VSC" xfId="0"/>
    <cellStyle name="_041129 WMR_VSI_WMR_VSCN (13 wks history restated)_090703 WMR-VSC 2" xfId="0"/>
    <cellStyle name="_041129 WMR_VSI_WMR_VSCN (13 wks history restated)_AP Turn Days old" xfId="0"/>
    <cellStyle name="_041129 WMR_VSI_WMR_VSCN (13 wks history restated)_AP Turn Days old 2" xfId="0"/>
    <cellStyle name="_041129 WMR_VSI_WMR_VSCN (13 wks history restated)_Cash" xfId="0"/>
    <cellStyle name="_041129 WMR_VSI_WMR_VSCN (13 wks history restated)_Cash 2" xfId="0"/>
    <cellStyle name="_041129 WMR_VSI_WMR_VSCN (13 wks history restated)_Charts" xfId="0"/>
    <cellStyle name="_041129 WMR_VSI_WMR_VSCN (13 wks history restated)_Charts 2" xfId="0"/>
    <cellStyle name="_041129 WMR_VSI_WMR_VSCN (13 wks history restated)_Inv Data" xfId="0"/>
    <cellStyle name="_041129 WMR_VSI_WMR_VSCN (13 wks history restated)_Inv Data 2" xfId="0"/>
    <cellStyle name="_041129 WMR_VSI_WMR_VSCN (13 wks history restated)_Inventory Pivot" xfId="0"/>
    <cellStyle name="_041129 WMR_VSI_WMR_VSCN (13 wks history restated)_Inventory Pivot 2" xfId="0"/>
    <cellStyle name="_041129 WMR_VSI_WMR_VSCN (13 wks history restated)_NEW WMR" xfId="0"/>
    <cellStyle name="_041129 WMR_VSI_WMR_VSCN (13 wks history restated)_NEW WMR 2" xfId="0"/>
    <cellStyle name="_041129 WMR_VSI_WMR_VSCN (13 wks history restated)_OpenOrder Data" xfId="0"/>
    <cellStyle name="_041129 WMR_VSI_WMR_VSCN (13 wks history restated)_OpenOrder Data 2" xfId="0"/>
    <cellStyle name="_041129 WMR_VSI_WMR_VSCN (13 wks history restated)_Revenue % Forecast" xfId="0"/>
    <cellStyle name="_041129 WMR_VSI_WMR_VSCN (13 wks history restated)_Revenue % Forecast 2" xfId="0"/>
    <cellStyle name="_041129 WMR_VSI_WMR_VSCN (13 wks history restated)_Turn Days" xfId="0"/>
    <cellStyle name="_041129 WMR_VSI_WMR_VSCN (13 wks history restated)_Turn Days 2" xfId="0"/>
    <cellStyle name="_041129 WMR_VSI_WMR_VSCN (13 wks history restated)_VDL" xfId="0"/>
    <cellStyle name="_041129 WMR_VSI_WMR_VSCN (13 wks history restated)_VDL 2" xfId="0"/>
    <cellStyle name="_041129 WMR_VSI_WMR_VSCN (13 wks history restated)_VSA" xfId="0"/>
    <cellStyle name="_041129 WMR_VSI_WMR_VSCN (13 wks history restated)_VSA 2" xfId="0"/>
    <cellStyle name="_041129 WMR_VSI_WMR_VSCN (13 wks history restated)_VSA Cash Flow Model (6-4-07)" xfId="0"/>
    <cellStyle name="_041129 WMR_VSI_WMR_VSCN (13 wks history restated)_VSA Cash Flow Model (6-4-07) 2" xfId="0"/>
    <cellStyle name="_041129 WMR_VSI_WMR_VSCN (13 wks history restated)_VSACE" xfId="0"/>
    <cellStyle name="_041129 WMR_VSI_WMR_VSCN (13 wks history restated)_VSACE 2" xfId="0"/>
    <cellStyle name="_041129 WMR_VSI_WMR_VSCN (13 wks history restated)_VSC" xfId="0"/>
    <cellStyle name="_041129 WMR_VSI_WMR_VSCN (13 wks history restated)_VSC 2" xfId="0"/>
    <cellStyle name="_041129 WMR_VSI_WMR_VSCN (13 wks history restated)_VSCN" xfId="0"/>
    <cellStyle name="_041129 WMR_VSI_WMR_VSCN (13 wks history restated)_VSCN 2" xfId="0"/>
    <cellStyle name="_041129 WMR_VSI_WMR_VSCN (13 wks history restated)_VSE" xfId="0"/>
    <cellStyle name="_041129 WMR_VSI_WMR_VSCN (13 wks history restated)_VSE 2" xfId="0"/>
    <cellStyle name="_041129 WMR_VSI_WMR_VSCN (13 wks history restated)_VSE WMR Workbook 08-07-09" xfId="0"/>
    <cellStyle name="_041129 WMR_VSI_WMR_VSCN (13 wks history restated)_VSE WMR Workbook 08-07-09 2" xfId="0"/>
    <cellStyle name="_041129 WMR_VSI_WMR_VSCN (13 wks history restated)_VSE WMR Workbook 11-19-10" xfId="0"/>
    <cellStyle name="_041129 WMR_VSI_WMR_VSCN (13 wks history restated)_VSE WMR Workbook 11-19-10 2" xfId="0"/>
    <cellStyle name="_041129 WMR_VSI_WMR_VSCN (13 wks history restated)_VSE WMR Workbook 12-31-10" xfId="0"/>
    <cellStyle name="_041129 WMR_VSI_WMR_VSCN (13 wks history restated)_VSE WMR Workbook 12-31-10 2" xfId="0"/>
    <cellStyle name="_041129 WMR_VSI_WMR_VSCN (13 wks history restated)_VSI" xfId="0"/>
    <cellStyle name="_041129 WMR_VSI_WMR_VSCN (13 wks history restated)_VSI 2" xfId="0"/>
    <cellStyle name="_041129 WMR_VSI_WMR_VSCN (13 wks history restated)_WMR" xfId="0"/>
    <cellStyle name="_041129 WMR_VSI_WMR_VSCN (13 wks history restated)_WMR (by QTY)" xfId="0"/>
    <cellStyle name="_041129 WMR_VSI_WMR_VSCN (13 wks history restated)_WMR (by QTY) 2" xfId="0"/>
    <cellStyle name="_041129 WMR_VSI_WMR_VSCN (13 wks history restated)_WMR 2" xfId="0"/>
    <cellStyle name="_041129 WMR_VSI_WMR_VSCN (13 wks history restated)_WMR 3" xfId="0"/>
    <cellStyle name="_041129 WMR_VSI_WMR_VSCN (13 wks history restated)_WMR 4" xfId="0"/>
    <cellStyle name="_041129 WMR_VSI_WMR_VSI (13 wks history restated)" xfId="0"/>
    <cellStyle name="_041129 WMR_VSI_WMR_VSI (13 wks history restated) 2" xfId="0"/>
    <cellStyle name="_041129 WMR_VSI_WMR_VSI (13 wks history restated)_080822 WMR-VSC" xfId="0"/>
    <cellStyle name="_041129 WMR_VSI_WMR_VSI (13 wks history restated)_080822 WMR-VSC 2" xfId="0"/>
    <cellStyle name="_041129 WMR_VSI_WMR_VSI (13 wks history restated)_080829 WMR" xfId="0"/>
    <cellStyle name="_041129 WMR_VSI_WMR_VSI (13 wks history restated)_080829 WMR 2" xfId="0"/>
    <cellStyle name="_041129 WMR_VSI_WMR_VSI (13 wks history restated)_080905 WMR-VSC" xfId="0"/>
    <cellStyle name="_041129 WMR_VSI_WMR_VSI (13 wks history restated)_080905 WMR-VSC 2" xfId="0"/>
    <cellStyle name="_041129 WMR_VSI_WMR_VSI (13 wks history restated)_080912 WMR-VSC" xfId="0"/>
    <cellStyle name="_041129 WMR_VSI_WMR_VSI (13 wks history restated)_080912 WMR-VSC 2" xfId="0"/>
    <cellStyle name="_041129 WMR_VSI_WMR_VSI (13 wks history restated)_080919 WMR-VSC" xfId="0"/>
    <cellStyle name="_041129 WMR_VSI_WMR_VSI (13 wks history restated)_080919 WMR-VSC 2" xfId="0"/>
    <cellStyle name="_041129 WMR_VSI_WMR_VSI (13 wks history restated)_080926 WMR-VSC" xfId="0"/>
    <cellStyle name="_041129 WMR_VSI_WMR_VSI (13 wks history restated)_080926 WMR-VSC 2" xfId="0"/>
    <cellStyle name="_041129 WMR_VSI_WMR_VSI (13 wks history restated)_081003 WMR-VSC_1" xfId="0"/>
    <cellStyle name="_041129 WMR_VSI_WMR_VSI (13 wks history restated)_081003 WMR-VSC_1 2" xfId="0"/>
    <cellStyle name="_041129 WMR_VSI_WMR_VSI (13 wks history restated)_081010 WMR-VSC" xfId="0"/>
    <cellStyle name="_041129 WMR_VSI_WMR_VSI (13 wks history restated)_081010 WMR-VSC 2" xfId="0"/>
    <cellStyle name="_041129 WMR_VSI_WMR_VSI (13 wks history restated)_081017 WMR-VSC_1" xfId="0"/>
    <cellStyle name="_041129 WMR_VSI_WMR_VSI (13 wks history restated)_081017 WMR-VSC_1 2" xfId="0"/>
    <cellStyle name="_041129 WMR_VSI_WMR_VSI (13 wks history restated)_081024 WMR-VSC" xfId="0"/>
    <cellStyle name="_041129 WMR_VSI_WMR_VSI (13 wks history restated)_081024 WMR-VSC 2" xfId="0"/>
    <cellStyle name="_041129 WMR_VSI_WMR_VSI (13 wks history restated)_081031 WMR-VSC" xfId="0"/>
    <cellStyle name="_041129 WMR_VSI_WMR_VSI (13 wks history restated)_081031 WMR-VSC 2" xfId="0"/>
    <cellStyle name="_041129 WMR_VSI_WMR_VSI (13 wks history restated)_081107 WMR-VSC (2)" xfId="0"/>
    <cellStyle name="_041129 WMR_VSI_WMR_VSI (13 wks history restated)_081107 WMR-VSC (2) 2" xfId="0"/>
    <cellStyle name="_041129 WMR_VSI_WMR_VSI (13 wks history restated)_081107 WMR-VSC_1" xfId="0"/>
    <cellStyle name="_041129 WMR_VSI_WMR_VSI (13 wks history restated)_081107 WMR-VSC_1 2" xfId="0"/>
    <cellStyle name="_041129 WMR_VSI_WMR_VSI (13 wks history restated)_081114 WMR-VSC" xfId="0"/>
    <cellStyle name="_041129 WMR_VSI_WMR_VSI (13 wks history restated)_081114 WMR-VSC 2" xfId="0"/>
    <cellStyle name="_041129 WMR_VSI_WMR_VSI (13 wks history restated)_081121 WMR-VSC" xfId="0"/>
    <cellStyle name="_041129 WMR_VSI_WMR_VSI (13 wks history restated)_081121 WMR-VSC 2" xfId="0"/>
    <cellStyle name="_041129 WMR_VSI_WMR_VSI (13 wks history restated)_081128 WMR-VSC" xfId="0"/>
    <cellStyle name="_041129 WMR_VSI_WMR_VSI (13 wks history restated)_081128 WMR-VSC 2" xfId="0"/>
    <cellStyle name="_041129 WMR_VSI_WMR_VSI (13 wks history restated)_081128 WMR-VSC_1" xfId="0"/>
    <cellStyle name="_041129 WMR_VSI_WMR_VSI (13 wks history restated)_081128 WMR-VSC_1 2" xfId="0"/>
    <cellStyle name="_041129 WMR_VSI_WMR_VSI (13 wks history restated)_081205 WMR-VSC" xfId="0"/>
    <cellStyle name="_041129 WMR_VSI_WMR_VSI (13 wks history restated)_081205 WMR-VSC 2" xfId="0"/>
    <cellStyle name="_041129 WMR_VSI_WMR_VSI (13 wks history restated)_081212 WMR-VSC" xfId="0"/>
    <cellStyle name="_041129 WMR_VSI_WMR_VSI (13 wks history restated)_081212 WMR-VSC 2" xfId="0"/>
    <cellStyle name="_041129 WMR_VSI_WMR_VSI (13 wks history restated)_081219 WMR-VSC" xfId="0"/>
    <cellStyle name="_041129 WMR_VSI_WMR_VSI (13 wks history restated)_081219 WMR-VSC 2" xfId="0"/>
    <cellStyle name="_041129 WMR_VSI_WMR_VSI (13 wks history restated)_090102 WMR-VSC" xfId="0"/>
    <cellStyle name="_041129 WMR_VSI_WMR_VSI (13 wks history restated)_090102 WMR-VSC 2" xfId="0"/>
    <cellStyle name="_041129 WMR_VSI_WMR_VSI (13 wks history restated)_090424 WMR_VSE (2)" xfId="0"/>
    <cellStyle name="_041129 WMR_VSI_WMR_VSI (13 wks history restated)_090424 WMR_VSE (2) 2" xfId="0"/>
    <cellStyle name="_041129 WMR_VSI_WMR_VSI (13 wks history restated)_090703 WMR-VSC" xfId="0"/>
    <cellStyle name="_041129 WMR_VSI_WMR_VSI (13 wks history restated)_090703 WMR-VSC 2" xfId="0"/>
    <cellStyle name="_041129 WMR_VSI_WMR_VSI (13 wks history restated)_AP Turn Days old" xfId="0"/>
    <cellStyle name="_041129 WMR_VSI_WMR_VSI (13 wks history restated)_AP Turn Days old 2" xfId="0"/>
    <cellStyle name="_041129 WMR_VSI_WMR_VSI (13 wks history restated)_Cash" xfId="0"/>
    <cellStyle name="_041129 WMR_VSI_WMR_VSI (13 wks history restated)_Cash 2" xfId="0"/>
    <cellStyle name="_041129 WMR_VSI_WMR_VSI (13 wks history restated)_Charts" xfId="0"/>
    <cellStyle name="_041129 WMR_VSI_WMR_VSI (13 wks history restated)_Charts 2" xfId="0"/>
    <cellStyle name="_041129 WMR_VSI_WMR_VSI (13 wks history restated)_Inv Data" xfId="0"/>
    <cellStyle name="_041129 WMR_VSI_WMR_VSI (13 wks history restated)_Inv Data 2" xfId="0"/>
    <cellStyle name="_041129 WMR_VSI_WMR_VSI (13 wks history restated)_Inventory Pivot" xfId="0"/>
    <cellStyle name="_041129 WMR_VSI_WMR_VSI (13 wks history restated)_Inventory Pivot 2" xfId="0"/>
    <cellStyle name="_041129 WMR_VSI_WMR_VSI (13 wks history restated)_NEW WMR" xfId="0"/>
    <cellStyle name="_041129 WMR_VSI_WMR_VSI (13 wks history restated)_NEW WMR 2" xfId="0"/>
    <cellStyle name="_041129 WMR_VSI_WMR_VSI (13 wks history restated)_OpenOrder Data" xfId="0"/>
    <cellStyle name="_041129 WMR_VSI_WMR_VSI (13 wks history restated)_OpenOrder Data 2" xfId="0"/>
    <cellStyle name="_041129 WMR_VSI_WMR_VSI (13 wks history restated)_Revenue % Forecast" xfId="0"/>
    <cellStyle name="_041129 WMR_VSI_WMR_VSI (13 wks history restated)_Revenue % Forecast 2" xfId="0"/>
    <cellStyle name="_041129 WMR_VSI_WMR_VSI (13 wks history restated)_Turn Days" xfId="0"/>
    <cellStyle name="_041129 WMR_VSI_WMR_VSI (13 wks history restated)_Turn Days 2" xfId="0"/>
    <cellStyle name="_041129 WMR_VSI_WMR_VSI (13 wks history restated)_VDL" xfId="0"/>
    <cellStyle name="_041129 WMR_VSI_WMR_VSI (13 wks history restated)_VDL 2" xfId="0"/>
    <cellStyle name="_041129 WMR_VSI_WMR_VSI (13 wks history restated)_VSA" xfId="0"/>
    <cellStyle name="_041129 WMR_VSI_WMR_VSI (13 wks history restated)_VSA 2" xfId="0"/>
    <cellStyle name="_041129 WMR_VSI_WMR_VSI (13 wks history restated)_VSA Cash Flow Model (6-4-07)" xfId="0"/>
    <cellStyle name="_041129 WMR_VSI_WMR_VSI (13 wks history restated)_VSA Cash Flow Model (6-4-07) 2" xfId="0"/>
    <cellStyle name="_041129 WMR_VSI_WMR_VSI (13 wks history restated)_VSACE" xfId="0"/>
    <cellStyle name="_041129 WMR_VSI_WMR_VSI (13 wks history restated)_VSACE 2" xfId="0"/>
    <cellStyle name="_041129 WMR_VSI_WMR_VSI (13 wks history restated)_VSC" xfId="0"/>
    <cellStyle name="_041129 WMR_VSI_WMR_VSI (13 wks history restated)_VSC 2" xfId="0"/>
    <cellStyle name="_041129 WMR_VSI_WMR_VSI (13 wks history restated)_VSCN" xfId="0"/>
    <cellStyle name="_041129 WMR_VSI_WMR_VSI (13 wks history restated)_VSCN 2" xfId="0"/>
    <cellStyle name="_041129 WMR_VSI_WMR_VSI (13 wks history restated)_VSE" xfId="0"/>
    <cellStyle name="_041129 WMR_VSI_WMR_VSI (13 wks history restated)_VSE 2" xfId="0"/>
    <cellStyle name="_041129 WMR_VSI_WMR_VSI (13 wks history restated)_VSE WMR Workbook 08-07-09" xfId="0"/>
    <cellStyle name="_041129 WMR_VSI_WMR_VSI (13 wks history restated)_VSE WMR Workbook 08-07-09 2" xfId="0"/>
    <cellStyle name="_041129 WMR_VSI_WMR_VSI (13 wks history restated)_VSE WMR Workbook 11-19-10" xfId="0"/>
    <cellStyle name="_041129 WMR_VSI_WMR_VSI (13 wks history restated)_VSE WMR Workbook 11-19-10 2" xfId="0"/>
    <cellStyle name="_041129 WMR_VSI_WMR_VSI (13 wks history restated)_VSE WMR Workbook 12-31-10" xfId="0"/>
    <cellStyle name="_041129 WMR_VSI_WMR_VSI (13 wks history restated)_VSE WMR Workbook 12-31-10 2" xfId="0"/>
    <cellStyle name="_041129 WMR_VSI_WMR_VSI (13 wks history restated)_VSI" xfId="0"/>
    <cellStyle name="_041129 WMR_VSI_WMR_VSI (13 wks history restated)_VSI 2" xfId="0"/>
    <cellStyle name="_041129 WMR_VSI_WMR_VSI (13 wks history restated)_WMR" xfId="0"/>
    <cellStyle name="_041129 WMR_VSI_WMR_VSI (13 wks history restated)_WMR (by QTY)" xfId="0"/>
    <cellStyle name="_041129 WMR_VSI_WMR_VSI (13 wks history restated)_WMR (by QTY) 2" xfId="0"/>
    <cellStyle name="_041129 WMR_VSI_WMR_VSI (13 wks history restated)_WMR 2" xfId="0"/>
    <cellStyle name="_041129 WMR_VSI_WMR_VSI (13 wks history restated)_WMR 3" xfId="0"/>
    <cellStyle name="_041129 WMR_VSI_WMR_VSI (13 wks history restated)_WMR 4" xfId="0"/>
    <cellStyle name="_05-Nov-2010" xfId="0"/>
    <cellStyle name="_05-Nov-2010 2" xfId="0"/>
    <cellStyle name="_050121 WMR_VSC" xfId="0"/>
    <cellStyle name="_050121 WMR_VSC 2" xfId="0"/>
    <cellStyle name="_050121 WMR_VSC_080613 new WMR_VSCN" xfId="0"/>
    <cellStyle name="_050121 WMR_VSC_080613 new WMR_VSCN 2" xfId="0"/>
    <cellStyle name="_050121 WMR_VSC_080822 WMR-VSC" xfId="0"/>
    <cellStyle name="_050121 WMR_VSC_080822 WMR-VSC 2" xfId="0"/>
    <cellStyle name="_050121 WMR_VSC_080829 WMR" xfId="0"/>
    <cellStyle name="_050121 WMR_VSC_080829 WMR 2" xfId="0"/>
    <cellStyle name="_050121 WMR_VSC_080905 WMR-VSC" xfId="0"/>
    <cellStyle name="_050121 WMR_VSC_080905 WMR-VSC 2" xfId="0"/>
    <cellStyle name="_050121 WMR_VSC_080912 WMR-VSC" xfId="0"/>
    <cellStyle name="_050121 WMR_VSC_080912 WMR-VSC 2" xfId="0"/>
    <cellStyle name="_050121 WMR_VSC_080919 WMR-VSC" xfId="0"/>
    <cellStyle name="_050121 WMR_VSC_080919 WMR-VSC 2" xfId="0"/>
    <cellStyle name="_050121 WMR_VSC_080926 WMR-VSC" xfId="0"/>
    <cellStyle name="_050121 WMR_VSC_080926 WMR-VSC 2" xfId="0"/>
    <cellStyle name="_050121 WMR_VSC_081003 WMR-VSC_1" xfId="0"/>
    <cellStyle name="_050121 WMR_VSC_081003 WMR-VSC_1 2" xfId="0"/>
    <cellStyle name="_050121 WMR_VSC_081010 WMR-VSC" xfId="0"/>
    <cellStyle name="_050121 WMR_VSC_081010 WMR-VSC 2" xfId="0"/>
    <cellStyle name="_050121 WMR_VSC_081017 WMR-VSC_1" xfId="0"/>
    <cellStyle name="_050121 WMR_VSC_081017 WMR-VSC_1 2" xfId="0"/>
    <cellStyle name="_050121 WMR_VSC_081024 WMR-VSC" xfId="0"/>
    <cellStyle name="_050121 WMR_VSC_081024 WMR-VSC 2" xfId="0"/>
    <cellStyle name="_050121 WMR_VSC_081031 WMR-VSC" xfId="0"/>
    <cellStyle name="_050121 WMR_VSC_081031 WMR-VSC 2" xfId="0"/>
    <cellStyle name="_050121 WMR_VSC_081107 WMR-VSC (2)" xfId="0"/>
    <cellStyle name="_050121 WMR_VSC_081107 WMR-VSC (2) 2" xfId="0"/>
    <cellStyle name="_050121 WMR_VSC_081107 WMR-VSC_1" xfId="0"/>
    <cellStyle name="_050121 WMR_VSC_081107 WMR-VSC_1 2" xfId="0"/>
    <cellStyle name="_050121 WMR_VSC_081114 WMR-VSC" xfId="0"/>
    <cellStyle name="_050121 WMR_VSC_081114 WMR-VSC 2" xfId="0"/>
    <cellStyle name="_050121 WMR_VSC_081121 WMR-VSC" xfId="0"/>
    <cellStyle name="_050121 WMR_VSC_081121 WMR-VSC 2" xfId="0"/>
    <cellStyle name="_050121 WMR_VSC_081128 WMR-VSC" xfId="0"/>
    <cellStyle name="_050121 WMR_VSC_081128 WMR-VSC 2" xfId="0"/>
    <cellStyle name="_050121 WMR_VSC_081128 WMR-VSC_1" xfId="0"/>
    <cellStyle name="_050121 WMR_VSC_081128 WMR-VSC_1 2" xfId="0"/>
    <cellStyle name="_050121 WMR_VSC_081205 WMR-VSC" xfId="0"/>
    <cellStyle name="_050121 WMR_VSC_081205 WMR-VSC 2" xfId="0"/>
    <cellStyle name="_050121 WMR_VSC_081212 WMR-VSC" xfId="0"/>
    <cellStyle name="_050121 WMR_VSC_081212 WMR-VSC 2" xfId="0"/>
    <cellStyle name="_050121 WMR_VSC_081219 WMR-VSC" xfId="0"/>
    <cellStyle name="_050121 WMR_VSC_081219 WMR-VSC 2" xfId="0"/>
    <cellStyle name="_050121 WMR_VSC_090102 WMR-VSC" xfId="0"/>
    <cellStyle name="_050121 WMR_VSC_090102 WMR-VSC 2" xfId="0"/>
    <cellStyle name="_050121 WMR_VSC_090424 WMR_VSE (2)" xfId="0"/>
    <cellStyle name="_050121 WMR_VSC_090424 WMR_VSE (2) 2" xfId="0"/>
    <cellStyle name="_050121 WMR_VSC_090703 WMR-VSC" xfId="0"/>
    <cellStyle name="_050121 WMR_VSC_090703 WMR-VSC 2" xfId="0"/>
    <cellStyle name="_050121 WMR_VSC_All Regions WMR Definitions - Updated 7-27-07" xfId="0"/>
    <cellStyle name="_050121 WMR_VSC_All Regions WMR Definitions - Updated 7-27-07 (3)" xfId="0"/>
    <cellStyle name="_050121 WMR_VSC_All Regions WMR Definitions - Updated 7-27-07 (3) 2" xfId="0"/>
    <cellStyle name="_050121 WMR_VSC_All Regions WMR Definitions - Updated 7-27-07 2" xfId="0"/>
    <cellStyle name="_050121 WMR_VSC_All Regions WMR Definitions - Updated 7-27-07 3" xfId="0"/>
    <cellStyle name="_050121 WMR_VSC_All Regions WMR Definitions - Updated 7-27-07 4" xfId="0"/>
    <cellStyle name="_050121 WMR_VSC_AP Turn Days old" xfId="0"/>
    <cellStyle name="_050121 WMR_VSC_AP Turn Days old 2" xfId="0"/>
    <cellStyle name="_050121 WMR_VSC_Cash" xfId="0"/>
    <cellStyle name="_050121 WMR_VSC_Cash 2" xfId="0"/>
    <cellStyle name="_050121 WMR_VSC_Charts" xfId="0"/>
    <cellStyle name="_050121 WMR_VSC_Charts 2" xfId="0"/>
    <cellStyle name="_050121 WMR_VSC_Inv Data" xfId="0"/>
    <cellStyle name="_050121 WMR_VSC_Inv Data 2" xfId="0"/>
    <cellStyle name="_050121 WMR_VSC_Inventory Pivot" xfId="0"/>
    <cellStyle name="_050121 WMR_VSC_Inventory Pivot 2" xfId="0"/>
    <cellStyle name="_050121 WMR_VSC_New Calculation of Inventory turn day" xfId="0"/>
    <cellStyle name="_050121 WMR_VSC_New Calculation of Inventory turn day 2" xfId="0"/>
    <cellStyle name="_050121 WMR_VSC_NEW WMR" xfId="0"/>
    <cellStyle name="_050121 WMR_VSC_NEW WMR 2" xfId="0"/>
    <cellStyle name="_050121 WMR_VSC_OpenOrder Data" xfId="0"/>
    <cellStyle name="_050121 WMR_VSC_OpenOrder Data 2" xfId="0"/>
    <cellStyle name="_050121 WMR_VSC_Revenue % Forecast" xfId="0"/>
    <cellStyle name="_050121 WMR_VSC_Revenue % Forecast 2" xfId="0"/>
    <cellStyle name="_050121 WMR_VSC_Turn Days" xfId="0"/>
    <cellStyle name="_050121 WMR_VSC_Turn Days 2" xfId="0"/>
    <cellStyle name="_050121 WMR_VSC_VDL" xfId="0"/>
    <cellStyle name="_050121 WMR_VSC_VDL 2" xfId="0"/>
    <cellStyle name="_050121 WMR_VSC_VSA" xfId="0"/>
    <cellStyle name="_050121 WMR_VSC_VSA 2" xfId="0"/>
    <cellStyle name="_050121 WMR_VSC_VSA Cash Flow Model (6-4-07)" xfId="0"/>
    <cellStyle name="_050121 WMR_VSC_VSA Cash Flow Model (6-4-07) 2" xfId="0"/>
    <cellStyle name="_050121 WMR_VSC_VSACE" xfId="0"/>
    <cellStyle name="_050121 WMR_VSC_VSACE 2" xfId="0"/>
    <cellStyle name="_050121 WMR_VSC_VSC" xfId="0"/>
    <cellStyle name="_050121 WMR_VSC_VSC 2" xfId="0"/>
    <cellStyle name="_050121 WMR_VSC_VSCN" xfId="0"/>
    <cellStyle name="_050121 WMR_VSC_VSCN 2" xfId="0"/>
    <cellStyle name="_050121 WMR_VSC_VSE" xfId="0"/>
    <cellStyle name="_050121 WMR_VSC_VSE 2" xfId="0"/>
    <cellStyle name="_050121 WMR_VSC_VSE WMR Workbook 08-07-09" xfId="0"/>
    <cellStyle name="_050121 WMR_VSC_VSE WMR Workbook 08-07-09 2" xfId="0"/>
    <cellStyle name="_050121 WMR_VSC_VSE WMR Workbook 11-19-10" xfId="0"/>
    <cellStyle name="_050121 WMR_VSC_VSE WMR Workbook 11-19-10 2" xfId="0"/>
    <cellStyle name="_050121 WMR_VSC_VSE WMR Workbook 12-31-10" xfId="0"/>
    <cellStyle name="_050121 WMR_VSC_VSE WMR Workbook 12-31-10 2" xfId="0"/>
    <cellStyle name="_050121 WMR_VSC_VSI" xfId="0"/>
    <cellStyle name="_050121 WMR_VSC_VSI 2" xfId="0"/>
    <cellStyle name="_050121 WMR_VSC_VSI-WMR" xfId="0"/>
    <cellStyle name="_050121 WMR_VSC_VSI-WMR (5)" xfId="0"/>
    <cellStyle name="_050121 WMR_VSC_VSI-WMR (5) 2" xfId="0"/>
    <cellStyle name="_050121 WMR_VSC_VSI-WMR (6)" xfId="0"/>
    <cellStyle name="_050121 WMR_VSC_VSI-WMR (6) 2" xfId="0"/>
    <cellStyle name="_050121 WMR_VSC_VSI-WMR 10" xfId="0"/>
    <cellStyle name="_050121 WMR_VSC_VSI-WMR 2" xfId="0"/>
    <cellStyle name="_050121 WMR_VSC_VSI-WMR 2007-07-06" xfId="0"/>
    <cellStyle name="_050121 WMR_VSC_VSI-WMR 2007-07-06 2" xfId="0"/>
    <cellStyle name="_050121 WMR_VSC_VSI-WMR 3" xfId="0"/>
    <cellStyle name="_050121 WMR_VSC_VSI-WMR 4" xfId="0"/>
    <cellStyle name="_050121 WMR_VSC_VSI-WMR 5" xfId="0"/>
    <cellStyle name="_050121 WMR_VSC_VSI-WMR 6" xfId="0"/>
    <cellStyle name="_050121 WMR_VSC_VSI-WMR 7" xfId="0"/>
    <cellStyle name="_050121 WMR_VSC_VSI-WMR 8" xfId="0"/>
    <cellStyle name="_050121 WMR_VSC_VSI-WMR 9" xfId="0"/>
    <cellStyle name="_050121 WMR_VSC_VSI-WMR_080822 WMR-VSC" xfId="0"/>
    <cellStyle name="_050121 WMR_VSC_VSI-WMR_080822 WMR-VSC 2" xfId="0"/>
    <cellStyle name="_050121 WMR_VSC_VSI-WMR_080829 WMR" xfId="0"/>
    <cellStyle name="_050121 WMR_VSC_VSI-WMR_080829 WMR 2" xfId="0"/>
    <cellStyle name="_050121 WMR_VSC_VSI-WMR_080905 WMR-VSC" xfId="0"/>
    <cellStyle name="_050121 WMR_VSC_VSI-WMR_080905 WMR-VSC 2" xfId="0"/>
    <cellStyle name="_050121 WMR_VSC_VSI-WMR_080912 WMR-VSC" xfId="0"/>
    <cellStyle name="_050121 WMR_VSC_VSI-WMR_080912 WMR-VSC 2" xfId="0"/>
    <cellStyle name="_050121 WMR_VSC_VSI-WMR_080919 WMR-VSC" xfId="0"/>
    <cellStyle name="_050121 WMR_VSC_VSI-WMR_080919 WMR-VSC 2" xfId="0"/>
    <cellStyle name="_050121 WMR_VSC_VSI-WMR_080926 WMR-VSC" xfId="0"/>
    <cellStyle name="_050121 WMR_VSC_VSI-WMR_080926 WMR-VSC 2" xfId="0"/>
    <cellStyle name="_050121 WMR_VSC_VSI-WMR_081003 WMR-VSC_1" xfId="0"/>
    <cellStyle name="_050121 WMR_VSC_VSI-WMR_081003 WMR-VSC_1 2" xfId="0"/>
    <cellStyle name="_050121 WMR_VSC_VSI-WMR_081010 WMR-VSC" xfId="0"/>
    <cellStyle name="_050121 WMR_VSC_VSI-WMR_081010 WMR-VSC 2" xfId="0"/>
    <cellStyle name="_050121 WMR_VSC_VSI-WMR_081017 WMR-VSC_1" xfId="0"/>
    <cellStyle name="_050121 WMR_VSC_VSI-WMR_081017 WMR-VSC_1 2" xfId="0"/>
    <cellStyle name="_050121 WMR_VSC_VSI-WMR_081024 WMR-VSC" xfId="0"/>
    <cellStyle name="_050121 WMR_VSC_VSI-WMR_081024 WMR-VSC 2" xfId="0"/>
    <cellStyle name="_050121 WMR_VSC_VSI-WMR_081031 WMR-VSC" xfId="0"/>
    <cellStyle name="_050121 WMR_VSC_VSI-WMR_081031 WMR-VSC 2" xfId="0"/>
    <cellStyle name="_050121 WMR_VSC_VSI-WMR_081107 WMR-VSC (2)" xfId="0"/>
    <cellStyle name="_050121 WMR_VSC_VSI-WMR_081107 WMR-VSC (2) 2" xfId="0"/>
    <cellStyle name="_050121 WMR_VSC_VSI-WMR_081107 WMR-VSC_1" xfId="0"/>
    <cellStyle name="_050121 WMR_VSC_VSI-WMR_081107 WMR-VSC_1 2" xfId="0"/>
    <cellStyle name="_050121 WMR_VSC_VSI-WMR_081114 WMR-VSC" xfId="0"/>
    <cellStyle name="_050121 WMR_VSC_VSI-WMR_081114 WMR-VSC 2" xfId="0"/>
    <cellStyle name="_050121 WMR_VSC_VSI-WMR_081121 WMR-VSC" xfId="0"/>
    <cellStyle name="_050121 WMR_VSC_VSI-WMR_081121 WMR-VSC 2" xfId="0"/>
    <cellStyle name="_050121 WMR_VSC_VSI-WMR_081128 WMR-VSC" xfId="0"/>
    <cellStyle name="_050121 WMR_VSC_VSI-WMR_081128 WMR-VSC 2" xfId="0"/>
    <cellStyle name="_050121 WMR_VSC_VSI-WMR_081128 WMR-VSC_1" xfId="0"/>
    <cellStyle name="_050121 WMR_VSC_VSI-WMR_081128 WMR-VSC_1 2" xfId="0"/>
    <cellStyle name="_050121 WMR_VSC_VSI-WMR_081205 WMR-VSC" xfId="0"/>
    <cellStyle name="_050121 WMR_VSC_VSI-WMR_081205 WMR-VSC 2" xfId="0"/>
    <cellStyle name="_050121 WMR_VSC_VSI-WMR_081212 WMR-VSC" xfId="0"/>
    <cellStyle name="_050121 WMR_VSC_VSI-WMR_081212 WMR-VSC 2" xfId="0"/>
    <cellStyle name="_050121 WMR_VSC_VSI-WMR_081219 WMR-VSC" xfId="0"/>
    <cellStyle name="_050121 WMR_VSC_VSI-WMR_081219 WMR-VSC 2" xfId="0"/>
    <cellStyle name="_050121 WMR_VSC_VSI-WMR_090102 WMR-VSC" xfId="0"/>
    <cellStyle name="_050121 WMR_VSC_VSI-WMR_090102 WMR-VSC 2" xfId="0"/>
    <cellStyle name="_050121 WMR_VSC_VSI-WMR_090424 WMR_VSE (2)" xfId="0"/>
    <cellStyle name="_050121 WMR_VSC_VSI-WMR_090424 WMR_VSE (2) 2" xfId="0"/>
    <cellStyle name="_050121 WMR_VSC_VSI-WMR_090703 WMR-VSC" xfId="0"/>
    <cellStyle name="_050121 WMR_VSC_VSI-WMR_090703 WMR-VSC 2" xfId="0"/>
    <cellStyle name="_050121 WMR_VSC_VSI-WMR_AP Turn Days old" xfId="0"/>
    <cellStyle name="_050121 WMR_VSC_VSI-WMR_AP Turn Days old 2" xfId="0"/>
    <cellStyle name="_050121 WMR_VSC_VSI-WMR_Cash" xfId="0"/>
    <cellStyle name="_050121 WMR_VSC_VSI-WMR_Cash 2" xfId="0"/>
    <cellStyle name="_050121 WMR_VSC_VSI-WMR_Charts" xfId="0"/>
    <cellStyle name="_050121 WMR_VSC_VSI-WMR_Charts 2" xfId="0"/>
    <cellStyle name="_050121 WMR_VSC_VSI-WMR_Inv Data" xfId="0"/>
    <cellStyle name="_050121 WMR_VSC_VSI-WMR_Inv Data 2" xfId="0"/>
    <cellStyle name="_050121 WMR_VSC_VSI-WMR_Inventory Pivot" xfId="0"/>
    <cellStyle name="_050121 WMR_VSC_VSI-WMR_Inventory Pivot 2" xfId="0"/>
    <cellStyle name="_050121 WMR_VSC_VSI-WMR_NEW WMR" xfId="0"/>
    <cellStyle name="_050121 WMR_VSC_VSI-WMR_NEW WMR 2" xfId="0"/>
    <cellStyle name="_050121 WMR_VSC_VSI-WMR_OpenOrder Data" xfId="0"/>
    <cellStyle name="_050121 WMR_VSC_VSI-WMR_OpenOrder Data 2" xfId="0"/>
    <cellStyle name="_050121 WMR_VSC_VSI-WMR_Revenue % Forecast" xfId="0"/>
    <cellStyle name="_050121 WMR_VSC_VSI-WMR_Revenue % Forecast 2" xfId="0"/>
    <cellStyle name="_050121 WMR_VSC_VSI-WMR_Turn Days" xfId="0"/>
    <cellStyle name="_050121 WMR_VSC_VSI-WMR_Turn Days 2" xfId="0"/>
    <cellStyle name="_050121 WMR_VSC_VSI-WMR_VDL" xfId="0"/>
    <cellStyle name="_050121 WMR_VSC_VSI-WMR_VDL 2" xfId="0"/>
    <cellStyle name="_050121 WMR_VSC_VSI-WMR_VSA" xfId="0"/>
    <cellStyle name="_050121 WMR_VSC_VSI-WMR_VSA 2" xfId="0"/>
    <cellStyle name="_050121 WMR_VSC_VSI-WMR_VSA Cash Flow Model (6-4-07)" xfId="0"/>
    <cellStyle name="_050121 WMR_VSC_VSI-WMR_VSA Cash Flow Model (6-4-07) 2" xfId="0"/>
    <cellStyle name="_050121 WMR_VSC_VSI-WMR_VSACE" xfId="0"/>
    <cellStyle name="_050121 WMR_VSC_VSI-WMR_VSACE 2" xfId="0"/>
    <cellStyle name="_050121 WMR_VSC_VSI-WMR_VSC" xfId="0"/>
    <cellStyle name="_050121 WMR_VSC_VSI-WMR_VSC 2" xfId="0"/>
    <cellStyle name="_050121 WMR_VSC_VSI-WMR_VSCN" xfId="0"/>
    <cellStyle name="_050121 WMR_VSC_VSI-WMR_VSCN 2" xfId="0"/>
    <cellStyle name="_050121 WMR_VSC_VSI-WMR_VSE" xfId="0"/>
    <cellStyle name="_050121 WMR_VSC_VSI-WMR_VSE 2" xfId="0"/>
    <cellStyle name="_050121 WMR_VSC_VSI-WMR_VSE WMR Workbook 08-07-09" xfId="0"/>
    <cellStyle name="_050121 WMR_VSC_VSI-WMR_VSE WMR Workbook 08-07-09 2" xfId="0"/>
    <cellStyle name="_050121 WMR_VSC_VSI-WMR_VSE WMR Workbook 11-19-10" xfId="0"/>
    <cellStyle name="_050121 WMR_VSC_VSI-WMR_VSE WMR Workbook 11-19-10 2" xfId="0"/>
    <cellStyle name="_050121 WMR_VSC_VSI-WMR_VSE WMR Workbook 12-31-10" xfId="0"/>
    <cellStyle name="_050121 WMR_VSC_VSI-WMR_VSE WMR Workbook 12-31-10 2" xfId="0"/>
    <cellStyle name="_050121 WMR_VSC_VSI-WMR_VSI" xfId="0"/>
    <cellStyle name="_050121 WMR_VSC_VSI-WMR_VSI 2" xfId="0"/>
    <cellStyle name="_050121 WMR_VSC_VSI-WMR_WMR" xfId="0"/>
    <cellStyle name="_050121 WMR_VSC_VSI-WMR_WMR (by QTY)" xfId="0"/>
    <cellStyle name="_050121 WMR_VSC_VSI-WMR_WMR (by QTY) 2" xfId="0"/>
    <cellStyle name="_050121 WMR_VSC_VSI-WMR_WMR 2" xfId="0"/>
    <cellStyle name="_050121 WMR_VSC_VSI-WMR_WMR 3" xfId="0"/>
    <cellStyle name="_050121 WMR_VSC_VSI-WMR_WMR 4" xfId="0"/>
    <cellStyle name="_050121 WMR_VSC_WMR" xfId="0"/>
    <cellStyle name="_050121 WMR_VSC_WMR (by QTY)" xfId="0"/>
    <cellStyle name="_050121 WMR_VSC_WMR (by QTY) 2" xfId="0"/>
    <cellStyle name="_050121 WMR_VSC_WMR 2" xfId="0"/>
    <cellStyle name="_050121 WMR_VSC_WMR 3" xfId="0"/>
    <cellStyle name="_050121 WMR_VSC_WMR 4" xfId="0"/>
    <cellStyle name="_050121 WMR_VSC_WMR Definitions" xfId="0"/>
    <cellStyle name="_050121 WMR_VSC_WMR Definitions 2" xfId="0"/>
    <cellStyle name="_050121 WMR_VSC_WMR VSCN" xfId="0"/>
    <cellStyle name="_050121 WMR_VSC_WMR VSCN 2" xfId="0"/>
    <cellStyle name="_050121 WMR_VSC_WMR VSCN(by Value)" xfId="0"/>
    <cellStyle name="_050121 WMR_VSC_WMR VSCN(by Value) 2" xfId="0"/>
    <cellStyle name="_050422 WMR_VSC" xfId="0"/>
    <cellStyle name="_050422 WMR_VSC 2" xfId="0"/>
    <cellStyle name="_050422 WMR_VSC_080613 new WMR_VSCN" xfId="0"/>
    <cellStyle name="_050422 WMR_VSC_080613 new WMR_VSCN 2" xfId="0"/>
    <cellStyle name="_050422 WMR_VSC_080822 WMR-VSC" xfId="0"/>
    <cellStyle name="_050422 WMR_VSC_080822 WMR-VSC 2" xfId="0"/>
    <cellStyle name="_050422 WMR_VSC_080829 WMR" xfId="0"/>
    <cellStyle name="_050422 WMR_VSC_080829 WMR 2" xfId="0"/>
    <cellStyle name="_050422 WMR_VSC_080905 WMR-VSC" xfId="0"/>
    <cellStyle name="_050422 WMR_VSC_080905 WMR-VSC 2" xfId="0"/>
    <cellStyle name="_050422 WMR_VSC_080912 WMR-VSC" xfId="0"/>
    <cellStyle name="_050422 WMR_VSC_080912 WMR-VSC 2" xfId="0"/>
    <cellStyle name="_050422 WMR_VSC_080919 WMR-VSC" xfId="0"/>
    <cellStyle name="_050422 WMR_VSC_080919 WMR-VSC 2" xfId="0"/>
    <cellStyle name="_050422 WMR_VSC_080926 WMR-VSC" xfId="0"/>
    <cellStyle name="_050422 WMR_VSC_080926 WMR-VSC 2" xfId="0"/>
    <cellStyle name="_050422 WMR_VSC_081003 WMR-VSC_1" xfId="0"/>
    <cellStyle name="_050422 WMR_VSC_081003 WMR-VSC_1 2" xfId="0"/>
    <cellStyle name="_050422 WMR_VSC_081010 WMR-VSC" xfId="0"/>
    <cellStyle name="_050422 WMR_VSC_081010 WMR-VSC 2" xfId="0"/>
    <cellStyle name="_050422 WMR_VSC_081017 WMR-VSC_1" xfId="0"/>
    <cellStyle name="_050422 WMR_VSC_081017 WMR-VSC_1 2" xfId="0"/>
    <cellStyle name="_050422 WMR_VSC_081024 WMR-VSC" xfId="0"/>
    <cellStyle name="_050422 WMR_VSC_081024 WMR-VSC 2" xfId="0"/>
    <cellStyle name="_050422 WMR_VSC_081031 WMR-VSC" xfId="0"/>
    <cellStyle name="_050422 WMR_VSC_081031 WMR-VSC 2" xfId="0"/>
    <cellStyle name="_050422 WMR_VSC_081107 WMR-VSC (2)" xfId="0"/>
    <cellStyle name="_050422 WMR_VSC_081107 WMR-VSC (2) 2" xfId="0"/>
    <cellStyle name="_050422 WMR_VSC_081107 WMR-VSC_1" xfId="0"/>
    <cellStyle name="_050422 WMR_VSC_081107 WMR-VSC_1 2" xfId="0"/>
    <cellStyle name="_050422 WMR_VSC_081114 WMR-VSC" xfId="0"/>
    <cellStyle name="_050422 WMR_VSC_081114 WMR-VSC 2" xfId="0"/>
    <cellStyle name="_050422 WMR_VSC_081121 WMR-VSC" xfId="0"/>
    <cellStyle name="_050422 WMR_VSC_081121 WMR-VSC 2" xfId="0"/>
    <cellStyle name="_050422 WMR_VSC_081128 WMR-VSC" xfId="0"/>
    <cellStyle name="_050422 WMR_VSC_081128 WMR-VSC 2" xfId="0"/>
    <cellStyle name="_050422 WMR_VSC_081128 WMR-VSC_1" xfId="0"/>
    <cellStyle name="_050422 WMR_VSC_081128 WMR-VSC_1 2" xfId="0"/>
    <cellStyle name="_050422 WMR_VSC_081205 WMR-VSC" xfId="0"/>
    <cellStyle name="_050422 WMR_VSC_081205 WMR-VSC 2" xfId="0"/>
    <cellStyle name="_050422 WMR_VSC_081212 WMR-VSC" xfId="0"/>
    <cellStyle name="_050422 WMR_VSC_081212 WMR-VSC 2" xfId="0"/>
    <cellStyle name="_050422 WMR_VSC_081219 WMR-VSC" xfId="0"/>
    <cellStyle name="_050422 WMR_VSC_081219 WMR-VSC 2" xfId="0"/>
    <cellStyle name="_050422 WMR_VSC_090102 WMR-VSC" xfId="0"/>
    <cellStyle name="_050422 WMR_VSC_090102 WMR-VSC 2" xfId="0"/>
    <cellStyle name="_050422 WMR_VSC_090424 WMR_VSE (2)" xfId="0"/>
    <cellStyle name="_050422 WMR_VSC_090424 WMR_VSE (2) 2" xfId="0"/>
    <cellStyle name="_050422 WMR_VSC_090703 WMR-VSC" xfId="0"/>
    <cellStyle name="_050422 WMR_VSC_090703 WMR-VSC 2" xfId="0"/>
    <cellStyle name="_050422 WMR_VSC_All Regions WMR Definitions - Updated 7-27-07" xfId="0"/>
    <cellStyle name="_050422 WMR_VSC_All Regions WMR Definitions - Updated 7-27-07 (3)" xfId="0"/>
    <cellStyle name="_050422 WMR_VSC_All Regions WMR Definitions - Updated 7-27-07 (3) 2" xfId="0"/>
    <cellStyle name="_050422 WMR_VSC_All Regions WMR Definitions - Updated 7-27-07 2" xfId="0"/>
    <cellStyle name="_050422 WMR_VSC_All Regions WMR Definitions - Updated 7-27-07 3" xfId="0"/>
    <cellStyle name="_050422 WMR_VSC_All Regions WMR Definitions - Updated 7-27-07 4" xfId="0"/>
    <cellStyle name="_050422 WMR_VSC_AP Turn Days old" xfId="0"/>
    <cellStyle name="_050422 WMR_VSC_AP Turn Days old 2" xfId="0"/>
    <cellStyle name="_050422 WMR_VSC_Cash" xfId="0"/>
    <cellStyle name="_050422 WMR_VSC_Cash 2" xfId="0"/>
    <cellStyle name="_050422 WMR_VSC_Charts" xfId="0"/>
    <cellStyle name="_050422 WMR_VSC_Charts 2" xfId="0"/>
    <cellStyle name="_050422 WMR_VSC_Inv Data" xfId="0"/>
    <cellStyle name="_050422 WMR_VSC_Inv Data 2" xfId="0"/>
    <cellStyle name="_050422 WMR_VSC_Inventory Pivot" xfId="0"/>
    <cellStyle name="_050422 WMR_VSC_Inventory Pivot 2" xfId="0"/>
    <cellStyle name="_050422 WMR_VSC_New Calculation of Inventory turn day" xfId="0"/>
    <cellStyle name="_050422 WMR_VSC_New Calculation of Inventory turn day 2" xfId="0"/>
    <cellStyle name="_050422 WMR_VSC_NEW WMR" xfId="0"/>
    <cellStyle name="_050422 WMR_VSC_NEW WMR 2" xfId="0"/>
    <cellStyle name="_050422 WMR_VSC_OpenOrder Data" xfId="0"/>
    <cellStyle name="_050422 WMR_VSC_OpenOrder Data 2" xfId="0"/>
    <cellStyle name="_050422 WMR_VSC_Revenue % Forecast" xfId="0"/>
    <cellStyle name="_050422 WMR_VSC_Revenue % Forecast 2" xfId="0"/>
    <cellStyle name="_050422 WMR_VSC_Turn Days" xfId="0"/>
    <cellStyle name="_050422 WMR_VSC_Turn Days 2" xfId="0"/>
    <cellStyle name="_050422 WMR_VSC_VDL" xfId="0"/>
    <cellStyle name="_050422 WMR_VSC_VDL 2" xfId="0"/>
    <cellStyle name="_050422 WMR_VSC_VSA" xfId="0"/>
    <cellStyle name="_050422 WMR_VSC_VSA 2" xfId="0"/>
    <cellStyle name="_050422 WMR_VSC_VSA Cash Flow Model (6-4-07)" xfId="0"/>
    <cellStyle name="_050422 WMR_VSC_VSA Cash Flow Model (6-4-07) 2" xfId="0"/>
    <cellStyle name="_050422 WMR_VSC_VSACE" xfId="0"/>
    <cellStyle name="_050422 WMR_VSC_VSACE 2" xfId="0"/>
    <cellStyle name="_050422 WMR_VSC_VSC" xfId="0"/>
    <cellStyle name="_050422 WMR_VSC_VSC 2" xfId="0"/>
    <cellStyle name="_050422 WMR_VSC_VSCN" xfId="0"/>
    <cellStyle name="_050422 WMR_VSC_VSCN 2" xfId="0"/>
    <cellStyle name="_050422 WMR_VSC_VSE" xfId="0"/>
    <cellStyle name="_050422 WMR_VSC_VSE 2" xfId="0"/>
    <cellStyle name="_050422 WMR_VSC_VSE WMR Workbook 08-07-09" xfId="0"/>
    <cellStyle name="_050422 WMR_VSC_VSE WMR Workbook 08-07-09 2" xfId="0"/>
    <cellStyle name="_050422 WMR_VSC_VSE WMR Workbook 11-19-10" xfId="0"/>
    <cellStyle name="_050422 WMR_VSC_VSE WMR Workbook 11-19-10 2" xfId="0"/>
    <cellStyle name="_050422 WMR_VSC_VSE WMR Workbook 12-31-10" xfId="0"/>
    <cellStyle name="_050422 WMR_VSC_VSE WMR Workbook 12-31-10 2" xfId="0"/>
    <cellStyle name="_050422 WMR_VSC_VSI" xfId="0"/>
    <cellStyle name="_050422 WMR_VSC_VSI 2" xfId="0"/>
    <cellStyle name="_050422 WMR_VSC_VSI-WMR" xfId="0"/>
    <cellStyle name="_050422 WMR_VSC_VSI-WMR (5)" xfId="0"/>
    <cellStyle name="_050422 WMR_VSC_VSI-WMR (5) 2" xfId="0"/>
    <cellStyle name="_050422 WMR_VSC_VSI-WMR (6)" xfId="0"/>
    <cellStyle name="_050422 WMR_VSC_VSI-WMR (6) 2" xfId="0"/>
    <cellStyle name="_050422 WMR_VSC_VSI-WMR 10" xfId="0"/>
    <cellStyle name="_050422 WMR_VSC_VSI-WMR 2" xfId="0"/>
    <cellStyle name="_050422 WMR_VSC_VSI-WMR 2007-07-06" xfId="0"/>
    <cellStyle name="_050422 WMR_VSC_VSI-WMR 2007-07-06 2" xfId="0"/>
    <cellStyle name="_050422 WMR_VSC_VSI-WMR 3" xfId="0"/>
    <cellStyle name="_050422 WMR_VSC_VSI-WMR 4" xfId="0"/>
    <cellStyle name="_050422 WMR_VSC_VSI-WMR 5" xfId="0"/>
    <cellStyle name="_050422 WMR_VSC_VSI-WMR 6" xfId="0"/>
    <cellStyle name="_050422 WMR_VSC_VSI-WMR 7" xfId="0"/>
    <cellStyle name="_050422 WMR_VSC_VSI-WMR 8" xfId="0"/>
    <cellStyle name="_050422 WMR_VSC_VSI-WMR 9" xfId="0"/>
    <cellStyle name="_050422 WMR_VSC_VSI-WMR_080822 WMR-VSC" xfId="0"/>
    <cellStyle name="_050422 WMR_VSC_VSI-WMR_080822 WMR-VSC 2" xfId="0"/>
    <cellStyle name="_050422 WMR_VSC_VSI-WMR_080829 WMR" xfId="0"/>
    <cellStyle name="_050422 WMR_VSC_VSI-WMR_080829 WMR 2" xfId="0"/>
    <cellStyle name="_050422 WMR_VSC_VSI-WMR_080905 WMR-VSC" xfId="0"/>
    <cellStyle name="_050422 WMR_VSC_VSI-WMR_080905 WMR-VSC 2" xfId="0"/>
    <cellStyle name="_050422 WMR_VSC_VSI-WMR_080912 WMR-VSC" xfId="0"/>
    <cellStyle name="_050422 WMR_VSC_VSI-WMR_080912 WMR-VSC 2" xfId="0"/>
    <cellStyle name="_050422 WMR_VSC_VSI-WMR_080919 WMR-VSC" xfId="0"/>
    <cellStyle name="_050422 WMR_VSC_VSI-WMR_080919 WMR-VSC 2" xfId="0"/>
    <cellStyle name="_050422 WMR_VSC_VSI-WMR_080926 WMR-VSC" xfId="0"/>
    <cellStyle name="_050422 WMR_VSC_VSI-WMR_080926 WMR-VSC 2" xfId="0"/>
    <cellStyle name="_050422 WMR_VSC_VSI-WMR_081003 WMR-VSC_1" xfId="0"/>
    <cellStyle name="_050422 WMR_VSC_VSI-WMR_081003 WMR-VSC_1 2" xfId="0"/>
    <cellStyle name="_050422 WMR_VSC_VSI-WMR_081010 WMR-VSC" xfId="0"/>
    <cellStyle name="_050422 WMR_VSC_VSI-WMR_081010 WMR-VSC 2" xfId="0"/>
    <cellStyle name="_050422 WMR_VSC_VSI-WMR_081017 WMR-VSC_1" xfId="0"/>
    <cellStyle name="_050422 WMR_VSC_VSI-WMR_081017 WMR-VSC_1 2" xfId="0"/>
    <cellStyle name="_050422 WMR_VSC_VSI-WMR_081024 WMR-VSC" xfId="0"/>
    <cellStyle name="_050422 WMR_VSC_VSI-WMR_081024 WMR-VSC 2" xfId="0"/>
    <cellStyle name="_050422 WMR_VSC_VSI-WMR_081031 WMR-VSC" xfId="0"/>
    <cellStyle name="_050422 WMR_VSC_VSI-WMR_081031 WMR-VSC 2" xfId="0"/>
    <cellStyle name="_050422 WMR_VSC_VSI-WMR_081107 WMR-VSC (2)" xfId="0"/>
    <cellStyle name="_050422 WMR_VSC_VSI-WMR_081107 WMR-VSC (2) 2" xfId="0"/>
    <cellStyle name="_050422 WMR_VSC_VSI-WMR_081107 WMR-VSC_1" xfId="0"/>
    <cellStyle name="_050422 WMR_VSC_VSI-WMR_081107 WMR-VSC_1 2" xfId="0"/>
    <cellStyle name="_050422 WMR_VSC_VSI-WMR_081114 WMR-VSC" xfId="0"/>
    <cellStyle name="_050422 WMR_VSC_VSI-WMR_081114 WMR-VSC 2" xfId="0"/>
    <cellStyle name="_050422 WMR_VSC_VSI-WMR_081121 WMR-VSC" xfId="0"/>
    <cellStyle name="_050422 WMR_VSC_VSI-WMR_081121 WMR-VSC 2" xfId="0"/>
    <cellStyle name="_050422 WMR_VSC_VSI-WMR_081128 WMR-VSC" xfId="0"/>
    <cellStyle name="_050422 WMR_VSC_VSI-WMR_081128 WMR-VSC 2" xfId="0"/>
    <cellStyle name="_050422 WMR_VSC_VSI-WMR_081128 WMR-VSC_1" xfId="0"/>
    <cellStyle name="_050422 WMR_VSC_VSI-WMR_081128 WMR-VSC_1 2" xfId="0"/>
    <cellStyle name="_050422 WMR_VSC_VSI-WMR_081205 WMR-VSC" xfId="0"/>
    <cellStyle name="_050422 WMR_VSC_VSI-WMR_081205 WMR-VSC 2" xfId="0"/>
    <cellStyle name="_050422 WMR_VSC_VSI-WMR_081212 WMR-VSC" xfId="0"/>
    <cellStyle name="_050422 WMR_VSC_VSI-WMR_081212 WMR-VSC 2" xfId="0"/>
    <cellStyle name="_050422 WMR_VSC_VSI-WMR_081219 WMR-VSC" xfId="0"/>
    <cellStyle name="_050422 WMR_VSC_VSI-WMR_081219 WMR-VSC 2" xfId="0"/>
    <cellStyle name="_050422 WMR_VSC_VSI-WMR_090102 WMR-VSC" xfId="0"/>
    <cellStyle name="_050422 WMR_VSC_VSI-WMR_090102 WMR-VSC 2" xfId="0"/>
    <cellStyle name="_050422 WMR_VSC_VSI-WMR_090424 WMR_VSE (2)" xfId="0"/>
    <cellStyle name="_050422 WMR_VSC_VSI-WMR_090424 WMR_VSE (2) 2" xfId="0"/>
    <cellStyle name="_050422 WMR_VSC_VSI-WMR_090703 WMR-VSC" xfId="0"/>
    <cellStyle name="_050422 WMR_VSC_VSI-WMR_090703 WMR-VSC 2" xfId="0"/>
    <cellStyle name="_050422 WMR_VSC_VSI-WMR_AP Turn Days old" xfId="0"/>
    <cellStyle name="_050422 WMR_VSC_VSI-WMR_AP Turn Days old 2" xfId="0"/>
    <cellStyle name="_050422 WMR_VSC_VSI-WMR_Cash" xfId="0"/>
    <cellStyle name="_050422 WMR_VSC_VSI-WMR_Cash 2" xfId="0"/>
    <cellStyle name="_050422 WMR_VSC_VSI-WMR_Charts" xfId="0"/>
    <cellStyle name="_050422 WMR_VSC_VSI-WMR_Charts 2" xfId="0"/>
    <cellStyle name="_050422 WMR_VSC_VSI-WMR_Inv Data" xfId="0"/>
    <cellStyle name="_050422 WMR_VSC_VSI-WMR_Inv Data 2" xfId="0"/>
    <cellStyle name="_050422 WMR_VSC_VSI-WMR_Inventory Pivot" xfId="0"/>
    <cellStyle name="_050422 WMR_VSC_VSI-WMR_Inventory Pivot 2" xfId="0"/>
    <cellStyle name="_050422 WMR_VSC_VSI-WMR_NEW WMR" xfId="0"/>
    <cellStyle name="_050422 WMR_VSC_VSI-WMR_NEW WMR 2" xfId="0"/>
    <cellStyle name="_050422 WMR_VSC_VSI-WMR_OpenOrder Data" xfId="0"/>
    <cellStyle name="_050422 WMR_VSC_VSI-WMR_OpenOrder Data 2" xfId="0"/>
    <cellStyle name="_050422 WMR_VSC_VSI-WMR_Revenue % Forecast" xfId="0"/>
    <cellStyle name="_050422 WMR_VSC_VSI-WMR_Revenue % Forecast 2" xfId="0"/>
    <cellStyle name="_050422 WMR_VSC_VSI-WMR_Turn Days" xfId="0"/>
    <cellStyle name="_050422 WMR_VSC_VSI-WMR_Turn Days 2" xfId="0"/>
    <cellStyle name="_050422 WMR_VSC_VSI-WMR_VDL" xfId="0"/>
    <cellStyle name="_050422 WMR_VSC_VSI-WMR_VDL 2" xfId="0"/>
    <cellStyle name="_050422 WMR_VSC_VSI-WMR_VSA" xfId="0"/>
    <cellStyle name="_050422 WMR_VSC_VSI-WMR_VSA 2" xfId="0"/>
    <cellStyle name="_050422 WMR_VSC_VSI-WMR_VSA Cash Flow Model (6-4-07)" xfId="0"/>
    <cellStyle name="_050422 WMR_VSC_VSI-WMR_VSA Cash Flow Model (6-4-07) 2" xfId="0"/>
    <cellStyle name="_050422 WMR_VSC_VSI-WMR_VSACE" xfId="0"/>
    <cellStyle name="_050422 WMR_VSC_VSI-WMR_VSACE 2" xfId="0"/>
    <cellStyle name="_050422 WMR_VSC_VSI-WMR_VSC" xfId="0"/>
    <cellStyle name="_050422 WMR_VSC_VSI-WMR_VSC 2" xfId="0"/>
    <cellStyle name="_050422 WMR_VSC_VSI-WMR_VSCN" xfId="0"/>
    <cellStyle name="_050422 WMR_VSC_VSI-WMR_VSCN 2" xfId="0"/>
    <cellStyle name="_050422 WMR_VSC_VSI-WMR_VSE" xfId="0"/>
    <cellStyle name="_050422 WMR_VSC_VSI-WMR_VSE 2" xfId="0"/>
    <cellStyle name="_050422 WMR_VSC_VSI-WMR_VSE WMR Workbook 08-07-09" xfId="0"/>
    <cellStyle name="_050422 WMR_VSC_VSI-WMR_VSE WMR Workbook 08-07-09 2" xfId="0"/>
    <cellStyle name="_050422 WMR_VSC_VSI-WMR_VSE WMR Workbook 11-19-10" xfId="0"/>
    <cellStyle name="_050422 WMR_VSC_VSI-WMR_VSE WMR Workbook 11-19-10 2" xfId="0"/>
    <cellStyle name="_050422 WMR_VSC_VSI-WMR_VSE WMR Workbook 12-31-10" xfId="0"/>
    <cellStyle name="_050422 WMR_VSC_VSI-WMR_VSE WMR Workbook 12-31-10 2" xfId="0"/>
    <cellStyle name="_050422 WMR_VSC_VSI-WMR_VSI" xfId="0"/>
    <cellStyle name="_050422 WMR_VSC_VSI-WMR_VSI 2" xfId="0"/>
    <cellStyle name="_050422 WMR_VSC_VSI-WMR_WMR" xfId="0"/>
    <cellStyle name="_050422 WMR_VSC_VSI-WMR_WMR (by QTY)" xfId="0"/>
    <cellStyle name="_050422 WMR_VSC_VSI-WMR_WMR (by QTY) 2" xfId="0"/>
    <cellStyle name="_050422 WMR_VSC_VSI-WMR_WMR 2" xfId="0"/>
    <cellStyle name="_050422 WMR_VSC_VSI-WMR_WMR 3" xfId="0"/>
    <cellStyle name="_050422 WMR_VSC_VSI-WMR_WMR 4" xfId="0"/>
    <cellStyle name="_050422 WMR_VSC_WMR" xfId="0"/>
    <cellStyle name="_050422 WMR_VSC_WMR (by QTY)" xfId="0"/>
    <cellStyle name="_050422 WMR_VSC_WMR (by QTY) 2" xfId="0"/>
    <cellStyle name="_050422 WMR_VSC_WMR 2" xfId="0"/>
    <cellStyle name="_050422 WMR_VSC_WMR 3" xfId="0"/>
    <cellStyle name="_050422 WMR_VSC_WMR 4" xfId="0"/>
    <cellStyle name="_050422 WMR_VSC_WMR Definitions" xfId="0"/>
    <cellStyle name="_050422 WMR_VSC_WMR Definitions 2" xfId="0"/>
    <cellStyle name="_050422 WMR_VSC_WMR VSCN" xfId="0"/>
    <cellStyle name="_050422 WMR_VSC_WMR VSCN 2" xfId="0"/>
    <cellStyle name="_050422 WMR_VSC_WMR VSCN(by Value)" xfId="0"/>
    <cellStyle name="_050422 WMR_VSC_WMR VSCN(by Value) 2" xfId="0"/>
    <cellStyle name="_080606 WMR-VSC" xfId="0"/>
    <cellStyle name="_080606 WMR-VSC 2" xfId="0"/>
    <cellStyle name="_10-Dec-2010" xfId="0"/>
    <cellStyle name="_10-Dec-2010 2" xfId="0"/>
    <cellStyle name="_1008 Slow-LCM" xfId="0"/>
    <cellStyle name="_1008 Slow-LCM 2" xfId="0"/>
    <cellStyle name="_1008 Slow-LCM 2 2" xfId="0"/>
    <cellStyle name="_1008 Slow-LCM 3" xfId="0"/>
    <cellStyle name="_1009 Slow-LCM" xfId="0"/>
    <cellStyle name="_1009 Slow-LCM 2" xfId="0"/>
    <cellStyle name="_1009 Slow-LCM 2 2" xfId="0"/>
    <cellStyle name="_1009 Slow-LCM 3" xfId="0"/>
    <cellStyle name="_1010 Slow-LCM" xfId="0"/>
    <cellStyle name="_1010 Slow-LCM 2" xfId="0"/>
    <cellStyle name="_1010 Slow-LCM 2 2" xfId="0"/>
    <cellStyle name="_1010 Slow-LCM 3" xfId="0"/>
    <cellStyle name="_1011 Slow-LCM" xfId="0"/>
    <cellStyle name="_1011 Slow-LCM 2" xfId="0"/>
    <cellStyle name="_1011 Slow-LCM 2 2" xfId="0"/>
    <cellStyle name="_1011 Slow-LCM 3" xfId="0"/>
    <cellStyle name="_1012 Slow-LCM" xfId="0"/>
    <cellStyle name="_1012 Slow-LCM 2" xfId="0"/>
    <cellStyle name="_1012 Slow-LCM 2 2" xfId="0"/>
    <cellStyle name="_1012 Slow-LCM 3" xfId="0"/>
    <cellStyle name="_12-Nov-2010" xfId="0"/>
    <cellStyle name="_12-Nov-2010 2" xfId="0"/>
    <cellStyle name="_13-wk VSA_Revised" xfId="0"/>
    <cellStyle name="_13-wk VSA_Revised 2" xfId="0"/>
    <cellStyle name="_13-wk VSA_Revised 2 2" xfId="0"/>
    <cellStyle name="_13-wk VSA_Revised 3" xfId="0"/>
    <cellStyle name="_13-wk VSA_Revised_090703 WMR-VSC" xfId="0"/>
    <cellStyle name="_13-wk VSA_Revised_090703 WMR-VSC 2" xfId="0"/>
    <cellStyle name="_13-wk VSA_Revised_090703 WMR-VSC_13-wk VSA_Revised" xfId="0"/>
    <cellStyle name="_13-wk VSA_Revised_090703 WMR-VSC_13-wk VSA_Revised 2" xfId="0"/>
    <cellStyle name="_13-wk VSA_Revised_090703 WMR-VSC_NEW WMR" xfId="0"/>
    <cellStyle name="_13-wk VSA_Revised_090703 WMR-VSC_NEW WMR 2" xfId="0"/>
    <cellStyle name="_13-wk VSA_Revised_090703 WMR-VSC_NEW WMR_13-wk VSA_Revised" xfId="0"/>
    <cellStyle name="_13-wk VSA_Revised_090703 WMR-VSC_NEW WMR_13-wk VSA_Revised 2" xfId="0"/>
    <cellStyle name="_13-wk VSA_Revised_090703 WMR-VSC_NEW WMR_Charts" xfId="0"/>
    <cellStyle name="_13-wk VSA_Revised_090703 WMR-VSC_NEW WMR_Charts 2" xfId="0"/>
    <cellStyle name="_13-wk VSA_Revised_090703 WMR-VSC_VSA" xfId="0"/>
    <cellStyle name="_13-wk VSA_Revised_090703 WMR-VSC_VSA 2" xfId="0"/>
    <cellStyle name="_13-wk VSA_Revised_090703 WMR-VSC_VSA_13-wk VSA_Revised" xfId="0"/>
    <cellStyle name="_13-wk VSA_Revised_090703 WMR-VSC_VSA_13-wk VSA_Revised 2" xfId="0"/>
    <cellStyle name="_13-wk VSA_Revised_090703 WMR-VSC_VSA_Charts" xfId="0"/>
    <cellStyle name="_13-wk VSA_Revised_090703 WMR-VSC_VSA_Charts 2" xfId="0"/>
    <cellStyle name="_13-wk VSA_Revised_090703 WMR-VSC_VSC" xfId="0"/>
    <cellStyle name="_13-wk VSA_Revised_090703 WMR-VSC_VSC 2" xfId="0"/>
    <cellStyle name="_13-wk VSA_Revised_090703 WMR-VSC_VSC_13-wk VSA_Revised" xfId="0"/>
    <cellStyle name="_13-wk VSA_Revised_090703 WMR-VSC_VSC_13-wk VSA_Revised 2" xfId="0"/>
    <cellStyle name="_13-wk VSA_Revised_090703 WMR-VSC_VSC_Charts" xfId="0"/>
    <cellStyle name="_13-wk VSA_Revised_090703 WMR-VSC_VSC_Charts 2" xfId="0"/>
    <cellStyle name="_13-wk VSA_Revised_090703 WMR-VSC_VSCN" xfId="0"/>
    <cellStyle name="_13-wk VSA_Revised_090703 WMR-VSC_VSCN 2" xfId="0"/>
    <cellStyle name="_13-wk VSA_Revised_090703 WMR-VSC_VSCN_13-wk VSA_Revised" xfId="0"/>
    <cellStyle name="_13-wk VSA_Revised_090703 WMR-VSC_VSCN_13-wk VSA_Revised 2" xfId="0"/>
    <cellStyle name="_13-wk VSA_Revised_090703 WMR-VSC_VSCN_Charts" xfId="0"/>
    <cellStyle name="_13-wk VSA_Revised_090703 WMR-VSC_VSCN_Charts 2" xfId="0"/>
    <cellStyle name="_13-wk VSA_Revised_090703 WMR-VSC_VSE" xfId="0"/>
    <cellStyle name="_13-wk VSA_Revised_090703 WMR-VSC_VSE 2" xfId="0"/>
    <cellStyle name="_13-wk VSA_Revised_090703 WMR-VSC_VSE_13-wk VSA_Revised" xfId="0"/>
    <cellStyle name="_13-wk VSA_Revised_090703 WMR-VSC_VSE_13-wk VSA_Revised 2" xfId="0"/>
    <cellStyle name="_13-wk VSA_Revised_090703 WMR-VSC_VSE_Charts" xfId="0"/>
    <cellStyle name="_13-wk VSA_Revised_090703 WMR-VSC_VSE_Charts 2" xfId="0"/>
    <cellStyle name="_13-wk VSA_Revised_090703 WMR-VSC_VSI" xfId="0"/>
    <cellStyle name="_13-wk VSA_Revised_090703 WMR-VSC_VSI 2" xfId="0"/>
    <cellStyle name="_13-wk VSA_Revised_090703 WMR-VSC_VSI_13-wk VSA_Revised" xfId="0"/>
    <cellStyle name="_13-wk VSA_Revised_090703 WMR-VSC_VSI_13-wk VSA_Revised 2" xfId="0"/>
    <cellStyle name="_13-wk VSA_Revised_090703 WMR-VSC_VSI_Charts" xfId="0"/>
    <cellStyle name="_13-wk VSA_Revised_090703 WMR-VSC_VSI_Charts 2" xfId="0"/>
    <cellStyle name="_13-wk VSA_Revised_13-wk VSA_Revised" xfId="0"/>
    <cellStyle name="_13-wk VSA_Revised_13-wk VSA_Revised 2" xfId="0"/>
    <cellStyle name="_13-wk VSA_Revised_13-wk VSI_Revised" xfId="0"/>
    <cellStyle name="_13-wk VSA_Revised_13-wk VSI_Revised 2" xfId="0"/>
    <cellStyle name="_13-wk VSA_Revised_Charts" xfId="0"/>
    <cellStyle name="_13-wk VSA_Revised_Charts 2" xfId="0"/>
    <cellStyle name="_13-wk VSA_Revised_DCR" xfId="0"/>
    <cellStyle name="_13-wk VSA_Revised_DCR 2" xfId="0"/>
    <cellStyle name="_13-wk VSA_Revised_VSI" xfId="0"/>
    <cellStyle name="_13-wk VSA_Revised_VSI 2" xfId="0"/>
    <cellStyle name="_13-wk VSA_Revised_VSI_13-wk VSA_Revised" xfId="0"/>
    <cellStyle name="_13-wk VSA_Revised_VSI_13-wk VSA_Revised 2" xfId="0"/>
    <cellStyle name="_13-wk VSA_Revised_VSI_NEW WMR" xfId="0"/>
    <cellStyle name="_13-wk VSA_Revised_VSI_NEW WMR 2" xfId="0"/>
    <cellStyle name="_13-wk VSA_Revised_VSI_NEW WMR_13-wk VSA_Revised" xfId="0"/>
    <cellStyle name="_13-wk VSA_Revised_VSI_NEW WMR_13-wk VSA_Revised 2" xfId="0"/>
    <cellStyle name="_13-wk VSA_Revised_VSI_NEW WMR_Charts" xfId="0"/>
    <cellStyle name="_13-wk VSA_Revised_VSI_NEW WMR_Charts 2" xfId="0"/>
    <cellStyle name="_13-wk VSA_Revised_VSI_VSA" xfId="0"/>
    <cellStyle name="_13-wk VSA_Revised_VSI_VSA 2" xfId="0"/>
    <cellStyle name="_13-wk VSA_Revised_VSI_VSA_13-wk VSA_Revised" xfId="0"/>
    <cellStyle name="_13-wk VSA_Revised_VSI_VSA_13-wk VSA_Revised 2" xfId="0"/>
    <cellStyle name="_13-wk VSA_Revised_VSI_VSA_Charts" xfId="0"/>
    <cellStyle name="_13-wk VSA_Revised_VSI_VSA_Charts 2" xfId="0"/>
    <cellStyle name="_13-wk VSA_Revised_VSI_VSC" xfId="0"/>
    <cellStyle name="_13-wk VSA_Revised_VSI_VSC 2" xfId="0"/>
    <cellStyle name="_13-wk VSA_Revised_VSI_VSC_13-wk VSA_Revised" xfId="0"/>
    <cellStyle name="_13-wk VSA_Revised_VSI_VSC_13-wk VSA_Revised 2" xfId="0"/>
    <cellStyle name="_13-wk VSA_Revised_VSI_VSC_Charts" xfId="0"/>
    <cellStyle name="_13-wk VSA_Revised_VSI_VSC_Charts 2" xfId="0"/>
    <cellStyle name="_13-wk VSA_Revised_VSI_VSCN" xfId="0"/>
    <cellStyle name="_13-wk VSA_Revised_VSI_VSCN 2" xfId="0"/>
    <cellStyle name="_13-wk VSA_Revised_VSI_VSCN_13-wk VSA_Revised" xfId="0"/>
    <cellStyle name="_13-wk VSA_Revised_VSI_VSCN_13-wk VSA_Revised 2" xfId="0"/>
    <cellStyle name="_13-wk VSA_Revised_VSI_VSCN_Charts" xfId="0"/>
    <cellStyle name="_13-wk VSA_Revised_VSI_VSCN_Charts 2" xfId="0"/>
    <cellStyle name="_13-wk VSA_Revised_VSI_VSE" xfId="0"/>
    <cellStyle name="_13-wk VSA_Revised_VSI_VSE 2" xfId="0"/>
    <cellStyle name="_13-wk VSA_Revised_VSI_VSE_13-wk VSA_Revised" xfId="0"/>
    <cellStyle name="_13-wk VSA_Revised_VSI_VSE_13-wk VSA_Revised 2" xfId="0"/>
    <cellStyle name="_13-wk VSA_Revised_VSI_VSE_Charts" xfId="0"/>
    <cellStyle name="_13-wk VSA_Revised_VSI_VSE_Charts 2" xfId="0"/>
    <cellStyle name="_13-wk VSA_Revised_VSI_VSI" xfId="0"/>
    <cellStyle name="_13-wk VSA_Revised_VSI_VSI 2" xfId="0"/>
    <cellStyle name="_13-wk VSA_Revised_VSI_VSI_13-wk VSA_Revised" xfId="0"/>
    <cellStyle name="_13-wk VSA_Revised_VSI_VSI_13-wk VSA_Revised 2" xfId="0"/>
    <cellStyle name="_13-wk VSA_Revised_VSI_VSI_Charts" xfId="0"/>
    <cellStyle name="_13-wk VSA_Revised_VSI_VSI_Charts 2" xfId="0"/>
    <cellStyle name="_13-wk VSA_Revised_WMR VSI" xfId="0"/>
    <cellStyle name="_13-wk VSA_Revised_WMR VSI 2" xfId="0"/>
    <cellStyle name="_17-Dec-2010" xfId="0"/>
    <cellStyle name="_17-Dec-2010 2" xfId="0"/>
    <cellStyle name="_170907" xfId="0"/>
    <cellStyle name="_170907 2" xfId="0"/>
    <cellStyle name="_170907_2007 Margin Calc Check" xfId="0"/>
    <cellStyle name="_170907_2007 Margin Calc Check 2" xfId="0"/>
    <cellStyle name="_170907_2008 Margin Calc Check" xfId="0"/>
    <cellStyle name="_170907_2008 Margin Calc Check 2" xfId="0"/>
    <cellStyle name="_170907_Margin Calc Check" xfId="0"/>
    <cellStyle name="_170907_Margin Calc Check 100630" xfId="0"/>
    <cellStyle name="_170907_Margin Calc Check 100630 2" xfId="0"/>
    <cellStyle name="_170907_Margin Calc Check 100725" xfId="0"/>
    <cellStyle name="_170907_Margin Calc Check 100725 2" xfId="0"/>
    <cellStyle name="_170907_Margin Calc Check 100731" xfId="0"/>
    <cellStyle name="_170907_Margin Calc Check 100731 2" xfId="0"/>
    <cellStyle name="_170907_Margin Calc Check 100820" xfId="0"/>
    <cellStyle name="_170907_Margin Calc Check 100820 2" xfId="0"/>
    <cellStyle name="_170907_Margin Calc Check 100831" xfId="0"/>
    <cellStyle name="_170907_Margin Calc Check 100831 2" xfId="0"/>
    <cellStyle name="_170907_Margin Calc Check 100930" xfId="0"/>
    <cellStyle name="_170907_Margin Calc Check 100930 2" xfId="0"/>
    <cellStyle name="_170907_Margin Calc Check 101031" xfId="0"/>
    <cellStyle name="_170907_Margin Calc Check 101031 2" xfId="0"/>
    <cellStyle name="_170907_Margin Calc Check 2" xfId="0"/>
    <cellStyle name="_170907_Margin Calc Check-cost updated (2)" xfId="0"/>
    <cellStyle name="_170907_Margin Calc Check-cost updated (2) 2" xfId="0"/>
    <cellStyle name="_170907_Margin Calc Check-cost updated-14-05-10" xfId="0"/>
    <cellStyle name="_170907_Margin Calc Check-cost updated-14-05-10 2" xfId="0"/>
    <cellStyle name="_170907_Margin Calc Check-cost updated-21-04-10" xfId="0"/>
    <cellStyle name="_170907_Margin Calc Check-cost updated-21-04-10 2" xfId="0"/>
    <cellStyle name="_170907_Margin Calc Check-cost updated-21-05-10" xfId="0"/>
    <cellStyle name="_170907_Margin Calc Check-cost updated-21-05-10 2" xfId="0"/>
    <cellStyle name="_170907_Margin Calc Check-cost updated-22-01-10" xfId="0"/>
    <cellStyle name="_170907_Margin Calc Check-cost updated-22-01-10 2" xfId="0"/>
    <cellStyle name="_170907_Margin Calc Check-cost updated-28-02-10" xfId="0"/>
    <cellStyle name="_170907_Margin Calc Check-cost updated-28-02-10 2" xfId="0"/>
    <cellStyle name="_170907_Margin Calc Check-cost updated-30-04-10" xfId="0"/>
    <cellStyle name="_170907_Margin Calc Check-cost updated-30-04-10 2" xfId="0"/>
    <cellStyle name="_170907_Margin Calc Check-cost updated-31-01-10" xfId="0"/>
    <cellStyle name="_170907_Margin Calc Check-cost updated-31-01-10 2" xfId="0"/>
    <cellStyle name="_170907_Margin Calc Check-cost updated-31-12-09" xfId="0"/>
    <cellStyle name="_170907_Margin Calc Check-cost updated-31-12-09 2" xfId="0"/>
    <cellStyle name="_19-Nov-2010" xfId="0"/>
    <cellStyle name="_19-Nov-2010 (2)" xfId="0"/>
    <cellStyle name="_19-Nov-2010 (2) 2" xfId="0"/>
    <cellStyle name="_19-Nov-2010 2" xfId="0"/>
    <cellStyle name="_19-Nov-2010 3" xfId="0"/>
    <cellStyle name="_19-Nov-2010 4" xfId="0"/>
    <cellStyle name="_2007 CPC COGS 070814_cbt" xfId="0"/>
    <cellStyle name="_2007 CPC COGS 070814_cbt 2" xfId="0"/>
    <cellStyle name="_2007 CPC COGS 070814_cbt_CORP SG&amp;A" xfId="0"/>
    <cellStyle name="_2007 CPC COGS 070913_cbt" xfId="0"/>
    <cellStyle name="_2007 CPC COGS 070913_cbt 2" xfId="0"/>
    <cellStyle name="_2007 CPC COGS 070913_cbt_CORP SG&amp;A" xfId="0"/>
    <cellStyle name="_2007 CPC COGS 071024_cbt" xfId="0"/>
    <cellStyle name="_2007 CPC COGS 071024_cbt 2" xfId="0"/>
    <cellStyle name="_2007 CPC COGS 071024_cbt_CORP SG&amp;A" xfId="0"/>
    <cellStyle name="_2007 CPC COGS beginning_cbt" xfId="0"/>
    <cellStyle name="_2007 CPC COGS beginning_cbt 2" xfId="0"/>
    <cellStyle name="_2007 CPC COGS beginning_cbt_CORP SG&amp;A" xfId="0"/>
    <cellStyle name="_2007 CPC COGS LCD TV 0708" xfId="0"/>
    <cellStyle name="_2007 CPC COGS LCD TV 0708 2" xfId="0"/>
    <cellStyle name="_2007 CPC COGS LCD TV 0708-2" xfId="0"/>
    <cellStyle name="_2007 CPC COGS LCD TV 0708-2 2" xfId="0"/>
    <cellStyle name="_2007 CPC COGS LCD TV 0708-2_CORP SG&amp;A" xfId="0"/>
    <cellStyle name="_2007 CPC COGS LCD TV 0708_CORP SG&amp;A" xfId="0"/>
    <cellStyle name="_2007 CPC COGS LCD TV 0710 jo" xfId="0"/>
    <cellStyle name="_2007 CPC COGS LCD TV 0710 jo 2" xfId="0"/>
    <cellStyle name="_2007 CPC COGS LCD TV 0710 jo_CORP SG&amp;A" xfId="0"/>
    <cellStyle name="_2008" xfId="0"/>
    <cellStyle name="_2008 CPC COGS _cbt" xfId="0"/>
    <cellStyle name="_2008 CPC COGS _cbt 2" xfId="0"/>
    <cellStyle name="_2008 CPC COGS _cbt_CORP SG&amp;A" xfId="0"/>
    <cellStyle name="_2008 CPC COGS LCD TV" xfId="0"/>
    <cellStyle name="_2008 CPC COGS LCD TV 2" xfId="0"/>
    <cellStyle name="_2008 CPC COGS LCD TV_CORP SG&amp;A" xfId="0"/>
    <cellStyle name="_2008_2010 Existing SKU" xfId="0"/>
    <cellStyle name="_2009 FA (TWD) vsi" xfId="0"/>
    <cellStyle name="_2009 FA (TWD) vsi 2" xfId="0"/>
    <cellStyle name="_2009 FA (TWD) vsi_2011 FA (TWD) vsi" xfId="0"/>
    <cellStyle name="_2009 FA (TWD) vsi_2011 FA (TWD) vsi 2" xfId="0"/>
    <cellStyle name="_2009 FA (TWD) vsi_2011 FA (USD) vsi " xfId="0"/>
    <cellStyle name="_2009 FA (TWD) vsi_2011 FA (USD) vsi  2" xfId="0"/>
    <cellStyle name="_2009 FA (TWD) vsi_2012 FA (TWD) vsi" xfId="0"/>
    <cellStyle name="_2009 FA (TWD) vsi_2012 FA (TWD) vsi 2" xfId="0"/>
    <cellStyle name="_2009 FA (TWD) vsi_2012 FA (USD) vsi " xfId="0"/>
    <cellStyle name="_2009 FA (TWD) vsi_2012 FA (USD) vsi  2" xfId="0"/>
    <cellStyle name="_2009 FA (TWD) vsi_RETIREMEN vsi" xfId="0"/>
    <cellStyle name="_2009 FA (TWD) vsi_RETIREMEN vsi 2" xfId="0"/>
    <cellStyle name="_2009 FA (TWD) vsi_TB-TWD" xfId="0"/>
    <cellStyle name="_2009 FA (TWD) vsi_TB-TWD 2" xfId="0"/>
    <cellStyle name="_2009 FA (TWD) vsi_VSI FA Rollforward 1003" xfId="0"/>
    <cellStyle name="_2009 FA (TWD) vsi_VSI FA Rollforward 1003 2" xfId="0"/>
    <cellStyle name="_2009 FA (TWD) vsi_VSI FA Rollforward 1003_RETIREMEN vsi" xfId="0"/>
    <cellStyle name="_2009 FA (TWD) vsi_VSI FA Rollforward 1003_RETIREMEN vsi 2" xfId="0"/>
    <cellStyle name="_200906 Allowance for Bad Debt" xfId="0"/>
    <cellStyle name="_200906 Allowance for Bad Debt 2" xfId="0"/>
    <cellStyle name="_2010 FA (TWD) vsi" xfId="0"/>
    <cellStyle name="_2010 FA (TWD) vsi 2" xfId="0"/>
    <cellStyle name="_24-Dec-2010" xfId="0"/>
    <cellStyle name="_24-Dec-2010 2" xfId="0"/>
    <cellStyle name="_240907" xfId="0"/>
    <cellStyle name="_240907 2" xfId="0"/>
    <cellStyle name="_240907_2007 Margin Calc Check" xfId="0"/>
    <cellStyle name="_240907_2007 Margin Calc Check 2" xfId="0"/>
    <cellStyle name="_240907_2008 Margin Calc Check" xfId="0"/>
    <cellStyle name="_240907_2008 Margin Calc Check 2" xfId="0"/>
    <cellStyle name="_240907_Margin Calc Check" xfId="0"/>
    <cellStyle name="_240907_Margin Calc Check 100630" xfId="0"/>
    <cellStyle name="_240907_Margin Calc Check 100630 2" xfId="0"/>
    <cellStyle name="_240907_Margin Calc Check 100725" xfId="0"/>
    <cellStyle name="_240907_Margin Calc Check 100725 2" xfId="0"/>
    <cellStyle name="_240907_Margin Calc Check 100731" xfId="0"/>
    <cellStyle name="_240907_Margin Calc Check 100731 2" xfId="0"/>
    <cellStyle name="_240907_Margin Calc Check 100820" xfId="0"/>
    <cellStyle name="_240907_Margin Calc Check 100820 2" xfId="0"/>
    <cellStyle name="_240907_Margin Calc Check 100831" xfId="0"/>
    <cellStyle name="_240907_Margin Calc Check 100831 2" xfId="0"/>
    <cellStyle name="_240907_Margin Calc Check 100930" xfId="0"/>
    <cellStyle name="_240907_Margin Calc Check 100930 2" xfId="0"/>
    <cellStyle name="_240907_Margin Calc Check 101031" xfId="0"/>
    <cellStyle name="_240907_Margin Calc Check 101031 2" xfId="0"/>
    <cellStyle name="_240907_Margin Calc Check 2" xfId="0"/>
    <cellStyle name="_240907_Margin Calc Check-cost updated (2)" xfId="0"/>
    <cellStyle name="_240907_Margin Calc Check-cost updated (2) 2" xfId="0"/>
    <cellStyle name="_240907_Margin Calc Check-cost updated-14-05-10" xfId="0"/>
    <cellStyle name="_240907_Margin Calc Check-cost updated-14-05-10 2" xfId="0"/>
    <cellStyle name="_240907_Margin Calc Check-cost updated-21-04-10" xfId="0"/>
    <cellStyle name="_240907_Margin Calc Check-cost updated-21-04-10 2" xfId="0"/>
    <cellStyle name="_240907_Margin Calc Check-cost updated-21-05-10" xfId="0"/>
    <cellStyle name="_240907_Margin Calc Check-cost updated-21-05-10 2" xfId="0"/>
    <cellStyle name="_240907_Margin Calc Check-cost updated-22-01-10" xfId="0"/>
    <cellStyle name="_240907_Margin Calc Check-cost updated-22-01-10 2" xfId="0"/>
    <cellStyle name="_240907_Margin Calc Check-cost updated-28-02-10" xfId="0"/>
    <cellStyle name="_240907_Margin Calc Check-cost updated-28-02-10 2" xfId="0"/>
    <cellStyle name="_240907_Margin Calc Check-cost updated-30-04-10" xfId="0"/>
    <cellStyle name="_240907_Margin Calc Check-cost updated-30-04-10 2" xfId="0"/>
    <cellStyle name="_240907_Margin Calc Check-cost updated-31-01-10" xfId="0"/>
    <cellStyle name="_240907_Margin Calc Check-cost updated-31-01-10 2" xfId="0"/>
    <cellStyle name="_240907_Margin Calc Check-cost updated-31-12-09" xfId="0"/>
    <cellStyle name="_240907_Margin Calc Check-cost updated-31-12-09 2" xfId="0"/>
    <cellStyle name="_26-Nov-2010" xfId="0"/>
    <cellStyle name="_26-Nov-2010 2" xfId="0"/>
    <cellStyle name="_3&amp;4.GSC Reclass" xfId="0"/>
    <cellStyle name="_3&amp;4.GSC Reclass 2" xfId="0"/>
    <cellStyle name="_31-Dec-2010" xfId="0"/>
    <cellStyle name="_31-Dec-2010 2" xfId="0"/>
    <cellStyle name="_4 rolling weeks revenue prt mix" xfId="0"/>
    <cellStyle name="_4 rolling weeks revenue prt mix 2" xfId="0"/>
    <cellStyle name="_5.CPC to Regions" xfId="0"/>
    <cellStyle name="_5.CPC to Regions 2" xfId="0"/>
    <cellStyle name="_5.CPC to Regions_CORP SG&amp;A" xfId="0"/>
    <cellStyle name="_6.VSA BU Corp Alloc" xfId="0"/>
    <cellStyle name="_6.VSA BU Corp Alloc 2" xfId="0"/>
    <cellStyle name="_7.VSE BU Corp Alloc" xfId="0"/>
    <cellStyle name="_7.VSE BU Corp Alloc 2" xfId="0"/>
    <cellStyle name="_8.VSI BU Corp Alloc" xfId="0"/>
    <cellStyle name="_8.VSI BU Corp Alloc 2" xfId="0"/>
    <cellStyle name="_9.VSCN BU Corp Alloc" xfId="0"/>
    <cellStyle name="_9.VSCN BU Corp Alloc 2" xfId="0"/>
    <cellStyle name="_Andrei" xfId="0"/>
    <cellStyle name="_Andrei 2" xfId="0"/>
    <cellStyle name="_AP Data" xfId="0"/>
    <cellStyle name="_AP Data 2" xfId="0"/>
    <cellStyle name="_AP Turnover" xfId="0"/>
    <cellStyle name="_AP Turnover 2" xfId="0"/>
    <cellStyle name="_AP Vendors" xfId="0"/>
    <cellStyle name="_AP Vendors 2" xfId="0"/>
    <cellStyle name="_AP Vendors_1" xfId="0"/>
    <cellStyle name="_AP Vendors_1 2" xfId="0"/>
    <cellStyle name="_AR Collections (2)" xfId="0"/>
    <cellStyle name="_AR Collections (2) 2" xfId="0"/>
    <cellStyle name="_AR Collections(2)" xfId="0"/>
    <cellStyle name="_AR Collections(2) 2" xfId="0"/>
    <cellStyle name="_Arclite" xfId="0"/>
    <cellStyle name="_Arclite 2" xfId="0"/>
    <cellStyle name="_ASP Balance Sheet Entry - Jul 08" xfId="0"/>
    <cellStyle name="_ASP Balance Sheet Entry - Jul 08 2" xfId="0"/>
    <cellStyle name="_ASP Monthly Stock Report_July_ 2009_AV 31-07-09" xfId="0"/>
    <cellStyle name="_ASP Monthly Stock Report_July_ 2009_AV 31-07-09 2" xfId="0"/>
    <cellStyle name="_ASP Report Processing Info File - NLewis - 14.11.2003" xfId="0"/>
    <cellStyle name="_ASP Report Processing Info File - NLewis - 14.11.2003 2" xfId="0"/>
    <cellStyle name="_ASP Stock" xfId="0"/>
    <cellStyle name="_ASP Stock 2" xfId="0"/>
    <cellStyle name="_ASP Stock_ASP Balance Sheet Entry - Jul 08" xfId="0"/>
    <cellStyle name="_ASP Stock_ASP Balance Sheet Entry - Jul 08 2" xfId="0"/>
    <cellStyle name="_ASP Stock_ASP Monthly Stock Report_July_ 2009_AV 31-07-09" xfId="0"/>
    <cellStyle name="_ASP Stock_ASP Monthly Stock Report_July_ 2009_AV 31-07-09 2" xfId="0"/>
    <cellStyle name="_Before Allocation" xfId="0"/>
    <cellStyle name="_BER BS" xfId="0"/>
    <cellStyle name="_BER BS 2" xfId="0"/>
    <cellStyle name="_Berd approved" xfId="0"/>
    <cellStyle name="_Berd approved 2" xfId="0"/>
    <cellStyle name="_Berd approved by Jessie" xfId="0"/>
    <cellStyle name="_Berd approved by Jessie 2" xfId="0"/>
    <cellStyle name="_Book1" xfId="0"/>
    <cellStyle name="_Book1 2" xfId="0"/>
    <cellStyle name="_Buy Plan" xfId="0"/>
    <cellStyle name="_Buy Plan &amp; AP turn days" xfId="0"/>
    <cellStyle name="_Buy Plan &amp; AP turn days 2" xfId="0"/>
    <cellStyle name="_Buy Plan 2" xfId="0"/>
    <cellStyle name="_Buy Plan 3" xfId="0"/>
    <cellStyle name="_Buy Plan 4" xfId="0"/>
    <cellStyle name="_Buy Plan adj" xfId="0"/>
    <cellStyle name="_Buy Plan adj 2" xfId="0"/>
    <cellStyle name="_Buy Plan raw " xfId="0"/>
    <cellStyle name="_Buy Plan raw  2" xfId="0"/>
    <cellStyle name="_Buy Plan_Buy Plan raw " xfId="0"/>
    <cellStyle name="_Buy Plan_Buy Plan raw  2" xfId="0"/>
    <cellStyle name="_Buy Plan_DSBvsWFP" xfId="0"/>
    <cellStyle name="_Buy Plan_DSBvsWFP 2" xfId="0"/>
    <cellStyle name="_cash balance" xfId="0"/>
    <cellStyle name="_cash balance 2" xfId="0"/>
    <cellStyle name="_cash book Oct-10" xfId="0"/>
    <cellStyle name="_cash book Oct-10 2" xfId="0"/>
    <cellStyle name="_cash book Sep-10" xfId="0"/>
    <cellStyle name="_cash book Sep-10 2" xfId="0"/>
    <cellStyle name="_Cash Flow Forecast as of 043007" xfId="0"/>
    <cellStyle name="_Cash Flow Forecast as of 043007 2" xfId="0"/>
    <cellStyle name="_Cash Flow Forecast as of 043007_VSA Cash Flow Model (6-4-07)" xfId="0"/>
    <cellStyle name="_Cash Flow Forecast as of 043007_VSA Cash Flow Model (6-4-07) 2" xfId="0"/>
    <cellStyle name="_CBB" xfId="0"/>
    <cellStyle name="_CBB 2" xfId="0"/>
    <cellStyle name="_Central &amp; Eastern Europe" xfId="0"/>
    <cellStyle name="_Central &amp; Eastern Europe 2" xfId="0"/>
    <cellStyle name="_Chi Mei Optoelectronics Corp" xfId="0"/>
    <cellStyle name="_Chi Mei Optoelectronics Corp 2" xfId="0"/>
    <cellStyle name="_Clean Data" xfId="0"/>
    <cellStyle name="_Clean Data 2" xfId="0"/>
    <cellStyle name="_Clean Data_1" xfId="0"/>
    <cellStyle name="_Clean Data_1 2" xfId="0"/>
    <cellStyle name="_Clean Data_1_Clean Data" xfId="0"/>
    <cellStyle name="_Clean Data_1_Clean Data 2" xfId="0"/>
    <cellStyle name="_CMO Warranty Reclaim Report May_Original  2008" xfId="0"/>
    <cellStyle name="_CMO Warranty Reclaim Report May_Original  2008 2" xfId="0"/>
    <cellStyle name="_CMO_Intercompany" xfId="0"/>
    <cellStyle name="_CMO_Intercompany 2" xfId="0"/>
    <cellStyle name="_Consolidated $" xfId="0"/>
    <cellStyle name="_Consolidated $ 2" xfId="0"/>
    <cellStyle name="_Copy of asp stock_October 2006_SY 24.10.06" xfId="0"/>
    <cellStyle name="_Copy of asp stock_October 2006_SY 24.10.06 2" xfId="0"/>
    <cellStyle name="_Copy of VSE Payment Status_10-Apr-08_JG" xfId="0"/>
    <cellStyle name="_Copy of VSE Payment Status_10-Apr-08_JG 2" xfId="0"/>
    <cellStyle name="_Coretronic" xfId="0"/>
    <cellStyle name="_Coretronic 2" xfId="0"/>
    <cellStyle name="_Corp Adj" xfId="0"/>
    <cellStyle name="_Corp Adj 2" xfId="0"/>
    <cellStyle name="_Corp allocation (Royalty)" xfId="0"/>
    <cellStyle name="_Corp allocation (Royalty) 2" xfId="0"/>
    <cellStyle name="_correct- 2008 May Retail Returns1" xfId="0"/>
    <cellStyle name="_correct- 2008 May Retail Returns1 2" xfId="0"/>
    <cellStyle name="_CPC Amount" xfId="0"/>
    <cellStyle name="_CPC Amount_2010 Existing SKU" xfId="0"/>
    <cellStyle name="_CRT" xfId="0"/>
    <cellStyle name="_CRT 2" xfId="0"/>
    <cellStyle name="_CRT 3" xfId="0"/>
    <cellStyle name="_CRT 4" xfId="0"/>
    <cellStyle name="_CRT 5" xfId="0"/>
    <cellStyle name="_CRT_By Region" xfId="0"/>
    <cellStyle name="_CRT_CIS" xfId="0"/>
    <cellStyle name="_CRT_CIS 2" xfId="0"/>
    <cellStyle name="_CRT_CIS 3" xfId="0"/>
    <cellStyle name="_CRT_CIS 4" xfId="0"/>
    <cellStyle name="_CRT_CIS_By Region" xfId="0"/>
    <cellStyle name="_CRT_CIS_CORP SG&amp;A" xfId="0"/>
    <cellStyle name="_CRT_CIS_Digitizer" xfId="0"/>
    <cellStyle name="_CRT_CIS_GPS OTHER" xfId="0"/>
    <cellStyle name="_CRT_CIS_GPS OTHER 2" xfId="0"/>
    <cellStyle name="_CRT_CIS_GPS OTHER 3" xfId="0"/>
    <cellStyle name="_CRT_CIS_GPS OTHER 4" xfId="0"/>
    <cellStyle name="_CRT_CIS_GPS OTHER 5" xfId="0"/>
    <cellStyle name="_CRT_CIS_GPS OTHER 6" xfId="0"/>
    <cellStyle name="_CRT_CIS_GPS OTHER_By Region" xfId="0"/>
    <cellStyle name="_CRT_CIS_GPS OTHER_CORP SG&amp;A" xfId="0"/>
    <cellStyle name="_CRT_CIS_GPS OTHER_LCD" xfId="0"/>
    <cellStyle name="_CRT_CIS_GPS OTHER_PJ" xfId="0"/>
    <cellStyle name="_CRT_CIS_LCD" xfId="0"/>
    <cellStyle name="_CRT_CIS_LCD 2" xfId="0"/>
    <cellStyle name="_CRT_CIS_LCD 3" xfId="0"/>
    <cellStyle name="_CRT_CIS_LCD 4" xfId="0"/>
    <cellStyle name="_CRT_CIS_LCD_By Region" xfId="0"/>
    <cellStyle name="_CRT_CIS_LCD_CORP SG&amp;A" xfId="0"/>
    <cellStyle name="_CRT_CIS_LCD_LCD" xfId="0"/>
    <cellStyle name="_CRT_CIS_LCD_PJ" xfId="0"/>
    <cellStyle name="_CRT_CIS_lightling" xfId="0"/>
    <cellStyle name="_CRT_CIS_lightling 2" xfId="0"/>
    <cellStyle name="_CRT_CIS_lightling_By Region" xfId="0"/>
    <cellStyle name="_CRT_CIS_lightling_CORP SG&amp;A" xfId="0"/>
    <cellStyle name="_CRT_CIS_PC Products" xfId="0"/>
    <cellStyle name="_CRT_CIS_PC Products 2" xfId="0"/>
    <cellStyle name="_CRT_CIS_PC Products 3" xfId="0"/>
    <cellStyle name="_CRT_CIS_PC Products 4" xfId="0"/>
    <cellStyle name="_CRT_CIS_PC Products 5" xfId="0"/>
    <cellStyle name="_CRT_CIS_PC Products 6" xfId="0"/>
    <cellStyle name="_CRT_CIS_PC Products_By Region" xfId="0"/>
    <cellStyle name="_CRT_CIS_PC Products_CORP SG&amp;A" xfId="0"/>
    <cellStyle name="_CRT_CIS_PC Products_LCD" xfId="0"/>
    <cellStyle name="_CRT_CIS_PC Products_PJ" xfId="0"/>
    <cellStyle name="_CRT_CIS_VSA 111014" xfId="0"/>
    <cellStyle name="_CRT_CIS_VSA 111014 2" xfId="0"/>
    <cellStyle name="_CRT_CIS_VSA 111014 3" xfId="0"/>
    <cellStyle name="_CRT_CIS_VSA 111014 4" xfId="0"/>
    <cellStyle name="_CRT_CIS_VSA 111014 5" xfId="0"/>
    <cellStyle name="_CRT_CIS_VSA 111014 6" xfId="0"/>
    <cellStyle name="_CRT_CIS_VSA 111014_By Region" xfId="0"/>
    <cellStyle name="_CRT_CIS_VSA 111014_CORP SG&amp;A" xfId="0"/>
    <cellStyle name="_CRT_CIS_VSA 111014_LCD" xfId="0"/>
    <cellStyle name="_CRT_CIS_VSA 111014_PJ" xfId="0"/>
    <cellStyle name="_CRT_CIS_VSA Roll-Up (LW)" xfId="0"/>
    <cellStyle name="_CRT_CIS_VSA Roll-Up (LW) 2" xfId="0"/>
    <cellStyle name="_CRT_CIS_VSA Roll-Up (LW) 3" xfId="0"/>
    <cellStyle name="_CRT_CIS_VSA Roll-Up (LW) 4" xfId="0"/>
    <cellStyle name="_CRT_CIS_VSA Roll-Up (LW) 5" xfId="0"/>
    <cellStyle name="_CRT_CIS_VSA Roll-Up (LW) 6" xfId="0"/>
    <cellStyle name="_CRT_CIS_VSA Roll-Up (LW)_By Region" xfId="0"/>
    <cellStyle name="_CRT_CIS_VSA Roll-Up (LW)_CORP SG&amp;A" xfId="0"/>
    <cellStyle name="_CRT_CIS_VSA Roll-Up (LW)_LCD" xfId="0"/>
    <cellStyle name="_CRT_CIS_VSA Roll-Up (LW)_PJ" xfId="0"/>
    <cellStyle name="_CRT_CORP SG&amp;A" xfId="0"/>
    <cellStyle name="_CRT_CRT" xfId="0"/>
    <cellStyle name="_CRT_CRT 2" xfId="0"/>
    <cellStyle name="_CRT_CRT 3" xfId="0"/>
    <cellStyle name="_CRT_CRT 4" xfId="0"/>
    <cellStyle name="_CRT_CRT_By Region" xfId="0"/>
    <cellStyle name="_CRT_CRT_CORP SG&amp;A" xfId="0"/>
    <cellStyle name="_CRT_CRT_Digitizer" xfId="0"/>
    <cellStyle name="_CRT_CRT_GPS OTHER" xfId="0"/>
    <cellStyle name="_CRT_CRT_GPS OTHER 2" xfId="0"/>
    <cellStyle name="_CRT_CRT_GPS OTHER 3" xfId="0"/>
    <cellStyle name="_CRT_CRT_GPS OTHER 4" xfId="0"/>
    <cellStyle name="_CRT_CRT_GPS OTHER 5" xfId="0"/>
    <cellStyle name="_CRT_CRT_GPS OTHER 6" xfId="0"/>
    <cellStyle name="_CRT_CRT_GPS OTHER_By Region" xfId="0"/>
    <cellStyle name="_CRT_CRT_GPS OTHER_CORP SG&amp;A" xfId="0"/>
    <cellStyle name="_CRT_CRT_GPS OTHER_LCD" xfId="0"/>
    <cellStyle name="_CRT_CRT_GPS OTHER_PJ" xfId="0"/>
    <cellStyle name="_CRT_CRT_LCD" xfId="0"/>
    <cellStyle name="_CRT_CRT_LCD 2" xfId="0"/>
    <cellStyle name="_CRT_CRT_LCD 3" xfId="0"/>
    <cellStyle name="_CRT_CRT_LCD 4" xfId="0"/>
    <cellStyle name="_CRT_CRT_LCD_By Region" xfId="0"/>
    <cellStyle name="_CRT_CRT_LCD_CORP SG&amp;A" xfId="0"/>
    <cellStyle name="_CRT_CRT_LCD_LCD" xfId="0"/>
    <cellStyle name="_CRT_CRT_LCD_PJ" xfId="0"/>
    <cellStyle name="_CRT_CRT_lightling" xfId="0"/>
    <cellStyle name="_CRT_CRT_lightling 2" xfId="0"/>
    <cellStyle name="_CRT_CRT_lightling_By Region" xfId="0"/>
    <cellStyle name="_CRT_CRT_lightling_CORP SG&amp;A" xfId="0"/>
    <cellStyle name="_CRT_CRT_PC Products" xfId="0"/>
    <cellStyle name="_CRT_CRT_PC Products 2" xfId="0"/>
    <cellStyle name="_CRT_CRT_PC Products 3" xfId="0"/>
    <cellStyle name="_CRT_CRT_PC Products 4" xfId="0"/>
    <cellStyle name="_CRT_CRT_PC Products 5" xfId="0"/>
    <cellStyle name="_CRT_CRT_PC Products 6" xfId="0"/>
    <cellStyle name="_CRT_CRT_PC Products_By Region" xfId="0"/>
    <cellStyle name="_CRT_CRT_PC Products_CORP SG&amp;A" xfId="0"/>
    <cellStyle name="_CRT_CRT_PC Products_LCD" xfId="0"/>
    <cellStyle name="_CRT_CRT_PC Products_PJ" xfId="0"/>
    <cellStyle name="_CRT_CRT_VSA 111014" xfId="0"/>
    <cellStyle name="_CRT_CRT_VSA 111014 2" xfId="0"/>
    <cellStyle name="_CRT_CRT_VSA 111014 3" xfId="0"/>
    <cellStyle name="_CRT_CRT_VSA 111014 4" xfId="0"/>
    <cellStyle name="_CRT_CRT_VSA 111014 5" xfId="0"/>
    <cellStyle name="_CRT_CRT_VSA 111014 6" xfId="0"/>
    <cellStyle name="_CRT_CRT_VSA 111014_By Region" xfId="0"/>
    <cellStyle name="_CRT_CRT_VSA 111014_CORP SG&amp;A" xfId="0"/>
    <cellStyle name="_CRT_CRT_VSA 111014_LCD" xfId="0"/>
    <cellStyle name="_CRT_CRT_VSA 111014_PJ" xfId="0"/>
    <cellStyle name="_CRT_CRT_VSA Roll-Up (LW)" xfId="0"/>
    <cellStyle name="_CRT_CRT_VSA Roll-Up (LW) 2" xfId="0"/>
    <cellStyle name="_CRT_CRT_VSA Roll-Up (LW) 3" xfId="0"/>
    <cellStyle name="_CRT_CRT_VSA Roll-Up (LW) 4" xfId="0"/>
    <cellStyle name="_CRT_CRT_VSA Roll-Up (LW) 5" xfId="0"/>
    <cellStyle name="_CRT_CRT_VSA Roll-Up (LW) 6" xfId="0"/>
    <cellStyle name="_CRT_CRT_VSA Roll-Up (LW)_By Region" xfId="0"/>
    <cellStyle name="_CRT_CRT_VSA Roll-Up (LW)_CORP SG&amp;A" xfId="0"/>
    <cellStyle name="_CRT_CRT_VSA Roll-Up (LW)_LCD" xfId="0"/>
    <cellStyle name="_CRT_CRT_VSA Roll-Up (LW)_PJ" xfId="0"/>
    <cellStyle name="_CRT_Diff" xfId="0"/>
    <cellStyle name="_CRT_Diff 2" xfId="0"/>
    <cellStyle name="_CRT_Diff 3" xfId="0"/>
    <cellStyle name="_CRT_Diff 4" xfId="0"/>
    <cellStyle name="_CRT_Diff_By Region" xfId="0"/>
    <cellStyle name="_CRT_Diff_CORP SG&amp;A" xfId="0"/>
    <cellStyle name="_CRT_Diff_Digitizer" xfId="0"/>
    <cellStyle name="_CRT_Diff_GPS OTHER" xfId="0"/>
    <cellStyle name="_CRT_Diff_GPS OTHER 2" xfId="0"/>
    <cellStyle name="_CRT_Diff_GPS OTHER 3" xfId="0"/>
    <cellStyle name="_CRT_Diff_GPS OTHER 4" xfId="0"/>
    <cellStyle name="_CRT_Diff_GPS OTHER 5" xfId="0"/>
    <cellStyle name="_CRT_Diff_GPS OTHER 6" xfId="0"/>
    <cellStyle name="_CRT_Diff_GPS OTHER_By Region" xfId="0"/>
    <cellStyle name="_CRT_Diff_GPS OTHER_CORP SG&amp;A" xfId="0"/>
    <cellStyle name="_CRT_Diff_GPS OTHER_LCD" xfId="0"/>
    <cellStyle name="_CRT_Diff_GPS OTHER_PJ" xfId="0"/>
    <cellStyle name="_CRT_Diff_LCD" xfId="0"/>
    <cellStyle name="_CRT_Diff_LCD 2" xfId="0"/>
    <cellStyle name="_CRT_Diff_LCD 3" xfId="0"/>
    <cellStyle name="_CRT_Diff_LCD 4" xfId="0"/>
    <cellStyle name="_CRT_Diff_LCD_By Region" xfId="0"/>
    <cellStyle name="_CRT_Diff_LCD_CORP SG&amp;A" xfId="0"/>
    <cellStyle name="_CRT_Diff_LCD_LCD" xfId="0"/>
    <cellStyle name="_CRT_Diff_LCD_PJ" xfId="0"/>
    <cellStyle name="_CRT_Diff_lightling" xfId="0"/>
    <cellStyle name="_CRT_Diff_lightling 2" xfId="0"/>
    <cellStyle name="_CRT_Diff_lightling_By Region" xfId="0"/>
    <cellStyle name="_CRT_Diff_lightling_CORP SG&amp;A" xfId="0"/>
    <cellStyle name="_CRT_Diff_PC Products" xfId="0"/>
    <cellStyle name="_CRT_Diff_PC Products 2" xfId="0"/>
    <cellStyle name="_CRT_Diff_PC Products 3" xfId="0"/>
    <cellStyle name="_CRT_Diff_PC Products 4" xfId="0"/>
    <cellStyle name="_CRT_Diff_PC Products 5" xfId="0"/>
    <cellStyle name="_CRT_Diff_PC Products 6" xfId="0"/>
    <cellStyle name="_CRT_Diff_PC Products_By Region" xfId="0"/>
    <cellStyle name="_CRT_Diff_PC Products_CORP SG&amp;A" xfId="0"/>
    <cellStyle name="_CRT_Diff_PC Products_LCD" xfId="0"/>
    <cellStyle name="_CRT_Diff_PC Products_PJ" xfId="0"/>
    <cellStyle name="_CRT_Diff_VSA 111014" xfId="0"/>
    <cellStyle name="_CRT_Diff_VSA 111014 2" xfId="0"/>
    <cellStyle name="_CRT_Diff_VSA 111014 3" xfId="0"/>
    <cellStyle name="_CRT_Diff_VSA 111014 4" xfId="0"/>
    <cellStyle name="_CRT_Diff_VSA 111014 5" xfId="0"/>
    <cellStyle name="_CRT_Diff_VSA 111014 6" xfId="0"/>
    <cellStyle name="_CRT_Diff_VSA 111014_By Region" xfId="0"/>
    <cellStyle name="_CRT_Diff_VSA 111014_CORP SG&amp;A" xfId="0"/>
    <cellStyle name="_CRT_Diff_VSA 111014_LCD" xfId="0"/>
    <cellStyle name="_CRT_Diff_VSA 111014_PJ" xfId="0"/>
    <cellStyle name="_CRT_Diff_VSA Roll-Up (LW)" xfId="0"/>
    <cellStyle name="_CRT_Diff_VSA Roll-Up (LW) 2" xfId="0"/>
    <cellStyle name="_CRT_Diff_VSA Roll-Up (LW) 3" xfId="0"/>
    <cellStyle name="_CRT_Diff_VSA Roll-Up (LW) 4" xfId="0"/>
    <cellStyle name="_CRT_Diff_VSA Roll-Up (LW) 5" xfId="0"/>
    <cellStyle name="_CRT_Diff_VSA Roll-Up (LW) 6" xfId="0"/>
    <cellStyle name="_CRT_Diff_VSA Roll-Up (LW)_By Region" xfId="0"/>
    <cellStyle name="_CRT_Diff_VSA Roll-Up (LW)_CORP SG&amp;A" xfId="0"/>
    <cellStyle name="_CRT_Diff_VSA Roll-Up (LW)_LCD" xfId="0"/>
    <cellStyle name="_CRT_Diff_VSA Roll-Up (LW)_PJ" xfId="0"/>
    <cellStyle name="_CRT_Digital Product" xfId="0"/>
    <cellStyle name="_CRT_Digital Product 2" xfId="0"/>
    <cellStyle name="_CRT_Digital Product 3" xfId="0"/>
    <cellStyle name="_CRT_Digital Product 4" xfId="0"/>
    <cellStyle name="_CRT_Digital Product_By Region" xfId="0"/>
    <cellStyle name="_CRT_Digital Product_CORP SG&amp;A" xfId="0"/>
    <cellStyle name="_CRT_Digital Product_Digitizer" xfId="0"/>
    <cellStyle name="_CRT_Digital Product_GPS OTHER" xfId="0"/>
    <cellStyle name="_CRT_Digital Product_GPS OTHER 2" xfId="0"/>
    <cellStyle name="_CRT_Digital Product_GPS OTHER 3" xfId="0"/>
    <cellStyle name="_CRT_Digital Product_GPS OTHER 4" xfId="0"/>
    <cellStyle name="_CRT_Digital Product_GPS OTHER 5" xfId="0"/>
    <cellStyle name="_CRT_Digital Product_GPS OTHER 6" xfId="0"/>
    <cellStyle name="_CRT_Digital Product_GPS OTHER_By Region" xfId="0"/>
    <cellStyle name="_CRT_Digital Product_GPS OTHER_CORP SG&amp;A" xfId="0"/>
    <cellStyle name="_CRT_Digital Product_GPS OTHER_LCD" xfId="0"/>
    <cellStyle name="_CRT_Digital Product_GPS OTHER_PJ" xfId="0"/>
    <cellStyle name="_CRT_Digital Product_LCD" xfId="0"/>
    <cellStyle name="_CRT_Digital Product_LCD 2" xfId="0"/>
    <cellStyle name="_CRT_Digital Product_LCD 3" xfId="0"/>
    <cellStyle name="_CRT_Digital Product_LCD 4" xfId="0"/>
    <cellStyle name="_CRT_Digital Product_LCD_By Region" xfId="0"/>
    <cellStyle name="_CRT_Digital Product_LCD_CORP SG&amp;A" xfId="0"/>
    <cellStyle name="_CRT_Digital Product_LCD_LCD" xfId="0"/>
    <cellStyle name="_CRT_Digital Product_LCD_PJ" xfId="0"/>
    <cellStyle name="_CRT_Digital Product_lightling" xfId="0"/>
    <cellStyle name="_CRT_Digital Product_lightling 2" xfId="0"/>
    <cellStyle name="_CRT_Digital Product_lightling_By Region" xfId="0"/>
    <cellStyle name="_CRT_Digital Product_lightling_CORP SG&amp;A" xfId="0"/>
    <cellStyle name="_CRT_Digital Product_PC Products" xfId="0"/>
    <cellStyle name="_CRT_Digital Product_PC Products 2" xfId="0"/>
    <cellStyle name="_CRT_Digital Product_PC Products 3" xfId="0"/>
    <cellStyle name="_CRT_Digital Product_PC Products 4" xfId="0"/>
    <cellStyle name="_CRT_Digital Product_PC Products 5" xfId="0"/>
    <cellStyle name="_CRT_Digital Product_PC Products 6" xfId="0"/>
    <cellStyle name="_CRT_Digital Product_PC Products_By Region" xfId="0"/>
    <cellStyle name="_CRT_Digital Product_PC Products_CORP SG&amp;A" xfId="0"/>
    <cellStyle name="_CRT_Digital Product_PC Products_LCD" xfId="0"/>
    <cellStyle name="_CRT_Digital Product_PC Products_PJ" xfId="0"/>
    <cellStyle name="_CRT_Digital Product_VSA 111014" xfId="0"/>
    <cellStyle name="_CRT_Digital Product_VSA 111014 2" xfId="0"/>
    <cellStyle name="_CRT_Digital Product_VSA 111014 3" xfId="0"/>
    <cellStyle name="_CRT_Digital Product_VSA 111014 4" xfId="0"/>
    <cellStyle name="_CRT_Digital Product_VSA 111014 5" xfId="0"/>
    <cellStyle name="_CRT_Digital Product_VSA 111014 6" xfId="0"/>
    <cellStyle name="_CRT_Digital Product_VSA 111014_By Region" xfId="0"/>
    <cellStyle name="_CRT_Digital Product_VSA 111014_CORP SG&amp;A" xfId="0"/>
    <cellStyle name="_CRT_Digital Product_VSA 111014_LCD" xfId="0"/>
    <cellStyle name="_CRT_Digital Product_VSA 111014_PJ" xfId="0"/>
    <cellStyle name="_CRT_Digital Product_VSA Roll-Up (LW)" xfId="0"/>
    <cellStyle name="_CRT_Digital Product_VSA Roll-Up (LW) 2" xfId="0"/>
    <cellStyle name="_CRT_Digital Product_VSA Roll-Up (LW) 3" xfId="0"/>
    <cellStyle name="_CRT_Digital Product_VSA Roll-Up (LW) 4" xfId="0"/>
    <cellStyle name="_CRT_Digital Product_VSA Roll-Up (LW) 5" xfId="0"/>
    <cellStyle name="_CRT_Digital Product_VSA Roll-Up (LW) 6" xfId="0"/>
    <cellStyle name="_CRT_Digital Product_VSA Roll-Up (LW)_By Region" xfId="0"/>
    <cellStyle name="_CRT_Digital Product_VSA Roll-Up (LW)_CORP SG&amp;A" xfId="0"/>
    <cellStyle name="_CRT_Digital Product_VSA Roll-Up (LW)_LCD" xfId="0"/>
    <cellStyle name="_CRT_Digital Product_VSA Roll-Up (LW)_PJ" xfId="0"/>
    <cellStyle name="_CRT_Digital Signage" xfId="0"/>
    <cellStyle name="_CRT_Digital Signage 2" xfId="0"/>
    <cellStyle name="_CRT_Digital Signage 3" xfId="0"/>
    <cellStyle name="_CRT_Digital Signage 4" xfId="0"/>
    <cellStyle name="_CRT_Digital Signage_By Region" xfId="0"/>
    <cellStyle name="_CRT_Digital Signage_CORP SG&amp;A" xfId="0"/>
    <cellStyle name="_CRT_Digital Signage_Digitizer" xfId="0"/>
    <cellStyle name="_CRT_Digital Signage_GPS OTHER" xfId="0"/>
    <cellStyle name="_CRT_Digital Signage_GPS OTHER 2" xfId="0"/>
    <cellStyle name="_CRT_Digital Signage_GPS OTHER 3" xfId="0"/>
    <cellStyle name="_CRT_Digital Signage_GPS OTHER 4" xfId="0"/>
    <cellStyle name="_CRT_Digital Signage_GPS OTHER 5" xfId="0"/>
    <cellStyle name="_CRT_Digital Signage_GPS OTHER 6" xfId="0"/>
    <cellStyle name="_CRT_Digital Signage_GPS OTHER_By Region" xfId="0"/>
    <cellStyle name="_CRT_Digital Signage_GPS OTHER_CORP SG&amp;A" xfId="0"/>
    <cellStyle name="_CRT_Digital Signage_GPS OTHER_LCD" xfId="0"/>
    <cellStyle name="_CRT_Digital Signage_GPS OTHER_PJ" xfId="0"/>
    <cellStyle name="_CRT_Digital Signage_LCD" xfId="0"/>
    <cellStyle name="_CRT_Digital Signage_LCD 2" xfId="0"/>
    <cellStyle name="_CRT_Digital Signage_LCD 3" xfId="0"/>
    <cellStyle name="_CRT_Digital Signage_LCD 4" xfId="0"/>
    <cellStyle name="_CRT_Digital Signage_LCD_By Region" xfId="0"/>
    <cellStyle name="_CRT_Digital Signage_LCD_CORP SG&amp;A" xfId="0"/>
    <cellStyle name="_CRT_Digital Signage_LCD_LCD" xfId="0"/>
    <cellStyle name="_CRT_Digital Signage_LCD_PJ" xfId="0"/>
    <cellStyle name="_CRT_Digital Signage_lightling" xfId="0"/>
    <cellStyle name="_CRT_Digital Signage_lightling 2" xfId="0"/>
    <cellStyle name="_CRT_Digital Signage_lightling_By Region" xfId="0"/>
    <cellStyle name="_CRT_Digital Signage_lightling_CORP SG&amp;A" xfId="0"/>
    <cellStyle name="_CRT_Digital Signage_PC Products" xfId="0"/>
    <cellStyle name="_CRT_Digital Signage_PC Products 2" xfId="0"/>
    <cellStyle name="_CRT_Digital Signage_PC Products 3" xfId="0"/>
    <cellStyle name="_CRT_Digital Signage_PC Products 4" xfId="0"/>
    <cellStyle name="_CRT_Digital Signage_PC Products 5" xfId="0"/>
    <cellStyle name="_CRT_Digital Signage_PC Products 6" xfId="0"/>
    <cellStyle name="_CRT_Digital Signage_PC Products_By Region" xfId="0"/>
    <cellStyle name="_CRT_Digital Signage_PC Products_CORP SG&amp;A" xfId="0"/>
    <cellStyle name="_CRT_Digital Signage_PC Products_LCD" xfId="0"/>
    <cellStyle name="_CRT_Digital Signage_PC Products_PJ" xfId="0"/>
    <cellStyle name="_CRT_Digital Signage_VSA 111014" xfId="0"/>
    <cellStyle name="_CRT_Digital Signage_VSA 111014 2" xfId="0"/>
    <cellStyle name="_CRT_Digital Signage_VSA 111014 3" xfId="0"/>
    <cellStyle name="_CRT_Digital Signage_VSA 111014 4" xfId="0"/>
    <cellStyle name="_CRT_Digital Signage_VSA 111014 5" xfId="0"/>
    <cellStyle name="_CRT_Digital Signage_VSA 111014 6" xfId="0"/>
    <cellStyle name="_CRT_Digital Signage_VSA 111014_By Region" xfId="0"/>
    <cellStyle name="_CRT_Digital Signage_VSA 111014_CORP SG&amp;A" xfId="0"/>
    <cellStyle name="_CRT_Digital Signage_VSA 111014_LCD" xfId="0"/>
    <cellStyle name="_CRT_Digital Signage_VSA 111014_PJ" xfId="0"/>
    <cellStyle name="_CRT_Digital Signage_VSA Roll-Up (LW)" xfId="0"/>
    <cellStyle name="_CRT_Digital Signage_VSA Roll-Up (LW) 2" xfId="0"/>
    <cellStyle name="_CRT_Digital Signage_VSA Roll-Up (LW) 3" xfId="0"/>
    <cellStyle name="_CRT_Digital Signage_VSA Roll-Up (LW) 4" xfId="0"/>
    <cellStyle name="_CRT_Digital Signage_VSA Roll-Up (LW) 5" xfId="0"/>
    <cellStyle name="_CRT_Digital Signage_VSA Roll-Up (LW) 6" xfId="0"/>
    <cellStyle name="_CRT_Digital Signage_VSA Roll-Up (LW)_By Region" xfId="0"/>
    <cellStyle name="_CRT_Digital Signage_VSA Roll-Up (LW)_CORP SG&amp;A" xfId="0"/>
    <cellStyle name="_CRT_Digital Signage_VSA Roll-Up (LW)_LCD" xfId="0"/>
    <cellStyle name="_CRT_Digital Signage_VSA Roll-Up (LW)_PJ" xfId="0"/>
    <cellStyle name="_CRT_Digitizer" xfId="0"/>
    <cellStyle name="_CRT_DMA(VMP)" xfId="0"/>
    <cellStyle name="_CRT_DMA(VMP) 2" xfId="0"/>
    <cellStyle name="_CRT_DMA(VMP) 3" xfId="0"/>
    <cellStyle name="_CRT_DMA(VMP) 4" xfId="0"/>
    <cellStyle name="_CRT_DMA(VMP)_By Region" xfId="0"/>
    <cellStyle name="_CRT_DMA(VMP)_CORP SG&amp;A" xfId="0"/>
    <cellStyle name="_CRT_DMA(VMP)_Digitizer" xfId="0"/>
    <cellStyle name="_CRT_DMA(VMP)_GPS OTHER" xfId="0"/>
    <cellStyle name="_CRT_DMA(VMP)_GPS OTHER 2" xfId="0"/>
    <cellStyle name="_CRT_DMA(VMP)_GPS OTHER 3" xfId="0"/>
    <cellStyle name="_CRT_DMA(VMP)_GPS OTHER 4" xfId="0"/>
    <cellStyle name="_CRT_DMA(VMP)_GPS OTHER 5" xfId="0"/>
    <cellStyle name="_CRT_DMA(VMP)_GPS OTHER 6" xfId="0"/>
    <cellStyle name="_CRT_DMA(VMP)_GPS OTHER_By Region" xfId="0"/>
    <cellStyle name="_CRT_DMA(VMP)_GPS OTHER_CORP SG&amp;A" xfId="0"/>
    <cellStyle name="_CRT_DMA(VMP)_GPS OTHER_LCD" xfId="0"/>
    <cellStyle name="_CRT_DMA(VMP)_GPS OTHER_PJ" xfId="0"/>
    <cellStyle name="_CRT_DMA(VMP)_LCD" xfId="0"/>
    <cellStyle name="_CRT_DMA(VMP)_LCD 2" xfId="0"/>
    <cellStyle name="_CRT_DMA(VMP)_LCD 3" xfId="0"/>
    <cellStyle name="_CRT_DMA(VMP)_LCD 4" xfId="0"/>
    <cellStyle name="_CRT_DMA(VMP)_LCD_By Region" xfId="0"/>
    <cellStyle name="_CRT_DMA(VMP)_LCD_CORP SG&amp;A" xfId="0"/>
    <cellStyle name="_CRT_DMA(VMP)_LCD_LCD" xfId="0"/>
    <cellStyle name="_CRT_DMA(VMP)_LCD_PJ" xfId="0"/>
    <cellStyle name="_CRT_DMA(VMP)_lightling" xfId="0"/>
    <cellStyle name="_CRT_DMA(VMP)_lightling 2" xfId="0"/>
    <cellStyle name="_CRT_DMA(VMP)_lightling_By Region" xfId="0"/>
    <cellStyle name="_CRT_DMA(VMP)_lightling_CORP SG&amp;A" xfId="0"/>
    <cellStyle name="_CRT_DMA(VMP)_PC Products" xfId="0"/>
    <cellStyle name="_CRT_DMA(VMP)_PC Products 2" xfId="0"/>
    <cellStyle name="_CRT_DMA(VMP)_PC Products 3" xfId="0"/>
    <cellStyle name="_CRT_DMA(VMP)_PC Products 4" xfId="0"/>
    <cellStyle name="_CRT_DMA(VMP)_PC Products 5" xfId="0"/>
    <cellStyle name="_CRT_DMA(VMP)_PC Products 6" xfId="0"/>
    <cellStyle name="_CRT_DMA(VMP)_PC Products_By Region" xfId="0"/>
    <cellStyle name="_CRT_DMA(VMP)_PC Products_CORP SG&amp;A" xfId="0"/>
    <cellStyle name="_CRT_DMA(VMP)_PC Products_LCD" xfId="0"/>
    <cellStyle name="_CRT_DMA(VMP)_PC Products_PJ" xfId="0"/>
    <cellStyle name="_CRT_DMA(VMP)_VSA 111014" xfId="0"/>
    <cellStyle name="_CRT_DMA(VMP)_VSA 111014 2" xfId="0"/>
    <cellStyle name="_CRT_DMA(VMP)_VSA 111014 3" xfId="0"/>
    <cellStyle name="_CRT_DMA(VMP)_VSA 111014 4" xfId="0"/>
    <cellStyle name="_CRT_DMA(VMP)_VSA 111014 5" xfId="0"/>
    <cellStyle name="_CRT_DMA(VMP)_VSA 111014 6" xfId="0"/>
    <cellStyle name="_CRT_DMA(VMP)_VSA 111014_By Region" xfId="0"/>
    <cellStyle name="_CRT_DMA(VMP)_VSA 111014_CORP SG&amp;A" xfId="0"/>
    <cellStyle name="_CRT_DMA(VMP)_VSA 111014_LCD" xfId="0"/>
    <cellStyle name="_CRT_DMA(VMP)_VSA 111014_PJ" xfId="0"/>
    <cellStyle name="_CRT_DMA(VMP)_VSA Roll-Up (LW)" xfId="0"/>
    <cellStyle name="_CRT_DMA(VMP)_VSA Roll-Up (LW) 2" xfId="0"/>
    <cellStyle name="_CRT_DMA(VMP)_VSA Roll-Up (LW) 3" xfId="0"/>
    <cellStyle name="_CRT_DMA(VMP)_VSA Roll-Up (LW) 4" xfId="0"/>
    <cellStyle name="_CRT_DMA(VMP)_VSA Roll-Up (LW) 5" xfId="0"/>
    <cellStyle name="_CRT_DMA(VMP)_VSA Roll-Up (LW) 6" xfId="0"/>
    <cellStyle name="_CRT_DMA(VMP)_VSA Roll-Up (LW)_By Region" xfId="0"/>
    <cellStyle name="_CRT_DMA(VMP)_VSA Roll-Up (LW)_CORP SG&amp;A" xfId="0"/>
    <cellStyle name="_CRT_DMA(VMP)_VSA Roll-Up (LW)_LCD" xfId="0"/>
    <cellStyle name="_CRT_DMA(VMP)_VSA Roll-Up (LW)_PJ" xfId="0"/>
    <cellStyle name="_CRT_DPF" xfId="0"/>
    <cellStyle name="_CRT_DPF 2" xfId="0"/>
    <cellStyle name="_CRT_DPF 3" xfId="0"/>
    <cellStyle name="_CRT_DPF 4" xfId="0"/>
    <cellStyle name="_CRT_DPF_By Region" xfId="0"/>
    <cellStyle name="_CRT_DPF_CORP SG&amp;A" xfId="0"/>
    <cellStyle name="_CRT_DPF_Digitizer" xfId="0"/>
    <cellStyle name="_CRT_DPF_GPS OTHER" xfId="0"/>
    <cellStyle name="_CRT_DPF_GPS OTHER 2" xfId="0"/>
    <cellStyle name="_CRT_DPF_GPS OTHER 3" xfId="0"/>
    <cellStyle name="_CRT_DPF_GPS OTHER 4" xfId="0"/>
    <cellStyle name="_CRT_DPF_GPS OTHER 5" xfId="0"/>
    <cellStyle name="_CRT_DPF_GPS OTHER 6" xfId="0"/>
    <cellStyle name="_CRT_DPF_GPS OTHER_By Region" xfId="0"/>
    <cellStyle name="_CRT_DPF_GPS OTHER_CORP SG&amp;A" xfId="0"/>
    <cellStyle name="_CRT_DPF_GPS OTHER_LCD" xfId="0"/>
    <cellStyle name="_CRT_DPF_GPS OTHER_PJ" xfId="0"/>
    <cellStyle name="_CRT_DPF_LCD" xfId="0"/>
    <cellStyle name="_CRT_DPF_LCD 2" xfId="0"/>
    <cellStyle name="_CRT_DPF_LCD 3" xfId="0"/>
    <cellStyle name="_CRT_DPF_LCD 4" xfId="0"/>
    <cellStyle name="_CRT_DPF_LCD_By Region" xfId="0"/>
    <cellStyle name="_CRT_DPF_LCD_CORP SG&amp;A" xfId="0"/>
    <cellStyle name="_CRT_DPF_LCD_LCD" xfId="0"/>
    <cellStyle name="_CRT_DPF_LCD_PJ" xfId="0"/>
    <cellStyle name="_CRT_DPF_lightling" xfId="0"/>
    <cellStyle name="_CRT_DPF_lightling 2" xfId="0"/>
    <cellStyle name="_CRT_DPF_lightling_By Region" xfId="0"/>
    <cellStyle name="_CRT_DPF_lightling_CORP SG&amp;A" xfId="0"/>
    <cellStyle name="_CRT_DPF_PC Products" xfId="0"/>
    <cellStyle name="_CRT_DPF_PC Products 2" xfId="0"/>
    <cellStyle name="_CRT_DPF_PC Products 3" xfId="0"/>
    <cellStyle name="_CRT_DPF_PC Products 4" xfId="0"/>
    <cellStyle name="_CRT_DPF_PC Products 5" xfId="0"/>
    <cellStyle name="_CRT_DPF_PC Products 6" xfId="0"/>
    <cellStyle name="_CRT_DPF_PC Products_By Region" xfId="0"/>
    <cellStyle name="_CRT_DPF_PC Products_CORP SG&amp;A" xfId="0"/>
    <cellStyle name="_CRT_DPF_PC Products_LCD" xfId="0"/>
    <cellStyle name="_CRT_DPF_PC Products_PJ" xfId="0"/>
    <cellStyle name="_CRT_DPF_VSA 111014" xfId="0"/>
    <cellStyle name="_CRT_DPF_VSA 111014 2" xfId="0"/>
    <cellStyle name="_CRT_DPF_VSA 111014 3" xfId="0"/>
    <cellStyle name="_CRT_DPF_VSA 111014 4" xfId="0"/>
    <cellStyle name="_CRT_DPF_VSA 111014 5" xfId="0"/>
    <cellStyle name="_CRT_DPF_VSA 111014 6" xfId="0"/>
    <cellStyle name="_CRT_DPF_VSA 111014_By Region" xfId="0"/>
    <cellStyle name="_CRT_DPF_VSA 111014_CORP SG&amp;A" xfId="0"/>
    <cellStyle name="_CRT_DPF_VSA 111014_LCD" xfId="0"/>
    <cellStyle name="_CRT_DPF_VSA 111014_PJ" xfId="0"/>
    <cellStyle name="_CRT_DPF_VSA Roll-Up (LW)" xfId="0"/>
    <cellStyle name="_CRT_DPF_VSA Roll-Up (LW) 2" xfId="0"/>
    <cellStyle name="_CRT_DPF_VSA Roll-Up (LW) 3" xfId="0"/>
    <cellStyle name="_CRT_DPF_VSA Roll-Up (LW) 4" xfId="0"/>
    <cellStyle name="_CRT_DPF_VSA Roll-Up (LW) 5" xfId="0"/>
    <cellStyle name="_CRT_DPF_VSA Roll-Up (LW) 6" xfId="0"/>
    <cellStyle name="_CRT_DPF_VSA Roll-Up (LW)_By Region" xfId="0"/>
    <cellStyle name="_CRT_DPF_VSA Roll-Up (LW)_CORP SG&amp;A" xfId="0"/>
    <cellStyle name="_CRT_DPF_VSA Roll-Up (LW)_LCD" xfId="0"/>
    <cellStyle name="_CRT_DPF_VSA Roll-Up (LW)_PJ" xfId="0"/>
    <cellStyle name="_CRT_DS" xfId="0"/>
    <cellStyle name="_CRT_DS 2" xfId="0"/>
    <cellStyle name="_CRT_DS 3" xfId="0"/>
    <cellStyle name="_CRT_DS 4" xfId="0"/>
    <cellStyle name="_CRT_DS_By Region" xfId="0"/>
    <cellStyle name="_CRT_DS_CORP SG&amp;A" xfId="0"/>
    <cellStyle name="_CRT_DS_Digitizer" xfId="0"/>
    <cellStyle name="_CRT_DS_GPS OTHER" xfId="0"/>
    <cellStyle name="_CRT_DS_GPS OTHER 2" xfId="0"/>
    <cellStyle name="_CRT_DS_GPS OTHER 3" xfId="0"/>
    <cellStyle name="_CRT_DS_GPS OTHER 4" xfId="0"/>
    <cellStyle name="_CRT_DS_GPS OTHER 5" xfId="0"/>
    <cellStyle name="_CRT_DS_GPS OTHER 6" xfId="0"/>
    <cellStyle name="_CRT_DS_GPS OTHER_By Region" xfId="0"/>
    <cellStyle name="_CRT_DS_GPS OTHER_CORP SG&amp;A" xfId="0"/>
    <cellStyle name="_CRT_DS_GPS OTHER_LCD" xfId="0"/>
    <cellStyle name="_CRT_DS_GPS OTHER_PJ" xfId="0"/>
    <cellStyle name="_CRT_DS_LCD" xfId="0"/>
    <cellStyle name="_CRT_DS_LCD 2" xfId="0"/>
    <cellStyle name="_CRT_DS_LCD 3" xfId="0"/>
    <cellStyle name="_CRT_DS_LCD 4" xfId="0"/>
    <cellStyle name="_CRT_DS_LCD_By Region" xfId="0"/>
    <cellStyle name="_CRT_DS_LCD_CORP SG&amp;A" xfId="0"/>
    <cellStyle name="_CRT_DS_LCD_LCD" xfId="0"/>
    <cellStyle name="_CRT_DS_LCD_PJ" xfId="0"/>
    <cellStyle name="_CRT_DS_lightling" xfId="0"/>
    <cellStyle name="_CRT_DS_lightling 2" xfId="0"/>
    <cellStyle name="_CRT_DS_lightling_By Region" xfId="0"/>
    <cellStyle name="_CRT_DS_lightling_CORP SG&amp;A" xfId="0"/>
    <cellStyle name="_CRT_DS_PC Products" xfId="0"/>
    <cellStyle name="_CRT_DS_PC Products 2" xfId="0"/>
    <cellStyle name="_CRT_DS_PC Products 3" xfId="0"/>
    <cellStyle name="_CRT_DS_PC Products 4" xfId="0"/>
    <cellStyle name="_CRT_DS_PC Products 5" xfId="0"/>
    <cellStyle name="_CRT_DS_PC Products 6" xfId="0"/>
    <cellStyle name="_CRT_DS_PC Products_By Region" xfId="0"/>
    <cellStyle name="_CRT_DS_PC Products_CORP SG&amp;A" xfId="0"/>
    <cellStyle name="_CRT_DS_PC Products_LCD" xfId="0"/>
    <cellStyle name="_CRT_DS_PC Products_PJ" xfId="0"/>
    <cellStyle name="_CRT_DS_VSA 111014" xfId="0"/>
    <cellStyle name="_CRT_DS_VSA 111014 2" xfId="0"/>
    <cellStyle name="_CRT_DS_VSA 111014 3" xfId="0"/>
    <cellStyle name="_CRT_DS_VSA 111014 4" xfId="0"/>
    <cellStyle name="_CRT_DS_VSA 111014 5" xfId="0"/>
    <cellStyle name="_CRT_DS_VSA 111014 6" xfId="0"/>
    <cellStyle name="_CRT_DS_VSA 111014_By Region" xfId="0"/>
    <cellStyle name="_CRT_DS_VSA 111014_CORP SG&amp;A" xfId="0"/>
    <cellStyle name="_CRT_DS_VSA 111014_LCD" xfId="0"/>
    <cellStyle name="_CRT_DS_VSA 111014_PJ" xfId="0"/>
    <cellStyle name="_CRT_DS_VSA Roll-Up (LW)" xfId="0"/>
    <cellStyle name="_CRT_DS_VSA Roll-Up (LW) 2" xfId="0"/>
    <cellStyle name="_CRT_DS_VSA Roll-Up (LW) 3" xfId="0"/>
    <cellStyle name="_CRT_DS_VSA Roll-Up (LW) 4" xfId="0"/>
    <cellStyle name="_CRT_DS_VSA Roll-Up (LW) 5" xfId="0"/>
    <cellStyle name="_CRT_DS_VSA Roll-Up (LW) 6" xfId="0"/>
    <cellStyle name="_CRT_DS_VSA Roll-Up (LW)_By Region" xfId="0"/>
    <cellStyle name="_CRT_DS_VSA Roll-Up (LW)_CORP SG&amp;A" xfId="0"/>
    <cellStyle name="_CRT_DS_VSA Roll-Up (LW)_LCD" xfId="0"/>
    <cellStyle name="_CRT_DS_VSA Roll-Up (LW)_PJ" xfId="0"/>
    <cellStyle name="_CRT_DVD_TV" xfId="0"/>
    <cellStyle name="_CRT_DVD_TV 2" xfId="0"/>
    <cellStyle name="_CRT_DVD_TV 3" xfId="0"/>
    <cellStyle name="_CRT_DVD_TV 4" xfId="0"/>
    <cellStyle name="_CRT_DVD_TV_By Region" xfId="0"/>
    <cellStyle name="_CRT_DVD_TV_CORP SG&amp;A" xfId="0"/>
    <cellStyle name="_CRT_DVD_TV_Digitizer" xfId="0"/>
    <cellStyle name="_CRT_DVD_TV_GPS OTHER" xfId="0"/>
    <cellStyle name="_CRT_DVD_TV_GPS OTHER 2" xfId="0"/>
    <cellStyle name="_CRT_DVD_TV_GPS OTHER 3" xfId="0"/>
    <cellStyle name="_CRT_DVD_TV_GPS OTHER 4" xfId="0"/>
    <cellStyle name="_CRT_DVD_TV_GPS OTHER 5" xfId="0"/>
    <cellStyle name="_CRT_DVD_TV_GPS OTHER 6" xfId="0"/>
    <cellStyle name="_CRT_DVD_TV_GPS OTHER_By Region" xfId="0"/>
    <cellStyle name="_CRT_DVD_TV_GPS OTHER_CORP SG&amp;A" xfId="0"/>
    <cellStyle name="_CRT_DVD_TV_GPS OTHER_LCD" xfId="0"/>
    <cellStyle name="_CRT_DVD_TV_GPS OTHER_PJ" xfId="0"/>
    <cellStyle name="_CRT_DVD_TV_LCD" xfId="0"/>
    <cellStyle name="_CRT_DVD_TV_LCD 2" xfId="0"/>
    <cellStyle name="_CRT_DVD_TV_LCD 3" xfId="0"/>
    <cellStyle name="_CRT_DVD_TV_LCD 4" xfId="0"/>
    <cellStyle name="_CRT_DVD_TV_LCD_By Region" xfId="0"/>
    <cellStyle name="_CRT_DVD_TV_LCD_CORP SG&amp;A" xfId="0"/>
    <cellStyle name="_CRT_DVD_TV_LCD_LCD" xfId="0"/>
    <cellStyle name="_CRT_DVD_TV_LCD_PJ" xfId="0"/>
    <cellStyle name="_CRT_DVD_TV_lightling" xfId="0"/>
    <cellStyle name="_CRT_DVD_TV_lightling 2" xfId="0"/>
    <cellStyle name="_CRT_DVD_TV_lightling_By Region" xfId="0"/>
    <cellStyle name="_CRT_DVD_TV_lightling_CORP SG&amp;A" xfId="0"/>
    <cellStyle name="_CRT_DVD_TV_PC Products" xfId="0"/>
    <cellStyle name="_CRT_DVD_TV_PC Products 2" xfId="0"/>
    <cellStyle name="_CRT_DVD_TV_PC Products 3" xfId="0"/>
    <cellStyle name="_CRT_DVD_TV_PC Products 4" xfId="0"/>
    <cellStyle name="_CRT_DVD_TV_PC Products 5" xfId="0"/>
    <cellStyle name="_CRT_DVD_TV_PC Products 6" xfId="0"/>
    <cellStyle name="_CRT_DVD_TV_PC Products_By Region" xfId="0"/>
    <cellStyle name="_CRT_DVD_TV_PC Products_CORP SG&amp;A" xfId="0"/>
    <cellStyle name="_CRT_DVD_TV_PC Products_LCD" xfId="0"/>
    <cellStyle name="_CRT_DVD_TV_PC Products_PJ" xfId="0"/>
    <cellStyle name="_CRT_DVD_TV_VSA 111014" xfId="0"/>
    <cellStyle name="_CRT_DVD_TV_VSA 111014 2" xfId="0"/>
    <cellStyle name="_CRT_DVD_TV_VSA 111014 3" xfId="0"/>
    <cellStyle name="_CRT_DVD_TV_VSA 111014 4" xfId="0"/>
    <cellStyle name="_CRT_DVD_TV_VSA 111014 5" xfId="0"/>
    <cellStyle name="_CRT_DVD_TV_VSA 111014 6" xfId="0"/>
    <cellStyle name="_CRT_DVD_TV_VSA 111014_By Region" xfId="0"/>
    <cellStyle name="_CRT_DVD_TV_VSA 111014_CORP SG&amp;A" xfId="0"/>
    <cellStyle name="_CRT_DVD_TV_VSA 111014_LCD" xfId="0"/>
    <cellStyle name="_CRT_DVD_TV_VSA 111014_PJ" xfId="0"/>
    <cellStyle name="_CRT_DVD_TV_VSA Roll-Up (LW)" xfId="0"/>
    <cellStyle name="_CRT_DVD_TV_VSA Roll-Up (LW) 2" xfId="0"/>
    <cellStyle name="_CRT_DVD_TV_VSA Roll-Up (LW) 3" xfId="0"/>
    <cellStyle name="_CRT_DVD_TV_VSA Roll-Up (LW) 4" xfId="0"/>
    <cellStyle name="_CRT_DVD_TV_VSA Roll-Up (LW) 5" xfId="0"/>
    <cellStyle name="_CRT_DVD_TV_VSA Roll-Up (LW) 6" xfId="0"/>
    <cellStyle name="_CRT_DVD_TV_VSA Roll-Up (LW)_By Region" xfId="0"/>
    <cellStyle name="_CRT_DVD_TV_VSA Roll-Up (LW)_CORP SG&amp;A" xfId="0"/>
    <cellStyle name="_CRT_DVD_TV_VSA Roll-Up (LW)_LCD" xfId="0"/>
    <cellStyle name="_CRT_DVD_TV_VSA Roll-Up (LW)_PJ" xfId="0"/>
    <cellStyle name="_CRT_GPS OTHER" xfId="0"/>
    <cellStyle name="_CRT_GPS OTHER 2" xfId="0"/>
    <cellStyle name="_CRT_GPS OTHER 3" xfId="0"/>
    <cellStyle name="_CRT_GPS OTHER 4" xfId="0"/>
    <cellStyle name="_CRT_GPS OTHER 5" xfId="0"/>
    <cellStyle name="_CRT_GPS OTHER 6" xfId="0"/>
    <cellStyle name="_CRT_GPS OTHER_By Region" xfId="0"/>
    <cellStyle name="_CRT_GPS OTHER_CORP SG&amp;A" xfId="0"/>
    <cellStyle name="_CRT_GPS OTHER_LCD" xfId="0"/>
    <cellStyle name="_CRT_GPS OTHER_PJ" xfId="0"/>
    <cellStyle name="_CRT_LCD" xfId="0"/>
    <cellStyle name="_CRT_LCD 2" xfId="0"/>
    <cellStyle name="_CRT_LCD 3" xfId="0"/>
    <cellStyle name="_CRT_LCD 4" xfId="0"/>
    <cellStyle name="_CRT_LCD_1" xfId="0"/>
    <cellStyle name="_CRT_LCD_1 2" xfId="0"/>
    <cellStyle name="_CRT_LCD_1 3" xfId="0"/>
    <cellStyle name="_CRT_LCD_1 4" xfId="0"/>
    <cellStyle name="_CRT_LCD_1_By Region" xfId="0"/>
    <cellStyle name="_CRT_LCD_1_CORP SG&amp;A" xfId="0"/>
    <cellStyle name="_CRT_LCD_1_LCD" xfId="0"/>
    <cellStyle name="_CRT_LCD_1_PJ" xfId="0"/>
    <cellStyle name="_CRT_LCD_By Region" xfId="0"/>
    <cellStyle name="_CRT_LCD_CORP SG&amp;A" xfId="0"/>
    <cellStyle name="_CRT_LCD_Digitizer" xfId="0"/>
    <cellStyle name="_CRT_LCD_GPS OTHER" xfId="0"/>
    <cellStyle name="_CRT_LCD_GPS OTHER 2" xfId="0"/>
    <cellStyle name="_CRT_LCD_GPS OTHER 3" xfId="0"/>
    <cellStyle name="_CRT_LCD_GPS OTHER 4" xfId="0"/>
    <cellStyle name="_CRT_LCD_GPS OTHER 5" xfId="0"/>
    <cellStyle name="_CRT_LCD_GPS OTHER 6" xfId="0"/>
    <cellStyle name="_CRT_LCD_GPS OTHER_By Region" xfId="0"/>
    <cellStyle name="_CRT_LCD_GPS OTHER_CORP SG&amp;A" xfId="0"/>
    <cellStyle name="_CRT_LCD_GPS OTHER_LCD" xfId="0"/>
    <cellStyle name="_CRT_LCD_GPS OTHER_PJ" xfId="0"/>
    <cellStyle name="_CRT_LCD_LCD" xfId="0"/>
    <cellStyle name="_CRT_LCD_LCD 2" xfId="0"/>
    <cellStyle name="_CRT_LCD_LCD 3" xfId="0"/>
    <cellStyle name="_CRT_LCD_LCD 4" xfId="0"/>
    <cellStyle name="_CRT_LCD_LCD_By Region" xfId="0"/>
    <cellStyle name="_CRT_LCD_LCD_CORP SG&amp;A" xfId="0"/>
    <cellStyle name="_CRT_LCD_LCD_LCD" xfId="0"/>
    <cellStyle name="_CRT_LCD_LCD_PJ" xfId="0"/>
    <cellStyle name="_CRT_LCD_lightling" xfId="0"/>
    <cellStyle name="_CRT_LCD_lightling 2" xfId="0"/>
    <cellStyle name="_CRT_LCD_lightling_By Region" xfId="0"/>
    <cellStyle name="_CRT_LCD_lightling_CORP SG&amp;A" xfId="0"/>
    <cellStyle name="_CRT_LCD_PC Products" xfId="0"/>
    <cellStyle name="_CRT_LCD_PC Products 2" xfId="0"/>
    <cellStyle name="_CRT_LCD_PC Products 3" xfId="0"/>
    <cellStyle name="_CRT_LCD_PC Products 4" xfId="0"/>
    <cellStyle name="_CRT_LCD_PC Products 5" xfId="0"/>
    <cellStyle name="_CRT_LCD_PC Products 6" xfId="0"/>
    <cellStyle name="_CRT_LCD_PC Products_By Region" xfId="0"/>
    <cellStyle name="_CRT_LCD_PC Products_CORP SG&amp;A" xfId="0"/>
    <cellStyle name="_CRT_LCD_PC Products_LCD" xfId="0"/>
    <cellStyle name="_CRT_LCD_PC Products_PJ" xfId="0"/>
    <cellStyle name="_CRT_LCD_VSA 111014" xfId="0"/>
    <cellStyle name="_CRT_LCD_VSA 111014 2" xfId="0"/>
    <cellStyle name="_CRT_LCD_VSA 111014 3" xfId="0"/>
    <cellStyle name="_CRT_LCD_VSA 111014 4" xfId="0"/>
    <cellStyle name="_CRT_LCD_VSA 111014 5" xfId="0"/>
    <cellStyle name="_CRT_LCD_VSA 111014 6" xfId="0"/>
    <cellStyle name="_CRT_LCD_VSA 111014_By Region" xfId="0"/>
    <cellStyle name="_CRT_LCD_VSA 111014_CORP SG&amp;A" xfId="0"/>
    <cellStyle name="_CRT_LCD_VSA 111014_LCD" xfId="0"/>
    <cellStyle name="_CRT_LCD_VSA 111014_PJ" xfId="0"/>
    <cellStyle name="_CRT_LCD_VSA Roll-Up (LW)" xfId="0"/>
    <cellStyle name="_CRT_LCD_VSA Roll-Up (LW) 2" xfId="0"/>
    <cellStyle name="_CRT_LCD_VSA Roll-Up (LW) 3" xfId="0"/>
    <cellStyle name="_CRT_LCD_VSA Roll-Up (LW) 4" xfId="0"/>
    <cellStyle name="_CRT_LCD_VSA Roll-Up (LW) 5" xfId="0"/>
    <cellStyle name="_CRT_LCD_VSA Roll-Up (LW) 6" xfId="0"/>
    <cellStyle name="_CRT_LCD_VSA Roll-Up (LW)_By Region" xfId="0"/>
    <cellStyle name="_CRT_LCD_VSA Roll-Up (LW)_CORP SG&amp;A" xfId="0"/>
    <cellStyle name="_CRT_LCD_VSA Roll-Up (LW)_LCD" xfId="0"/>
    <cellStyle name="_CRT_LCD_VSA Roll-Up (LW)_PJ" xfId="0"/>
    <cellStyle name="_CRT_LCDTV" xfId="0"/>
    <cellStyle name="_CRT_LCDTV 2" xfId="0"/>
    <cellStyle name="_CRT_LCDTV 3" xfId="0"/>
    <cellStyle name="_CRT_LCDTV 4" xfId="0"/>
    <cellStyle name="_CRT_LCDTV_By Region" xfId="0"/>
    <cellStyle name="_CRT_LCDTV_CORP SG&amp;A" xfId="0"/>
    <cellStyle name="_CRT_LCDTV_Digitizer" xfId="0"/>
    <cellStyle name="_CRT_LCDTV_GPS OTHER" xfId="0"/>
    <cellStyle name="_CRT_LCDTV_GPS OTHER 2" xfId="0"/>
    <cellStyle name="_CRT_LCDTV_GPS OTHER 3" xfId="0"/>
    <cellStyle name="_CRT_LCDTV_GPS OTHER 4" xfId="0"/>
    <cellStyle name="_CRT_LCDTV_GPS OTHER 5" xfId="0"/>
    <cellStyle name="_CRT_LCDTV_GPS OTHER 6" xfId="0"/>
    <cellStyle name="_CRT_LCDTV_GPS OTHER_By Region" xfId="0"/>
    <cellStyle name="_CRT_LCDTV_GPS OTHER_CORP SG&amp;A" xfId="0"/>
    <cellStyle name="_CRT_LCDTV_GPS OTHER_LCD" xfId="0"/>
    <cellStyle name="_CRT_LCDTV_GPS OTHER_PJ" xfId="0"/>
    <cellStyle name="_CRT_LCDTV_LCD" xfId="0"/>
    <cellStyle name="_CRT_LCDTV_LCD 2" xfId="0"/>
    <cellStyle name="_CRT_LCDTV_LCD 3" xfId="0"/>
    <cellStyle name="_CRT_LCDTV_LCD 4" xfId="0"/>
    <cellStyle name="_CRT_LCDTV_LCD_By Region" xfId="0"/>
    <cellStyle name="_CRT_LCDTV_LCD_CORP SG&amp;A" xfId="0"/>
    <cellStyle name="_CRT_LCDTV_LCD_LCD" xfId="0"/>
    <cellStyle name="_CRT_LCDTV_LCD_PJ" xfId="0"/>
    <cellStyle name="_CRT_LCDTV_lightling" xfId="0"/>
    <cellStyle name="_CRT_LCDTV_lightling 2" xfId="0"/>
    <cellStyle name="_CRT_LCDTV_lightling_By Region" xfId="0"/>
    <cellStyle name="_CRT_LCDTV_lightling_CORP SG&amp;A" xfId="0"/>
    <cellStyle name="_CRT_LCDTV_PC Products" xfId="0"/>
    <cellStyle name="_CRT_LCDTV_PC Products 2" xfId="0"/>
    <cellStyle name="_CRT_LCDTV_PC Products 3" xfId="0"/>
    <cellStyle name="_CRT_LCDTV_PC Products 4" xfId="0"/>
    <cellStyle name="_CRT_LCDTV_PC Products 5" xfId="0"/>
    <cellStyle name="_CRT_LCDTV_PC Products 6" xfId="0"/>
    <cellStyle name="_CRT_LCDTV_PC Products_By Region" xfId="0"/>
    <cellStyle name="_CRT_LCDTV_PC Products_CORP SG&amp;A" xfId="0"/>
    <cellStyle name="_CRT_LCDTV_PC Products_LCD" xfId="0"/>
    <cellStyle name="_CRT_LCDTV_PC Products_PJ" xfId="0"/>
    <cellStyle name="_CRT_LCDTV_VSA 111014" xfId="0"/>
    <cellStyle name="_CRT_LCDTV_VSA 111014 2" xfId="0"/>
    <cellStyle name="_CRT_LCDTV_VSA 111014 3" xfId="0"/>
    <cellStyle name="_CRT_LCDTV_VSA 111014 4" xfId="0"/>
    <cellStyle name="_CRT_LCDTV_VSA 111014 5" xfId="0"/>
    <cellStyle name="_CRT_LCDTV_VSA 111014 6" xfId="0"/>
    <cellStyle name="_CRT_LCDTV_VSA 111014_By Region" xfId="0"/>
    <cellStyle name="_CRT_LCDTV_VSA 111014_CORP SG&amp;A" xfId="0"/>
    <cellStyle name="_CRT_LCDTV_VSA 111014_LCD" xfId="0"/>
    <cellStyle name="_CRT_LCDTV_VSA 111014_PJ" xfId="0"/>
    <cellStyle name="_CRT_LCDTV_VSA Roll-Up (LW)" xfId="0"/>
    <cellStyle name="_CRT_LCDTV_VSA Roll-Up (LW) 2" xfId="0"/>
    <cellStyle name="_CRT_LCDTV_VSA Roll-Up (LW) 3" xfId="0"/>
    <cellStyle name="_CRT_LCDTV_VSA Roll-Up (LW) 4" xfId="0"/>
    <cellStyle name="_CRT_LCDTV_VSA Roll-Up (LW) 5" xfId="0"/>
    <cellStyle name="_CRT_LCDTV_VSA Roll-Up (LW) 6" xfId="0"/>
    <cellStyle name="_CRT_LCDTV_VSA Roll-Up (LW)_By Region" xfId="0"/>
    <cellStyle name="_CRT_LCDTV_VSA Roll-Up (LW)_CORP SG&amp;A" xfId="0"/>
    <cellStyle name="_CRT_LCDTV_VSA Roll-Up (LW)_LCD" xfId="0"/>
    <cellStyle name="_CRT_LCDTV_VSA Roll-Up (LW)_PJ" xfId="0"/>
    <cellStyle name="_CRT_lightling" xfId="0"/>
    <cellStyle name="_CRT_lightling 2" xfId="0"/>
    <cellStyle name="_CRT_lightling_By Region" xfId="0"/>
    <cellStyle name="_CRT_lightling_CORP SG&amp;A" xfId="0"/>
    <cellStyle name="_CRT_MNT" xfId="0"/>
    <cellStyle name="_CRT_MNT 2" xfId="0"/>
    <cellStyle name="_CRT_MNT 3" xfId="0"/>
    <cellStyle name="_CRT_MNT 4" xfId="0"/>
    <cellStyle name="_CRT_MNT_By Region" xfId="0"/>
    <cellStyle name="_CRT_MNT_CORP SG&amp;A" xfId="0"/>
    <cellStyle name="_CRT_MNT_Digitizer" xfId="0"/>
    <cellStyle name="_CRT_MNT_GPS OTHER" xfId="0"/>
    <cellStyle name="_CRT_MNT_GPS OTHER 2" xfId="0"/>
    <cellStyle name="_CRT_MNT_GPS OTHER 3" xfId="0"/>
    <cellStyle name="_CRT_MNT_GPS OTHER 4" xfId="0"/>
    <cellStyle name="_CRT_MNT_GPS OTHER 5" xfId="0"/>
    <cellStyle name="_CRT_MNT_GPS OTHER 6" xfId="0"/>
    <cellStyle name="_CRT_MNT_GPS OTHER_By Region" xfId="0"/>
    <cellStyle name="_CRT_MNT_GPS OTHER_CORP SG&amp;A" xfId="0"/>
    <cellStyle name="_CRT_MNT_GPS OTHER_LCD" xfId="0"/>
    <cellStyle name="_CRT_MNT_GPS OTHER_PJ" xfId="0"/>
    <cellStyle name="_CRT_MNT_LCD" xfId="0"/>
    <cellStyle name="_CRT_MNT_LCD 2" xfId="0"/>
    <cellStyle name="_CRT_MNT_LCD 3" xfId="0"/>
    <cellStyle name="_CRT_MNT_LCD 4" xfId="0"/>
    <cellStyle name="_CRT_MNT_LCD_By Region" xfId="0"/>
    <cellStyle name="_CRT_MNT_LCD_CORP SG&amp;A" xfId="0"/>
    <cellStyle name="_CRT_MNT_LCD_LCD" xfId="0"/>
    <cellStyle name="_CRT_MNT_LCD_PJ" xfId="0"/>
    <cellStyle name="_CRT_MNT_lightling" xfId="0"/>
    <cellStyle name="_CRT_MNT_lightling 2" xfId="0"/>
    <cellStyle name="_CRT_MNT_lightling_By Region" xfId="0"/>
    <cellStyle name="_CRT_MNT_lightling_CORP SG&amp;A" xfId="0"/>
    <cellStyle name="_CRT_MNT_PC Products" xfId="0"/>
    <cellStyle name="_CRT_MNT_PC Products 2" xfId="0"/>
    <cellStyle name="_CRT_MNT_PC Products 3" xfId="0"/>
    <cellStyle name="_CRT_MNT_PC Products 4" xfId="0"/>
    <cellStyle name="_CRT_MNT_PC Products 5" xfId="0"/>
    <cellStyle name="_CRT_MNT_PC Products 6" xfId="0"/>
    <cellStyle name="_CRT_MNT_PC Products_By Region" xfId="0"/>
    <cellStyle name="_CRT_MNT_PC Products_CORP SG&amp;A" xfId="0"/>
    <cellStyle name="_CRT_MNT_PC Products_LCD" xfId="0"/>
    <cellStyle name="_CRT_MNT_PC Products_PJ" xfId="0"/>
    <cellStyle name="_CRT_MNT_VSA 111014" xfId="0"/>
    <cellStyle name="_CRT_MNT_VSA 111014 2" xfId="0"/>
    <cellStyle name="_CRT_MNT_VSA 111014 3" xfId="0"/>
    <cellStyle name="_CRT_MNT_VSA 111014 4" xfId="0"/>
    <cellStyle name="_CRT_MNT_VSA 111014 5" xfId="0"/>
    <cellStyle name="_CRT_MNT_VSA 111014 6" xfId="0"/>
    <cellStyle name="_CRT_MNT_VSA 111014_By Region" xfId="0"/>
    <cellStyle name="_CRT_MNT_VSA 111014_CORP SG&amp;A" xfId="0"/>
    <cellStyle name="_CRT_MNT_VSA 111014_LCD" xfId="0"/>
    <cellStyle name="_CRT_MNT_VSA 111014_PJ" xfId="0"/>
    <cellStyle name="_CRT_MNT_VSA Roll-Up (LW)" xfId="0"/>
    <cellStyle name="_CRT_MNT_VSA Roll-Up (LW) 2" xfId="0"/>
    <cellStyle name="_CRT_MNT_VSA Roll-Up (LW) 3" xfId="0"/>
    <cellStyle name="_CRT_MNT_VSA Roll-Up (LW) 4" xfId="0"/>
    <cellStyle name="_CRT_MNT_VSA Roll-Up (LW) 5" xfId="0"/>
    <cellStyle name="_CRT_MNT_VSA Roll-Up (LW) 6" xfId="0"/>
    <cellStyle name="_CRT_MNT_VSA Roll-Up (LW)_By Region" xfId="0"/>
    <cellStyle name="_CRT_MNT_VSA Roll-Up (LW)_CORP SG&amp;A" xfId="0"/>
    <cellStyle name="_CRT_MNT_VSA Roll-Up (LW)_LCD" xfId="0"/>
    <cellStyle name="_CRT_MNT_VSA Roll-Up (LW)_PJ" xfId="0"/>
    <cellStyle name="_CRT_Other" xfId="0"/>
    <cellStyle name="_CRT_Other 2" xfId="0"/>
    <cellStyle name="_CRT_Other 3" xfId="0"/>
    <cellStyle name="_CRT_Other 4" xfId="0"/>
    <cellStyle name="_CRT_Other_By Region" xfId="0"/>
    <cellStyle name="_CRT_Other_CORP SG&amp;A" xfId="0"/>
    <cellStyle name="_CRT_Other_Digitizer" xfId="0"/>
    <cellStyle name="_CRT_Other_GPS OTHER" xfId="0"/>
    <cellStyle name="_CRT_Other_GPS OTHER 2" xfId="0"/>
    <cellStyle name="_CRT_Other_GPS OTHER 3" xfId="0"/>
    <cellStyle name="_CRT_Other_GPS OTHER 4" xfId="0"/>
    <cellStyle name="_CRT_Other_GPS OTHER 5" xfId="0"/>
    <cellStyle name="_CRT_Other_GPS OTHER 6" xfId="0"/>
    <cellStyle name="_CRT_Other_GPS OTHER_By Region" xfId="0"/>
    <cellStyle name="_CRT_Other_GPS OTHER_CORP SG&amp;A" xfId="0"/>
    <cellStyle name="_CRT_Other_GPS OTHER_LCD" xfId="0"/>
    <cellStyle name="_CRT_Other_GPS OTHER_PJ" xfId="0"/>
    <cellStyle name="_CRT_Other_LCD" xfId="0"/>
    <cellStyle name="_CRT_Other_LCD 2" xfId="0"/>
    <cellStyle name="_CRT_Other_LCD 3" xfId="0"/>
    <cellStyle name="_CRT_Other_LCD 4" xfId="0"/>
    <cellStyle name="_CRT_Other_LCD_By Region" xfId="0"/>
    <cellStyle name="_CRT_Other_LCD_CORP SG&amp;A" xfId="0"/>
    <cellStyle name="_CRT_Other_LCD_LCD" xfId="0"/>
    <cellStyle name="_CRT_Other_LCD_PJ" xfId="0"/>
    <cellStyle name="_CRT_Other_lightling" xfId="0"/>
    <cellStyle name="_CRT_Other_lightling 2" xfId="0"/>
    <cellStyle name="_CRT_Other_lightling_By Region" xfId="0"/>
    <cellStyle name="_CRT_Other_lightling_CORP SG&amp;A" xfId="0"/>
    <cellStyle name="_CRT_Other_PC Products" xfId="0"/>
    <cellStyle name="_CRT_Other_PC Products 2" xfId="0"/>
    <cellStyle name="_CRT_Other_PC Products 3" xfId="0"/>
    <cellStyle name="_CRT_Other_PC Products 4" xfId="0"/>
    <cellStyle name="_CRT_Other_PC Products 5" xfId="0"/>
    <cellStyle name="_CRT_Other_PC Products 6" xfId="0"/>
    <cellStyle name="_CRT_Other_PC Products_By Region" xfId="0"/>
    <cellStyle name="_CRT_Other_PC Products_CORP SG&amp;A" xfId="0"/>
    <cellStyle name="_CRT_Other_PC Products_LCD" xfId="0"/>
    <cellStyle name="_CRT_Other_PC Products_PJ" xfId="0"/>
    <cellStyle name="_CRT_Other_VSA 111014" xfId="0"/>
    <cellStyle name="_CRT_Other_VSA 111014 2" xfId="0"/>
    <cellStyle name="_CRT_Other_VSA 111014 3" xfId="0"/>
    <cellStyle name="_CRT_Other_VSA 111014 4" xfId="0"/>
    <cellStyle name="_CRT_Other_VSA 111014 5" xfId="0"/>
    <cellStyle name="_CRT_Other_VSA 111014 6" xfId="0"/>
    <cellStyle name="_CRT_Other_VSA 111014_By Region" xfId="0"/>
    <cellStyle name="_CRT_Other_VSA 111014_CORP SG&amp;A" xfId="0"/>
    <cellStyle name="_CRT_Other_VSA 111014_LCD" xfId="0"/>
    <cellStyle name="_CRT_Other_VSA 111014_PJ" xfId="0"/>
    <cellStyle name="_CRT_Other_VSA Roll-Up (LW)" xfId="0"/>
    <cellStyle name="_CRT_Other_VSA Roll-Up (LW) 2" xfId="0"/>
    <cellStyle name="_CRT_Other_VSA Roll-Up (LW) 3" xfId="0"/>
    <cellStyle name="_CRT_Other_VSA Roll-Up (LW) 4" xfId="0"/>
    <cellStyle name="_CRT_Other_VSA Roll-Up (LW) 5" xfId="0"/>
    <cellStyle name="_CRT_Other_VSA Roll-Up (LW) 6" xfId="0"/>
    <cellStyle name="_CRT_Other_VSA Roll-Up (LW)_By Region" xfId="0"/>
    <cellStyle name="_CRT_Other_VSA Roll-Up (LW)_CORP SG&amp;A" xfId="0"/>
    <cellStyle name="_CRT_Other_VSA Roll-Up (LW)_LCD" xfId="0"/>
    <cellStyle name="_CRT_Other_VSA Roll-Up (LW)_PJ" xfId="0"/>
    <cellStyle name="_CRT_PC" xfId="0"/>
    <cellStyle name="_CRT_PC 2" xfId="0"/>
    <cellStyle name="_CRT_PC 3" xfId="0"/>
    <cellStyle name="_CRT_PC 4" xfId="0"/>
    <cellStyle name="_CRT_PC Products" xfId="0"/>
    <cellStyle name="_CRT_PC Products 2" xfId="0"/>
    <cellStyle name="_CRT_PC Products 3" xfId="0"/>
    <cellStyle name="_CRT_PC Products 4" xfId="0"/>
    <cellStyle name="_CRT_PC Products 5" xfId="0"/>
    <cellStyle name="_CRT_PC Products 6" xfId="0"/>
    <cellStyle name="_CRT_PC Products_By Region" xfId="0"/>
    <cellStyle name="_CRT_PC Products_CORP SG&amp;A" xfId="0"/>
    <cellStyle name="_CRT_PC Products_LCD" xfId="0"/>
    <cellStyle name="_CRT_PC Products_PJ" xfId="0"/>
    <cellStyle name="_CRT_PC_By Region" xfId="0"/>
    <cellStyle name="_CRT_PC_CORP SG&amp;A" xfId="0"/>
    <cellStyle name="_CRT_PC_Digitizer" xfId="0"/>
    <cellStyle name="_CRT_PC_DT" xfId="0"/>
    <cellStyle name="_CRT_PC_DT 2" xfId="0"/>
    <cellStyle name="_CRT_PC_DT_By Region" xfId="0"/>
    <cellStyle name="_CRT_PC_DT_CORP SG&amp;A" xfId="0"/>
    <cellStyle name="_CRT_PC_GPS OTHER" xfId="0"/>
    <cellStyle name="_CRT_PC_GPS OTHER 2" xfId="0"/>
    <cellStyle name="_CRT_PC_GPS OTHER 3" xfId="0"/>
    <cellStyle name="_CRT_PC_GPS OTHER 4" xfId="0"/>
    <cellStyle name="_CRT_PC_GPS OTHER 5" xfId="0"/>
    <cellStyle name="_CRT_PC_GPS OTHER 6" xfId="0"/>
    <cellStyle name="_CRT_PC_GPS OTHER_By Region" xfId="0"/>
    <cellStyle name="_CRT_PC_GPS OTHER_CORP SG&amp;A" xfId="0"/>
    <cellStyle name="_CRT_PC_GPS OTHER_LCD" xfId="0"/>
    <cellStyle name="_CRT_PC_GPS OTHER_PJ" xfId="0"/>
    <cellStyle name="_CRT_PC_LCD" xfId="0"/>
    <cellStyle name="_CRT_PC_LCD 2" xfId="0"/>
    <cellStyle name="_CRT_PC_LCD 3" xfId="0"/>
    <cellStyle name="_CRT_PC_LCD 4" xfId="0"/>
    <cellStyle name="_CRT_PC_LCD_By Region" xfId="0"/>
    <cellStyle name="_CRT_PC_LCD_CORP SG&amp;A" xfId="0"/>
    <cellStyle name="_CRT_PC_LCD_LCD" xfId="0"/>
    <cellStyle name="_CRT_PC_LCD_PJ" xfId="0"/>
    <cellStyle name="_CRT_PC_lightling" xfId="0"/>
    <cellStyle name="_CRT_PC_lightling 2" xfId="0"/>
    <cellStyle name="_CRT_PC_lightling_By Region" xfId="0"/>
    <cellStyle name="_CRT_PC_lightling_CORP SG&amp;A" xfId="0"/>
    <cellStyle name="_CRT_PC_PC Products" xfId="0"/>
    <cellStyle name="_CRT_PC_PC Products 2" xfId="0"/>
    <cellStyle name="_CRT_PC_PC Products 3" xfId="0"/>
    <cellStyle name="_CRT_PC_PC Products 4" xfId="0"/>
    <cellStyle name="_CRT_PC_PC Products 5" xfId="0"/>
    <cellStyle name="_CRT_PC_PC Products 6" xfId="0"/>
    <cellStyle name="_CRT_PC_PC Products_By Region" xfId="0"/>
    <cellStyle name="_CRT_PC_PC Products_CORP SG&amp;A" xfId="0"/>
    <cellStyle name="_CRT_PC_PC Products_LCD" xfId="0"/>
    <cellStyle name="_CRT_PC_PC Products_PJ" xfId="0"/>
    <cellStyle name="_CRT_PC_TV" xfId="0"/>
    <cellStyle name="_CRT_PC_TV 2" xfId="0"/>
    <cellStyle name="_CRT_PC_TV 3" xfId="0"/>
    <cellStyle name="_CRT_PC_TV 4" xfId="0"/>
    <cellStyle name="_CRT_PC_TV_By Region" xfId="0"/>
    <cellStyle name="_CRT_PC_TV_CORP SG&amp;A" xfId="0"/>
    <cellStyle name="_CRT_PC_TV_Digitizer" xfId="0"/>
    <cellStyle name="_CRT_PC_TV_GPS OTHER" xfId="0"/>
    <cellStyle name="_CRT_PC_TV_GPS OTHER 2" xfId="0"/>
    <cellStyle name="_CRT_PC_TV_GPS OTHER 3" xfId="0"/>
    <cellStyle name="_CRT_PC_TV_GPS OTHER 4" xfId="0"/>
    <cellStyle name="_CRT_PC_TV_GPS OTHER 5" xfId="0"/>
    <cellStyle name="_CRT_PC_TV_GPS OTHER 6" xfId="0"/>
    <cellStyle name="_CRT_PC_TV_GPS OTHER_By Region" xfId="0"/>
    <cellStyle name="_CRT_PC_TV_GPS OTHER_CORP SG&amp;A" xfId="0"/>
    <cellStyle name="_CRT_PC_TV_GPS OTHER_LCD" xfId="0"/>
    <cellStyle name="_CRT_PC_TV_GPS OTHER_PJ" xfId="0"/>
    <cellStyle name="_CRT_PC_TV_LCD" xfId="0"/>
    <cellStyle name="_CRT_PC_TV_LCD 2" xfId="0"/>
    <cellStyle name="_CRT_PC_TV_LCD 3" xfId="0"/>
    <cellStyle name="_CRT_PC_TV_LCD 4" xfId="0"/>
    <cellStyle name="_CRT_PC_TV_LCD_By Region" xfId="0"/>
    <cellStyle name="_CRT_PC_TV_LCD_CORP SG&amp;A" xfId="0"/>
    <cellStyle name="_CRT_PC_TV_LCD_LCD" xfId="0"/>
    <cellStyle name="_CRT_PC_TV_LCD_PJ" xfId="0"/>
    <cellStyle name="_CRT_PC_TV_lightling" xfId="0"/>
    <cellStyle name="_CRT_PC_TV_lightling 2" xfId="0"/>
    <cellStyle name="_CRT_PC_TV_lightling_By Region" xfId="0"/>
    <cellStyle name="_CRT_PC_TV_lightling_CORP SG&amp;A" xfId="0"/>
    <cellStyle name="_CRT_PC_TV_PC Products" xfId="0"/>
    <cellStyle name="_CRT_PC_TV_PC Products 2" xfId="0"/>
    <cellStyle name="_CRT_PC_TV_PC Products 3" xfId="0"/>
    <cellStyle name="_CRT_PC_TV_PC Products 4" xfId="0"/>
    <cellStyle name="_CRT_PC_TV_PC Products 5" xfId="0"/>
    <cellStyle name="_CRT_PC_TV_PC Products 6" xfId="0"/>
    <cellStyle name="_CRT_PC_TV_PC Products_By Region" xfId="0"/>
    <cellStyle name="_CRT_PC_TV_PC Products_CORP SG&amp;A" xfId="0"/>
    <cellStyle name="_CRT_PC_TV_PC Products_LCD" xfId="0"/>
    <cellStyle name="_CRT_PC_TV_PC Products_PJ" xfId="0"/>
    <cellStyle name="_CRT_PC_TV_VSA 111014" xfId="0"/>
    <cellStyle name="_CRT_PC_TV_VSA 111014 2" xfId="0"/>
    <cellStyle name="_CRT_PC_TV_VSA 111014 3" xfId="0"/>
    <cellStyle name="_CRT_PC_TV_VSA 111014 4" xfId="0"/>
    <cellStyle name="_CRT_PC_TV_VSA 111014 5" xfId="0"/>
    <cellStyle name="_CRT_PC_TV_VSA 111014 6" xfId="0"/>
    <cellStyle name="_CRT_PC_TV_VSA 111014_By Region" xfId="0"/>
    <cellStyle name="_CRT_PC_TV_VSA 111014_CORP SG&amp;A" xfId="0"/>
    <cellStyle name="_CRT_PC_TV_VSA 111014_LCD" xfId="0"/>
    <cellStyle name="_CRT_PC_TV_VSA 111014_PJ" xfId="0"/>
    <cellStyle name="_CRT_PC_TV_VSA Roll-Up (LW)" xfId="0"/>
    <cellStyle name="_CRT_PC_TV_VSA Roll-Up (LW) 2" xfId="0"/>
    <cellStyle name="_CRT_PC_TV_VSA Roll-Up (LW) 3" xfId="0"/>
    <cellStyle name="_CRT_PC_TV_VSA Roll-Up (LW) 4" xfId="0"/>
    <cellStyle name="_CRT_PC_TV_VSA Roll-Up (LW) 5" xfId="0"/>
    <cellStyle name="_CRT_PC_TV_VSA Roll-Up (LW) 6" xfId="0"/>
    <cellStyle name="_CRT_PC_TV_VSA Roll-Up (LW)_By Region" xfId="0"/>
    <cellStyle name="_CRT_PC_TV_VSA Roll-Up (LW)_CORP SG&amp;A" xfId="0"/>
    <cellStyle name="_CRT_PC_TV_VSA Roll-Up (LW)_LCD" xfId="0"/>
    <cellStyle name="_CRT_PC_TV_VSA Roll-Up (LW)_PJ" xfId="0"/>
    <cellStyle name="_CRT_PC_VSA 111014" xfId="0"/>
    <cellStyle name="_CRT_PC_VSA 111014 2" xfId="0"/>
    <cellStyle name="_CRT_PC_VSA 111014 3" xfId="0"/>
    <cellStyle name="_CRT_PC_VSA 111014 4" xfId="0"/>
    <cellStyle name="_CRT_PC_VSA 111014 5" xfId="0"/>
    <cellStyle name="_CRT_PC_VSA 111014 6" xfId="0"/>
    <cellStyle name="_CRT_PC_VSA 111014_By Region" xfId="0"/>
    <cellStyle name="_CRT_PC_VSA 111014_CORP SG&amp;A" xfId="0"/>
    <cellStyle name="_CRT_PC_VSA 111014_LCD" xfId="0"/>
    <cellStyle name="_CRT_PC_VSA 111014_PJ" xfId="0"/>
    <cellStyle name="_CRT_PC_VSA Roll-Up (LW)" xfId="0"/>
    <cellStyle name="_CRT_PC_VSA Roll-Up (LW) 2" xfId="0"/>
    <cellStyle name="_CRT_PC_VSA Roll-Up (LW) 3" xfId="0"/>
    <cellStyle name="_CRT_PC_VSA Roll-Up (LW) 4" xfId="0"/>
    <cellStyle name="_CRT_PC_VSA Roll-Up (LW) 5" xfId="0"/>
    <cellStyle name="_CRT_PC_VSA Roll-Up (LW) 6" xfId="0"/>
    <cellStyle name="_CRT_PC_VSA Roll-Up (LW)_By Region" xfId="0"/>
    <cellStyle name="_CRT_PC_VSA Roll-Up (LW)_CORP SG&amp;A" xfId="0"/>
    <cellStyle name="_CRT_PC_VSA Roll-Up (LW)_LCD" xfId="0"/>
    <cellStyle name="_CRT_PC_VSA Roll-Up (LW)_PJ" xfId="0"/>
    <cellStyle name="_CRT_PJ" xfId="0"/>
    <cellStyle name="_CRT_PJ 2" xfId="0"/>
    <cellStyle name="_CRT_PJ 3" xfId="0"/>
    <cellStyle name="_CRT_PJ 4" xfId="0"/>
    <cellStyle name="_CRT_PJ_By Region" xfId="0"/>
    <cellStyle name="_CRT_PJ_CORP SG&amp;A" xfId="0"/>
    <cellStyle name="_CRT_PJ_Digitizer" xfId="0"/>
    <cellStyle name="_CRT_PJ_GPS OTHER" xfId="0"/>
    <cellStyle name="_CRT_PJ_GPS OTHER 2" xfId="0"/>
    <cellStyle name="_CRT_PJ_GPS OTHER 3" xfId="0"/>
    <cellStyle name="_CRT_PJ_GPS OTHER 4" xfId="0"/>
    <cellStyle name="_CRT_PJ_GPS OTHER 5" xfId="0"/>
    <cellStyle name="_CRT_PJ_GPS OTHER 6" xfId="0"/>
    <cellStyle name="_CRT_PJ_GPS OTHER_By Region" xfId="0"/>
    <cellStyle name="_CRT_PJ_GPS OTHER_CORP SG&amp;A" xfId="0"/>
    <cellStyle name="_CRT_PJ_GPS OTHER_LCD" xfId="0"/>
    <cellStyle name="_CRT_PJ_GPS OTHER_PJ" xfId="0"/>
    <cellStyle name="_CRT_PJ_LCD" xfId="0"/>
    <cellStyle name="_CRT_PJ_LCD 2" xfId="0"/>
    <cellStyle name="_CRT_PJ_LCD 3" xfId="0"/>
    <cellStyle name="_CRT_PJ_LCD 4" xfId="0"/>
    <cellStyle name="_CRT_PJ_LCD_By Region" xfId="0"/>
    <cellStyle name="_CRT_PJ_LCD_CORP SG&amp;A" xfId="0"/>
    <cellStyle name="_CRT_PJ_LCD_LCD" xfId="0"/>
    <cellStyle name="_CRT_PJ_LCD_PJ" xfId="0"/>
    <cellStyle name="_CRT_PJ_lightling" xfId="0"/>
    <cellStyle name="_CRT_PJ_lightling 2" xfId="0"/>
    <cellStyle name="_CRT_PJ_lightling_By Region" xfId="0"/>
    <cellStyle name="_CRT_PJ_lightling_CORP SG&amp;A" xfId="0"/>
    <cellStyle name="_CRT_PJ_PC Products" xfId="0"/>
    <cellStyle name="_CRT_PJ_PC Products 2" xfId="0"/>
    <cellStyle name="_CRT_PJ_PC Products 3" xfId="0"/>
    <cellStyle name="_CRT_PJ_PC Products 4" xfId="0"/>
    <cellStyle name="_CRT_PJ_PC Products 5" xfId="0"/>
    <cellStyle name="_CRT_PJ_PC Products 6" xfId="0"/>
    <cellStyle name="_CRT_PJ_PC Products_By Region" xfId="0"/>
    <cellStyle name="_CRT_PJ_PC Products_CORP SG&amp;A" xfId="0"/>
    <cellStyle name="_CRT_PJ_PC Products_LCD" xfId="0"/>
    <cellStyle name="_CRT_PJ_PC Products_PJ" xfId="0"/>
    <cellStyle name="_CRT_PJ_VSA 111014" xfId="0"/>
    <cellStyle name="_CRT_PJ_VSA 111014 2" xfId="0"/>
    <cellStyle name="_CRT_PJ_VSA 111014 3" xfId="0"/>
    <cellStyle name="_CRT_PJ_VSA 111014 4" xfId="0"/>
    <cellStyle name="_CRT_PJ_VSA 111014 5" xfId="0"/>
    <cellStyle name="_CRT_PJ_VSA 111014 6" xfId="0"/>
    <cellStyle name="_CRT_PJ_VSA 111014_By Region" xfId="0"/>
    <cellStyle name="_CRT_PJ_VSA 111014_CORP SG&amp;A" xfId="0"/>
    <cellStyle name="_CRT_PJ_VSA 111014_LCD" xfId="0"/>
    <cellStyle name="_CRT_PJ_VSA 111014_PJ" xfId="0"/>
    <cellStyle name="_CRT_PJ_VSA Roll-Up (LW)" xfId="0"/>
    <cellStyle name="_CRT_PJ_VSA Roll-Up (LW) 2" xfId="0"/>
    <cellStyle name="_CRT_PJ_VSA Roll-Up (LW) 3" xfId="0"/>
    <cellStyle name="_CRT_PJ_VSA Roll-Up (LW) 4" xfId="0"/>
    <cellStyle name="_CRT_PJ_VSA Roll-Up (LW) 5" xfId="0"/>
    <cellStyle name="_CRT_PJ_VSA Roll-Up (LW) 6" xfId="0"/>
    <cellStyle name="_CRT_PJ_VSA Roll-Up (LW)_By Region" xfId="0"/>
    <cellStyle name="_CRT_PJ_VSA Roll-Up (LW)_CORP SG&amp;A" xfId="0"/>
    <cellStyle name="_CRT_PJ_VSA Roll-Up (LW)_LCD" xfId="0"/>
    <cellStyle name="_CRT_PJ_VSA Roll-Up (LW)_PJ" xfId="0"/>
    <cellStyle name="_CRT_PMP(VPD)" xfId="0"/>
    <cellStyle name="_CRT_PMP(VPD) 2" xfId="0"/>
    <cellStyle name="_CRT_PMP(VPD) 3" xfId="0"/>
    <cellStyle name="_CRT_PMP(VPD) 4" xfId="0"/>
    <cellStyle name="_CRT_PMP(VPD)_By Region" xfId="0"/>
    <cellStyle name="_CRT_PMP(VPD)_CORP SG&amp;A" xfId="0"/>
    <cellStyle name="_CRT_PMP(VPD)_Digitizer" xfId="0"/>
    <cellStyle name="_CRT_PMP(VPD)_GPS OTHER" xfId="0"/>
    <cellStyle name="_CRT_PMP(VPD)_GPS OTHER 2" xfId="0"/>
    <cellStyle name="_CRT_PMP(VPD)_GPS OTHER 3" xfId="0"/>
    <cellStyle name="_CRT_PMP(VPD)_GPS OTHER 4" xfId="0"/>
    <cellStyle name="_CRT_PMP(VPD)_GPS OTHER 5" xfId="0"/>
    <cellStyle name="_CRT_PMP(VPD)_GPS OTHER 6" xfId="0"/>
    <cellStyle name="_CRT_PMP(VPD)_GPS OTHER_By Region" xfId="0"/>
    <cellStyle name="_CRT_PMP(VPD)_GPS OTHER_CORP SG&amp;A" xfId="0"/>
    <cellStyle name="_CRT_PMP(VPD)_GPS OTHER_LCD" xfId="0"/>
    <cellStyle name="_CRT_PMP(VPD)_GPS OTHER_PJ" xfId="0"/>
    <cellStyle name="_CRT_PMP(VPD)_LCD" xfId="0"/>
    <cellStyle name="_CRT_PMP(VPD)_LCD 2" xfId="0"/>
    <cellStyle name="_CRT_PMP(VPD)_LCD 3" xfId="0"/>
    <cellStyle name="_CRT_PMP(VPD)_LCD 4" xfId="0"/>
    <cellStyle name="_CRT_PMP(VPD)_LCD_By Region" xfId="0"/>
    <cellStyle name="_CRT_PMP(VPD)_LCD_CORP SG&amp;A" xfId="0"/>
    <cellStyle name="_CRT_PMP(VPD)_LCD_LCD" xfId="0"/>
    <cellStyle name="_CRT_PMP(VPD)_LCD_PJ" xfId="0"/>
    <cellStyle name="_CRT_PMP(VPD)_lightling" xfId="0"/>
    <cellStyle name="_CRT_PMP(VPD)_lightling 2" xfId="0"/>
    <cellStyle name="_CRT_PMP(VPD)_lightling_By Region" xfId="0"/>
    <cellStyle name="_CRT_PMP(VPD)_lightling_CORP SG&amp;A" xfId="0"/>
    <cellStyle name="_CRT_PMP(VPD)_PC Products" xfId="0"/>
    <cellStyle name="_CRT_PMP(VPD)_PC Products 2" xfId="0"/>
    <cellStyle name="_CRT_PMP(VPD)_PC Products 3" xfId="0"/>
    <cellStyle name="_CRT_PMP(VPD)_PC Products 4" xfId="0"/>
    <cellStyle name="_CRT_PMP(VPD)_PC Products 5" xfId="0"/>
    <cellStyle name="_CRT_PMP(VPD)_PC Products 6" xfId="0"/>
    <cellStyle name="_CRT_PMP(VPD)_PC Products_By Region" xfId="0"/>
    <cellStyle name="_CRT_PMP(VPD)_PC Products_CORP SG&amp;A" xfId="0"/>
    <cellStyle name="_CRT_PMP(VPD)_PC Products_LCD" xfId="0"/>
    <cellStyle name="_CRT_PMP(VPD)_PC Products_PJ" xfId="0"/>
    <cellStyle name="_CRT_PMP(VPD)_VSA 111014" xfId="0"/>
    <cellStyle name="_CRT_PMP(VPD)_VSA 111014 2" xfId="0"/>
    <cellStyle name="_CRT_PMP(VPD)_VSA 111014 3" xfId="0"/>
    <cellStyle name="_CRT_PMP(VPD)_VSA 111014 4" xfId="0"/>
    <cellStyle name="_CRT_PMP(VPD)_VSA 111014 5" xfId="0"/>
    <cellStyle name="_CRT_PMP(VPD)_VSA 111014 6" xfId="0"/>
    <cellStyle name="_CRT_PMP(VPD)_VSA 111014_By Region" xfId="0"/>
    <cellStyle name="_CRT_PMP(VPD)_VSA 111014_CORP SG&amp;A" xfId="0"/>
    <cellStyle name="_CRT_PMP(VPD)_VSA 111014_LCD" xfId="0"/>
    <cellStyle name="_CRT_PMP(VPD)_VSA 111014_PJ" xfId="0"/>
    <cellStyle name="_CRT_PMP(VPD)_VSA Roll-Up (LW)" xfId="0"/>
    <cellStyle name="_CRT_PMP(VPD)_VSA Roll-Up (LW) 2" xfId="0"/>
    <cellStyle name="_CRT_PMP(VPD)_VSA Roll-Up (LW) 3" xfId="0"/>
    <cellStyle name="_CRT_PMP(VPD)_VSA Roll-Up (LW) 4" xfId="0"/>
    <cellStyle name="_CRT_PMP(VPD)_VSA Roll-Up (LW) 5" xfId="0"/>
    <cellStyle name="_CRT_PMP(VPD)_VSA Roll-Up (LW) 6" xfId="0"/>
    <cellStyle name="_CRT_PMP(VPD)_VSA Roll-Up (LW)_By Region" xfId="0"/>
    <cellStyle name="_CRT_PMP(VPD)_VSA Roll-Up (LW)_CORP SG&amp;A" xfId="0"/>
    <cellStyle name="_CRT_PMP(VPD)_VSA Roll-Up (LW)_LCD" xfId="0"/>
    <cellStyle name="_CRT_PMP(VPD)_VSA Roll-Up (LW)_PJ" xfId="0"/>
    <cellStyle name="_CRT_Pocket TV" xfId="0"/>
    <cellStyle name="_CRT_Pocket TV 2" xfId="0"/>
    <cellStyle name="_CRT_Pocket TV 3" xfId="0"/>
    <cellStyle name="_CRT_Pocket TV 4" xfId="0"/>
    <cellStyle name="_CRT_Pocket TV_By Region" xfId="0"/>
    <cellStyle name="_CRT_Pocket TV_CORP SG&amp;A" xfId="0"/>
    <cellStyle name="_CRT_Pocket TV_Digitizer" xfId="0"/>
    <cellStyle name="_CRT_Pocket TV_GPS OTHER" xfId="0"/>
    <cellStyle name="_CRT_Pocket TV_GPS OTHER 2" xfId="0"/>
    <cellStyle name="_CRT_Pocket TV_GPS OTHER 3" xfId="0"/>
    <cellStyle name="_CRT_Pocket TV_GPS OTHER 4" xfId="0"/>
    <cellStyle name="_CRT_Pocket TV_GPS OTHER 5" xfId="0"/>
    <cellStyle name="_CRT_Pocket TV_GPS OTHER 6" xfId="0"/>
    <cellStyle name="_CRT_Pocket TV_GPS OTHER_By Region" xfId="0"/>
    <cellStyle name="_CRT_Pocket TV_GPS OTHER_CORP SG&amp;A" xfId="0"/>
    <cellStyle name="_CRT_Pocket TV_GPS OTHER_LCD" xfId="0"/>
    <cellStyle name="_CRT_Pocket TV_GPS OTHER_PJ" xfId="0"/>
    <cellStyle name="_CRT_Pocket TV_LCD" xfId="0"/>
    <cellStyle name="_CRT_Pocket TV_LCD 2" xfId="0"/>
    <cellStyle name="_CRT_Pocket TV_LCD 3" xfId="0"/>
    <cellStyle name="_CRT_Pocket TV_LCD 4" xfId="0"/>
    <cellStyle name="_CRT_Pocket TV_LCD_By Region" xfId="0"/>
    <cellStyle name="_CRT_Pocket TV_LCD_CORP SG&amp;A" xfId="0"/>
    <cellStyle name="_CRT_Pocket TV_LCD_LCD" xfId="0"/>
    <cellStyle name="_CRT_Pocket TV_LCD_PJ" xfId="0"/>
    <cellStyle name="_CRT_Pocket TV_lightling" xfId="0"/>
    <cellStyle name="_CRT_Pocket TV_lightling 2" xfId="0"/>
    <cellStyle name="_CRT_Pocket TV_lightling_By Region" xfId="0"/>
    <cellStyle name="_CRT_Pocket TV_lightling_CORP SG&amp;A" xfId="0"/>
    <cellStyle name="_CRT_Pocket TV_PC Products" xfId="0"/>
    <cellStyle name="_CRT_Pocket TV_PC Products 2" xfId="0"/>
    <cellStyle name="_CRT_Pocket TV_PC Products 3" xfId="0"/>
    <cellStyle name="_CRT_Pocket TV_PC Products 4" xfId="0"/>
    <cellStyle name="_CRT_Pocket TV_PC Products 5" xfId="0"/>
    <cellStyle name="_CRT_Pocket TV_PC Products 6" xfId="0"/>
    <cellStyle name="_CRT_Pocket TV_PC Products_By Region" xfId="0"/>
    <cellStyle name="_CRT_Pocket TV_PC Products_CORP SG&amp;A" xfId="0"/>
    <cellStyle name="_CRT_Pocket TV_PC Products_LCD" xfId="0"/>
    <cellStyle name="_CRT_Pocket TV_PC Products_PJ" xfId="0"/>
    <cellStyle name="_CRT_Pocket TV_VSA 111014" xfId="0"/>
    <cellStyle name="_CRT_Pocket TV_VSA 111014 2" xfId="0"/>
    <cellStyle name="_CRT_Pocket TV_VSA 111014 3" xfId="0"/>
    <cellStyle name="_CRT_Pocket TV_VSA 111014 4" xfId="0"/>
    <cellStyle name="_CRT_Pocket TV_VSA 111014 5" xfId="0"/>
    <cellStyle name="_CRT_Pocket TV_VSA 111014 6" xfId="0"/>
    <cellStyle name="_CRT_Pocket TV_VSA 111014_By Region" xfId="0"/>
    <cellStyle name="_CRT_Pocket TV_VSA 111014_CORP SG&amp;A" xfId="0"/>
    <cellStyle name="_CRT_Pocket TV_VSA 111014_LCD" xfId="0"/>
    <cellStyle name="_CRT_Pocket TV_VSA 111014_PJ" xfId="0"/>
    <cellStyle name="_CRT_Pocket TV_VSA Roll-Up (LW)" xfId="0"/>
    <cellStyle name="_CRT_Pocket TV_VSA Roll-Up (LW) 2" xfId="0"/>
    <cellStyle name="_CRT_Pocket TV_VSA Roll-Up (LW) 3" xfId="0"/>
    <cellStyle name="_CRT_Pocket TV_VSA Roll-Up (LW) 4" xfId="0"/>
    <cellStyle name="_CRT_Pocket TV_VSA Roll-Up (LW) 5" xfId="0"/>
    <cellStyle name="_CRT_Pocket TV_VSA Roll-Up (LW) 6" xfId="0"/>
    <cellStyle name="_CRT_Pocket TV_VSA Roll-Up (LW)_By Region" xfId="0"/>
    <cellStyle name="_CRT_Pocket TV_VSA Roll-Up (LW)_CORP SG&amp;A" xfId="0"/>
    <cellStyle name="_CRT_Pocket TV_VSA Roll-Up (LW)_LCD" xfId="0"/>
    <cellStyle name="_CRT_Pocket TV_VSA Roll-Up (LW)_PJ" xfId="0"/>
    <cellStyle name="_CRT_Pocket_TV" xfId="0"/>
    <cellStyle name="_CRT_Pocket_TV 2" xfId="0"/>
    <cellStyle name="_CRT_Pocket_TV 3" xfId="0"/>
    <cellStyle name="_CRT_Pocket_TV 4" xfId="0"/>
    <cellStyle name="_CRT_Pocket_TV_By Region" xfId="0"/>
    <cellStyle name="_CRT_Pocket_TV_CORP SG&amp;A" xfId="0"/>
    <cellStyle name="_CRT_Pocket_TV_Digitizer" xfId="0"/>
    <cellStyle name="_CRT_Pocket_TV_GPS OTHER" xfId="0"/>
    <cellStyle name="_CRT_Pocket_TV_GPS OTHER 2" xfId="0"/>
    <cellStyle name="_CRT_Pocket_TV_GPS OTHER 3" xfId="0"/>
    <cellStyle name="_CRT_Pocket_TV_GPS OTHER 4" xfId="0"/>
    <cellStyle name="_CRT_Pocket_TV_GPS OTHER 5" xfId="0"/>
    <cellStyle name="_CRT_Pocket_TV_GPS OTHER 6" xfId="0"/>
    <cellStyle name="_CRT_Pocket_TV_GPS OTHER_By Region" xfId="0"/>
    <cellStyle name="_CRT_Pocket_TV_GPS OTHER_CORP SG&amp;A" xfId="0"/>
    <cellStyle name="_CRT_Pocket_TV_GPS OTHER_LCD" xfId="0"/>
    <cellStyle name="_CRT_Pocket_TV_GPS OTHER_PJ" xfId="0"/>
    <cellStyle name="_CRT_Pocket_TV_LCD" xfId="0"/>
    <cellStyle name="_CRT_Pocket_TV_LCD 2" xfId="0"/>
    <cellStyle name="_CRT_Pocket_TV_LCD 3" xfId="0"/>
    <cellStyle name="_CRT_Pocket_TV_LCD 4" xfId="0"/>
    <cellStyle name="_CRT_Pocket_TV_LCD_By Region" xfId="0"/>
    <cellStyle name="_CRT_Pocket_TV_LCD_CORP SG&amp;A" xfId="0"/>
    <cellStyle name="_CRT_Pocket_TV_LCD_LCD" xfId="0"/>
    <cellStyle name="_CRT_Pocket_TV_LCD_PJ" xfId="0"/>
    <cellStyle name="_CRT_Pocket_TV_lightling" xfId="0"/>
    <cellStyle name="_CRT_Pocket_TV_lightling 2" xfId="0"/>
    <cellStyle name="_CRT_Pocket_TV_lightling_By Region" xfId="0"/>
    <cellStyle name="_CRT_Pocket_TV_lightling_CORP SG&amp;A" xfId="0"/>
    <cellStyle name="_CRT_Pocket_TV_PC Products" xfId="0"/>
    <cellStyle name="_CRT_Pocket_TV_PC Products 2" xfId="0"/>
    <cellStyle name="_CRT_Pocket_TV_PC Products 3" xfId="0"/>
    <cellStyle name="_CRT_Pocket_TV_PC Products 4" xfId="0"/>
    <cellStyle name="_CRT_Pocket_TV_PC Products 5" xfId="0"/>
    <cellStyle name="_CRT_Pocket_TV_PC Products 6" xfId="0"/>
    <cellStyle name="_CRT_Pocket_TV_PC Products_By Region" xfId="0"/>
    <cellStyle name="_CRT_Pocket_TV_PC Products_CORP SG&amp;A" xfId="0"/>
    <cellStyle name="_CRT_Pocket_TV_PC Products_LCD" xfId="0"/>
    <cellStyle name="_CRT_Pocket_TV_PC Products_PJ" xfId="0"/>
    <cellStyle name="_CRT_Pocket_TV_VSA 111014" xfId="0"/>
    <cellStyle name="_CRT_Pocket_TV_VSA 111014 2" xfId="0"/>
    <cellStyle name="_CRT_Pocket_TV_VSA 111014 3" xfId="0"/>
    <cellStyle name="_CRT_Pocket_TV_VSA 111014 4" xfId="0"/>
    <cellStyle name="_CRT_Pocket_TV_VSA 111014 5" xfId="0"/>
    <cellStyle name="_CRT_Pocket_TV_VSA 111014 6" xfId="0"/>
    <cellStyle name="_CRT_Pocket_TV_VSA 111014_By Region" xfId="0"/>
    <cellStyle name="_CRT_Pocket_TV_VSA 111014_CORP SG&amp;A" xfId="0"/>
    <cellStyle name="_CRT_Pocket_TV_VSA 111014_LCD" xfId="0"/>
    <cellStyle name="_CRT_Pocket_TV_VSA 111014_PJ" xfId="0"/>
    <cellStyle name="_CRT_Pocket_TV_VSA Roll-Up (LW)" xfId="0"/>
    <cellStyle name="_CRT_Pocket_TV_VSA Roll-Up (LW) 2" xfId="0"/>
    <cellStyle name="_CRT_Pocket_TV_VSA Roll-Up (LW) 3" xfId="0"/>
    <cellStyle name="_CRT_Pocket_TV_VSA Roll-Up (LW) 4" xfId="0"/>
    <cellStyle name="_CRT_Pocket_TV_VSA Roll-Up (LW) 5" xfId="0"/>
    <cellStyle name="_CRT_Pocket_TV_VSA Roll-Up (LW) 6" xfId="0"/>
    <cellStyle name="_CRT_Pocket_TV_VSA Roll-Up (LW)_By Region" xfId="0"/>
    <cellStyle name="_CRT_Pocket_TV_VSA Roll-Up (LW)_CORP SG&amp;A" xfId="0"/>
    <cellStyle name="_CRT_Pocket_TV_VSA Roll-Up (LW)_LCD" xfId="0"/>
    <cellStyle name="_CRT_Pocket_TV_VSA Roll-Up (LW)_PJ" xfId="0"/>
    <cellStyle name="_CRT_TV" xfId="0"/>
    <cellStyle name="_CRT_TV 2" xfId="0"/>
    <cellStyle name="_CRT_TV 3" xfId="0"/>
    <cellStyle name="_CRT_TV 4" xfId="0"/>
    <cellStyle name="_CRT_TV_By Region" xfId="0"/>
    <cellStyle name="_CRT_TV_CORP SG&amp;A" xfId="0"/>
    <cellStyle name="_CRT_TV_Digitizer" xfId="0"/>
    <cellStyle name="_CRT_TV_GPS OTHER" xfId="0"/>
    <cellStyle name="_CRT_TV_GPS OTHER 2" xfId="0"/>
    <cellStyle name="_CRT_TV_GPS OTHER 3" xfId="0"/>
    <cellStyle name="_CRT_TV_GPS OTHER 4" xfId="0"/>
    <cellStyle name="_CRT_TV_GPS OTHER 5" xfId="0"/>
    <cellStyle name="_CRT_TV_GPS OTHER 6" xfId="0"/>
    <cellStyle name="_CRT_TV_GPS OTHER_By Region" xfId="0"/>
    <cellStyle name="_CRT_TV_GPS OTHER_CORP SG&amp;A" xfId="0"/>
    <cellStyle name="_CRT_TV_GPS OTHER_LCD" xfId="0"/>
    <cellStyle name="_CRT_TV_GPS OTHER_PJ" xfId="0"/>
    <cellStyle name="_CRT_TV_LCD" xfId="0"/>
    <cellStyle name="_CRT_TV_LCD 2" xfId="0"/>
    <cellStyle name="_CRT_TV_LCD 3" xfId="0"/>
    <cellStyle name="_CRT_TV_LCD 4" xfId="0"/>
    <cellStyle name="_CRT_TV_LCD_By Region" xfId="0"/>
    <cellStyle name="_CRT_TV_LCD_CORP SG&amp;A" xfId="0"/>
    <cellStyle name="_CRT_TV_LCD_LCD" xfId="0"/>
    <cellStyle name="_CRT_TV_LCD_PJ" xfId="0"/>
    <cellStyle name="_CRT_TV_lightling" xfId="0"/>
    <cellStyle name="_CRT_TV_lightling 2" xfId="0"/>
    <cellStyle name="_CRT_TV_lightling_By Region" xfId="0"/>
    <cellStyle name="_CRT_TV_lightling_CORP SG&amp;A" xfId="0"/>
    <cellStyle name="_CRT_TV_PC Products" xfId="0"/>
    <cellStyle name="_CRT_TV_PC Products 2" xfId="0"/>
    <cellStyle name="_CRT_TV_PC Products 3" xfId="0"/>
    <cellStyle name="_CRT_TV_PC Products 4" xfId="0"/>
    <cellStyle name="_CRT_TV_PC Products 5" xfId="0"/>
    <cellStyle name="_CRT_TV_PC Products 6" xfId="0"/>
    <cellStyle name="_CRT_TV_PC Products_By Region" xfId="0"/>
    <cellStyle name="_CRT_TV_PC Products_CORP SG&amp;A" xfId="0"/>
    <cellStyle name="_CRT_TV_PC Products_LCD" xfId="0"/>
    <cellStyle name="_CRT_TV_PC Products_PJ" xfId="0"/>
    <cellStyle name="_CRT_TV_VSA 111014" xfId="0"/>
    <cellStyle name="_CRT_TV_VSA 111014 2" xfId="0"/>
    <cellStyle name="_CRT_TV_VSA 111014 3" xfId="0"/>
    <cellStyle name="_CRT_TV_VSA 111014 4" xfId="0"/>
    <cellStyle name="_CRT_TV_VSA 111014 5" xfId="0"/>
    <cellStyle name="_CRT_TV_VSA 111014 6" xfId="0"/>
    <cellStyle name="_CRT_TV_VSA 111014_By Region" xfId="0"/>
    <cellStyle name="_CRT_TV_VSA 111014_CORP SG&amp;A" xfId="0"/>
    <cellStyle name="_CRT_TV_VSA 111014_LCD" xfId="0"/>
    <cellStyle name="_CRT_TV_VSA 111014_PJ" xfId="0"/>
    <cellStyle name="_CRT_TV_VSA Roll-Up (LW)" xfId="0"/>
    <cellStyle name="_CRT_TV_VSA Roll-Up (LW) 2" xfId="0"/>
    <cellStyle name="_CRT_TV_VSA Roll-Up (LW) 3" xfId="0"/>
    <cellStyle name="_CRT_TV_VSA Roll-Up (LW) 4" xfId="0"/>
    <cellStyle name="_CRT_TV_VSA Roll-Up (LW) 5" xfId="0"/>
    <cellStyle name="_CRT_TV_VSA Roll-Up (LW) 6" xfId="0"/>
    <cellStyle name="_CRT_TV_VSA Roll-Up (LW)_By Region" xfId="0"/>
    <cellStyle name="_CRT_TV_VSA Roll-Up (LW)_CORP SG&amp;A" xfId="0"/>
    <cellStyle name="_CRT_TV_VSA Roll-Up (LW)_LCD" xfId="0"/>
    <cellStyle name="_CRT_TV_VSA Roll-Up (LW)_PJ" xfId="0"/>
    <cellStyle name="_CRT_VD" xfId="0"/>
    <cellStyle name="_CRT_VD 2" xfId="0"/>
    <cellStyle name="_CRT_VD 3" xfId="0"/>
    <cellStyle name="_CRT_VD 4" xfId="0"/>
    <cellStyle name="_CRT_VD_By Region" xfId="0"/>
    <cellStyle name="_CRT_VD_CORP SG&amp;A" xfId="0"/>
    <cellStyle name="_CRT_VD_Digitizer" xfId="0"/>
    <cellStyle name="_CRT_VD_GPS OTHER" xfId="0"/>
    <cellStyle name="_CRT_VD_GPS OTHER 2" xfId="0"/>
    <cellStyle name="_CRT_VD_GPS OTHER 3" xfId="0"/>
    <cellStyle name="_CRT_VD_GPS OTHER 4" xfId="0"/>
    <cellStyle name="_CRT_VD_GPS OTHER 5" xfId="0"/>
    <cellStyle name="_CRT_VD_GPS OTHER 6" xfId="0"/>
    <cellStyle name="_CRT_VD_GPS OTHER_By Region" xfId="0"/>
    <cellStyle name="_CRT_VD_GPS OTHER_CORP SG&amp;A" xfId="0"/>
    <cellStyle name="_CRT_VD_GPS OTHER_LCD" xfId="0"/>
    <cellStyle name="_CRT_VD_GPS OTHER_PJ" xfId="0"/>
    <cellStyle name="_CRT_VD_LCD" xfId="0"/>
    <cellStyle name="_CRT_VD_LCD 2" xfId="0"/>
    <cellStyle name="_CRT_VD_LCD 3" xfId="0"/>
    <cellStyle name="_CRT_VD_LCD 4" xfId="0"/>
    <cellStyle name="_CRT_VD_LCD_By Region" xfId="0"/>
    <cellStyle name="_CRT_VD_LCD_CORP SG&amp;A" xfId="0"/>
    <cellStyle name="_CRT_VD_LCD_LCD" xfId="0"/>
    <cellStyle name="_CRT_VD_LCD_PJ" xfId="0"/>
    <cellStyle name="_CRT_VD_lightling" xfId="0"/>
    <cellStyle name="_CRT_VD_lightling 2" xfId="0"/>
    <cellStyle name="_CRT_VD_lightling_By Region" xfId="0"/>
    <cellStyle name="_CRT_VD_lightling_CORP SG&amp;A" xfId="0"/>
    <cellStyle name="_CRT_VD_PC Products" xfId="0"/>
    <cellStyle name="_CRT_VD_PC Products 2" xfId="0"/>
    <cellStyle name="_CRT_VD_PC Products 3" xfId="0"/>
    <cellStyle name="_CRT_VD_PC Products 4" xfId="0"/>
    <cellStyle name="_CRT_VD_PC Products 5" xfId="0"/>
    <cellStyle name="_CRT_VD_PC Products 6" xfId="0"/>
    <cellStyle name="_CRT_VD_PC Products_By Region" xfId="0"/>
    <cellStyle name="_CRT_VD_PC Products_CORP SG&amp;A" xfId="0"/>
    <cellStyle name="_CRT_VD_PC Products_LCD" xfId="0"/>
    <cellStyle name="_CRT_VD_PC Products_PJ" xfId="0"/>
    <cellStyle name="_CRT_VD_VSA 111014" xfId="0"/>
    <cellStyle name="_CRT_VD_VSA 111014 2" xfId="0"/>
    <cellStyle name="_CRT_VD_VSA 111014 3" xfId="0"/>
    <cellStyle name="_CRT_VD_VSA 111014 4" xfId="0"/>
    <cellStyle name="_CRT_VD_VSA 111014 5" xfId="0"/>
    <cellStyle name="_CRT_VD_VSA 111014 6" xfId="0"/>
    <cellStyle name="_CRT_VD_VSA 111014_By Region" xfId="0"/>
    <cellStyle name="_CRT_VD_VSA 111014_CORP SG&amp;A" xfId="0"/>
    <cellStyle name="_CRT_VD_VSA 111014_LCD" xfId="0"/>
    <cellStyle name="_CRT_VD_VSA 111014_PJ" xfId="0"/>
    <cellStyle name="_CRT_VD_VSA Roll-Up (LW)" xfId="0"/>
    <cellStyle name="_CRT_VD_VSA Roll-Up (LW) 2" xfId="0"/>
    <cellStyle name="_CRT_VD_VSA Roll-Up (LW) 3" xfId="0"/>
    <cellStyle name="_CRT_VD_VSA Roll-Up (LW) 4" xfId="0"/>
    <cellStyle name="_CRT_VD_VSA Roll-Up (LW) 5" xfId="0"/>
    <cellStyle name="_CRT_VD_VSA Roll-Up (LW) 6" xfId="0"/>
    <cellStyle name="_CRT_VD_VSA Roll-Up (LW)_By Region" xfId="0"/>
    <cellStyle name="_CRT_VD_VSA Roll-Up (LW)_CORP SG&amp;A" xfId="0"/>
    <cellStyle name="_CRT_VD_VSA Roll-Up (LW)_LCD" xfId="0"/>
    <cellStyle name="_CRT_VD_VSA Roll-Up (LW)_PJ" xfId="0"/>
    <cellStyle name="_CRT_VSA 111014" xfId="0"/>
    <cellStyle name="_CRT_VSA 111014 2" xfId="0"/>
    <cellStyle name="_CRT_VSA 111014 3" xfId="0"/>
    <cellStyle name="_CRT_VSA 111014 4" xfId="0"/>
    <cellStyle name="_CRT_VSA 111014 5" xfId="0"/>
    <cellStyle name="_CRT_VSA 111014 6" xfId="0"/>
    <cellStyle name="_CRT_VSA 111014_By Region" xfId="0"/>
    <cellStyle name="_CRT_VSA 111014_CORP SG&amp;A" xfId="0"/>
    <cellStyle name="_CRT_VSA 111014_LCD" xfId="0"/>
    <cellStyle name="_CRT_VSA 111014_PJ" xfId="0"/>
    <cellStyle name="_CRT_VSA Roll-Up (LW)" xfId="0"/>
    <cellStyle name="_CRT_VSA Roll-Up (LW) 2" xfId="0"/>
    <cellStyle name="_CRT_VSA Roll-Up (LW) 3" xfId="0"/>
    <cellStyle name="_CRT_VSA Roll-Up (LW) 4" xfId="0"/>
    <cellStyle name="_CRT_VSA Roll-Up (LW) 5" xfId="0"/>
    <cellStyle name="_CRT_VSA Roll-Up (LW) 6" xfId="0"/>
    <cellStyle name="_CRT_VSA Roll-Up (LW)_By Region" xfId="0"/>
    <cellStyle name="_CRT_VSA Roll-Up (LW)_CORP SG&amp;A" xfId="0"/>
    <cellStyle name="_CRT_VSA Roll-Up (LW)_LCD" xfId="0"/>
    <cellStyle name="_CRT_VSA Roll-Up (LW)_PJ" xfId="0"/>
    <cellStyle name="_CRT_VSE 2011 Budget" xfId="0"/>
    <cellStyle name="_CRT_VSE 2011 Budget 2" xfId="0"/>
    <cellStyle name="_CRT_VSE 2011 Budget 3" xfId="0"/>
    <cellStyle name="_CRT_VSE 2011 Budget 4" xfId="0"/>
    <cellStyle name="_CRT_VSE 2011 Budget_By Region" xfId="0"/>
    <cellStyle name="_CRT_VSE 2011 Budget_CORP SG&amp;A" xfId="0"/>
    <cellStyle name="_CRT_VSE 2011 Budget_Digitizer" xfId="0"/>
    <cellStyle name="_CRT_VSE 2011 Budget_GPS OTHER" xfId="0"/>
    <cellStyle name="_CRT_VSE 2011 Budget_GPS OTHER 2" xfId="0"/>
    <cellStyle name="_CRT_VSE 2011 Budget_GPS OTHER 3" xfId="0"/>
    <cellStyle name="_CRT_VSE 2011 Budget_GPS OTHER 4" xfId="0"/>
    <cellStyle name="_CRT_VSE 2011 Budget_GPS OTHER 4 2" xfId="0"/>
    <cellStyle name="_CRT_VSE 2011 Budget_GPS OTHER_By Region" xfId="0"/>
    <cellStyle name="_CRT_VSE 2011 Budget_GPS OTHER_CORP SG&amp;A" xfId="0"/>
    <cellStyle name="_CRT_VSE 2011 Budget_GPS OTHER_LCD" xfId="0"/>
    <cellStyle name="_CRT_VSE 2011 Budget_GPS OTHER_PJ" xfId="0"/>
    <cellStyle name="_CRT_VSE 2011 Budget_LCD" xfId="0"/>
    <cellStyle name="_CRT_VSE 2011 Budget_LCD 2" xfId="0"/>
    <cellStyle name="_CRT_VSE 2011 Budget_LCD 3" xfId="0"/>
    <cellStyle name="_CRT_VSE 2011 Budget_LCD 4" xfId="0"/>
    <cellStyle name="_CRT_VSE 2011 Budget_LCD_By Region" xfId="0"/>
    <cellStyle name="_CRT_VSE 2011 Budget_LCD_CORP SG&amp;A" xfId="0"/>
    <cellStyle name="_CRT_VSE 2011 Budget_LCD_LCD" xfId="0"/>
    <cellStyle name="_CRT_VSE 2011 Budget_LCD_PJ" xfId="0"/>
    <cellStyle name="_CRT_VSE 2011 Budget_lightling" xfId="0"/>
    <cellStyle name="_CRT_VSE 2011 Budget_lightling 2" xfId="0"/>
    <cellStyle name="_CRT_VSE 2011 Budget_lightling_By Region" xfId="0"/>
    <cellStyle name="_CRT_VSE 2011 Budget_lightling_CORP SG&amp;A" xfId="0"/>
    <cellStyle name="_CRT_VSE 2011 Budget_PC Products" xfId="0"/>
    <cellStyle name="_CRT_VSE 2011 Budget_PC Products 2" xfId="0"/>
    <cellStyle name="_CRT_VSE 2011 Budget_PC Products 3" xfId="0"/>
    <cellStyle name="_CRT_VSE 2011 Budget_PC Products 4" xfId="0"/>
    <cellStyle name="_CRT_VSE 2011 Budget_PC Products 4 2" xfId="0"/>
    <cellStyle name="_CRT_VSE 2011 Budget_PC Products_By Region" xfId="0"/>
    <cellStyle name="_CRT_VSE 2011 Budget_PC Products_CORP SG&amp;A" xfId="0"/>
    <cellStyle name="_CRT_VSE 2011 Budget_PC Products_LCD" xfId="0"/>
    <cellStyle name="_CRT_VSE 2011 Budget_PC Products_PJ" xfId="0"/>
    <cellStyle name="_CRT_VSE 2011 Budget_VSA 111014" xfId="0"/>
    <cellStyle name="_CRT_VSE 2011 Budget_VSA 111014 2" xfId="0"/>
    <cellStyle name="_CRT_VSE 2011 Budget_VSA 111014 3" xfId="0"/>
    <cellStyle name="_CRT_VSE 2011 Budget_VSA 111014 4" xfId="0"/>
    <cellStyle name="_CRT_VSE 2011 Budget_VSA 111014 4 2" xfId="0"/>
    <cellStyle name="_CRT_VSE 2011 Budget_VSA 111014_By Region" xfId="0"/>
    <cellStyle name="_CRT_VSE 2011 Budget_VSA 111014_CORP SG&amp;A" xfId="0"/>
    <cellStyle name="_CRT_VSE 2011 Budget_VSA 111014_LCD" xfId="0"/>
    <cellStyle name="_CRT_VSE 2011 Budget_VSA 111014_PJ" xfId="0"/>
    <cellStyle name="_CRT_VSE 2011 Budget_VSA Roll-Up (LW)" xfId="0"/>
    <cellStyle name="_CRT_VSE 2011 Budget_VSA Roll-Up (LW) 2" xfId="0"/>
    <cellStyle name="_CRT_VSE 2011 Budget_VSA Roll-Up (LW) 3" xfId="0"/>
    <cellStyle name="_CRT_VSE 2011 Budget_VSA Roll-Up (LW) 4" xfId="0"/>
    <cellStyle name="_CRT_VSE 2011 Budget_VSA Roll-Up (LW) 4 2" xfId="0"/>
    <cellStyle name="_CRT_VSE 2011 Budget_VSA Roll-Up (LW)_By Region" xfId="0"/>
    <cellStyle name="_CRT_VSE 2011 Budget_VSA Roll-Up (LW)_CORP SG&amp;A" xfId="0"/>
    <cellStyle name="_CRT_VSE 2011 Budget_VSA Roll-Up (LW)_LCD" xfId="0"/>
    <cellStyle name="_CRT_VSE 2011 Budget_VSA Roll-Up (LW)_PJ" xfId="0"/>
    <cellStyle name="_CRT_VSE 2H  WFP review (Spring Global meeting)-conservative Adam working v3" xfId="0"/>
    <cellStyle name="_CRT_VSE 2H  WFP review (Spring Global meeting)-conservative Adam working v3 2" xfId="0"/>
    <cellStyle name="_CRT_VSE 2H  WFP review (Spring Global meeting)-conservative Adam working v3 3" xfId="0"/>
    <cellStyle name="_CRT_VSE 2H Rebalance 110712" xfId="0"/>
    <cellStyle name="_CRT_VSE 2H Rebalance 110712 2" xfId="0"/>
    <cellStyle name="_CRT_VSE 2H Rebalance 110712 3" xfId="0"/>
    <cellStyle name="_CRT_VSE 2H Rebalance 110712 4" xfId="0"/>
    <cellStyle name="_CRT_VSE 2H Rebalance 110712_By Region" xfId="0"/>
    <cellStyle name="_CRT_VSE 2H Rebalance 110712_CORP SG&amp;A" xfId="0"/>
    <cellStyle name="_CRT_VSE WFP 101203" xfId="0"/>
    <cellStyle name="_CRT_VSE WFP 101203 2" xfId="0"/>
    <cellStyle name="_CRT_VSE WFP 101203 3" xfId="0"/>
    <cellStyle name="_CRT_VSE WFP 101203 4" xfId="0"/>
    <cellStyle name="_CRT_VSE WFP 101203_By Region" xfId="0"/>
    <cellStyle name="_CRT_VSE WFP 101203_CORP SG&amp;A" xfId="0"/>
    <cellStyle name="_CRT_VSE WFP 110311" xfId="0"/>
    <cellStyle name="_CRT_VSE WFP 110311 2" xfId="0"/>
    <cellStyle name="_CRT_VSE WFP 110311 3" xfId="0"/>
    <cellStyle name="_CRT_VSE WFP 110311 4" xfId="0"/>
    <cellStyle name="_CRT_VSE WFP 110311_By Region" xfId="0"/>
    <cellStyle name="_CRT_VSE WFP 110311_CORP SG&amp;A" xfId="0"/>
    <cellStyle name="_CRT_VSE WFP 110415" xfId="0"/>
    <cellStyle name="_CRT_VSE WFP 110415 2" xfId="0"/>
    <cellStyle name="_CRT_VSE WFP 110415 3" xfId="0"/>
    <cellStyle name="_CRT_VSE WFP 110415 4" xfId="0"/>
    <cellStyle name="_CRT_VSE WFP 110415_By Region" xfId="0"/>
    <cellStyle name="_CRT_VSE WFP 110415_CORP SG&amp;A" xfId="0"/>
    <cellStyle name="_CRT_VSE WFP_100409" xfId="0"/>
    <cellStyle name="_CRT_VSE WFP_100409 2" xfId="0"/>
    <cellStyle name="_CRT_VSE WFP_100409 3" xfId="0"/>
    <cellStyle name="_CRT_VSE WFP_100409 4" xfId="0"/>
    <cellStyle name="_CRT_VSE WFP_100409_By Region" xfId="0"/>
    <cellStyle name="_CRT_VSE WFP_100409_CORP SG&amp;A" xfId="0"/>
    <cellStyle name="_CRT_VSE WFP_100409_Digitizer" xfId="0"/>
    <cellStyle name="_CRT_VSE WFP_100409_GPS OTHER" xfId="0"/>
    <cellStyle name="_CRT_VSE WFP_100409_GPS OTHER 2" xfId="0"/>
    <cellStyle name="_CRT_VSE WFP_100409_GPS OTHER 3" xfId="0"/>
    <cellStyle name="_CRT_VSE WFP_100409_GPS OTHER 4" xfId="0"/>
    <cellStyle name="_CRT_VSE WFP_100409_GPS OTHER 4 2" xfId="0"/>
    <cellStyle name="_CRT_VSE WFP_100409_GPS OTHER_By Region" xfId="0"/>
    <cellStyle name="_CRT_VSE WFP_100409_GPS OTHER_CORP SG&amp;A" xfId="0"/>
    <cellStyle name="_CRT_VSE WFP_100409_GPS OTHER_LCD" xfId="0"/>
    <cellStyle name="_CRT_VSE WFP_100409_GPS OTHER_PJ" xfId="0"/>
    <cellStyle name="_CRT_VSE WFP_100409_LCD" xfId="0"/>
    <cellStyle name="_CRT_VSE WFP_100409_LCD 2" xfId="0"/>
    <cellStyle name="_CRT_VSE WFP_100409_LCD 3" xfId="0"/>
    <cellStyle name="_CRT_VSE WFP_100409_LCD 4" xfId="0"/>
    <cellStyle name="_CRT_VSE WFP_100409_LCD_By Region" xfId="0"/>
    <cellStyle name="_CRT_VSE WFP_100409_LCD_CORP SG&amp;A" xfId="0"/>
    <cellStyle name="_CRT_VSE WFP_100409_LCD_LCD" xfId="0"/>
    <cellStyle name="_CRT_VSE WFP_100409_LCD_PJ" xfId="0"/>
    <cellStyle name="_CRT_VSE WFP_100409_lightling" xfId="0"/>
    <cellStyle name="_CRT_VSE WFP_100409_lightling 2" xfId="0"/>
    <cellStyle name="_CRT_VSE WFP_100409_lightling_By Region" xfId="0"/>
    <cellStyle name="_CRT_VSE WFP_100409_lightling_CORP SG&amp;A" xfId="0"/>
    <cellStyle name="_CRT_VSE WFP_100409_PC Products" xfId="0"/>
    <cellStyle name="_CRT_VSE WFP_100409_PC Products 2" xfId="0"/>
    <cellStyle name="_CRT_VSE WFP_100409_PC Products 3" xfId="0"/>
    <cellStyle name="_CRT_VSE WFP_100409_PC Products 4" xfId="0"/>
    <cellStyle name="_CRT_VSE WFP_100409_PC Products 4 2" xfId="0"/>
    <cellStyle name="_CRT_VSE WFP_100409_PC Products_By Region" xfId="0"/>
    <cellStyle name="_CRT_VSE WFP_100409_PC Products_CORP SG&amp;A" xfId="0"/>
    <cellStyle name="_CRT_VSE WFP_100409_PC Products_LCD" xfId="0"/>
    <cellStyle name="_CRT_VSE WFP_100409_PC Products_PJ" xfId="0"/>
    <cellStyle name="_CRT_VSE WFP_100409_VSA 111014" xfId="0"/>
    <cellStyle name="_CRT_VSE WFP_100409_VSA 111014 2" xfId="0"/>
    <cellStyle name="_CRT_VSE WFP_100409_VSA 111014 3" xfId="0"/>
    <cellStyle name="_CRT_VSE WFP_100409_VSA 111014 4" xfId="0"/>
    <cellStyle name="_CRT_VSE WFP_100409_VSA 111014 4 2" xfId="0"/>
    <cellStyle name="_CRT_VSE WFP_100409_VSA 111014_By Region" xfId="0"/>
    <cellStyle name="_CRT_VSE WFP_100409_VSA 111014_CORP SG&amp;A" xfId="0"/>
    <cellStyle name="_CRT_VSE WFP_100409_VSA 111014_LCD" xfId="0"/>
    <cellStyle name="_CRT_VSE WFP_100409_VSA 111014_PJ" xfId="0"/>
    <cellStyle name="_CRT_VSE WFP_100409_VSA Roll-Up (LW)" xfId="0"/>
    <cellStyle name="_CRT_VSE WFP_100409_VSA Roll-Up (LW) 2" xfId="0"/>
    <cellStyle name="_CRT_VSE WFP_100409_VSA Roll-Up (LW) 3" xfId="0"/>
    <cellStyle name="_CRT_VSE WFP_100409_VSA Roll-Up (LW) 4" xfId="0"/>
    <cellStyle name="_CRT_VSE WFP_100409_VSA Roll-Up (LW) 4 2" xfId="0"/>
    <cellStyle name="_CRT_VSE WFP_100409_VSA Roll-Up (LW)_By Region" xfId="0"/>
    <cellStyle name="_CRT_VSE WFP_100409_VSA Roll-Up (LW)_CORP SG&amp;A" xfId="0"/>
    <cellStyle name="_CRT_VSE WFP_100409_VSA Roll-Up (LW)_LCD" xfId="0"/>
    <cellStyle name="_CRT_VSE WFP_100409_VSA Roll-Up (LW)_PJ" xfId="0"/>
    <cellStyle name="_CRT_VSE WFP_100421 v2" xfId="0"/>
    <cellStyle name="_CRT_VSE WFP_100421 v2 2" xfId="0"/>
    <cellStyle name="_CRT_VSE WFP_100421 v2 3" xfId="0"/>
    <cellStyle name="_CRT_VSE WFP_100421 v2 4" xfId="0"/>
    <cellStyle name="_CRT_VSE WFP_100421 v2_By Region" xfId="0"/>
    <cellStyle name="_CRT_VSE WFP_100421 v2_CORP SG&amp;A" xfId="0"/>
    <cellStyle name="_CRT_VSE WFP_100421 v2_Digitizer" xfId="0"/>
    <cellStyle name="_CRT_VSE WFP_100421 v2_GPS OTHER" xfId="0"/>
    <cellStyle name="_CRT_VSE WFP_100421 v2_GPS OTHER 2" xfId="0"/>
    <cellStyle name="_CRT_VSE WFP_100421 v2_GPS OTHER 3" xfId="0"/>
    <cellStyle name="_CRT_VSE WFP_100421 v2_GPS OTHER 4" xfId="0"/>
    <cellStyle name="_CRT_VSE WFP_100421 v2_GPS OTHER 4 2" xfId="0"/>
    <cellStyle name="_CRT_VSE WFP_100421 v2_GPS OTHER_By Region" xfId="0"/>
    <cellStyle name="_CRT_VSE WFP_100421 v2_GPS OTHER_CORP SG&amp;A" xfId="0"/>
    <cellStyle name="_CRT_VSE WFP_100421 v2_GPS OTHER_LCD" xfId="0"/>
    <cellStyle name="_CRT_VSE WFP_100421 v2_GPS OTHER_PJ" xfId="0"/>
    <cellStyle name="_CRT_VSE WFP_100421 v2_LCD" xfId="0"/>
    <cellStyle name="_CRT_VSE WFP_100421 v2_LCD 2" xfId="0"/>
    <cellStyle name="_CRT_VSE WFP_100421 v2_LCD 3" xfId="0"/>
    <cellStyle name="_CRT_VSE WFP_100421 v2_LCD 4" xfId="0"/>
    <cellStyle name="_CRT_VSE WFP_100421 v2_LCD_By Region" xfId="0"/>
    <cellStyle name="_CRT_VSE WFP_100421 v2_LCD_CORP SG&amp;A" xfId="0"/>
    <cellStyle name="_CRT_VSE WFP_100421 v2_LCD_LCD" xfId="0"/>
    <cellStyle name="_CRT_VSE WFP_100421 v2_LCD_PJ" xfId="0"/>
    <cellStyle name="_CRT_VSE WFP_100421 v2_lightling" xfId="0"/>
    <cellStyle name="_CRT_VSE WFP_100421 v2_lightling 2" xfId="0"/>
    <cellStyle name="_CRT_VSE WFP_100421 v2_lightling_By Region" xfId="0"/>
    <cellStyle name="_CRT_VSE WFP_100421 v2_lightling_CORP SG&amp;A" xfId="0"/>
    <cellStyle name="_CRT_VSE WFP_100421 v2_PC Products" xfId="0"/>
    <cellStyle name="_CRT_VSE WFP_100421 v2_PC Products 2" xfId="0"/>
    <cellStyle name="_CRT_VSE WFP_100421 v2_PC Products 3" xfId="0"/>
    <cellStyle name="_CRT_VSE WFP_100421 v2_PC Products 4" xfId="0"/>
    <cellStyle name="_CRT_VSE WFP_100421 v2_PC Products 4 2" xfId="0"/>
    <cellStyle name="_CRT_VSE WFP_100421 v2_PC Products_By Region" xfId="0"/>
    <cellStyle name="_CRT_VSE WFP_100421 v2_PC Products_CORP SG&amp;A" xfId="0"/>
    <cellStyle name="_CRT_VSE WFP_100421 v2_PC Products_LCD" xfId="0"/>
    <cellStyle name="_CRT_VSE WFP_100421 v2_PC Products_PJ" xfId="0"/>
    <cellStyle name="_CRT_VSE WFP_100421 v2_VSA 111014" xfId="0"/>
    <cellStyle name="_CRT_VSE WFP_100421 v2_VSA 111014 2" xfId="0"/>
    <cellStyle name="_CRT_VSE WFP_100421 v2_VSA 111014 3" xfId="0"/>
    <cellStyle name="_CRT_VSE WFP_100421 v2_VSA 111014 4" xfId="0"/>
    <cellStyle name="_CRT_VSE WFP_100421 v2_VSA 111014 4 2" xfId="0"/>
    <cellStyle name="_CRT_VSE WFP_100421 v2_VSA 111014_By Region" xfId="0"/>
    <cellStyle name="_CRT_VSE WFP_100421 v2_VSA 111014_CORP SG&amp;A" xfId="0"/>
    <cellStyle name="_CRT_VSE WFP_100421 v2_VSA 111014_LCD" xfId="0"/>
    <cellStyle name="_CRT_VSE WFP_100421 v2_VSA 111014_PJ" xfId="0"/>
    <cellStyle name="_CRT_VSE WFP_100421 v2_VSA Roll-Up (LW)" xfId="0"/>
    <cellStyle name="_CRT_VSE WFP_100421 v2_VSA Roll-Up (LW) 2" xfId="0"/>
    <cellStyle name="_CRT_VSE WFP_100421 v2_VSA Roll-Up (LW) 3" xfId="0"/>
    <cellStyle name="_CRT_VSE WFP_100421 v2_VSA Roll-Up (LW) 4" xfId="0"/>
    <cellStyle name="_CRT_VSE WFP_100421 v2_VSA Roll-Up (LW) 4 2" xfId="0"/>
    <cellStyle name="_CRT_VSE WFP_100421 v2_VSA Roll-Up (LW)_By Region" xfId="0"/>
    <cellStyle name="_CRT_VSE WFP_100421 v2_VSA Roll-Up (LW)_CORP SG&amp;A" xfId="0"/>
    <cellStyle name="_CRT_VSE WFP_100421 v2_VSA Roll-Up (LW)_LCD" xfId="0"/>
    <cellStyle name="_CRT_VSE WFP_100421 v2_VSA Roll-Up (LW)_PJ" xfId="0"/>
    <cellStyle name="_CRT_VSE WFP_100507" xfId="0"/>
    <cellStyle name="_CRT_VSE WFP_100507 2" xfId="0"/>
    <cellStyle name="_CRT_VSE WFP_100507 3" xfId="0"/>
    <cellStyle name="_CRT_VSE WFP_100507 4" xfId="0"/>
    <cellStyle name="_CRT_VSE WFP_100507_By Region" xfId="0"/>
    <cellStyle name="_CRT_VSE WFP_100507_CORP SG&amp;A" xfId="0"/>
    <cellStyle name="_CRT_VSE WFP_100507_Digitizer" xfId="0"/>
    <cellStyle name="_CRT_VSE WFP_100507_GPS OTHER" xfId="0"/>
    <cellStyle name="_CRT_VSE WFP_100507_GPS OTHER 2" xfId="0"/>
    <cellStyle name="_CRT_VSE WFP_100507_GPS OTHER 3" xfId="0"/>
    <cellStyle name="_CRT_VSE WFP_100507_GPS OTHER 4" xfId="0"/>
    <cellStyle name="_CRT_VSE WFP_100507_GPS OTHER 4 2" xfId="0"/>
    <cellStyle name="_CRT_VSE WFP_100507_GPS OTHER_By Region" xfId="0"/>
    <cellStyle name="_CRT_VSE WFP_100507_GPS OTHER_CORP SG&amp;A" xfId="0"/>
    <cellStyle name="_CRT_VSE WFP_100507_GPS OTHER_LCD" xfId="0"/>
    <cellStyle name="_CRT_VSE WFP_100507_GPS OTHER_PJ" xfId="0"/>
    <cellStyle name="_CRT_VSE WFP_100507_LCD" xfId="0"/>
    <cellStyle name="_CRT_VSE WFP_100507_LCD 2" xfId="0"/>
    <cellStyle name="_CRT_VSE WFP_100507_LCD 3" xfId="0"/>
    <cellStyle name="_CRT_VSE WFP_100507_LCD 4" xfId="0"/>
    <cellStyle name="_CRT_VSE WFP_100507_LCD_By Region" xfId="0"/>
    <cellStyle name="_CRT_VSE WFP_100507_LCD_CORP SG&amp;A" xfId="0"/>
    <cellStyle name="_CRT_VSE WFP_100507_LCD_LCD" xfId="0"/>
    <cellStyle name="_CRT_VSE WFP_100507_LCD_PJ" xfId="0"/>
    <cellStyle name="_CRT_VSE WFP_100507_lightling" xfId="0"/>
    <cellStyle name="_CRT_VSE WFP_100507_lightling 2" xfId="0"/>
    <cellStyle name="_CRT_VSE WFP_100507_lightling_By Region" xfId="0"/>
    <cellStyle name="_CRT_VSE WFP_100507_lightling_CORP SG&amp;A" xfId="0"/>
    <cellStyle name="_CRT_VSE WFP_100507_PC Products" xfId="0"/>
    <cellStyle name="_CRT_VSE WFP_100507_PC Products 2" xfId="0"/>
    <cellStyle name="_CRT_VSE WFP_100507_PC Products 3" xfId="0"/>
    <cellStyle name="_CRT_VSE WFP_100507_PC Products 4" xfId="0"/>
    <cellStyle name="_CRT_VSE WFP_100507_PC Products 4 2" xfId="0"/>
    <cellStyle name="_CRT_VSE WFP_100507_PC Products_By Region" xfId="0"/>
    <cellStyle name="_CRT_VSE WFP_100507_PC Products_CORP SG&amp;A" xfId="0"/>
    <cellStyle name="_CRT_VSE WFP_100507_PC Products_LCD" xfId="0"/>
    <cellStyle name="_CRT_VSE WFP_100507_PC Products_PJ" xfId="0"/>
    <cellStyle name="_CRT_VSE WFP_100507_VSA 111014" xfId="0"/>
    <cellStyle name="_CRT_VSE WFP_100507_VSA 111014 2" xfId="0"/>
    <cellStyle name="_CRT_VSE WFP_100507_VSA 111014 3" xfId="0"/>
    <cellStyle name="_CRT_VSE WFP_100507_VSA 111014 4" xfId="0"/>
    <cellStyle name="_CRT_VSE WFP_100507_VSA 111014 4 2" xfId="0"/>
    <cellStyle name="_CRT_VSE WFP_100507_VSA 111014_By Region" xfId="0"/>
    <cellStyle name="_CRT_VSE WFP_100507_VSA 111014_CORP SG&amp;A" xfId="0"/>
    <cellStyle name="_CRT_VSE WFP_100507_VSA 111014_LCD" xfId="0"/>
    <cellStyle name="_CRT_VSE WFP_100507_VSA 111014_PJ" xfId="0"/>
    <cellStyle name="_CRT_VSE WFP_100507_VSA Roll-Up (LW)" xfId="0"/>
    <cellStyle name="_CRT_VSE WFP_100507_VSA Roll-Up (LW) 2" xfId="0"/>
    <cellStyle name="_CRT_VSE WFP_100507_VSA Roll-Up (LW) 3" xfId="0"/>
    <cellStyle name="_CRT_VSE WFP_100507_VSA Roll-Up (LW) 4" xfId="0"/>
    <cellStyle name="_CRT_VSE WFP_100507_VSA Roll-Up (LW) 4 2" xfId="0"/>
    <cellStyle name="_CRT_VSE WFP_100507_VSA Roll-Up (LW)_By Region" xfId="0"/>
    <cellStyle name="_CRT_VSE WFP_100507_VSA Roll-Up (LW)_CORP SG&amp;A" xfId="0"/>
    <cellStyle name="_CRT_VSE WFP_100507_VSA Roll-Up (LW)_LCD" xfId="0"/>
    <cellStyle name="_CRT_VSE WFP_100507_VSA Roll-Up (LW)_PJ" xfId="0"/>
    <cellStyle name="_CRT_VSE WFP_100608" xfId="0"/>
    <cellStyle name="_CRT_VSE WFP_100608 2" xfId="0"/>
    <cellStyle name="_CRT_VSE WFP_100608 3" xfId="0"/>
    <cellStyle name="_CRT_VSE WFP_100608 4" xfId="0"/>
    <cellStyle name="_CRT_VSE WFP_100608_By Region" xfId="0"/>
    <cellStyle name="_CRT_VSE WFP_100608_CORP SG&amp;A" xfId="0"/>
    <cellStyle name="_CRT_VSE WFP_100608_Digitizer" xfId="0"/>
    <cellStyle name="_CRT_VSE WFP_100608_GPS OTHER" xfId="0"/>
    <cellStyle name="_CRT_VSE WFP_100608_GPS OTHER 2" xfId="0"/>
    <cellStyle name="_CRT_VSE WFP_100608_GPS OTHER 3" xfId="0"/>
    <cellStyle name="_CRT_VSE WFP_100608_GPS OTHER 4" xfId="0"/>
    <cellStyle name="_CRT_VSE WFP_100608_GPS OTHER 4 2" xfId="0"/>
    <cellStyle name="_CRT_VSE WFP_100608_GPS OTHER_By Region" xfId="0"/>
    <cellStyle name="_CRT_VSE WFP_100608_GPS OTHER_CORP SG&amp;A" xfId="0"/>
    <cellStyle name="_CRT_VSE WFP_100608_GPS OTHER_LCD" xfId="0"/>
    <cellStyle name="_CRT_VSE WFP_100608_GPS OTHER_PJ" xfId="0"/>
    <cellStyle name="_CRT_VSE WFP_100608_LCD" xfId="0"/>
    <cellStyle name="_CRT_VSE WFP_100608_LCD 2" xfId="0"/>
    <cellStyle name="_CRT_VSE WFP_100608_LCD 3" xfId="0"/>
    <cellStyle name="_CRT_VSE WFP_100608_LCD 4" xfId="0"/>
    <cellStyle name="_CRT_VSE WFP_100608_LCD_By Region" xfId="0"/>
    <cellStyle name="_CRT_VSE WFP_100608_LCD_CORP SG&amp;A" xfId="0"/>
    <cellStyle name="_CRT_VSE WFP_100608_LCD_LCD" xfId="0"/>
    <cellStyle name="_CRT_VSE WFP_100608_LCD_PJ" xfId="0"/>
    <cellStyle name="_CRT_VSE WFP_100608_lightling" xfId="0"/>
    <cellStyle name="_CRT_VSE WFP_100608_lightling 2" xfId="0"/>
    <cellStyle name="_CRT_VSE WFP_100608_lightling_By Region" xfId="0"/>
    <cellStyle name="_CRT_VSE WFP_100608_lightling_CORP SG&amp;A" xfId="0"/>
    <cellStyle name="_CRT_VSE WFP_100608_PC Products" xfId="0"/>
    <cellStyle name="_CRT_VSE WFP_100608_PC Products 2" xfId="0"/>
    <cellStyle name="_CRT_VSE WFP_100608_PC Products 3" xfId="0"/>
    <cellStyle name="_CRT_VSE WFP_100608_PC Products 4" xfId="0"/>
    <cellStyle name="_CRT_VSE WFP_100608_PC Products 4 2" xfId="0"/>
    <cellStyle name="_CRT_VSE WFP_100608_PC Products_By Region" xfId="0"/>
    <cellStyle name="_CRT_VSE WFP_100608_PC Products_CORP SG&amp;A" xfId="0"/>
    <cellStyle name="_CRT_VSE WFP_100608_PC Products_LCD" xfId="0"/>
    <cellStyle name="_CRT_VSE WFP_100608_PC Products_PJ" xfId="0"/>
    <cellStyle name="_CRT_VSE WFP_100608_VSA 111014" xfId="0"/>
    <cellStyle name="_CRT_VSE WFP_100608_VSA 111014 2" xfId="0"/>
    <cellStyle name="_CRT_VSE WFP_100608_VSA 111014 3" xfId="0"/>
    <cellStyle name="_CRT_VSE WFP_100608_VSA 111014 4" xfId="0"/>
    <cellStyle name="_CRT_VSE WFP_100608_VSA 111014 4 2" xfId="0"/>
    <cellStyle name="_CRT_VSE WFP_100608_VSA 111014_By Region" xfId="0"/>
    <cellStyle name="_CRT_VSE WFP_100608_VSA 111014_CORP SG&amp;A" xfId="0"/>
    <cellStyle name="_CRT_VSE WFP_100608_VSA 111014_LCD" xfId="0"/>
    <cellStyle name="_CRT_VSE WFP_100608_VSA 111014_PJ" xfId="0"/>
    <cellStyle name="_CRT_VSE WFP_100608_VSA Roll-Up (LW)" xfId="0"/>
    <cellStyle name="_CRT_VSE WFP_100608_VSA Roll-Up (LW) 2" xfId="0"/>
    <cellStyle name="_CRT_VSE WFP_100608_VSA Roll-Up (LW) 3" xfId="0"/>
    <cellStyle name="_CRT_VSE WFP_100608_VSA Roll-Up (LW) 4" xfId="0"/>
    <cellStyle name="_CRT_VSE WFP_100608_VSA Roll-Up (LW) 4 2" xfId="0"/>
    <cellStyle name="_CRT_VSE WFP_100608_VSA Roll-Up (LW)_By Region" xfId="0"/>
    <cellStyle name="_CRT_VSE WFP_100608_VSA Roll-Up (LW)_CORP SG&amp;A" xfId="0"/>
    <cellStyle name="_CRT_VSE WFP_100608_VSA Roll-Up (LW)_LCD" xfId="0"/>
    <cellStyle name="_CRT_VSE WFP_100608_VSA Roll-Up (LW)_PJ" xfId="0"/>
    <cellStyle name="_CRT_VSE WFP_100625" xfId="0"/>
    <cellStyle name="_CRT_VSE WFP_100625 2" xfId="0"/>
    <cellStyle name="_CRT_VSE WFP_100625 3" xfId="0"/>
    <cellStyle name="_CRT_VSE WFP_100625 4" xfId="0"/>
    <cellStyle name="_CRT_VSE WFP_100625_By Region" xfId="0"/>
    <cellStyle name="_CRT_VSE WFP_100625_CORP SG&amp;A" xfId="0"/>
    <cellStyle name="_CRT_VSE WFP_100625_Digitizer" xfId="0"/>
    <cellStyle name="_CRT_VSE WFP_100625_GPS OTHER" xfId="0"/>
    <cellStyle name="_CRT_VSE WFP_100625_GPS OTHER 2" xfId="0"/>
    <cellStyle name="_CRT_VSE WFP_100625_GPS OTHER 3" xfId="0"/>
    <cellStyle name="_CRT_VSE WFP_100625_GPS OTHER 4" xfId="0"/>
    <cellStyle name="_CRT_VSE WFP_100625_GPS OTHER 4 2" xfId="0"/>
    <cellStyle name="_CRT_VSE WFP_100625_GPS OTHER_By Region" xfId="0"/>
    <cellStyle name="_CRT_VSE WFP_100625_GPS OTHER_CORP SG&amp;A" xfId="0"/>
    <cellStyle name="_CRT_VSE WFP_100625_GPS OTHER_LCD" xfId="0"/>
    <cellStyle name="_CRT_VSE WFP_100625_GPS OTHER_PJ" xfId="0"/>
    <cellStyle name="_CRT_VSE WFP_100625_LCD" xfId="0"/>
    <cellStyle name="_CRT_VSE WFP_100625_LCD 2" xfId="0"/>
    <cellStyle name="_CRT_VSE WFP_100625_LCD 3" xfId="0"/>
    <cellStyle name="_CRT_VSE WFP_100625_LCD 4" xfId="0"/>
    <cellStyle name="_CRT_VSE WFP_100625_LCD_By Region" xfId="0"/>
    <cellStyle name="_CRT_VSE WFP_100625_LCD_CORP SG&amp;A" xfId="0"/>
    <cellStyle name="_CRT_VSE WFP_100625_LCD_LCD" xfId="0"/>
    <cellStyle name="_CRT_VSE WFP_100625_LCD_PJ" xfId="0"/>
    <cellStyle name="_CRT_VSE WFP_100625_lightling" xfId="0"/>
    <cellStyle name="_CRT_VSE WFP_100625_lightling 2" xfId="0"/>
    <cellStyle name="_CRT_VSE WFP_100625_lightling_By Region" xfId="0"/>
    <cellStyle name="_CRT_VSE WFP_100625_lightling_CORP SG&amp;A" xfId="0"/>
    <cellStyle name="_CRT_VSE WFP_100625_PC Products" xfId="0"/>
    <cellStyle name="_CRT_VSE WFP_100625_PC Products 2" xfId="0"/>
    <cellStyle name="_CRT_VSE WFP_100625_PC Products 3" xfId="0"/>
    <cellStyle name="_CRT_VSE WFP_100625_PC Products 4" xfId="0"/>
    <cellStyle name="_CRT_VSE WFP_100625_PC Products 4 2" xfId="0"/>
    <cellStyle name="_CRT_VSE WFP_100625_PC Products_By Region" xfId="0"/>
    <cellStyle name="_CRT_VSE WFP_100625_PC Products_CORP SG&amp;A" xfId="0"/>
    <cellStyle name="_CRT_VSE WFP_100625_PC Products_LCD" xfId="0"/>
    <cellStyle name="_CRT_VSE WFP_100625_PC Products_PJ" xfId="0"/>
    <cellStyle name="_CRT_VSE WFP_100625_VSA 111014" xfId="0"/>
    <cellStyle name="_CRT_VSE WFP_100625_VSA 111014 2" xfId="0"/>
    <cellStyle name="_CRT_VSE WFP_100625_VSA 111014 3" xfId="0"/>
    <cellStyle name="_CRT_VSE WFP_100625_VSA 111014 4" xfId="0"/>
    <cellStyle name="_CRT_VSE WFP_100625_VSA 111014 4 2" xfId="0"/>
    <cellStyle name="_CRT_VSE WFP_100625_VSA 111014_By Region" xfId="0"/>
    <cellStyle name="_CRT_VSE WFP_100625_VSA 111014_CORP SG&amp;A" xfId="0"/>
    <cellStyle name="_CRT_VSE WFP_100625_VSA 111014_LCD" xfId="0"/>
    <cellStyle name="_CRT_VSE WFP_100625_VSA 111014_PJ" xfId="0"/>
    <cellStyle name="_CRT_VSE WFP_100625_VSA Roll-Up (LW)" xfId="0"/>
    <cellStyle name="_CRT_VSE WFP_100625_VSA Roll-Up (LW) 2" xfId="0"/>
    <cellStyle name="_CRT_VSE WFP_100625_VSA Roll-Up (LW) 3" xfId="0"/>
    <cellStyle name="_CRT_VSE WFP_100625_VSA Roll-Up (LW) 4" xfId="0"/>
    <cellStyle name="_CRT_VSE WFP_100625_VSA Roll-Up (LW) 4 2" xfId="0"/>
    <cellStyle name="_CRT_VSE WFP_100625_VSA Roll-Up (LW)_By Region" xfId="0"/>
    <cellStyle name="_CRT_VSE WFP_100625_VSA Roll-Up (LW)_CORP SG&amp;A" xfId="0"/>
    <cellStyle name="_CRT_VSE WFP_100625_VSA Roll-Up (LW)_LCD" xfId="0"/>
    <cellStyle name="_CRT_VSE WFP_100625_VSA Roll-Up (LW)_PJ" xfId="0"/>
    <cellStyle name="_CRT_VSE WFP_100708_3rd" xfId="0"/>
    <cellStyle name="_CRT_VSE WFP_100708_3rd 2" xfId="0"/>
    <cellStyle name="_CRT_VSE WFP_100708_3rd 3" xfId="0"/>
    <cellStyle name="_CRT_VSE WFP_100708_3rd 4" xfId="0"/>
    <cellStyle name="_CRT_VSE WFP_100708_3rd_By Region" xfId="0"/>
    <cellStyle name="_CRT_VSE WFP_100708_3rd_CORP SG&amp;A" xfId="0"/>
    <cellStyle name="_CRT_VSE WFP_100708_3rd_Digitizer" xfId="0"/>
    <cellStyle name="_CRT_VSE WFP_100708_3rd_GPS OTHER" xfId="0"/>
    <cellStyle name="_CRT_VSE WFP_100708_3rd_GPS OTHER 2" xfId="0"/>
    <cellStyle name="_CRT_VSE WFP_100708_3rd_GPS OTHER 3" xfId="0"/>
    <cellStyle name="_CRT_VSE WFP_100708_3rd_GPS OTHER 4" xfId="0"/>
    <cellStyle name="_CRT_VSE WFP_100708_3rd_GPS OTHER 4 2" xfId="0"/>
    <cellStyle name="_CRT_VSE WFP_100708_3rd_GPS OTHER_By Region" xfId="0"/>
    <cellStyle name="_CRT_VSE WFP_100708_3rd_GPS OTHER_CORP SG&amp;A" xfId="0"/>
    <cellStyle name="_CRT_VSE WFP_100708_3rd_GPS OTHER_LCD" xfId="0"/>
    <cellStyle name="_CRT_VSE WFP_100708_3rd_GPS OTHER_PJ" xfId="0"/>
    <cellStyle name="_CRT_VSE WFP_100708_3rd_LCD" xfId="0"/>
    <cellStyle name="_CRT_VSE WFP_100708_3rd_LCD 2" xfId="0"/>
    <cellStyle name="_CRT_VSE WFP_100708_3rd_LCD 3" xfId="0"/>
    <cellStyle name="_CRT_VSE WFP_100708_3rd_LCD 4" xfId="0"/>
    <cellStyle name="_CRT_VSE WFP_100708_3rd_LCD_By Region" xfId="0"/>
    <cellStyle name="_CRT_VSE WFP_100708_3rd_LCD_CORP SG&amp;A" xfId="0"/>
    <cellStyle name="_CRT_VSE WFP_100708_3rd_LCD_LCD" xfId="0"/>
    <cellStyle name="_CRT_VSE WFP_100708_3rd_LCD_PJ" xfId="0"/>
    <cellStyle name="_CRT_VSE WFP_100708_3rd_lightling" xfId="0"/>
    <cellStyle name="_CRT_VSE WFP_100708_3rd_lightling 2" xfId="0"/>
    <cellStyle name="_CRT_VSE WFP_100708_3rd_lightling_By Region" xfId="0"/>
    <cellStyle name="_CRT_VSE WFP_100708_3rd_lightling_CORP SG&amp;A" xfId="0"/>
    <cellStyle name="_CRT_VSE WFP_100708_3rd_PC Products" xfId="0"/>
    <cellStyle name="_CRT_VSE WFP_100708_3rd_PC Products 2" xfId="0"/>
    <cellStyle name="_CRT_VSE WFP_100708_3rd_PC Products 3" xfId="0"/>
    <cellStyle name="_CRT_VSE WFP_100708_3rd_PC Products 4" xfId="0"/>
    <cellStyle name="_CRT_VSE WFP_100708_3rd_PC Products 4 2" xfId="0"/>
    <cellStyle name="_CRT_VSE WFP_100708_3rd_PC Products_By Region" xfId="0"/>
    <cellStyle name="_CRT_VSE WFP_100708_3rd_PC Products_CORP SG&amp;A" xfId="0"/>
    <cellStyle name="_CRT_VSE WFP_100708_3rd_PC Products_LCD" xfId="0"/>
    <cellStyle name="_CRT_VSE WFP_100708_3rd_PC Products_PJ" xfId="0"/>
    <cellStyle name="_CRT_VSE WFP_100708_3rd_VSA 111014" xfId="0"/>
    <cellStyle name="_CRT_VSE WFP_100708_3rd_VSA 111014 2" xfId="0"/>
    <cellStyle name="_CRT_VSE WFP_100708_3rd_VSA 111014 3" xfId="0"/>
    <cellStyle name="_CRT_VSE WFP_100708_3rd_VSA 111014 4" xfId="0"/>
    <cellStyle name="_CRT_VSE WFP_100708_3rd_VSA 111014 4 2" xfId="0"/>
    <cellStyle name="_CRT_VSE WFP_100708_3rd_VSA 111014_By Region" xfId="0"/>
    <cellStyle name="_CRT_VSE WFP_100708_3rd_VSA 111014_CORP SG&amp;A" xfId="0"/>
    <cellStyle name="_CRT_VSE WFP_100708_3rd_VSA 111014_LCD" xfId="0"/>
    <cellStyle name="_CRT_VSE WFP_100708_3rd_VSA 111014_PJ" xfId="0"/>
    <cellStyle name="_CRT_VSE WFP_100708_3rd_VSA Roll-Up (LW)" xfId="0"/>
    <cellStyle name="_CRT_VSE WFP_100708_3rd_VSA Roll-Up (LW) 2" xfId="0"/>
    <cellStyle name="_CRT_VSE WFP_100708_3rd_VSA Roll-Up (LW) 3" xfId="0"/>
    <cellStyle name="_CRT_VSE WFP_100708_3rd_VSA Roll-Up (LW) 4" xfId="0"/>
    <cellStyle name="_CRT_VSE WFP_100708_3rd_VSA Roll-Up (LW) 4 2" xfId="0"/>
    <cellStyle name="_CRT_VSE WFP_100708_3rd_VSA Roll-Up (LW)_By Region" xfId="0"/>
    <cellStyle name="_CRT_VSE WFP_100708_3rd_VSA Roll-Up (LW)_CORP SG&amp;A" xfId="0"/>
    <cellStyle name="_CRT_VSE WFP_100708_3rd_VSA Roll-Up (LW)_LCD" xfId="0"/>
    <cellStyle name="_CRT_VSE WFP_100708_3rd_VSA Roll-Up (LW)_PJ" xfId="0"/>
    <cellStyle name="_CRT_VSE WFP_100726" xfId="0"/>
    <cellStyle name="_CRT_VSE WFP_100726 2" xfId="0"/>
    <cellStyle name="_CRT_VSE WFP_100726 3" xfId="0"/>
    <cellStyle name="_CRT_VSE WFP_100726 4" xfId="0"/>
    <cellStyle name="_CRT_VSE WFP_100726-1" xfId="0"/>
    <cellStyle name="_CRT_VSE WFP_100726-1 2" xfId="0"/>
    <cellStyle name="_CRT_VSE WFP_100726-1 3" xfId="0"/>
    <cellStyle name="_CRT_VSE WFP_100726-1 4" xfId="0"/>
    <cellStyle name="_CRT_VSE WFP_100726-1_By Region" xfId="0"/>
    <cellStyle name="_CRT_VSE WFP_100726-1_CORP SG&amp;A" xfId="0"/>
    <cellStyle name="_CRT_VSE WFP_100726-1_Digitizer" xfId="0"/>
    <cellStyle name="_CRT_VSE WFP_100726-1_GPS OTHER" xfId="0"/>
    <cellStyle name="_CRT_VSE WFP_100726-1_GPS OTHER 2" xfId="0"/>
    <cellStyle name="_CRT_VSE WFP_100726-1_GPS OTHER 3" xfId="0"/>
    <cellStyle name="_CRT_VSE WFP_100726-1_GPS OTHER 4" xfId="0"/>
    <cellStyle name="_CRT_VSE WFP_100726-1_GPS OTHER 4 2" xfId="0"/>
    <cellStyle name="_CRT_VSE WFP_100726-1_GPS OTHER_By Region" xfId="0"/>
    <cellStyle name="_CRT_VSE WFP_100726-1_GPS OTHER_CORP SG&amp;A" xfId="0"/>
    <cellStyle name="_CRT_VSE WFP_100726-1_GPS OTHER_LCD" xfId="0"/>
    <cellStyle name="_CRT_VSE WFP_100726-1_GPS OTHER_PJ" xfId="0"/>
    <cellStyle name="_CRT_VSE WFP_100726-1_LCD" xfId="0"/>
    <cellStyle name="_CRT_VSE WFP_100726-1_LCD 2" xfId="0"/>
    <cellStyle name="_CRT_VSE WFP_100726-1_LCD 3" xfId="0"/>
    <cellStyle name="_CRT_VSE WFP_100726-1_LCD 4" xfId="0"/>
    <cellStyle name="_CRT_VSE WFP_100726-1_LCD_By Region" xfId="0"/>
    <cellStyle name="_CRT_VSE WFP_100726-1_LCD_CORP SG&amp;A" xfId="0"/>
    <cellStyle name="_CRT_VSE WFP_100726-1_LCD_LCD" xfId="0"/>
    <cellStyle name="_CRT_VSE WFP_100726-1_LCD_PJ" xfId="0"/>
    <cellStyle name="_CRT_VSE WFP_100726-1_lightling" xfId="0"/>
    <cellStyle name="_CRT_VSE WFP_100726-1_lightling 2" xfId="0"/>
    <cellStyle name="_CRT_VSE WFP_100726-1_lightling_By Region" xfId="0"/>
    <cellStyle name="_CRT_VSE WFP_100726-1_lightling_CORP SG&amp;A" xfId="0"/>
    <cellStyle name="_CRT_VSE WFP_100726-1_PC Products" xfId="0"/>
    <cellStyle name="_CRT_VSE WFP_100726-1_PC Products 2" xfId="0"/>
    <cellStyle name="_CRT_VSE WFP_100726-1_PC Products 3" xfId="0"/>
    <cellStyle name="_CRT_VSE WFP_100726-1_PC Products 4" xfId="0"/>
    <cellStyle name="_CRT_VSE WFP_100726-1_PC Products 4 2" xfId="0"/>
    <cellStyle name="_CRT_VSE WFP_100726-1_PC Products_By Region" xfId="0"/>
    <cellStyle name="_CRT_VSE WFP_100726-1_PC Products_CORP SG&amp;A" xfId="0"/>
    <cellStyle name="_CRT_VSE WFP_100726-1_PC Products_LCD" xfId="0"/>
    <cellStyle name="_CRT_VSE WFP_100726-1_PC Products_PJ" xfId="0"/>
    <cellStyle name="_CRT_VSE WFP_100726-1_VSA 111014" xfId="0"/>
    <cellStyle name="_CRT_VSE WFP_100726-1_VSA 111014 2" xfId="0"/>
    <cellStyle name="_CRT_VSE WFP_100726-1_VSA 111014 3" xfId="0"/>
    <cellStyle name="_CRT_VSE WFP_100726-1_VSA 111014 4" xfId="0"/>
    <cellStyle name="_CRT_VSE WFP_100726-1_VSA 111014 4 2" xfId="0"/>
    <cellStyle name="_CRT_VSE WFP_100726-1_VSA 111014_By Region" xfId="0"/>
    <cellStyle name="_CRT_VSE WFP_100726-1_VSA 111014_CORP SG&amp;A" xfId="0"/>
    <cellStyle name="_CRT_VSE WFP_100726-1_VSA 111014_LCD" xfId="0"/>
    <cellStyle name="_CRT_VSE WFP_100726-1_VSA 111014_PJ" xfId="0"/>
    <cellStyle name="_CRT_VSE WFP_100726-1_VSA Roll-Up (LW)" xfId="0"/>
    <cellStyle name="_CRT_VSE WFP_100726-1_VSA Roll-Up (LW) 2" xfId="0"/>
    <cellStyle name="_CRT_VSE WFP_100726-1_VSA Roll-Up (LW) 3" xfId="0"/>
    <cellStyle name="_CRT_VSE WFP_100726-1_VSA Roll-Up (LW) 4" xfId="0"/>
    <cellStyle name="_CRT_VSE WFP_100726-1_VSA Roll-Up (LW) 4 2" xfId="0"/>
    <cellStyle name="_CRT_VSE WFP_100726-1_VSA Roll-Up (LW)_By Region" xfId="0"/>
    <cellStyle name="_CRT_VSE WFP_100726-1_VSA Roll-Up (LW)_CORP SG&amp;A" xfId="0"/>
    <cellStyle name="_CRT_VSE WFP_100726-1_VSA Roll-Up (LW)_LCD" xfId="0"/>
    <cellStyle name="_CRT_VSE WFP_100726-1_VSA Roll-Up (LW)_PJ" xfId="0"/>
    <cellStyle name="_CRT_VSE WFP_100726-2-yc" xfId="0"/>
    <cellStyle name="_CRT_VSE WFP_100726-2-yc 2" xfId="0"/>
    <cellStyle name="_CRT_VSE WFP_100726-2-yc 3" xfId="0"/>
    <cellStyle name="_CRT_VSE WFP_100726-2-yc 4" xfId="0"/>
    <cellStyle name="_CRT_VSE WFP_100726-2-yc_By Region" xfId="0"/>
    <cellStyle name="_CRT_VSE WFP_100726-2-yc_CORP SG&amp;A" xfId="0"/>
    <cellStyle name="_CRT_VSE WFP_100726-2-yc_Digitizer" xfId="0"/>
    <cellStyle name="_CRT_VSE WFP_100726-2-yc_GPS OTHER" xfId="0"/>
    <cellStyle name="_CRT_VSE WFP_100726-2-yc_GPS OTHER 2" xfId="0"/>
    <cellStyle name="_CRT_VSE WFP_100726-2-yc_GPS OTHER 3" xfId="0"/>
    <cellStyle name="_CRT_VSE WFP_100726-2-yc_GPS OTHER 4" xfId="0"/>
    <cellStyle name="_CRT_VSE WFP_100726-2-yc_GPS OTHER 4 2" xfId="0"/>
    <cellStyle name="_CRT_VSE WFP_100726-2-yc_GPS OTHER_By Region" xfId="0"/>
    <cellStyle name="_CRT_VSE WFP_100726-2-yc_GPS OTHER_CORP SG&amp;A" xfId="0"/>
    <cellStyle name="_CRT_VSE WFP_100726-2-yc_GPS OTHER_LCD" xfId="0"/>
    <cellStyle name="_CRT_VSE WFP_100726-2-yc_GPS OTHER_PJ" xfId="0"/>
    <cellStyle name="_CRT_VSE WFP_100726-2-yc_LCD" xfId="0"/>
    <cellStyle name="_CRT_VSE WFP_100726-2-yc_LCD 2" xfId="0"/>
    <cellStyle name="_CRT_VSE WFP_100726-2-yc_LCD 3" xfId="0"/>
    <cellStyle name="_CRT_VSE WFP_100726-2-yc_LCD 4" xfId="0"/>
    <cellStyle name="_CRT_VSE WFP_100726-2-yc_LCD_By Region" xfId="0"/>
    <cellStyle name="_CRT_VSE WFP_100726-2-yc_LCD_CORP SG&amp;A" xfId="0"/>
    <cellStyle name="_CRT_VSE WFP_100726-2-yc_LCD_LCD" xfId="0"/>
    <cellStyle name="_CRT_VSE WFP_100726-2-yc_LCD_PJ" xfId="0"/>
    <cellStyle name="_CRT_VSE WFP_100726-2-yc_lightling" xfId="0"/>
    <cellStyle name="_CRT_VSE WFP_100726-2-yc_lightling 2" xfId="0"/>
    <cellStyle name="_CRT_VSE WFP_100726-2-yc_lightling_By Region" xfId="0"/>
    <cellStyle name="_CRT_VSE WFP_100726-2-yc_lightling_CORP SG&amp;A" xfId="0"/>
    <cellStyle name="_CRT_VSE WFP_100726-2-yc_PC Products" xfId="0"/>
    <cellStyle name="_CRT_VSE WFP_100726-2-yc_PC Products 2" xfId="0"/>
    <cellStyle name="_CRT_VSE WFP_100726-2-yc_PC Products 3" xfId="0"/>
    <cellStyle name="_CRT_VSE WFP_100726-2-yc_PC Products 4" xfId="0"/>
    <cellStyle name="_CRT_VSE WFP_100726-2-yc_PC Products 4 2" xfId="0"/>
    <cellStyle name="_CRT_VSE WFP_100726-2-yc_PC Products_By Region" xfId="0"/>
    <cellStyle name="_CRT_VSE WFP_100726-2-yc_PC Products_CORP SG&amp;A" xfId="0"/>
    <cellStyle name="_CRT_VSE WFP_100726-2-yc_PC Products_LCD" xfId="0"/>
    <cellStyle name="_CRT_VSE WFP_100726-2-yc_PC Products_PJ" xfId="0"/>
    <cellStyle name="_CRT_VSE WFP_100726-2-yc_VSA 111014" xfId="0"/>
    <cellStyle name="_CRT_VSE WFP_100726-2-yc_VSA 111014 2" xfId="0"/>
    <cellStyle name="_CRT_VSE WFP_100726-2-yc_VSA 111014 3" xfId="0"/>
    <cellStyle name="_CRT_VSE WFP_100726-2-yc_VSA 111014 4" xfId="0"/>
    <cellStyle name="_CRT_VSE WFP_100726-2-yc_VSA 111014 4 2" xfId="0"/>
    <cellStyle name="_CRT_VSE WFP_100726-2-yc_VSA 111014_By Region" xfId="0"/>
    <cellStyle name="_CRT_VSE WFP_100726-2-yc_VSA 111014_CORP SG&amp;A" xfId="0"/>
    <cellStyle name="_CRT_VSE WFP_100726-2-yc_VSA 111014_LCD" xfId="0"/>
    <cellStyle name="_CRT_VSE WFP_100726-2-yc_VSA 111014_PJ" xfId="0"/>
    <cellStyle name="_CRT_VSE WFP_100726-2-yc_VSA Roll-Up (LW)" xfId="0"/>
    <cellStyle name="_CRT_VSE WFP_100726-2-yc_VSA Roll-Up (LW) 2" xfId="0"/>
    <cellStyle name="_CRT_VSE WFP_100726-2-yc_VSA Roll-Up (LW) 3" xfId="0"/>
    <cellStyle name="_CRT_VSE WFP_100726-2-yc_VSA Roll-Up (LW) 4" xfId="0"/>
    <cellStyle name="_CRT_VSE WFP_100726-2-yc_VSA Roll-Up (LW) 4 2" xfId="0"/>
    <cellStyle name="_CRT_VSE WFP_100726-2-yc_VSA Roll-Up (LW)_By Region" xfId="0"/>
    <cellStyle name="_CRT_VSE WFP_100726-2-yc_VSA Roll-Up (LW)_CORP SG&amp;A" xfId="0"/>
    <cellStyle name="_CRT_VSE WFP_100726-2-yc_VSA Roll-Up (LW)_LCD" xfId="0"/>
    <cellStyle name="_CRT_VSE WFP_100726-2-yc_VSA Roll-Up (LW)_PJ" xfId="0"/>
    <cellStyle name="_CRT_VSE WFP_100726_By Region" xfId="0"/>
    <cellStyle name="_CRT_VSE WFP_100726_CORP SG&amp;A" xfId="0"/>
    <cellStyle name="_CRT_VSE WFP_100726_Digitizer" xfId="0"/>
    <cellStyle name="_CRT_VSE WFP_100726_GPS OTHER" xfId="0"/>
    <cellStyle name="_CRT_VSE WFP_100726_GPS OTHER 2" xfId="0"/>
    <cellStyle name="_CRT_VSE WFP_100726_GPS OTHER 3" xfId="0"/>
    <cellStyle name="_CRT_VSE WFP_100726_GPS OTHER 4" xfId="0"/>
    <cellStyle name="_CRT_VSE WFP_100726_GPS OTHER 4 2" xfId="0"/>
    <cellStyle name="_CRT_VSE WFP_100726_GPS OTHER_By Region" xfId="0"/>
    <cellStyle name="_CRT_VSE WFP_100726_GPS OTHER_CORP SG&amp;A" xfId="0"/>
    <cellStyle name="_CRT_VSE WFP_100726_GPS OTHER_LCD" xfId="0"/>
    <cellStyle name="_CRT_VSE WFP_100726_GPS OTHER_PJ" xfId="0"/>
    <cellStyle name="_CRT_VSE WFP_100726_LCD" xfId="0"/>
    <cellStyle name="_CRT_VSE WFP_100726_LCD 2" xfId="0"/>
    <cellStyle name="_CRT_VSE WFP_100726_LCD 3" xfId="0"/>
    <cellStyle name="_CRT_VSE WFP_100726_LCD 4" xfId="0"/>
    <cellStyle name="_CRT_VSE WFP_100726_LCD_By Region" xfId="0"/>
    <cellStyle name="_CRT_VSE WFP_100726_LCD_CORP SG&amp;A" xfId="0"/>
    <cellStyle name="_CRT_VSE WFP_100726_LCD_LCD" xfId="0"/>
    <cellStyle name="_CRT_VSE WFP_100726_LCD_PJ" xfId="0"/>
    <cellStyle name="_CRT_VSE WFP_100726_lightling" xfId="0"/>
    <cellStyle name="_CRT_VSE WFP_100726_lightling 2" xfId="0"/>
    <cellStyle name="_CRT_VSE WFP_100726_lightling_By Region" xfId="0"/>
    <cellStyle name="_CRT_VSE WFP_100726_lightling_CORP SG&amp;A" xfId="0"/>
    <cellStyle name="_CRT_VSE WFP_100726_PC Products" xfId="0"/>
    <cellStyle name="_CRT_VSE WFP_100726_PC Products 2" xfId="0"/>
    <cellStyle name="_CRT_VSE WFP_100726_PC Products 3" xfId="0"/>
    <cellStyle name="_CRT_VSE WFP_100726_PC Products 4" xfId="0"/>
    <cellStyle name="_CRT_VSE WFP_100726_PC Products 4 2" xfId="0"/>
    <cellStyle name="_CRT_VSE WFP_100726_PC Products_By Region" xfId="0"/>
    <cellStyle name="_CRT_VSE WFP_100726_PC Products_CORP SG&amp;A" xfId="0"/>
    <cellStyle name="_CRT_VSE WFP_100726_PC Products_LCD" xfId="0"/>
    <cellStyle name="_CRT_VSE WFP_100726_PC Products_PJ" xfId="0"/>
    <cellStyle name="_CRT_VSE WFP_100726_VSA 111014" xfId="0"/>
    <cellStyle name="_CRT_VSE WFP_100726_VSA 111014 2" xfId="0"/>
    <cellStyle name="_CRT_VSE WFP_100726_VSA 111014 3" xfId="0"/>
    <cellStyle name="_CRT_VSE WFP_100726_VSA 111014 4" xfId="0"/>
    <cellStyle name="_CRT_VSE WFP_100726_VSA 111014 4 2" xfId="0"/>
    <cellStyle name="_CRT_VSE WFP_100726_VSA 111014_By Region" xfId="0"/>
    <cellStyle name="_CRT_VSE WFP_100726_VSA 111014_CORP SG&amp;A" xfId="0"/>
    <cellStyle name="_CRT_VSE WFP_100726_VSA 111014_LCD" xfId="0"/>
    <cellStyle name="_CRT_VSE WFP_100726_VSA 111014_PJ" xfId="0"/>
    <cellStyle name="_CRT_VSE WFP_100726_VSA Roll-Up (LW)" xfId="0"/>
    <cellStyle name="_CRT_VSE WFP_100726_VSA Roll-Up (LW) 2" xfId="0"/>
    <cellStyle name="_CRT_VSE WFP_100726_VSA Roll-Up (LW) 3" xfId="0"/>
    <cellStyle name="_CRT_VSE WFP_100726_VSA Roll-Up (LW) 4" xfId="0"/>
    <cellStyle name="_CRT_VSE WFP_100726_VSA Roll-Up (LW) 4 2" xfId="0"/>
    <cellStyle name="_CRT_VSE WFP_100726_VSA Roll-Up (LW)_By Region" xfId="0"/>
    <cellStyle name="_CRT_VSE WFP_100726_VSA Roll-Up (LW)_CORP SG&amp;A" xfId="0"/>
    <cellStyle name="_CRT_VSE WFP_100726_VSA Roll-Up (LW)_LCD" xfId="0"/>
    <cellStyle name="_CRT_VSE WFP_100726_VSA Roll-Up (LW)_PJ" xfId="0"/>
    <cellStyle name="_CRT_VSE WFP_100827-1" xfId="0"/>
    <cellStyle name="_CRT_VSE WFP_100827-1 2" xfId="0"/>
    <cellStyle name="_CRT_VSE WFP_100827-1 3" xfId="0"/>
    <cellStyle name="_CRT_VSE WFP_100827-1 4" xfId="0"/>
    <cellStyle name="_CRT_VSE WFP_100827-1_By Region" xfId="0"/>
    <cellStyle name="_CRT_VSE WFP_100827-1_CORP SG&amp;A" xfId="0"/>
    <cellStyle name="_CRT_VSE WFP_100827-1_Digitizer" xfId="0"/>
    <cellStyle name="_CRT_VSE WFP_100827-1_GPS OTHER" xfId="0"/>
    <cellStyle name="_CRT_VSE WFP_100827-1_GPS OTHER 2" xfId="0"/>
    <cellStyle name="_CRT_VSE WFP_100827-1_GPS OTHER 3" xfId="0"/>
    <cellStyle name="_CRT_VSE WFP_100827-1_GPS OTHER 4" xfId="0"/>
    <cellStyle name="_CRT_VSE WFP_100827-1_GPS OTHER 4 2" xfId="0"/>
    <cellStyle name="_CRT_VSE WFP_100827-1_GPS OTHER_By Region" xfId="0"/>
    <cellStyle name="_CRT_VSE WFP_100827-1_GPS OTHER_CORP SG&amp;A" xfId="0"/>
    <cellStyle name="_CRT_VSE WFP_100827-1_GPS OTHER_LCD" xfId="0"/>
    <cellStyle name="_CRT_VSE WFP_100827-1_GPS OTHER_PJ" xfId="0"/>
    <cellStyle name="_CRT_VSE WFP_100827-1_LCD" xfId="0"/>
    <cellStyle name="_CRT_VSE WFP_100827-1_LCD 2" xfId="0"/>
    <cellStyle name="_CRT_VSE WFP_100827-1_LCD 3" xfId="0"/>
    <cellStyle name="_CRT_VSE WFP_100827-1_LCD 4" xfId="0"/>
    <cellStyle name="_CRT_VSE WFP_100827-1_LCD_By Region" xfId="0"/>
    <cellStyle name="_CRT_VSE WFP_100827-1_LCD_CORP SG&amp;A" xfId="0"/>
    <cellStyle name="_CRT_VSE WFP_100827-1_LCD_LCD" xfId="0"/>
    <cellStyle name="_CRT_VSE WFP_100827-1_LCD_PJ" xfId="0"/>
    <cellStyle name="_CRT_VSE WFP_100827-1_lightling" xfId="0"/>
    <cellStyle name="_CRT_VSE WFP_100827-1_lightling 2" xfId="0"/>
    <cellStyle name="_CRT_VSE WFP_100827-1_lightling_By Region" xfId="0"/>
    <cellStyle name="_CRT_VSE WFP_100827-1_lightling_CORP SG&amp;A" xfId="0"/>
    <cellStyle name="_CRT_VSE WFP_100827-1_PC Products" xfId="0"/>
    <cellStyle name="_CRT_VSE WFP_100827-1_PC Products 2" xfId="0"/>
    <cellStyle name="_CRT_VSE WFP_100827-1_PC Products 3" xfId="0"/>
    <cellStyle name="_CRT_VSE WFP_100827-1_PC Products 4" xfId="0"/>
    <cellStyle name="_CRT_VSE WFP_100827-1_PC Products 4 2" xfId="0"/>
    <cellStyle name="_CRT_VSE WFP_100827-1_PC Products_By Region" xfId="0"/>
    <cellStyle name="_CRT_VSE WFP_100827-1_PC Products_CORP SG&amp;A" xfId="0"/>
    <cellStyle name="_CRT_VSE WFP_100827-1_PC Products_LCD" xfId="0"/>
    <cellStyle name="_CRT_VSE WFP_100827-1_PC Products_PJ" xfId="0"/>
    <cellStyle name="_CRT_VSE WFP_100827-1_VSA 111014" xfId="0"/>
    <cellStyle name="_CRT_VSE WFP_100827-1_VSA 111014 2" xfId="0"/>
    <cellStyle name="_CRT_VSE WFP_100827-1_VSA 111014 3" xfId="0"/>
    <cellStyle name="_CRT_VSE WFP_100827-1_VSA 111014 4" xfId="0"/>
    <cellStyle name="_CRT_VSE WFP_100827-1_VSA 111014 4 2" xfId="0"/>
    <cellStyle name="_CRT_VSE WFP_100827-1_VSA 111014_By Region" xfId="0"/>
    <cellStyle name="_CRT_VSE WFP_100827-1_VSA 111014_CORP SG&amp;A" xfId="0"/>
    <cellStyle name="_CRT_VSE WFP_100827-1_VSA 111014_LCD" xfId="0"/>
    <cellStyle name="_CRT_VSE WFP_100827-1_VSA 111014_PJ" xfId="0"/>
    <cellStyle name="_CRT_VSE WFP_100827-1_VSA Roll-Up (LW)" xfId="0"/>
    <cellStyle name="_CRT_VSE WFP_100827-1_VSA Roll-Up (LW) 2" xfId="0"/>
    <cellStyle name="_CRT_VSE WFP_100827-1_VSA Roll-Up (LW) 3" xfId="0"/>
    <cellStyle name="_CRT_VSE WFP_100827-1_VSA Roll-Up (LW) 4" xfId="0"/>
    <cellStyle name="_CRT_VSE WFP_100827-1_VSA Roll-Up (LW) 4 2" xfId="0"/>
    <cellStyle name="_CRT_VSE WFP_100827-1_VSA Roll-Up (LW)_By Region" xfId="0"/>
    <cellStyle name="_CRT_VSE WFP_100827-1_VSA Roll-Up (LW)_CORP SG&amp;A" xfId="0"/>
    <cellStyle name="_CRT_VSE WFP_100827-1_VSA Roll-Up (LW)_LCD" xfId="0"/>
    <cellStyle name="_CRT_VSE WFP_100827-1_VSA Roll-Up (LW)_PJ" xfId="0"/>
    <cellStyle name="_CRT_VSE WFP_101001" xfId="0"/>
    <cellStyle name="_CRT_VSE WFP_101001 2" xfId="0"/>
    <cellStyle name="_CRT_VSE WFP_101001 3" xfId="0"/>
    <cellStyle name="_CRT_VSE WFP_101001 4" xfId="0"/>
    <cellStyle name="_CRT_VSE WFP_101001_By Region" xfId="0"/>
    <cellStyle name="_CRT_VSE WFP_101001_CORP SG&amp;A" xfId="0"/>
    <cellStyle name="_CRT_VSE WFP_101001_Digitizer" xfId="0"/>
    <cellStyle name="_CRT_VSE WFP_101001_GPS OTHER" xfId="0"/>
    <cellStyle name="_CRT_VSE WFP_101001_GPS OTHER 2" xfId="0"/>
    <cellStyle name="_CRT_VSE WFP_101001_GPS OTHER 3" xfId="0"/>
    <cellStyle name="_CRT_VSE WFP_101001_GPS OTHER 4" xfId="0"/>
    <cellStyle name="_CRT_VSE WFP_101001_GPS OTHER 4 2" xfId="0"/>
    <cellStyle name="_CRT_VSE WFP_101001_GPS OTHER_By Region" xfId="0"/>
    <cellStyle name="_CRT_VSE WFP_101001_GPS OTHER_CORP SG&amp;A" xfId="0"/>
    <cellStyle name="_CRT_VSE WFP_101001_GPS OTHER_LCD" xfId="0"/>
    <cellStyle name="_CRT_VSE WFP_101001_GPS OTHER_PJ" xfId="0"/>
    <cellStyle name="_CRT_VSE WFP_101001_LCD" xfId="0"/>
    <cellStyle name="_CRT_VSE WFP_101001_LCD 2" xfId="0"/>
    <cellStyle name="_CRT_VSE WFP_101001_LCD 3" xfId="0"/>
    <cellStyle name="_CRT_VSE WFP_101001_LCD 4" xfId="0"/>
    <cellStyle name="_CRT_VSE WFP_101001_LCD_By Region" xfId="0"/>
    <cellStyle name="_CRT_VSE WFP_101001_LCD_CORP SG&amp;A" xfId="0"/>
    <cellStyle name="_CRT_VSE WFP_101001_LCD_LCD" xfId="0"/>
    <cellStyle name="_CRT_VSE WFP_101001_LCD_PJ" xfId="0"/>
    <cellStyle name="_CRT_VSE WFP_101001_lightling" xfId="0"/>
    <cellStyle name="_CRT_VSE WFP_101001_lightling 2" xfId="0"/>
    <cellStyle name="_CRT_VSE WFP_101001_lightling_By Region" xfId="0"/>
    <cellStyle name="_CRT_VSE WFP_101001_lightling_CORP SG&amp;A" xfId="0"/>
    <cellStyle name="_CRT_VSE WFP_101001_PC Products" xfId="0"/>
    <cellStyle name="_CRT_VSE WFP_101001_PC Products 2" xfId="0"/>
    <cellStyle name="_CRT_VSE WFP_101001_PC Products 3" xfId="0"/>
    <cellStyle name="_CRT_VSE WFP_101001_PC Products 4" xfId="0"/>
    <cellStyle name="_CRT_VSE WFP_101001_PC Products 4 2" xfId="0"/>
    <cellStyle name="_CRT_VSE WFP_101001_PC Products_By Region" xfId="0"/>
    <cellStyle name="_CRT_VSE WFP_101001_PC Products_CORP SG&amp;A" xfId="0"/>
    <cellStyle name="_CRT_VSE WFP_101001_PC Products_LCD" xfId="0"/>
    <cellStyle name="_CRT_VSE WFP_101001_PC Products_PJ" xfId="0"/>
    <cellStyle name="_CRT_VSE WFP_101001_VSA 111014" xfId="0"/>
    <cellStyle name="_CRT_VSE WFP_101001_VSA 111014 2" xfId="0"/>
    <cellStyle name="_CRT_VSE WFP_101001_VSA 111014 3" xfId="0"/>
    <cellStyle name="_CRT_VSE WFP_101001_VSA 111014 4" xfId="0"/>
    <cellStyle name="_CRT_VSE WFP_101001_VSA 111014 4 2" xfId="0"/>
    <cellStyle name="_CRT_VSE WFP_101001_VSA 111014_By Region" xfId="0"/>
    <cellStyle name="_CRT_VSE WFP_101001_VSA 111014_CORP SG&amp;A" xfId="0"/>
    <cellStyle name="_CRT_VSE WFP_101001_VSA 111014_LCD" xfId="0"/>
    <cellStyle name="_CRT_VSE WFP_101001_VSA 111014_PJ" xfId="0"/>
    <cellStyle name="_CRT_VSE WFP_101001_VSA Roll-Up (LW)" xfId="0"/>
    <cellStyle name="_CRT_VSE WFP_101001_VSA Roll-Up (LW) 2" xfId="0"/>
    <cellStyle name="_CRT_VSE WFP_101001_VSA Roll-Up (LW) 3" xfId="0"/>
    <cellStyle name="_CRT_VSE WFP_101001_VSA Roll-Up (LW) 4" xfId="0"/>
    <cellStyle name="_CRT_VSE WFP_101001_VSA Roll-Up (LW) 4 2" xfId="0"/>
    <cellStyle name="_CRT_VSE WFP_101001_VSA Roll-Up (LW)_By Region" xfId="0"/>
    <cellStyle name="_CRT_VSE WFP_101001_VSA Roll-Up (LW)_CORP SG&amp;A" xfId="0"/>
    <cellStyle name="_CRT_VSE WFP_101001_VSA Roll-Up (LW)_LCD" xfId="0"/>
    <cellStyle name="_CRT_VSE WFP_101001_VSA Roll-Up (LW)_PJ" xfId="0"/>
    <cellStyle name="_CRT_VSE WFP_101029-with more ViewPad 7" xfId="0"/>
    <cellStyle name="_CRT_VSE WFP_101029-with more ViewPad 7 2" xfId="0"/>
    <cellStyle name="_CRT_VSE WFP_101029-with more ViewPad 7 3" xfId="0"/>
    <cellStyle name="_CRT_VSE WFP_101029-with more ViewPad 7 4" xfId="0"/>
    <cellStyle name="_CRT_VSE WFP_101029-with more ViewPad 7_By Region" xfId="0"/>
    <cellStyle name="_CRT_VSE WFP_101029-with more ViewPad 7_CORP SG&amp;A" xfId="0"/>
    <cellStyle name="_CRT_VSE WFP_101029-with more ViewPad 7_Digitizer" xfId="0"/>
    <cellStyle name="_CRT_VSE WFP_101029-with more ViewPad 7_GPS OTHER" xfId="0"/>
    <cellStyle name="_CRT_VSE WFP_101029-with more ViewPad 7_GPS OTHER 2" xfId="0"/>
    <cellStyle name="_CRT_VSE WFP_101029-with more ViewPad 7_GPS OTHER 3" xfId="0"/>
    <cellStyle name="_CRT_VSE WFP_101029-with more ViewPad 7_GPS OTHER 4" xfId="0"/>
    <cellStyle name="_CRT_VSE WFP_101029-with more ViewPad 7_GPS OTHER 4 2" xfId="0"/>
    <cellStyle name="_CRT_VSE WFP_101029-with more ViewPad 7_GPS OTHER_By Region" xfId="0"/>
    <cellStyle name="_CRT_VSE WFP_101029-with more ViewPad 7_GPS OTHER_CORP SG&amp;A" xfId="0"/>
    <cellStyle name="_CRT_VSE WFP_101029-with more ViewPad 7_GPS OTHER_LCD" xfId="0"/>
    <cellStyle name="_CRT_VSE WFP_101029-with more ViewPad 7_GPS OTHER_PJ" xfId="0"/>
    <cellStyle name="_CRT_VSE WFP_101029-with more ViewPad 7_LCD" xfId="0"/>
    <cellStyle name="_CRT_VSE WFP_101029-with more ViewPad 7_LCD 2" xfId="0"/>
    <cellStyle name="_CRT_VSE WFP_101029-with more ViewPad 7_LCD 3" xfId="0"/>
    <cellStyle name="_CRT_VSE WFP_101029-with more ViewPad 7_LCD 4" xfId="0"/>
    <cellStyle name="_CRT_VSE WFP_101029-with more ViewPad 7_LCD_By Region" xfId="0"/>
    <cellStyle name="_CRT_VSE WFP_101029-with more ViewPad 7_LCD_CORP SG&amp;A" xfId="0"/>
    <cellStyle name="_CRT_VSE WFP_101029-with more ViewPad 7_LCD_LCD" xfId="0"/>
    <cellStyle name="_CRT_VSE WFP_101029-with more ViewPad 7_LCD_PJ" xfId="0"/>
    <cellStyle name="_CRT_VSE WFP_101029-with more ViewPad 7_lightling" xfId="0"/>
    <cellStyle name="_CRT_VSE WFP_101029-with more ViewPad 7_lightling 2" xfId="0"/>
    <cellStyle name="_CRT_VSE WFP_101029-with more ViewPad 7_lightling_By Region" xfId="0"/>
    <cellStyle name="_CRT_VSE WFP_101029-with more ViewPad 7_lightling_CORP SG&amp;A" xfId="0"/>
    <cellStyle name="_CRT_VSE WFP_101029-with more ViewPad 7_PC Products" xfId="0"/>
    <cellStyle name="_CRT_VSE WFP_101029-with more ViewPad 7_PC Products 2" xfId="0"/>
    <cellStyle name="_CRT_VSE WFP_101029-with more ViewPad 7_PC Products 3" xfId="0"/>
    <cellStyle name="_CRT_VSE WFP_101029-with more ViewPad 7_PC Products 4" xfId="0"/>
    <cellStyle name="_CRT_VSE WFP_101029-with more ViewPad 7_PC Products 4 2" xfId="0"/>
    <cellStyle name="_CRT_VSE WFP_101029-with more ViewPad 7_PC Products_By Region" xfId="0"/>
    <cellStyle name="_CRT_VSE WFP_101029-with more ViewPad 7_PC Products_CORP SG&amp;A" xfId="0"/>
    <cellStyle name="_CRT_VSE WFP_101029-with more ViewPad 7_PC Products_LCD" xfId="0"/>
    <cellStyle name="_CRT_VSE WFP_101029-with more ViewPad 7_PC Products_PJ" xfId="0"/>
    <cellStyle name="_CRT_VSE WFP_101029-with more ViewPad 7_VSA 111014" xfId="0"/>
    <cellStyle name="_CRT_VSE WFP_101029-with more ViewPad 7_VSA 111014 2" xfId="0"/>
    <cellStyle name="_CRT_VSE WFP_101029-with more ViewPad 7_VSA 111014 3" xfId="0"/>
    <cellStyle name="_CRT_VSE WFP_101029-with more ViewPad 7_VSA 111014 4" xfId="0"/>
    <cellStyle name="_CRT_VSE WFP_101029-with more ViewPad 7_VSA 111014 4 2" xfId="0"/>
    <cellStyle name="_CRT_VSE WFP_101029-with more ViewPad 7_VSA 111014_By Region" xfId="0"/>
    <cellStyle name="_CRT_VSE WFP_101029-with more ViewPad 7_VSA 111014_CORP SG&amp;A" xfId="0"/>
    <cellStyle name="_CRT_VSE WFP_101029-with more ViewPad 7_VSA 111014_LCD" xfId="0"/>
    <cellStyle name="_CRT_VSE WFP_101029-with more ViewPad 7_VSA 111014_PJ" xfId="0"/>
    <cellStyle name="_CRT_VSE WFP_101029-with more ViewPad 7_VSA Roll-Up (LW)" xfId="0"/>
    <cellStyle name="_CRT_VSE WFP_101029-with more ViewPad 7_VSA Roll-Up (LW) 2" xfId="0"/>
    <cellStyle name="_CRT_VSE WFP_101029-with more ViewPad 7_VSA Roll-Up (LW) 3" xfId="0"/>
    <cellStyle name="_CRT_VSE WFP_101029-with more ViewPad 7_VSA Roll-Up (LW) 4" xfId="0"/>
    <cellStyle name="_CRT_VSE WFP_101029-with more ViewPad 7_VSA Roll-Up (LW) 4 2" xfId="0"/>
    <cellStyle name="_CRT_VSE WFP_101029-with more ViewPad 7_VSA Roll-Up (LW)_By Region" xfId="0"/>
    <cellStyle name="_CRT_VSE WFP_101029-with more ViewPad 7_VSA Roll-Up (LW)_CORP SG&amp;A" xfId="0"/>
    <cellStyle name="_CRT_VSE WFP_101029-with more ViewPad 7_VSA Roll-Up (LW)_LCD" xfId="0"/>
    <cellStyle name="_CRT_VSE WFP_101029-with more ViewPad 7_VSA Roll-Up (LW)_PJ" xfId="0"/>
    <cellStyle name="_Datasheet" xfId="0"/>
    <cellStyle name="_Datasheet 2" xfId="0"/>
    <cellStyle name="_Delta Thailand" xfId="0"/>
    <cellStyle name="_Delta Thailand 2" xfId="0"/>
    <cellStyle name="_Digital Decade" xfId="0"/>
    <cellStyle name="_Digital Decade 2" xfId="0"/>
    <cellStyle name="_DMA DCR" xfId="0"/>
    <cellStyle name="_DMA DCR 2" xfId="0"/>
    <cellStyle name="_DMA DCR_VSE DCR Planning Model and Trend Charts 20100118" xfId="0"/>
    <cellStyle name="_DMA DCR_VSE DCR Planning Model and Trend Charts 20100118 2" xfId="0"/>
    <cellStyle name="_DMA DCR_VSE DCR Planning Model and Trend Charts 20100315" xfId="0"/>
    <cellStyle name="_DMA DCR_VSE DCR Planning Model and Trend Charts 20100315 2" xfId="0"/>
    <cellStyle name="_DPF" xfId="0"/>
    <cellStyle name="_DPF 2" xfId="0"/>
    <cellStyle name="_DPF 3" xfId="0"/>
    <cellStyle name="_DPF 4" xfId="0"/>
    <cellStyle name="_DPF 5" xfId="0"/>
    <cellStyle name="_DPF DCR" xfId="0"/>
    <cellStyle name="_DPF DCR 2" xfId="0"/>
    <cellStyle name="_DPF DCR_VSE DCR Planning Model and Trend Charts 20100118" xfId="0"/>
    <cellStyle name="_DPF DCR_VSE DCR Planning Model and Trend Charts 20100118 2" xfId="0"/>
    <cellStyle name="_DPF DCR_VSE DCR Planning Model and Trend Charts 20100315" xfId="0"/>
    <cellStyle name="_DPF DCR_VSE DCR Planning Model and Trend Charts 20100315 2" xfId="0"/>
    <cellStyle name="_DPF_By Region" xfId="0"/>
    <cellStyle name="_DPF_CIS" xfId="0"/>
    <cellStyle name="_DPF_CIS 2" xfId="0"/>
    <cellStyle name="_DPF_CIS 3" xfId="0"/>
    <cellStyle name="_DPF_CIS 4" xfId="0"/>
    <cellStyle name="_DPF_CIS_By Region" xfId="0"/>
    <cellStyle name="_DPF_CIS_CORP SG&amp;A" xfId="0"/>
    <cellStyle name="_DPF_CIS_Digitizer" xfId="0"/>
    <cellStyle name="_DPF_CIS_GPS OTHER" xfId="0"/>
    <cellStyle name="_DPF_CIS_GPS OTHER 2" xfId="0"/>
    <cellStyle name="_DPF_CIS_GPS OTHER 3" xfId="0"/>
    <cellStyle name="_DPF_CIS_GPS OTHER 4" xfId="0"/>
    <cellStyle name="_DPF_CIS_GPS OTHER 4 2" xfId="0"/>
    <cellStyle name="_DPF_CIS_GPS OTHER_By Region" xfId="0"/>
    <cellStyle name="_DPF_CIS_GPS OTHER_CORP SG&amp;A" xfId="0"/>
    <cellStyle name="_DPF_CIS_GPS OTHER_LCD" xfId="0"/>
    <cellStyle name="_DPF_CIS_GPS OTHER_PJ" xfId="0"/>
    <cellStyle name="_DPF_CIS_LCD" xfId="0"/>
    <cellStyle name="_DPF_CIS_LCD 2" xfId="0"/>
    <cellStyle name="_DPF_CIS_LCD 3" xfId="0"/>
    <cellStyle name="_DPF_CIS_LCD 4" xfId="0"/>
    <cellStyle name="_DPF_CIS_LCD_By Region" xfId="0"/>
    <cellStyle name="_DPF_CIS_LCD_CORP SG&amp;A" xfId="0"/>
    <cellStyle name="_DPF_CIS_LCD_LCD" xfId="0"/>
    <cellStyle name="_DPF_CIS_LCD_PJ" xfId="0"/>
    <cellStyle name="_DPF_CIS_lightling" xfId="0"/>
    <cellStyle name="_DPF_CIS_lightling 2" xfId="0"/>
    <cellStyle name="_DPF_CIS_lightling_By Region" xfId="0"/>
    <cellStyle name="_DPF_CIS_lightling_CORP SG&amp;A" xfId="0"/>
    <cellStyle name="_DPF_CIS_PC Products" xfId="0"/>
    <cellStyle name="_DPF_CIS_PC Products 2" xfId="0"/>
    <cellStyle name="_DPF_CIS_PC Products 3" xfId="0"/>
    <cellStyle name="_DPF_CIS_PC Products 4" xfId="0"/>
    <cellStyle name="_DPF_CIS_PC Products 4 2" xfId="0"/>
    <cellStyle name="_DPF_CIS_PC Products_By Region" xfId="0"/>
    <cellStyle name="_DPF_CIS_PC Products_CORP SG&amp;A" xfId="0"/>
    <cellStyle name="_DPF_CIS_PC Products_LCD" xfId="0"/>
    <cellStyle name="_DPF_CIS_PC Products_PJ" xfId="0"/>
    <cellStyle name="_DPF_CIS_VSA 111014" xfId="0"/>
    <cellStyle name="_DPF_CIS_VSA 111014 2" xfId="0"/>
    <cellStyle name="_DPF_CIS_VSA 111014 3" xfId="0"/>
    <cellStyle name="_DPF_CIS_VSA 111014 4" xfId="0"/>
    <cellStyle name="_DPF_CIS_VSA 111014 4 2" xfId="0"/>
    <cellStyle name="_DPF_CIS_VSA 111014_By Region" xfId="0"/>
    <cellStyle name="_DPF_CIS_VSA 111014_CORP SG&amp;A" xfId="0"/>
    <cellStyle name="_DPF_CIS_VSA 111014_LCD" xfId="0"/>
    <cellStyle name="_DPF_CIS_VSA 111014_PJ" xfId="0"/>
    <cellStyle name="_DPF_CIS_VSA Roll-Up (LW)" xfId="0"/>
    <cellStyle name="_DPF_CIS_VSA Roll-Up (LW) 2" xfId="0"/>
    <cellStyle name="_DPF_CIS_VSA Roll-Up (LW) 3" xfId="0"/>
    <cellStyle name="_DPF_CIS_VSA Roll-Up (LW) 4" xfId="0"/>
    <cellStyle name="_DPF_CIS_VSA Roll-Up (LW) 4 2" xfId="0"/>
    <cellStyle name="_DPF_CIS_VSA Roll-Up (LW)_By Region" xfId="0"/>
    <cellStyle name="_DPF_CIS_VSA Roll-Up (LW)_CORP SG&amp;A" xfId="0"/>
    <cellStyle name="_DPF_CIS_VSA Roll-Up (LW)_LCD" xfId="0"/>
    <cellStyle name="_DPF_CIS_VSA Roll-Up (LW)_PJ" xfId="0"/>
    <cellStyle name="_DPF_CORP SG&amp;A" xfId="0"/>
    <cellStyle name="_DPF_CRT" xfId="0"/>
    <cellStyle name="_DPF_CRT 2" xfId="0"/>
    <cellStyle name="_DPF_CRT 3" xfId="0"/>
    <cellStyle name="_DPF_CRT 4" xfId="0"/>
    <cellStyle name="_DPF_CRT_By Region" xfId="0"/>
    <cellStyle name="_DPF_CRT_CORP SG&amp;A" xfId="0"/>
    <cellStyle name="_DPF_CRT_Digitizer" xfId="0"/>
    <cellStyle name="_DPF_CRT_GPS OTHER" xfId="0"/>
    <cellStyle name="_DPF_CRT_GPS OTHER 2" xfId="0"/>
    <cellStyle name="_DPF_CRT_GPS OTHER 3" xfId="0"/>
    <cellStyle name="_DPF_CRT_GPS OTHER 4" xfId="0"/>
    <cellStyle name="_DPF_CRT_GPS OTHER 4 2" xfId="0"/>
    <cellStyle name="_DPF_CRT_GPS OTHER_By Region" xfId="0"/>
    <cellStyle name="_DPF_CRT_GPS OTHER_CORP SG&amp;A" xfId="0"/>
    <cellStyle name="_DPF_CRT_GPS OTHER_LCD" xfId="0"/>
    <cellStyle name="_DPF_CRT_GPS OTHER_PJ" xfId="0"/>
    <cellStyle name="_DPF_CRT_LCD" xfId="0"/>
    <cellStyle name="_DPF_CRT_LCD 2" xfId="0"/>
    <cellStyle name="_DPF_CRT_LCD 3" xfId="0"/>
    <cellStyle name="_DPF_CRT_LCD 4" xfId="0"/>
    <cellStyle name="_DPF_CRT_LCD_By Region" xfId="0"/>
    <cellStyle name="_DPF_CRT_LCD_CORP SG&amp;A" xfId="0"/>
    <cellStyle name="_DPF_CRT_LCD_LCD" xfId="0"/>
    <cellStyle name="_DPF_CRT_LCD_PJ" xfId="0"/>
    <cellStyle name="_DPF_CRT_lightling" xfId="0"/>
    <cellStyle name="_DPF_CRT_lightling 2" xfId="0"/>
    <cellStyle name="_DPF_CRT_lightling_By Region" xfId="0"/>
    <cellStyle name="_DPF_CRT_lightling_CORP SG&amp;A" xfId="0"/>
    <cellStyle name="_DPF_CRT_PC Products" xfId="0"/>
    <cellStyle name="_DPF_CRT_PC Products 2" xfId="0"/>
    <cellStyle name="_DPF_CRT_PC Products 3" xfId="0"/>
    <cellStyle name="_DPF_CRT_PC Products 4" xfId="0"/>
    <cellStyle name="_DPF_CRT_PC Products 4 2" xfId="0"/>
    <cellStyle name="_DPF_CRT_PC Products_By Region" xfId="0"/>
    <cellStyle name="_DPF_CRT_PC Products_CORP SG&amp;A" xfId="0"/>
    <cellStyle name="_DPF_CRT_PC Products_LCD" xfId="0"/>
    <cellStyle name="_DPF_CRT_PC Products_PJ" xfId="0"/>
    <cellStyle name="_DPF_CRT_VSA 111014" xfId="0"/>
    <cellStyle name="_DPF_CRT_VSA 111014 2" xfId="0"/>
    <cellStyle name="_DPF_CRT_VSA 111014 3" xfId="0"/>
    <cellStyle name="_DPF_CRT_VSA 111014 4" xfId="0"/>
    <cellStyle name="_DPF_CRT_VSA 111014 4 2" xfId="0"/>
    <cellStyle name="_DPF_CRT_VSA 111014_By Region" xfId="0"/>
    <cellStyle name="_DPF_CRT_VSA 111014_CORP SG&amp;A" xfId="0"/>
    <cellStyle name="_DPF_CRT_VSA 111014_LCD" xfId="0"/>
    <cellStyle name="_DPF_CRT_VSA 111014_PJ" xfId="0"/>
    <cellStyle name="_DPF_CRT_VSA Roll-Up (LW)" xfId="0"/>
    <cellStyle name="_DPF_CRT_VSA Roll-Up (LW) 2" xfId="0"/>
    <cellStyle name="_DPF_CRT_VSA Roll-Up (LW) 3" xfId="0"/>
    <cellStyle name="_DPF_CRT_VSA Roll-Up (LW) 4" xfId="0"/>
    <cellStyle name="_DPF_CRT_VSA Roll-Up (LW) 4 2" xfId="0"/>
    <cellStyle name="_DPF_CRT_VSA Roll-Up (LW)_By Region" xfId="0"/>
    <cellStyle name="_DPF_CRT_VSA Roll-Up (LW)_CORP SG&amp;A" xfId="0"/>
    <cellStyle name="_DPF_CRT_VSA Roll-Up (LW)_LCD" xfId="0"/>
    <cellStyle name="_DPF_CRT_VSA Roll-Up (LW)_PJ" xfId="0"/>
    <cellStyle name="_DPF_Diff" xfId="0"/>
    <cellStyle name="_DPF_Diff 2" xfId="0"/>
    <cellStyle name="_DPF_Diff 3" xfId="0"/>
    <cellStyle name="_DPF_Diff 4" xfId="0"/>
    <cellStyle name="_DPF_Diff_By Region" xfId="0"/>
    <cellStyle name="_DPF_Diff_CORP SG&amp;A" xfId="0"/>
    <cellStyle name="_DPF_Diff_Digitizer" xfId="0"/>
    <cellStyle name="_DPF_Diff_GPS OTHER" xfId="0"/>
    <cellStyle name="_DPF_Diff_GPS OTHER 2" xfId="0"/>
    <cellStyle name="_DPF_Diff_GPS OTHER 3" xfId="0"/>
    <cellStyle name="_DPF_Diff_GPS OTHER 4" xfId="0"/>
    <cellStyle name="_DPF_Diff_GPS OTHER 4 2" xfId="0"/>
    <cellStyle name="_DPF_Diff_GPS OTHER_By Region" xfId="0"/>
    <cellStyle name="_DPF_Diff_GPS OTHER_CORP SG&amp;A" xfId="0"/>
    <cellStyle name="_DPF_Diff_GPS OTHER_LCD" xfId="0"/>
    <cellStyle name="_DPF_Diff_GPS OTHER_PJ" xfId="0"/>
    <cellStyle name="_DPF_Diff_LCD" xfId="0"/>
    <cellStyle name="_DPF_Diff_LCD 2" xfId="0"/>
    <cellStyle name="_DPF_Diff_LCD 3" xfId="0"/>
    <cellStyle name="_DPF_Diff_LCD 4" xfId="0"/>
    <cellStyle name="_DPF_Diff_LCD_By Region" xfId="0"/>
    <cellStyle name="_DPF_Diff_LCD_CORP SG&amp;A" xfId="0"/>
    <cellStyle name="_DPF_Diff_LCD_LCD" xfId="0"/>
    <cellStyle name="_DPF_Diff_LCD_PJ" xfId="0"/>
    <cellStyle name="_DPF_Diff_lightling" xfId="0"/>
    <cellStyle name="_DPF_Diff_lightling 2" xfId="0"/>
    <cellStyle name="_DPF_Diff_lightling_By Region" xfId="0"/>
    <cellStyle name="_DPF_Diff_lightling_CORP SG&amp;A" xfId="0"/>
    <cellStyle name="_DPF_Diff_PC Products" xfId="0"/>
    <cellStyle name="_DPF_Diff_PC Products 2" xfId="0"/>
    <cellStyle name="_DPF_Diff_PC Products 3" xfId="0"/>
    <cellStyle name="_DPF_Diff_PC Products 4" xfId="0"/>
    <cellStyle name="_DPF_Diff_PC Products 4 2" xfId="0"/>
    <cellStyle name="_DPF_Diff_PC Products_By Region" xfId="0"/>
    <cellStyle name="_DPF_Diff_PC Products_CORP SG&amp;A" xfId="0"/>
    <cellStyle name="_DPF_Diff_PC Products_LCD" xfId="0"/>
    <cellStyle name="_DPF_Diff_PC Products_PJ" xfId="0"/>
    <cellStyle name="_DPF_Diff_VSA 111014" xfId="0"/>
    <cellStyle name="_DPF_Diff_VSA 111014 2" xfId="0"/>
    <cellStyle name="_DPF_Diff_VSA 111014 3" xfId="0"/>
    <cellStyle name="_DPF_Diff_VSA 111014 4" xfId="0"/>
    <cellStyle name="_DPF_Diff_VSA 111014 4 2" xfId="0"/>
    <cellStyle name="_DPF_Diff_VSA 111014_By Region" xfId="0"/>
    <cellStyle name="_DPF_Diff_VSA 111014_CORP SG&amp;A" xfId="0"/>
    <cellStyle name="_DPF_Diff_VSA 111014_LCD" xfId="0"/>
    <cellStyle name="_DPF_Diff_VSA 111014_PJ" xfId="0"/>
    <cellStyle name="_DPF_Diff_VSA Roll-Up (LW)" xfId="0"/>
    <cellStyle name="_DPF_Diff_VSA Roll-Up (LW) 2" xfId="0"/>
    <cellStyle name="_DPF_Diff_VSA Roll-Up (LW) 3" xfId="0"/>
    <cellStyle name="_DPF_Diff_VSA Roll-Up (LW) 4" xfId="0"/>
    <cellStyle name="_DPF_Diff_VSA Roll-Up (LW) 4 2" xfId="0"/>
    <cellStyle name="_DPF_Diff_VSA Roll-Up (LW)_By Region" xfId="0"/>
    <cellStyle name="_DPF_Diff_VSA Roll-Up (LW)_CORP SG&amp;A" xfId="0"/>
    <cellStyle name="_DPF_Diff_VSA Roll-Up (LW)_LCD" xfId="0"/>
    <cellStyle name="_DPF_Diff_VSA Roll-Up (LW)_PJ" xfId="0"/>
    <cellStyle name="_DPF_Digital Product" xfId="0"/>
    <cellStyle name="_DPF_Digital Product 2" xfId="0"/>
    <cellStyle name="_DPF_Digital Product 3" xfId="0"/>
    <cellStyle name="_DPF_Digital Product 4" xfId="0"/>
    <cellStyle name="_DPF_Digital Product_By Region" xfId="0"/>
    <cellStyle name="_DPF_Digital Product_CORP SG&amp;A" xfId="0"/>
    <cellStyle name="_DPF_Digital Product_Digitizer" xfId="0"/>
    <cellStyle name="_DPF_Digital Product_GPS OTHER" xfId="0"/>
    <cellStyle name="_DPF_Digital Product_GPS OTHER 2" xfId="0"/>
    <cellStyle name="_DPF_Digital Product_GPS OTHER 3" xfId="0"/>
    <cellStyle name="_DPF_Digital Product_GPS OTHER 4" xfId="0"/>
    <cellStyle name="_DPF_Digital Product_GPS OTHER 4 2" xfId="0"/>
    <cellStyle name="_DPF_Digital Product_GPS OTHER_By Region" xfId="0"/>
    <cellStyle name="_DPF_Digital Product_GPS OTHER_CORP SG&amp;A" xfId="0"/>
    <cellStyle name="_DPF_Digital Product_GPS OTHER_LCD" xfId="0"/>
    <cellStyle name="_DPF_Digital Product_GPS OTHER_PJ" xfId="0"/>
    <cellStyle name="_DPF_Digital Product_LCD" xfId="0"/>
    <cellStyle name="_DPF_Digital Product_LCD 2" xfId="0"/>
    <cellStyle name="_DPF_Digital Product_LCD 3" xfId="0"/>
    <cellStyle name="_DPF_Digital Product_LCD 4" xfId="0"/>
    <cellStyle name="_DPF_Digital Product_LCD_By Region" xfId="0"/>
    <cellStyle name="_DPF_Digital Product_LCD_CORP SG&amp;A" xfId="0"/>
    <cellStyle name="_DPF_Digital Product_LCD_LCD" xfId="0"/>
    <cellStyle name="_DPF_Digital Product_LCD_PJ" xfId="0"/>
    <cellStyle name="_DPF_Digital Product_lightling" xfId="0"/>
    <cellStyle name="_DPF_Digital Product_lightling 2" xfId="0"/>
    <cellStyle name="_DPF_Digital Product_lightling_By Region" xfId="0"/>
    <cellStyle name="_DPF_Digital Product_lightling_CORP SG&amp;A" xfId="0"/>
    <cellStyle name="_DPF_Digital Product_PC Products" xfId="0"/>
    <cellStyle name="_DPF_Digital Product_PC Products 2" xfId="0"/>
    <cellStyle name="_DPF_Digital Product_PC Products 3" xfId="0"/>
    <cellStyle name="_DPF_Digital Product_PC Products 4" xfId="0"/>
    <cellStyle name="_DPF_Digital Product_PC Products 4 2" xfId="0"/>
    <cellStyle name="_DPF_Digital Product_PC Products_By Region" xfId="0"/>
    <cellStyle name="_DPF_Digital Product_PC Products_CORP SG&amp;A" xfId="0"/>
    <cellStyle name="_DPF_Digital Product_PC Products_LCD" xfId="0"/>
    <cellStyle name="_DPF_Digital Product_PC Products_PJ" xfId="0"/>
    <cellStyle name="_DPF_Digital Product_VSA 111014" xfId="0"/>
    <cellStyle name="_DPF_Digital Product_VSA 111014 2" xfId="0"/>
    <cellStyle name="_DPF_Digital Product_VSA 111014 3" xfId="0"/>
    <cellStyle name="_DPF_Digital Product_VSA 111014 4" xfId="0"/>
    <cellStyle name="_DPF_Digital Product_VSA 111014 4 2" xfId="0"/>
    <cellStyle name="_DPF_Digital Product_VSA 111014_By Region" xfId="0"/>
    <cellStyle name="_DPF_Digital Product_VSA 111014_CORP SG&amp;A" xfId="0"/>
    <cellStyle name="_DPF_Digital Product_VSA 111014_LCD" xfId="0"/>
    <cellStyle name="_DPF_Digital Product_VSA 111014_PJ" xfId="0"/>
    <cellStyle name="_DPF_Digital Product_VSA Roll-Up (LW)" xfId="0"/>
    <cellStyle name="_DPF_Digital Product_VSA Roll-Up (LW) 2" xfId="0"/>
    <cellStyle name="_DPF_Digital Product_VSA Roll-Up (LW) 3" xfId="0"/>
    <cellStyle name="_DPF_Digital Product_VSA Roll-Up (LW) 4" xfId="0"/>
    <cellStyle name="_DPF_Digital Product_VSA Roll-Up (LW) 4 2" xfId="0"/>
    <cellStyle name="_DPF_Digital Product_VSA Roll-Up (LW)_By Region" xfId="0"/>
    <cellStyle name="_DPF_Digital Product_VSA Roll-Up (LW)_CORP SG&amp;A" xfId="0"/>
    <cellStyle name="_DPF_Digital Product_VSA Roll-Up (LW)_LCD" xfId="0"/>
    <cellStyle name="_DPF_Digital Product_VSA Roll-Up (LW)_PJ" xfId="0"/>
    <cellStyle name="_DPF_Digital Signage" xfId="0"/>
    <cellStyle name="_DPF_Digital Signage 2" xfId="0"/>
    <cellStyle name="_DPF_Digital Signage 3" xfId="0"/>
    <cellStyle name="_DPF_Digital Signage 4" xfId="0"/>
    <cellStyle name="_DPF_Digital Signage_By Region" xfId="0"/>
    <cellStyle name="_DPF_Digital Signage_CORP SG&amp;A" xfId="0"/>
    <cellStyle name="_DPF_Digital Signage_Digitizer" xfId="0"/>
    <cellStyle name="_DPF_Digital Signage_GPS OTHER" xfId="0"/>
    <cellStyle name="_DPF_Digital Signage_GPS OTHER 2" xfId="0"/>
    <cellStyle name="_DPF_Digital Signage_GPS OTHER 3" xfId="0"/>
    <cellStyle name="_DPF_Digital Signage_GPS OTHER 4" xfId="0"/>
    <cellStyle name="_DPF_Digital Signage_GPS OTHER 4 2" xfId="0"/>
    <cellStyle name="_DPF_Digital Signage_GPS OTHER_By Region" xfId="0"/>
    <cellStyle name="_DPF_Digital Signage_GPS OTHER_CORP SG&amp;A" xfId="0"/>
    <cellStyle name="_DPF_Digital Signage_GPS OTHER_LCD" xfId="0"/>
    <cellStyle name="_DPF_Digital Signage_GPS OTHER_PJ" xfId="0"/>
    <cellStyle name="_DPF_Digital Signage_LCD" xfId="0"/>
    <cellStyle name="_DPF_Digital Signage_LCD 2" xfId="0"/>
    <cellStyle name="_DPF_Digital Signage_LCD 3" xfId="0"/>
    <cellStyle name="_DPF_Digital Signage_LCD 4" xfId="0"/>
    <cellStyle name="_DPF_Digital Signage_LCD_By Region" xfId="0"/>
    <cellStyle name="_DPF_Digital Signage_LCD_CORP SG&amp;A" xfId="0"/>
    <cellStyle name="_DPF_Digital Signage_LCD_LCD" xfId="0"/>
    <cellStyle name="_DPF_Digital Signage_LCD_PJ" xfId="0"/>
    <cellStyle name="_DPF_Digital Signage_lightling" xfId="0"/>
    <cellStyle name="_DPF_Digital Signage_lightling 2" xfId="0"/>
    <cellStyle name="_DPF_Digital Signage_lightling_By Region" xfId="0"/>
    <cellStyle name="_DPF_Digital Signage_lightling_CORP SG&amp;A" xfId="0"/>
    <cellStyle name="_DPF_Digital Signage_PC Products" xfId="0"/>
    <cellStyle name="_DPF_Digital Signage_PC Products 2" xfId="0"/>
    <cellStyle name="_DPF_Digital Signage_PC Products 3" xfId="0"/>
    <cellStyle name="_DPF_Digital Signage_PC Products 4" xfId="0"/>
    <cellStyle name="_DPF_Digital Signage_PC Products 4 2" xfId="0"/>
    <cellStyle name="_DPF_Digital Signage_PC Products_By Region" xfId="0"/>
    <cellStyle name="_DPF_Digital Signage_PC Products_CORP SG&amp;A" xfId="0"/>
    <cellStyle name="_DPF_Digital Signage_PC Products_LCD" xfId="0"/>
    <cellStyle name="_DPF_Digital Signage_PC Products_PJ" xfId="0"/>
    <cellStyle name="_DPF_Digital Signage_VSA 111014" xfId="0"/>
    <cellStyle name="_DPF_Digital Signage_VSA 111014 2" xfId="0"/>
    <cellStyle name="_DPF_Digital Signage_VSA 111014 3" xfId="0"/>
    <cellStyle name="_DPF_Digital Signage_VSA 111014 4" xfId="0"/>
    <cellStyle name="_DPF_Digital Signage_VSA 111014 4 2" xfId="0"/>
    <cellStyle name="_DPF_Digital Signage_VSA 111014_By Region" xfId="0"/>
    <cellStyle name="_DPF_Digital Signage_VSA 111014_CORP SG&amp;A" xfId="0"/>
    <cellStyle name="_DPF_Digital Signage_VSA 111014_LCD" xfId="0"/>
    <cellStyle name="_DPF_Digital Signage_VSA 111014_PJ" xfId="0"/>
    <cellStyle name="_DPF_Digital Signage_VSA Roll-Up (LW)" xfId="0"/>
    <cellStyle name="_DPF_Digital Signage_VSA Roll-Up (LW) 2" xfId="0"/>
    <cellStyle name="_DPF_Digital Signage_VSA Roll-Up (LW) 3" xfId="0"/>
    <cellStyle name="_DPF_Digital Signage_VSA Roll-Up (LW) 4" xfId="0"/>
    <cellStyle name="_DPF_Digital Signage_VSA Roll-Up (LW) 4 2" xfId="0"/>
    <cellStyle name="_DPF_Digital Signage_VSA Roll-Up (LW)_By Region" xfId="0"/>
    <cellStyle name="_DPF_Digital Signage_VSA Roll-Up (LW)_CORP SG&amp;A" xfId="0"/>
    <cellStyle name="_DPF_Digital Signage_VSA Roll-Up (LW)_LCD" xfId="0"/>
    <cellStyle name="_DPF_Digital Signage_VSA Roll-Up (LW)_PJ" xfId="0"/>
    <cellStyle name="_DPF_Digitizer" xfId="0"/>
    <cellStyle name="_DPF_DMA(VMP)" xfId="0"/>
    <cellStyle name="_DPF_DMA(VMP) 2" xfId="0"/>
    <cellStyle name="_DPF_DMA(VMP) 3" xfId="0"/>
    <cellStyle name="_DPF_DMA(VMP) 4" xfId="0"/>
    <cellStyle name="_DPF_DMA(VMP)_By Region" xfId="0"/>
    <cellStyle name="_DPF_DMA(VMP)_CORP SG&amp;A" xfId="0"/>
    <cellStyle name="_DPF_DMA(VMP)_Digitizer" xfId="0"/>
    <cellStyle name="_DPF_DMA(VMP)_GPS OTHER" xfId="0"/>
    <cellStyle name="_DPF_DMA(VMP)_GPS OTHER 2" xfId="0"/>
    <cellStyle name="_DPF_DMA(VMP)_GPS OTHER 3" xfId="0"/>
    <cellStyle name="_DPF_DMA(VMP)_GPS OTHER 4" xfId="0"/>
    <cellStyle name="_DPF_DMA(VMP)_GPS OTHER 4 2" xfId="0"/>
    <cellStyle name="_DPF_DMA(VMP)_GPS OTHER_By Region" xfId="0"/>
    <cellStyle name="_DPF_DMA(VMP)_GPS OTHER_CORP SG&amp;A" xfId="0"/>
    <cellStyle name="_DPF_DMA(VMP)_GPS OTHER_LCD" xfId="0"/>
    <cellStyle name="_DPF_DMA(VMP)_GPS OTHER_PJ" xfId="0"/>
    <cellStyle name="_DPF_DMA(VMP)_LCD" xfId="0"/>
    <cellStyle name="_DPF_DMA(VMP)_LCD 2" xfId="0"/>
    <cellStyle name="_DPF_DMA(VMP)_LCD 3" xfId="0"/>
    <cellStyle name="_DPF_DMA(VMP)_LCD 4" xfId="0"/>
    <cellStyle name="_DPF_DMA(VMP)_LCD_By Region" xfId="0"/>
    <cellStyle name="_DPF_DMA(VMP)_LCD_CORP SG&amp;A" xfId="0"/>
    <cellStyle name="_DPF_DMA(VMP)_LCD_LCD" xfId="0"/>
    <cellStyle name="_DPF_DMA(VMP)_LCD_PJ" xfId="0"/>
    <cellStyle name="_DPF_DMA(VMP)_lightling" xfId="0"/>
    <cellStyle name="_DPF_DMA(VMP)_lightling 2" xfId="0"/>
    <cellStyle name="_DPF_DMA(VMP)_lightling_By Region" xfId="0"/>
    <cellStyle name="_DPF_DMA(VMP)_lightling_CORP SG&amp;A" xfId="0"/>
    <cellStyle name="_DPF_DMA(VMP)_PC Products" xfId="0"/>
    <cellStyle name="_DPF_DMA(VMP)_PC Products 2" xfId="0"/>
    <cellStyle name="_DPF_DMA(VMP)_PC Products 3" xfId="0"/>
    <cellStyle name="_DPF_DMA(VMP)_PC Products 4" xfId="0"/>
    <cellStyle name="_DPF_DMA(VMP)_PC Products 4 2" xfId="0"/>
    <cellStyle name="_DPF_DMA(VMP)_PC Products_By Region" xfId="0"/>
    <cellStyle name="_DPF_DMA(VMP)_PC Products_CORP SG&amp;A" xfId="0"/>
    <cellStyle name="_DPF_DMA(VMP)_PC Products_LCD" xfId="0"/>
    <cellStyle name="_DPF_DMA(VMP)_PC Products_PJ" xfId="0"/>
    <cellStyle name="_DPF_DMA(VMP)_VSA 111014" xfId="0"/>
    <cellStyle name="_DPF_DMA(VMP)_VSA 111014 2" xfId="0"/>
    <cellStyle name="_DPF_DMA(VMP)_VSA 111014 3" xfId="0"/>
    <cellStyle name="_DPF_DMA(VMP)_VSA 111014 4" xfId="0"/>
    <cellStyle name="_DPF_DMA(VMP)_VSA 111014 4 2" xfId="0"/>
    <cellStyle name="_DPF_DMA(VMP)_VSA 111014_By Region" xfId="0"/>
    <cellStyle name="_DPF_DMA(VMP)_VSA 111014_CORP SG&amp;A" xfId="0"/>
    <cellStyle name="_DPF_DMA(VMP)_VSA 111014_LCD" xfId="0"/>
    <cellStyle name="_DPF_DMA(VMP)_VSA 111014_PJ" xfId="0"/>
    <cellStyle name="_DPF_DMA(VMP)_VSA Roll-Up (LW)" xfId="0"/>
    <cellStyle name="_DPF_DMA(VMP)_VSA Roll-Up (LW) 2" xfId="0"/>
    <cellStyle name="_DPF_DMA(VMP)_VSA Roll-Up (LW) 3" xfId="0"/>
    <cellStyle name="_DPF_DMA(VMP)_VSA Roll-Up (LW) 4" xfId="0"/>
    <cellStyle name="_DPF_DMA(VMP)_VSA Roll-Up (LW) 4 2" xfId="0"/>
    <cellStyle name="_DPF_DMA(VMP)_VSA Roll-Up (LW)_By Region" xfId="0"/>
    <cellStyle name="_DPF_DMA(VMP)_VSA Roll-Up (LW)_CORP SG&amp;A" xfId="0"/>
    <cellStyle name="_DPF_DMA(VMP)_VSA Roll-Up (LW)_LCD" xfId="0"/>
    <cellStyle name="_DPF_DMA(VMP)_VSA Roll-Up (LW)_PJ" xfId="0"/>
    <cellStyle name="_DPF_DPF" xfId="0"/>
    <cellStyle name="_DPF_DPF 2" xfId="0"/>
    <cellStyle name="_DPF_DPF 3" xfId="0"/>
    <cellStyle name="_DPF_DPF 4" xfId="0"/>
    <cellStyle name="_DPF_DPF_By Region" xfId="0"/>
    <cellStyle name="_DPF_DPF_CORP SG&amp;A" xfId="0"/>
    <cellStyle name="_DPF_DPF_Digitizer" xfId="0"/>
    <cellStyle name="_DPF_DPF_GPS OTHER" xfId="0"/>
    <cellStyle name="_DPF_DPF_GPS OTHER 2" xfId="0"/>
    <cellStyle name="_DPF_DPF_GPS OTHER 3" xfId="0"/>
    <cellStyle name="_DPF_DPF_GPS OTHER 4" xfId="0"/>
    <cellStyle name="_DPF_DPF_GPS OTHER 4 2" xfId="0"/>
    <cellStyle name="_DPF_DPF_GPS OTHER_By Region" xfId="0"/>
    <cellStyle name="_DPF_DPF_GPS OTHER_CORP SG&amp;A" xfId="0"/>
    <cellStyle name="_DPF_DPF_GPS OTHER_LCD" xfId="0"/>
    <cellStyle name="_DPF_DPF_GPS OTHER_PJ" xfId="0"/>
    <cellStyle name="_DPF_DPF_LCD" xfId="0"/>
    <cellStyle name="_DPF_DPF_LCD 2" xfId="0"/>
    <cellStyle name="_DPF_DPF_LCD 3" xfId="0"/>
    <cellStyle name="_DPF_DPF_LCD 4" xfId="0"/>
    <cellStyle name="_DPF_DPF_LCD_By Region" xfId="0"/>
    <cellStyle name="_DPF_DPF_LCD_CORP SG&amp;A" xfId="0"/>
    <cellStyle name="_DPF_DPF_LCD_LCD" xfId="0"/>
    <cellStyle name="_DPF_DPF_LCD_PJ" xfId="0"/>
    <cellStyle name="_DPF_DPF_lightling" xfId="0"/>
    <cellStyle name="_DPF_DPF_lightling 2" xfId="0"/>
    <cellStyle name="_DPF_DPF_lightling_By Region" xfId="0"/>
    <cellStyle name="_DPF_DPF_lightling_CORP SG&amp;A" xfId="0"/>
    <cellStyle name="_DPF_DPF_PC Products" xfId="0"/>
    <cellStyle name="_DPF_DPF_PC Products 2" xfId="0"/>
    <cellStyle name="_DPF_DPF_PC Products 3" xfId="0"/>
    <cellStyle name="_DPF_DPF_PC Products 4" xfId="0"/>
    <cellStyle name="_DPF_DPF_PC Products 4 2" xfId="0"/>
    <cellStyle name="_DPF_DPF_PC Products_By Region" xfId="0"/>
    <cellStyle name="_DPF_DPF_PC Products_CORP SG&amp;A" xfId="0"/>
    <cellStyle name="_DPF_DPF_PC Products_LCD" xfId="0"/>
    <cellStyle name="_DPF_DPF_PC Products_PJ" xfId="0"/>
    <cellStyle name="_DPF_DPF_VSA 111014" xfId="0"/>
    <cellStyle name="_DPF_DPF_VSA 111014 2" xfId="0"/>
    <cellStyle name="_DPF_DPF_VSA 111014 3" xfId="0"/>
    <cellStyle name="_DPF_DPF_VSA 111014 4" xfId="0"/>
    <cellStyle name="_DPF_DPF_VSA 111014 4 2" xfId="0"/>
    <cellStyle name="_DPF_DPF_VSA 111014_By Region" xfId="0"/>
    <cellStyle name="_DPF_DPF_VSA 111014_CORP SG&amp;A" xfId="0"/>
    <cellStyle name="_DPF_DPF_VSA 111014_LCD" xfId="0"/>
    <cellStyle name="_DPF_DPF_VSA 111014_PJ" xfId="0"/>
    <cellStyle name="_DPF_DPF_VSA Roll-Up (LW)" xfId="0"/>
    <cellStyle name="_DPF_DPF_VSA Roll-Up (LW) 2" xfId="0"/>
    <cellStyle name="_DPF_DPF_VSA Roll-Up (LW) 3" xfId="0"/>
    <cellStyle name="_DPF_DPF_VSA Roll-Up (LW) 4" xfId="0"/>
    <cellStyle name="_DPF_DPF_VSA Roll-Up (LW) 4 2" xfId="0"/>
    <cellStyle name="_DPF_DPF_VSA Roll-Up (LW)_By Region" xfId="0"/>
    <cellStyle name="_DPF_DPF_VSA Roll-Up (LW)_CORP SG&amp;A" xfId="0"/>
    <cellStyle name="_DPF_DPF_VSA Roll-Up (LW)_LCD" xfId="0"/>
    <cellStyle name="_DPF_DPF_VSA Roll-Up (LW)_PJ" xfId="0"/>
    <cellStyle name="_DPF_DS" xfId="0"/>
    <cellStyle name="_DPF_DS 2" xfId="0"/>
    <cellStyle name="_DPF_DS 3" xfId="0"/>
    <cellStyle name="_DPF_DS 4" xfId="0"/>
    <cellStyle name="_DPF_DS_By Region" xfId="0"/>
    <cellStyle name="_DPF_DS_CORP SG&amp;A" xfId="0"/>
    <cellStyle name="_DPF_DS_Digitizer" xfId="0"/>
    <cellStyle name="_DPF_DS_GPS OTHER" xfId="0"/>
    <cellStyle name="_DPF_DS_GPS OTHER 2" xfId="0"/>
    <cellStyle name="_DPF_DS_GPS OTHER 3" xfId="0"/>
    <cellStyle name="_DPF_DS_GPS OTHER 4" xfId="0"/>
    <cellStyle name="_DPF_DS_GPS OTHER 4 2" xfId="0"/>
    <cellStyle name="_DPF_DS_GPS OTHER_By Region" xfId="0"/>
    <cellStyle name="_DPF_DS_GPS OTHER_CORP SG&amp;A" xfId="0"/>
    <cellStyle name="_DPF_DS_GPS OTHER_LCD" xfId="0"/>
    <cellStyle name="_DPF_DS_GPS OTHER_PJ" xfId="0"/>
    <cellStyle name="_DPF_DS_LCD" xfId="0"/>
    <cellStyle name="_DPF_DS_LCD 2" xfId="0"/>
    <cellStyle name="_DPF_DS_LCD 3" xfId="0"/>
    <cellStyle name="_DPF_DS_LCD 4" xfId="0"/>
    <cellStyle name="_DPF_DS_LCD_By Region" xfId="0"/>
    <cellStyle name="_DPF_DS_LCD_CORP SG&amp;A" xfId="0"/>
    <cellStyle name="_DPF_DS_LCD_LCD" xfId="0"/>
    <cellStyle name="_DPF_DS_LCD_PJ" xfId="0"/>
    <cellStyle name="_DPF_DS_lightling" xfId="0"/>
    <cellStyle name="_DPF_DS_lightling 2" xfId="0"/>
    <cellStyle name="_DPF_DS_lightling_By Region" xfId="0"/>
    <cellStyle name="_DPF_DS_lightling_CORP SG&amp;A" xfId="0"/>
    <cellStyle name="_DPF_DS_PC Products" xfId="0"/>
    <cellStyle name="_DPF_DS_PC Products 2" xfId="0"/>
    <cellStyle name="_DPF_DS_PC Products 3" xfId="0"/>
    <cellStyle name="_DPF_DS_PC Products 4" xfId="0"/>
    <cellStyle name="_DPF_DS_PC Products 4 2" xfId="0"/>
    <cellStyle name="_DPF_DS_PC Products_By Region" xfId="0"/>
    <cellStyle name="_DPF_DS_PC Products_CORP SG&amp;A" xfId="0"/>
    <cellStyle name="_DPF_DS_PC Products_LCD" xfId="0"/>
    <cellStyle name="_DPF_DS_PC Products_PJ" xfId="0"/>
    <cellStyle name="_DPF_DS_VSA 111014" xfId="0"/>
    <cellStyle name="_DPF_DS_VSA 111014 2" xfId="0"/>
    <cellStyle name="_DPF_DS_VSA 111014 3" xfId="0"/>
    <cellStyle name="_DPF_DS_VSA 111014 4" xfId="0"/>
    <cellStyle name="_DPF_DS_VSA 111014 4 2" xfId="0"/>
    <cellStyle name="_DPF_DS_VSA 111014_By Region" xfId="0"/>
    <cellStyle name="_DPF_DS_VSA 111014_CORP SG&amp;A" xfId="0"/>
    <cellStyle name="_DPF_DS_VSA 111014_LCD" xfId="0"/>
    <cellStyle name="_DPF_DS_VSA 111014_PJ" xfId="0"/>
    <cellStyle name="_DPF_DS_VSA Roll-Up (LW)" xfId="0"/>
    <cellStyle name="_DPF_DS_VSA Roll-Up (LW) 2" xfId="0"/>
    <cellStyle name="_DPF_DS_VSA Roll-Up (LW) 3" xfId="0"/>
    <cellStyle name="_DPF_DS_VSA Roll-Up (LW) 4" xfId="0"/>
    <cellStyle name="_DPF_DS_VSA Roll-Up (LW) 4 2" xfId="0"/>
    <cellStyle name="_DPF_DS_VSA Roll-Up (LW)_By Region" xfId="0"/>
    <cellStyle name="_DPF_DS_VSA Roll-Up (LW)_CORP SG&amp;A" xfId="0"/>
    <cellStyle name="_DPF_DS_VSA Roll-Up (LW)_LCD" xfId="0"/>
    <cellStyle name="_DPF_DS_VSA Roll-Up (LW)_PJ" xfId="0"/>
    <cellStyle name="_DPF_DVD_TV" xfId="0"/>
    <cellStyle name="_DPF_DVD_TV 2" xfId="0"/>
    <cellStyle name="_DPF_DVD_TV 3" xfId="0"/>
    <cellStyle name="_DPF_DVD_TV 4" xfId="0"/>
    <cellStyle name="_DPF_DVD_TV_By Region" xfId="0"/>
    <cellStyle name="_DPF_DVD_TV_CORP SG&amp;A" xfId="0"/>
    <cellStyle name="_DPF_DVD_TV_Digitizer" xfId="0"/>
    <cellStyle name="_DPF_DVD_TV_GPS OTHER" xfId="0"/>
    <cellStyle name="_DPF_DVD_TV_GPS OTHER 2" xfId="0"/>
    <cellStyle name="_DPF_DVD_TV_GPS OTHER 3" xfId="0"/>
    <cellStyle name="_DPF_DVD_TV_GPS OTHER 4" xfId="0"/>
    <cellStyle name="_DPF_DVD_TV_GPS OTHER 4 2" xfId="0"/>
    <cellStyle name="_DPF_DVD_TV_GPS OTHER_By Region" xfId="0"/>
    <cellStyle name="_DPF_DVD_TV_GPS OTHER_CORP SG&amp;A" xfId="0"/>
    <cellStyle name="_DPF_DVD_TV_GPS OTHER_LCD" xfId="0"/>
    <cellStyle name="_DPF_DVD_TV_GPS OTHER_PJ" xfId="0"/>
    <cellStyle name="_DPF_DVD_TV_LCD" xfId="0"/>
    <cellStyle name="_DPF_DVD_TV_LCD 2" xfId="0"/>
    <cellStyle name="_DPF_DVD_TV_LCD 3" xfId="0"/>
    <cellStyle name="_DPF_DVD_TV_LCD 4" xfId="0"/>
    <cellStyle name="_DPF_DVD_TV_LCD_By Region" xfId="0"/>
    <cellStyle name="_DPF_DVD_TV_LCD_CORP SG&amp;A" xfId="0"/>
    <cellStyle name="_DPF_DVD_TV_LCD_LCD" xfId="0"/>
    <cellStyle name="_DPF_DVD_TV_LCD_PJ" xfId="0"/>
    <cellStyle name="_DPF_DVD_TV_lightling" xfId="0"/>
    <cellStyle name="_DPF_DVD_TV_lightling 2" xfId="0"/>
    <cellStyle name="_DPF_DVD_TV_lightling_By Region" xfId="0"/>
    <cellStyle name="_DPF_DVD_TV_lightling_CORP SG&amp;A" xfId="0"/>
    <cellStyle name="_DPF_DVD_TV_PC Products" xfId="0"/>
    <cellStyle name="_DPF_DVD_TV_PC Products 2" xfId="0"/>
    <cellStyle name="_DPF_DVD_TV_PC Products 3" xfId="0"/>
    <cellStyle name="_DPF_DVD_TV_PC Products 4" xfId="0"/>
    <cellStyle name="_DPF_DVD_TV_PC Products 4 2" xfId="0"/>
    <cellStyle name="_DPF_DVD_TV_PC Products_By Region" xfId="0"/>
    <cellStyle name="_DPF_DVD_TV_PC Products_CORP SG&amp;A" xfId="0"/>
    <cellStyle name="_DPF_DVD_TV_PC Products_LCD" xfId="0"/>
    <cellStyle name="_DPF_DVD_TV_PC Products_PJ" xfId="0"/>
    <cellStyle name="_DPF_DVD_TV_VSA 111014" xfId="0"/>
    <cellStyle name="_DPF_DVD_TV_VSA 111014 2" xfId="0"/>
    <cellStyle name="_DPF_DVD_TV_VSA 111014 3" xfId="0"/>
    <cellStyle name="_DPF_DVD_TV_VSA 111014 4" xfId="0"/>
    <cellStyle name="_DPF_DVD_TV_VSA 111014 4 2" xfId="0"/>
    <cellStyle name="_DPF_DVD_TV_VSA 111014_By Region" xfId="0"/>
    <cellStyle name="_DPF_DVD_TV_VSA 111014_CORP SG&amp;A" xfId="0"/>
    <cellStyle name="_DPF_DVD_TV_VSA 111014_LCD" xfId="0"/>
    <cellStyle name="_DPF_DVD_TV_VSA 111014_PJ" xfId="0"/>
    <cellStyle name="_DPF_DVD_TV_VSA Roll-Up (LW)" xfId="0"/>
    <cellStyle name="_DPF_DVD_TV_VSA Roll-Up (LW) 2" xfId="0"/>
    <cellStyle name="_DPF_DVD_TV_VSA Roll-Up (LW) 3" xfId="0"/>
    <cellStyle name="_DPF_DVD_TV_VSA Roll-Up (LW) 4" xfId="0"/>
    <cellStyle name="_DPF_DVD_TV_VSA Roll-Up (LW) 4 2" xfId="0"/>
    <cellStyle name="_DPF_DVD_TV_VSA Roll-Up (LW)_By Region" xfId="0"/>
    <cellStyle name="_DPF_DVD_TV_VSA Roll-Up (LW)_CORP SG&amp;A" xfId="0"/>
    <cellStyle name="_DPF_DVD_TV_VSA Roll-Up (LW)_LCD" xfId="0"/>
    <cellStyle name="_DPF_DVD_TV_VSA Roll-Up (LW)_PJ" xfId="0"/>
    <cellStyle name="_DPF_GPS OTHER" xfId="0"/>
    <cellStyle name="_DPF_GPS OTHER 2" xfId="0"/>
    <cellStyle name="_DPF_GPS OTHER 3" xfId="0"/>
    <cellStyle name="_DPF_GPS OTHER 4" xfId="0"/>
    <cellStyle name="_DPF_GPS OTHER 4 2" xfId="0"/>
    <cellStyle name="_DPF_GPS OTHER_By Region" xfId="0"/>
    <cellStyle name="_DPF_GPS OTHER_CORP SG&amp;A" xfId="0"/>
    <cellStyle name="_DPF_GPS OTHER_LCD" xfId="0"/>
    <cellStyle name="_DPF_GPS OTHER_PJ" xfId="0"/>
    <cellStyle name="_DPF_LCD" xfId="0"/>
    <cellStyle name="_DPF_LCD 2" xfId="0"/>
    <cellStyle name="_DPF_LCD 3" xfId="0"/>
    <cellStyle name="_DPF_LCD 4" xfId="0"/>
    <cellStyle name="_DPF_LCD_1" xfId="0"/>
    <cellStyle name="_DPF_LCD_1 2" xfId="0"/>
    <cellStyle name="_DPF_LCD_1 3" xfId="0"/>
    <cellStyle name="_DPF_LCD_1 4" xfId="0"/>
    <cellStyle name="_DPF_LCD_1_By Region" xfId="0"/>
    <cellStyle name="_DPF_LCD_1_CORP SG&amp;A" xfId="0"/>
    <cellStyle name="_DPF_LCD_1_LCD" xfId="0"/>
    <cellStyle name="_DPF_LCD_1_PJ" xfId="0"/>
    <cellStyle name="_DPF_LCD_By Region" xfId="0"/>
    <cellStyle name="_DPF_LCD_CORP SG&amp;A" xfId="0"/>
    <cellStyle name="_DPF_LCD_Digitizer" xfId="0"/>
    <cellStyle name="_DPF_LCD_GPS OTHER" xfId="0"/>
    <cellStyle name="_DPF_LCD_GPS OTHER 2" xfId="0"/>
    <cellStyle name="_DPF_LCD_GPS OTHER 3" xfId="0"/>
    <cellStyle name="_DPF_LCD_GPS OTHER 4" xfId="0"/>
    <cellStyle name="_DPF_LCD_GPS OTHER 4 2" xfId="0"/>
    <cellStyle name="_DPF_LCD_GPS OTHER_By Region" xfId="0"/>
    <cellStyle name="_DPF_LCD_GPS OTHER_CORP SG&amp;A" xfId="0"/>
    <cellStyle name="_DPF_LCD_GPS OTHER_LCD" xfId="0"/>
    <cellStyle name="_DPF_LCD_GPS OTHER_PJ" xfId="0"/>
    <cellStyle name="_DPF_LCD_LCD" xfId="0"/>
    <cellStyle name="_DPF_LCD_LCD 2" xfId="0"/>
    <cellStyle name="_DPF_LCD_LCD 3" xfId="0"/>
    <cellStyle name="_DPF_LCD_LCD 4" xfId="0"/>
    <cellStyle name="_DPF_LCD_LCD_By Region" xfId="0"/>
    <cellStyle name="_DPF_LCD_LCD_CORP SG&amp;A" xfId="0"/>
    <cellStyle name="_DPF_LCD_LCD_LCD" xfId="0"/>
    <cellStyle name="_DPF_LCD_LCD_PJ" xfId="0"/>
    <cellStyle name="_DPF_LCD_lightling" xfId="0"/>
    <cellStyle name="_DPF_LCD_lightling 2" xfId="0"/>
    <cellStyle name="_DPF_LCD_lightling_By Region" xfId="0"/>
    <cellStyle name="_DPF_LCD_lightling_CORP SG&amp;A" xfId="0"/>
    <cellStyle name="_DPF_LCD_PC Products" xfId="0"/>
    <cellStyle name="_DPF_LCD_PC Products 2" xfId="0"/>
    <cellStyle name="_DPF_LCD_PC Products 3" xfId="0"/>
    <cellStyle name="_DPF_LCD_PC Products 4" xfId="0"/>
    <cellStyle name="_DPF_LCD_PC Products 4 2" xfId="0"/>
    <cellStyle name="_DPF_LCD_PC Products_By Region" xfId="0"/>
    <cellStyle name="_DPF_LCD_PC Products_CORP SG&amp;A" xfId="0"/>
    <cellStyle name="_DPF_LCD_PC Products_LCD" xfId="0"/>
    <cellStyle name="_DPF_LCD_PC Products_PJ" xfId="0"/>
    <cellStyle name="_DPF_LCD_VSA 111014" xfId="0"/>
    <cellStyle name="_DPF_LCD_VSA 111014 2" xfId="0"/>
    <cellStyle name="_DPF_LCD_VSA 111014 3" xfId="0"/>
    <cellStyle name="_DPF_LCD_VSA 111014 4" xfId="0"/>
    <cellStyle name="_DPF_LCD_VSA 111014 4 2" xfId="0"/>
    <cellStyle name="_DPF_LCD_VSA 111014_By Region" xfId="0"/>
    <cellStyle name="_DPF_LCD_VSA 111014_CORP SG&amp;A" xfId="0"/>
    <cellStyle name="_DPF_LCD_VSA 111014_LCD" xfId="0"/>
    <cellStyle name="_DPF_LCD_VSA 111014_PJ" xfId="0"/>
    <cellStyle name="_DPF_LCD_VSA Roll-Up (LW)" xfId="0"/>
    <cellStyle name="_DPF_LCD_VSA Roll-Up (LW) 2" xfId="0"/>
    <cellStyle name="_DPF_LCD_VSA Roll-Up (LW) 3" xfId="0"/>
    <cellStyle name="_DPF_LCD_VSA Roll-Up (LW) 4" xfId="0"/>
    <cellStyle name="_DPF_LCD_VSA Roll-Up (LW) 4 2" xfId="0"/>
    <cellStyle name="_DPF_LCD_VSA Roll-Up (LW)_By Region" xfId="0"/>
    <cellStyle name="_DPF_LCD_VSA Roll-Up (LW)_CORP SG&amp;A" xfId="0"/>
    <cellStyle name="_DPF_LCD_VSA Roll-Up (LW)_LCD" xfId="0"/>
    <cellStyle name="_DPF_LCD_VSA Roll-Up (LW)_PJ" xfId="0"/>
    <cellStyle name="_DPF_LCDTV" xfId="0"/>
    <cellStyle name="_DPF_LCDTV 2" xfId="0"/>
    <cellStyle name="_DPF_LCDTV 3" xfId="0"/>
    <cellStyle name="_DPF_LCDTV 4" xfId="0"/>
    <cellStyle name="_DPF_LCDTV_By Region" xfId="0"/>
    <cellStyle name="_DPF_LCDTV_CORP SG&amp;A" xfId="0"/>
    <cellStyle name="_DPF_LCDTV_Digitizer" xfId="0"/>
    <cellStyle name="_DPF_LCDTV_GPS OTHER" xfId="0"/>
    <cellStyle name="_DPF_LCDTV_GPS OTHER 2" xfId="0"/>
    <cellStyle name="_DPF_LCDTV_GPS OTHER 3" xfId="0"/>
    <cellStyle name="_DPF_LCDTV_GPS OTHER 4" xfId="0"/>
    <cellStyle name="_DPF_LCDTV_GPS OTHER 4 2" xfId="0"/>
    <cellStyle name="_DPF_LCDTV_GPS OTHER_By Region" xfId="0"/>
    <cellStyle name="_DPF_LCDTV_GPS OTHER_CORP SG&amp;A" xfId="0"/>
    <cellStyle name="_DPF_LCDTV_GPS OTHER_LCD" xfId="0"/>
    <cellStyle name="_DPF_LCDTV_GPS OTHER_PJ" xfId="0"/>
    <cellStyle name="_DPF_LCDTV_LCD" xfId="0"/>
    <cellStyle name="_DPF_LCDTV_LCD 2" xfId="0"/>
    <cellStyle name="_DPF_LCDTV_LCD 3" xfId="0"/>
    <cellStyle name="_DPF_LCDTV_LCD 4" xfId="0"/>
    <cellStyle name="_DPF_LCDTV_LCD_By Region" xfId="0"/>
    <cellStyle name="_DPF_LCDTV_LCD_CORP SG&amp;A" xfId="0"/>
    <cellStyle name="_DPF_LCDTV_LCD_LCD" xfId="0"/>
    <cellStyle name="_DPF_LCDTV_LCD_PJ" xfId="0"/>
    <cellStyle name="_DPF_LCDTV_lightling" xfId="0"/>
    <cellStyle name="_DPF_LCDTV_lightling 2" xfId="0"/>
    <cellStyle name="_DPF_LCDTV_lightling_By Region" xfId="0"/>
    <cellStyle name="_DPF_LCDTV_lightling_CORP SG&amp;A" xfId="0"/>
    <cellStyle name="_DPF_LCDTV_PC Products" xfId="0"/>
    <cellStyle name="_DPF_LCDTV_PC Products 2" xfId="0"/>
    <cellStyle name="_DPF_LCDTV_PC Products 3" xfId="0"/>
    <cellStyle name="_DPF_LCDTV_PC Products 4" xfId="0"/>
    <cellStyle name="_DPF_LCDTV_PC Products 4 2" xfId="0"/>
    <cellStyle name="_DPF_LCDTV_PC Products_By Region" xfId="0"/>
    <cellStyle name="_DPF_LCDTV_PC Products_CORP SG&amp;A" xfId="0"/>
    <cellStyle name="_DPF_LCDTV_PC Products_LCD" xfId="0"/>
    <cellStyle name="_DPF_LCDTV_PC Products_PJ" xfId="0"/>
    <cellStyle name="_DPF_LCDTV_VSA 111014" xfId="0"/>
    <cellStyle name="_DPF_LCDTV_VSA 111014 2" xfId="0"/>
    <cellStyle name="_DPF_LCDTV_VSA 111014 3" xfId="0"/>
    <cellStyle name="_DPF_LCDTV_VSA 111014 4" xfId="0"/>
    <cellStyle name="_DPF_LCDTV_VSA 111014 4 2" xfId="0"/>
    <cellStyle name="_DPF_LCDTV_VSA 111014_By Region" xfId="0"/>
    <cellStyle name="_DPF_LCDTV_VSA 111014_CORP SG&amp;A" xfId="0"/>
    <cellStyle name="_DPF_LCDTV_VSA 111014_LCD" xfId="0"/>
    <cellStyle name="_DPF_LCDTV_VSA 111014_PJ" xfId="0"/>
    <cellStyle name="_DPF_LCDTV_VSA Roll-Up (LW)" xfId="0"/>
    <cellStyle name="_DPF_LCDTV_VSA Roll-Up (LW) 2" xfId="0"/>
    <cellStyle name="_DPF_LCDTV_VSA Roll-Up (LW) 3" xfId="0"/>
    <cellStyle name="_DPF_LCDTV_VSA Roll-Up (LW) 4" xfId="0"/>
    <cellStyle name="_DPF_LCDTV_VSA Roll-Up (LW) 4 2" xfId="0"/>
    <cellStyle name="_DPF_LCDTV_VSA Roll-Up (LW)_By Region" xfId="0"/>
    <cellStyle name="_DPF_LCDTV_VSA Roll-Up (LW)_CORP SG&amp;A" xfId="0"/>
    <cellStyle name="_DPF_LCDTV_VSA Roll-Up (LW)_LCD" xfId="0"/>
    <cellStyle name="_DPF_LCDTV_VSA Roll-Up (LW)_PJ" xfId="0"/>
    <cellStyle name="_DPF_lightling" xfId="0"/>
    <cellStyle name="_DPF_lightling 2" xfId="0"/>
    <cellStyle name="_DPF_lightling_By Region" xfId="0"/>
    <cellStyle name="_DPF_lightling_CORP SG&amp;A" xfId="0"/>
    <cellStyle name="_DPF_MNT" xfId="0"/>
    <cellStyle name="_DPF_MNT 2" xfId="0"/>
    <cellStyle name="_DPF_MNT 3" xfId="0"/>
    <cellStyle name="_DPF_MNT 4" xfId="0"/>
    <cellStyle name="_DPF_MNT_By Region" xfId="0"/>
    <cellStyle name="_DPF_MNT_CORP SG&amp;A" xfId="0"/>
    <cellStyle name="_DPF_MNT_Digitizer" xfId="0"/>
    <cellStyle name="_DPF_MNT_GPS OTHER" xfId="0"/>
    <cellStyle name="_DPF_MNT_GPS OTHER 2" xfId="0"/>
    <cellStyle name="_DPF_MNT_GPS OTHER 3" xfId="0"/>
    <cellStyle name="_DPF_MNT_GPS OTHER 4" xfId="0"/>
    <cellStyle name="_DPF_MNT_GPS OTHER 4 2" xfId="0"/>
    <cellStyle name="_DPF_MNT_GPS OTHER_By Region" xfId="0"/>
    <cellStyle name="_DPF_MNT_GPS OTHER_CORP SG&amp;A" xfId="0"/>
    <cellStyle name="_DPF_MNT_GPS OTHER_LCD" xfId="0"/>
    <cellStyle name="_DPF_MNT_GPS OTHER_PJ" xfId="0"/>
    <cellStyle name="_DPF_MNT_LCD" xfId="0"/>
    <cellStyle name="_DPF_MNT_LCD 2" xfId="0"/>
    <cellStyle name="_DPF_MNT_LCD 3" xfId="0"/>
    <cellStyle name="_DPF_MNT_LCD 4" xfId="0"/>
    <cellStyle name="_DPF_MNT_LCD_By Region" xfId="0"/>
    <cellStyle name="_DPF_MNT_LCD_CORP SG&amp;A" xfId="0"/>
    <cellStyle name="_DPF_MNT_LCD_LCD" xfId="0"/>
    <cellStyle name="_DPF_MNT_LCD_PJ" xfId="0"/>
    <cellStyle name="_DPF_MNT_lightling" xfId="0"/>
    <cellStyle name="_DPF_MNT_lightling 2" xfId="0"/>
    <cellStyle name="_DPF_MNT_lightling_By Region" xfId="0"/>
    <cellStyle name="_DPF_MNT_lightling_CORP SG&amp;A" xfId="0"/>
    <cellStyle name="_DPF_MNT_PC Products" xfId="0"/>
    <cellStyle name="_DPF_MNT_PC Products 2" xfId="0"/>
    <cellStyle name="_DPF_MNT_PC Products 3" xfId="0"/>
    <cellStyle name="_DPF_MNT_PC Products 4" xfId="0"/>
    <cellStyle name="_DPF_MNT_PC Products 4 2" xfId="0"/>
    <cellStyle name="_DPF_MNT_PC Products_By Region" xfId="0"/>
    <cellStyle name="_DPF_MNT_PC Products_CORP SG&amp;A" xfId="0"/>
    <cellStyle name="_DPF_MNT_PC Products_LCD" xfId="0"/>
    <cellStyle name="_DPF_MNT_PC Products_PJ" xfId="0"/>
    <cellStyle name="_DPF_MNT_VSA 111014" xfId="0"/>
    <cellStyle name="_DPF_MNT_VSA 111014 2" xfId="0"/>
    <cellStyle name="_DPF_MNT_VSA 111014 3" xfId="0"/>
    <cellStyle name="_DPF_MNT_VSA 111014 4" xfId="0"/>
    <cellStyle name="_DPF_MNT_VSA 111014 4 2" xfId="0"/>
    <cellStyle name="_DPF_MNT_VSA 111014_By Region" xfId="0"/>
    <cellStyle name="_DPF_MNT_VSA 111014_CORP SG&amp;A" xfId="0"/>
    <cellStyle name="_DPF_MNT_VSA 111014_LCD" xfId="0"/>
    <cellStyle name="_DPF_MNT_VSA 111014_PJ" xfId="0"/>
    <cellStyle name="_DPF_MNT_VSA Roll-Up (LW)" xfId="0"/>
    <cellStyle name="_DPF_MNT_VSA Roll-Up (LW) 2" xfId="0"/>
    <cellStyle name="_DPF_MNT_VSA Roll-Up (LW) 3" xfId="0"/>
    <cellStyle name="_DPF_MNT_VSA Roll-Up (LW) 4" xfId="0"/>
    <cellStyle name="_DPF_MNT_VSA Roll-Up (LW) 4 2" xfId="0"/>
    <cellStyle name="_DPF_MNT_VSA Roll-Up (LW)_By Region" xfId="0"/>
    <cellStyle name="_DPF_MNT_VSA Roll-Up (LW)_CORP SG&amp;A" xfId="0"/>
    <cellStyle name="_DPF_MNT_VSA Roll-Up (LW)_LCD" xfId="0"/>
    <cellStyle name="_DPF_MNT_VSA Roll-Up (LW)_PJ" xfId="0"/>
    <cellStyle name="_DPF_Other" xfId="0"/>
    <cellStyle name="_DPF_Other 2" xfId="0"/>
    <cellStyle name="_DPF_Other 3" xfId="0"/>
    <cellStyle name="_DPF_Other 4" xfId="0"/>
    <cellStyle name="_DPF_Other_By Region" xfId="0"/>
    <cellStyle name="_DPF_Other_CORP SG&amp;A" xfId="0"/>
    <cellStyle name="_DPF_Other_Digitizer" xfId="0"/>
    <cellStyle name="_DPF_Other_GPS OTHER" xfId="0"/>
    <cellStyle name="_DPF_Other_GPS OTHER 2" xfId="0"/>
    <cellStyle name="_DPF_Other_GPS OTHER 3" xfId="0"/>
    <cellStyle name="_DPF_Other_GPS OTHER 4" xfId="0"/>
    <cellStyle name="_DPF_Other_GPS OTHER 4 2" xfId="0"/>
    <cellStyle name="_DPF_Other_GPS OTHER_By Region" xfId="0"/>
    <cellStyle name="_DPF_Other_GPS OTHER_CORP SG&amp;A" xfId="0"/>
    <cellStyle name="_DPF_Other_GPS OTHER_LCD" xfId="0"/>
    <cellStyle name="_DPF_Other_GPS OTHER_PJ" xfId="0"/>
    <cellStyle name="_DPF_Other_LCD" xfId="0"/>
    <cellStyle name="_DPF_Other_LCD 2" xfId="0"/>
    <cellStyle name="_DPF_Other_LCD 3" xfId="0"/>
    <cellStyle name="_DPF_Other_LCD 4" xfId="0"/>
    <cellStyle name="_DPF_Other_LCD_By Region" xfId="0"/>
    <cellStyle name="_DPF_Other_LCD_CORP SG&amp;A" xfId="0"/>
    <cellStyle name="_DPF_Other_LCD_LCD" xfId="0"/>
    <cellStyle name="_DPF_Other_LCD_PJ" xfId="0"/>
    <cellStyle name="_DPF_Other_lightling" xfId="0"/>
    <cellStyle name="_DPF_Other_lightling 2" xfId="0"/>
    <cellStyle name="_DPF_Other_lightling_By Region" xfId="0"/>
    <cellStyle name="_DPF_Other_lightling_CORP SG&amp;A" xfId="0"/>
    <cellStyle name="_DPF_Other_PC Products" xfId="0"/>
    <cellStyle name="_DPF_Other_PC Products 2" xfId="0"/>
    <cellStyle name="_DPF_Other_PC Products 3" xfId="0"/>
    <cellStyle name="_DPF_Other_PC Products 4" xfId="0"/>
    <cellStyle name="_DPF_Other_PC Products 4 2" xfId="0"/>
    <cellStyle name="_DPF_Other_PC Products_By Region" xfId="0"/>
    <cellStyle name="_DPF_Other_PC Products_CORP SG&amp;A" xfId="0"/>
    <cellStyle name="_DPF_Other_PC Products_LCD" xfId="0"/>
    <cellStyle name="_DPF_Other_PC Products_PJ" xfId="0"/>
    <cellStyle name="_DPF_Other_VSA 111014" xfId="0"/>
    <cellStyle name="_DPF_Other_VSA 111014 2" xfId="0"/>
    <cellStyle name="_DPF_Other_VSA 111014 3" xfId="0"/>
    <cellStyle name="_DPF_Other_VSA 111014 4" xfId="0"/>
    <cellStyle name="_DPF_Other_VSA 111014 4 2" xfId="0"/>
    <cellStyle name="_DPF_Other_VSA 111014_By Region" xfId="0"/>
    <cellStyle name="_DPF_Other_VSA 111014_CORP SG&amp;A" xfId="0"/>
    <cellStyle name="_DPF_Other_VSA 111014_LCD" xfId="0"/>
    <cellStyle name="_DPF_Other_VSA 111014_PJ" xfId="0"/>
    <cellStyle name="_DPF_Other_VSA Roll-Up (LW)" xfId="0"/>
    <cellStyle name="_DPF_Other_VSA Roll-Up (LW) 2" xfId="0"/>
    <cellStyle name="_DPF_Other_VSA Roll-Up (LW) 3" xfId="0"/>
    <cellStyle name="_DPF_Other_VSA Roll-Up (LW) 4" xfId="0"/>
    <cellStyle name="_DPF_Other_VSA Roll-Up (LW) 4 2" xfId="0"/>
    <cellStyle name="_DPF_Other_VSA Roll-Up (LW)_By Region" xfId="0"/>
    <cellStyle name="_DPF_Other_VSA Roll-Up (LW)_CORP SG&amp;A" xfId="0"/>
    <cellStyle name="_DPF_Other_VSA Roll-Up (LW)_LCD" xfId="0"/>
    <cellStyle name="_DPF_Other_VSA Roll-Up (LW)_PJ" xfId="0"/>
    <cellStyle name="_DPF_PC" xfId="0"/>
    <cellStyle name="_DPF_PC 2" xfId="0"/>
    <cellStyle name="_DPF_PC 3" xfId="0"/>
    <cellStyle name="_DPF_PC 4" xfId="0"/>
    <cellStyle name="_DPF_PC Products" xfId="0"/>
    <cellStyle name="_DPF_PC Products 2" xfId="0"/>
    <cellStyle name="_DPF_PC Products 3" xfId="0"/>
    <cellStyle name="_DPF_PC Products 4" xfId="0"/>
    <cellStyle name="_DPF_PC Products 4 2" xfId="0"/>
    <cellStyle name="_DPF_PC Products_By Region" xfId="0"/>
    <cellStyle name="_DPF_PC Products_CORP SG&amp;A" xfId="0"/>
    <cellStyle name="_DPF_PC Products_LCD" xfId="0"/>
    <cellStyle name="_DPF_PC Products_PJ" xfId="0"/>
    <cellStyle name="_DPF_PC_By Region" xfId="0"/>
    <cellStyle name="_DPF_PC_CORP SG&amp;A" xfId="0"/>
    <cellStyle name="_DPF_PC_Digitizer" xfId="0"/>
    <cellStyle name="_DPF_PC_DT" xfId="0"/>
    <cellStyle name="_DPF_PC_DT 2" xfId="0"/>
    <cellStyle name="_DPF_PC_DT_By Region" xfId="0"/>
    <cellStyle name="_DPF_PC_DT_CORP SG&amp;A" xfId="0"/>
    <cellStyle name="_DPF_PC_GPS OTHER" xfId="0"/>
    <cellStyle name="_DPF_PC_GPS OTHER 2" xfId="0"/>
    <cellStyle name="_DPF_PC_GPS OTHER 3" xfId="0"/>
    <cellStyle name="_DPF_PC_GPS OTHER 4" xfId="0"/>
    <cellStyle name="_DPF_PC_GPS OTHER 4 2" xfId="0"/>
    <cellStyle name="_DPF_PC_GPS OTHER_By Region" xfId="0"/>
    <cellStyle name="_DPF_PC_GPS OTHER_CORP SG&amp;A" xfId="0"/>
    <cellStyle name="_DPF_PC_GPS OTHER_LCD" xfId="0"/>
    <cellStyle name="_DPF_PC_GPS OTHER_PJ" xfId="0"/>
    <cellStyle name="_DPF_PC_LCD" xfId="0"/>
    <cellStyle name="_DPF_PC_LCD 2" xfId="0"/>
    <cellStyle name="_DPF_PC_LCD 3" xfId="0"/>
    <cellStyle name="_DPF_PC_LCD 4" xfId="0"/>
    <cellStyle name="_DPF_PC_LCD_By Region" xfId="0"/>
    <cellStyle name="_DPF_PC_LCD_CORP SG&amp;A" xfId="0"/>
    <cellStyle name="_DPF_PC_LCD_LCD" xfId="0"/>
    <cellStyle name="_DPF_PC_LCD_PJ" xfId="0"/>
    <cellStyle name="_DPF_PC_lightling" xfId="0"/>
    <cellStyle name="_DPF_PC_lightling 2" xfId="0"/>
    <cellStyle name="_DPF_PC_lightling_By Region" xfId="0"/>
    <cellStyle name="_DPF_PC_lightling_CORP SG&amp;A" xfId="0"/>
    <cellStyle name="_DPF_PC_PC Products" xfId="0"/>
    <cellStyle name="_DPF_PC_PC Products 2" xfId="0"/>
    <cellStyle name="_DPF_PC_PC Products 3" xfId="0"/>
    <cellStyle name="_DPF_PC_PC Products 4" xfId="0"/>
    <cellStyle name="_DPF_PC_PC Products 4 2" xfId="0"/>
    <cellStyle name="_DPF_PC_PC Products_By Region" xfId="0"/>
    <cellStyle name="_DPF_PC_PC Products_CORP SG&amp;A" xfId="0"/>
    <cellStyle name="_DPF_PC_PC Products_LCD" xfId="0"/>
    <cellStyle name="_DPF_PC_PC Products_PJ" xfId="0"/>
    <cellStyle name="_DPF_PC_TV" xfId="0"/>
    <cellStyle name="_DPF_PC_TV 2" xfId="0"/>
    <cellStyle name="_DPF_PC_TV 3" xfId="0"/>
    <cellStyle name="_DPF_PC_TV 4" xfId="0"/>
    <cellStyle name="_DPF_PC_TV_By Region" xfId="0"/>
    <cellStyle name="_DPF_PC_TV_CORP SG&amp;A" xfId="0"/>
    <cellStyle name="_DPF_PC_TV_Digitizer" xfId="0"/>
    <cellStyle name="_DPF_PC_TV_GPS OTHER" xfId="0"/>
    <cellStyle name="_DPF_PC_TV_GPS OTHER 2" xfId="0"/>
    <cellStyle name="_DPF_PC_TV_GPS OTHER 3" xfId="0"/>
    <cellStyle name="_DPF_PC_TV_GPS OTHER 4" xfId="0"/>
    <cellStyle name="_DPF_PC_TV_GPS OTHER 4 2" xfId="0"/>
    <cellStyle name="_DPF_PC_TV_GPS OTHER_By Region" xfId="0"/>
    <cellStyle name="_DPF_PC_TV_GPS OTHER_CORP SG&amp;A" xfId="0"/>
    <cellStyle name="_DPF_PC_TV_GPS OTHER_LCD" xfId="0"/>
    <cellStyle name="_DPF_PC_TV_GPS OTHER_PJ" xfId="0"/>
    <cellStyle name="_DPF_PC_TV_LCD" xfId="0"/>
    <cellStyle name="_DPF_PC_TV_LCD 2" xfId="0"/>
    <cellStyle name="_DPF_PC_TV_LCD 3" xfId="0"/>
    <cellStyle name="_DPF_PC_TV_LCD 4" xfId="0"/>
    <cellStyle name="_DPF_PC_TV_LCD_By Region" xfId="0"/>
    <cellStyle name="_DPF_PC_TV_LCD_CORP SG&amp;A" xfId="0"/>
    <cellStyle name="_DPF_PC_TV_LCD_LCD" xfId="0"/>
    <cellStyle name="_DPF_PC_TV_LCD_PJ" xfId="0"/>
    <cellStyle name="_DPF_PC_TV_lightling" xfId="0"/>
    <cellStyle name="_DPF_PC_TV_lightling 2" xfId="0"/>
    <cellStyle name="_DPF_PC_TV_lightling_By Region" xfId="0"/>
    <cellStyle name="_DPF_PC_TV_lightling_CORP SG&amp;A" xfId="0"/>
    <cellStyle name="_DPF_PC_TV_PC Products" xfId="0"/>
    <cellStyle name="_DPF_PC_TV_PC Products 2" xfId="0"/>
    <cellStyle name="_DPF_PC_TV_PC Products 3" xfId="0"/>
    <cellStyle name="_DPF_PC_TV_PC Products 4" xfId="0"/>
    <cellStyle name="_DPF_PC_TV_PC Products 4 2" xfId="0"/>
    <cellStyle name="_DPF_PC_TV_PC Products_By Region" xfId="0"/>
    <cellStyle name="_DPF_PC_TV_PC Products_CORP SG&amp;A" xfId="0"/>
    <cellStyle name="_DPF_PC_TV_PC Products_LCD" xfId="0"/>
    <cellStyle name="_DPF_PC_TV_PC Products_PJ" xfId="0"/>
    <cellStyle name="_DPF_PC_TV_VSA 111014" xfId="0"/>
    <cellStyle name="_DPF_PC_TV_VSA 111014 2" xfId="0"/>
    <cellStyle name="_DPF_PC_TV_VSA 111014 3" xfId="0"/>
    <cellStyle name="_DPF_PC_TV_VSA 111014 4" xfId="0"/>
    <cellStyle name="_DPF_PC_TV_VSA 111014 4 2" xfId="0"/>
    <cellStyle name="_DPF_PC_TV_VSA 111014_By Region" xfId="0"/>
    <cellStyle name="_DPF_PC_TV_VSA 111014_CORP SG&amp;A" xfId="0"/>
    <cellStyle name="_DPF_PC_TV_VSA 111014_LCD" xfId="0"/>
    <cellStyle name="_DPF_PC_TV_VSA 111014_PJ" xfId="0"/>
    <cellStyle name="_DPF_PC_TV_VSA Roll-Up (LW)" xfId="0"/>
    <cellStyle name="_DPF_PC_TV_VSA Roll-Up (LW) 2" xfId="0"/>
    <cellStyle name="_DPF_PC_TV_VSA Roll-Up (LW) 3" xfId="0"/>
    <cellStyle name="_DPF_PC_TV_VSA Roll-Up (LW) 4" xfId="0"/>
    <cellStyle name="_DPF_PC_TV_VSA Roll-Up (LW) 4 2" xfId="0"/>
    <cellStyle name="_DPF_PC_TV_VSA Roll-Up (LW)_By Region" xfId="0"/>
    <cellStyle name="_DPF_PC_TV_VSA Roll-Up (LW)_CORP SG&amp;A" xfId="0"/>
    <cellStyle name="_DPF_PC_TV_VSA Roll-Up (LW)_LCD" xfId="0"/>
    <cellStyle name="_DPF_PC_TV_VSA Roll-Up (LW)_PJ" xfId="0"/>
    <cellStyle name="_DPF_PC_VSA 111014" xfId="0"/>
    <cellStyle name="_DPF_PC_VSA 111014 2" xfId="0"/>
    <cellStyle name="_DPF_PC_VSA 111014 3" xfId="0"/>
    <cellStyle name="_DPF_PC_VSA 111014 4" xfId="0"/>
    <cellStyle name="_DPF_PC_VSA 111014 4 2" xfId="0"/>
    <cellStyle name="_DPF_PC_VSA 111014_By Region" xfId="0"/>
    <cellStyle name="_DPF_PC_VSA 111014_CORP SG&amp;A" xfId="0"/>
    <cellStyle name="_DPF_PC_VSA 111014_LCD" xfId="0"/>
    <cellStyle name="_DPF_PC_VSA 111014_PJ" xfId="0"/>
    <cellStyle name="_DPF_PC_VSA Roll-Up (LW)" xfId="0"/>
    <cellStyle name="_DPF_PC_VSA Roll-Up (LW) 2" xfId="0"/>
    <cellStyle name="_DPF_PC_VSA Roll-Up (LW) 3" xfId="0"/>
    <cellStyle name="_DPF_PC_VSA Roll-Up (LW) 4" xfId="0"/>
    <cellStyle name="_DPF_PC_VSA Roll-Up (LW) 4 2" xfId="0"/>
    <cellStyle name="_DPF_PC_VSA Roll-Up (LW)_By Region" xfId="0"/>
    <cellStyle name="_DPF_PC_VSA Roll-Up (LW)_CORP SG&amp;A" xfId="0"/>
    <cellStyle name="_DPF_PC_VSA Roll-Up (LW)_LCD" xfId="0"/>
    <cellStyle name="_DPF_PC_VSA Roll-Up (LW)_PJ" xfId="0"/>
    <cellStyle name="_DPF_PJ" xfId="0"/>
    <cellStyle name="_DPF_PJ 2" xfId="0"/>
    <cellStyle name="_DPF_PJ 3" xfId="0"/>
    <cellStyle name="_DPF_PJ 4" xfId="0"/>
    <cellStyle name="_DPF_PJ_By Region" xfId="0"/>
    <cellStyle name="_DPF_PJ_CORP SG&amp;A" xfId="0"/>
    <cellStyle name="_DPF_PJ_Digitizer" xfId="0"/>
    <cellStyle name="_DPF_PJ_GPS OTHER" xfId="0"/>
    <cellStyle name="_DPF_PJ_GPS OTHER 2" xfId="0"/>
    <cellStyle name="_DPF_PJ_GPS OTHER 3" xfId="0"/>
    <cellStyle name="_DPF_PJ_GPS OTHER 4" xfId="0"/>
    <cellStyle name="_DPF_PJ_GPS OTHER 4 2" xfId="0"/>
    <cellStyle name="_DPF_PJ_GPS OTHER_By Region" xfId="0"/>
    <cellStyle name="_DPF_PJ_GPS OTHER_CORP SG&amp;A" xfId="0"/>
    <cellStyle name="_DPF_PJ_GPS OTHER_LCD" xfId="0"/>
    <cellStyle name="_DPF_PJ_GPS OTHER_PJ" xfId="0"/>
    <cellStyle name="_DPF_PJ_LCD" xfId="0"/>
    <cellStyle name="_DPF_PJ_LCD 2" xfId="0"/>
    <cellStyle name="_DPF_PJ_LCD 3" xfId="0"/>
    <cellStyle name="_DPF_PJ_LCD 4" xfId="0"/>
    <cellStyle name="_DPF_PJ_LCD_By Region" xfId="0"/>
    <cellStyle name="_DPF_PJ_LCD_CORP SG&amp;A" xfId="0"/>
    <cellStyle name="_DPF_PJ_LCD_LCD" xfId="0"/>
    <cellStyle name="_DPF_PJ_LCD_PJ" xfId="0"/>
    <cellStyle name="_DPF_PJ_lightling" xfId="0"/>
    <cellStyle name="_DPF_PJ_lightling 2" xfId="0"/>
    <cellStyle name="_DPF_PJ_lightling_By Region" xfId="0"/>
    <cellStyle name="_DPF_PJ_lightling_CORP SG&amp;A" xfId="0"/>
    <cellStyle name="_DPF_PJ_PC Products" xfId="0"/>
    <cellStyle name="_DPF_PJ_PC Products 2" xfId="0"/>
    <cellStyle name="_DPF_PJ_PC Products 3" xfId="0"/>
    <cellStyle name="_DPF_PJ_PC Products 4" xfId="0"/>
    <cellStyle name="_DPF_PJ_PC Products 4 2" xfId="0"/>
    <cellStyle name="_DPF_PJ_PC Products_By Region" xfId="0"/>
    <cellStyle name="_DPF_PJ_PC Products_CORP SG&amp;A" xfId="0"/>
    <cellStyle name="_DPF_PJ_PC Products_LCD" xfId="0"/>
    <cellStyle name="_DPF_PJ_PC Products_PJ" xfId="0"/>
    <cellStyle name="_DPF_PJ_VSA 111014" xfId="0"/>
    <cellStyle name="_DPF_PJ_VSA 111014 2" xfId="0"/>
    <cellStyle name="_DPF_PJ_VSA 111014 3" xfId="0"/>
    <cellStyle name="_DPF_PJ_VSA 111014 4" xfId="0"/>
    <cellStyle name="_DPF_PJ_VSA 111014 4 2" xfId="0"/>
    <cellStyle name="_DPF_PJ_VSA 111014_By Region" xfId="0"/>
    <cellStyle name="_DPF_PJ_VSA 111014_CORP SG&amp;A" xfId="0"/>
    <cellStyle name="_DPF_PJ_VSA 111014_LCD" xfId="0"/>
    <cellStyle name="_DPF_PJ_VSA 111014_PJ" xfId="0"/>
    <cellStyle name="_DPF_PJ_VSA Roll-Up (LW)" xfId="0"/>
    <cellStyle name="_DPF_PJ_VSA Roll-Up (LW) 2" xfId="0"/>
    <cellStyle name="_DPF_PJ_VSA Roll-Up (LW) 3" xfId="0"/>
    <cellStyle name="_DPF_PJ_VSA Roll-Up (LW) 4" xfId="0"/>
    <cellStyle name="_DPF_PJ_VSA Roll-Up (LW) 4 2" xfId="0"/>
    <cellStyle name="_DPF_PJ_VSA Roll-Up (LW)_By Region" xfId="0"/>
    <cellStyle name="_DPF_PJ_VSA Roll-Up (LW)_CORP SG&amp;A" xfId="0"/>
    <cellStyle name="_DPF_PJ_VSA Roll-Up (LW)_LCD" xfId="0"/>
    <cellStyle name="_DPF_PJ_VSA Roll-Up (LW)_PJ" xfId="0"/>
    <cellStyle name="_DPF_PMP(VPD)" xfId="0"/>
    <cellStyle name="_DPF_PMP(VPD) 2" xfId="0"/>
    <cellStyle name="_DPF_PMP(VPD) 3" xfId="0"/>
    <cellStyle name="_DPF_PMP(VPD) 4" xfId="0"/>
    <cellStyle name="_DPF_PMP(VPD)_By Region" xfId="0"/>
    <cellStyle name="_DPF_PMP(VPD)_CORP SG&amp;A" xfId="0"/>
    <cellStyle name="_DPF_PMP(VPD)_Digitizer" xfId="0"/>
    <cellStyle name="_DPF_PMP(VPD)_GPS OTHER" xfId="0"/>
    <cellStyle name="_DPF_PMP(VPD)_GPS OTHER 2" xfId="0"/>
    <cellStyle name="_DPF_PMP(VPD)_GPS OTHER 3" xfId="0"/>
    <cellStyle name="_DPF_PMP(VPD)_GPS OTHER 4" xfId="0"/>
    <cellStyle name="_DPF_PMP(VPD)_GPS OTHER 4 2" xfId="0"/>
    <cellStyle name="_DPF_PMP(VPD)_GPS OTHER_By Region" xfId="0"/>
    <cellStyle name="_DPF_PMP(VPD)_GPS OTHER_CORP SG&amp;A" xfId="0"/>
    <cellStyle name="_DPF_PMP(VPD)_GPS OTHER_LCD" xfId="0"/>
    <cellStyle name="_DPF_PMP(VPD)_GPS OTHER_PJ" xfId="0"/>
    <cellStyle name="_DPF_PMP(VPD)_LCD" xfId="0"/>
    <cellStyle name="_DPF_PMP(VPD)_LCD 2" xfId="0"/>
    <cellStyle name="_DPF_PMP(VPD)_LCD 3" xfId="0"/>
    <cellStyle name="_DPF_PMP(VPD)_LCD 4" xfId="0"/>
    <cellStyle name="_DPF_PMP(VPD)_LCD_By Region" xfId="0"/>
    <cellStyle name="_DPF_PMP(VPD)_LCD_CORP SG&amp;A" xfId="0"/>
    <cellStyle name="_DPF_PMP(VPD)_LCD_LCD" xfId="0"/>
    <cellStyle name="_DPF_PMP(VPD)_LCD_PJ" xfId="0"/>
    <cellStyle name="_DPF_PMP(VPD)_lightling" xfId="0"/>
    <cellStyle name="_DPF_PMP(VPD)_lightling 2" xfId="0"/>
    <cellStyle name="_DPF_PMP(VPD)_lightling_By Region" xfId="0"/>
    <cellStyle name="_DPF_PMP(VPD)_lightling_CORP SG&amp;A" xfId="0"/>
    <cellStyle name="_DPF_PMP(VPD)_PC Products" xfId="0"/>
    <cellStyle name="_DPF_PMP(VPD)_PC Products 2" xfId="0"/>
    <cellStyle name="_DPF_PMP(VPD)_PC Products 3" xfId="0"/>
    <cellStyle name="_DPF_PMP(VPD)_PC Products 4" xfId="0"/>
    <cellStyle name="_DPF_PMP(VPD)_PC Products 4 2" xfId="0"/>
    <cellStyle name="_DPF_PMP(VPD)_PC Products_By Region" xfId="0"/>
    <cellStyle name="_DPF_PMP(VPD)_PC Products_CORP SG&amp;A" xfId="0"/>
    <cellStyle name="_DPF_PMP(VPD)_PC Products_LCD" xfId="0"/>
    <cellStyle name="_DPF_PMP(VPD)_PC Products_PJ" xfId="0"/>
    <cellStyle name="_DPF_PMP(VPD)_VSA 111014" xfId="0"/>
    <cellStyle name="_DPF_PMP(VPD)_VSA 111014 2" xfId="0"/>
    <cellStyle name="_DPF_PMP(VPD)_VSA 111014 3" xfId="0"/>
    <cellStyle name="_DPF_PMP(VPD)_VSA 111014 4" xfId="0"/>
    <cellStyle name="_DPF_PMP(VPD)_VSA 111014 4 2" xfId="0"/>
    <cellStyle name="_DPF_PMP(VPD)_VSA 111014_By Region" xfId="0"/>
    <cellStyle name="_DPF_PMP(VPD)_VSA 111014_CORP SG&amp;A" xfId="0"/>
    <cellStyle name="_DPF_PMP(VPD)_VSA 111014_LCD" xfId="0"/>
    <cellStyle name="_DPF_PMP(VPD)_VSA 111014_PJ" xfId="0"/>
    <cellStyle name="_DPF_PMP(VPD)_VSA Roll-Up (LW)" xfId="0"/>
    <cellStyle name="_DPF_PMP(VPD)_VSA Roll-Up (LW) 2" xfId="0"/>
    <cellStyle name="_DPF_PMP(VPD)_VSA Roll-Up (LW) 3" xfId="0"/>
    <cellStyle name="_DPF_PMP(VPD)_VSA Roll-Up (LW) 4" xfId="0"/>
    <cellStyle name="_DPF_PMP(VPD)_VSA Roll-Up (LW) 4 2" xfId="0"/>
    <cellStyle name="_DPF_PMP(VPD)_VSA Roll-Up (LW)_By Region" xfId="0"/>
    <cellStyle name="_DPF_PMP(VPD)_VSA Roll-Up (LW)_CORP SG&amp;A" xfId="0"/>
    <cellStyle name="_DPF_PMP(VPD)_VSA Roll-Up (LW)_LCD" xfId="0"/>
    <cellStyle name="_DPF_PMP(VPD)_VSA Roll-Up (LW)_PJ" xfId="0"/>
    <cellStyle name="_DPF_Pocket TV" xfId="0"/>
    <cellStyle name="_DPF_Pocket TV 2" xfId="0"/>
    <cellStyle name="_DPF_Pocket TV 3" xfId="0"/>
    <cellStyle name="_DPF_Pocket TV 4" xfId="0"/>
    <cellStyle name="_DPF_Pocket TV_By Region" xfId="0"/>
    <cellStyle name="_DPF_Pocket TV_CORP SG&amp;A" xfId="0"/>
    <cellStyle name="_DPF_Pocket TV_Digitizer" xfId="0"/>
    <cellStyle name="_DPF_Pocket TV_GPS OTHER" xfId="0"/>
    <cellStyle name="_DPF_Pocket TV_GPS OTHER 2" xfId="0"/>
    <cellStyle name="_DPF_Pocket TV_GPS OTHER 3" xfId="0"/>
    <cellStyle name="_DPF_Pocket TV_GPS OTHER 4" xfId="0"/>
    <cellStyle name="_DPF_Pocket TV_GPS OTHER 4 2" xfId="0"/>
    <cellStyle name="_DPF_Pocket TV_GPS OTHER_By Region" xfId="0"/>
    <cellStyle name="_DPF_Pocket TV_GPS OTHER_CORP SG&amp;A" xfId="0"/>
    <cellStyle name="_DPF_Pocket TV_GPS OTHER_LCD" xfId="0"/>
    <cellStyle name="_DPF_Pocket TV_GPS OTHER_PJ" xfId="0"/>
    <cellStyle name="_DPF_Pocket TV_LCD" xfId="0"/>
    <cellStyle name="_DPF_Pocket TV_LCD 2" xfId="0"/>
    <cellStyle name="_DPF_Pocket TV_LCD 3" xfId="0"/>
    <cellStyle name="_DPF_Pocket TV_LCD 4" xfId="0"/>
    <cellStyle name="_DPF_Pocket TV_LCD_By Region" xfId="0"/>
    <cellStyle name="_DPF_Pocket TV_LCD_CORP SG&amp;A" xfId="0"/>
    <cellStyle name="_DPF_Pocket TV_LCD_LCD" xfId="0"/>
    <cellStyle name="_DPF_Pocket TV_LCD_PJ" xfId="0"/>
    <cellStyle name="_DPF_Pocket TV_lightling" xfId="0"/>
    <cellStyle name="_DPF_Pocket TV_lightling 2" xfId="0"/>
    <cellStyle name="_DPF_Pocket TV_lightling_By Region" xfId="0"/>
    <cellStyle name="_DPF_Pocket TV_lightling_CORP SG&amp;A" xfId="0"/>
    <cellStyle name="_DPF_Pocket TV_PC Products" xfId="0"/>
    <cellStyle name="_DPF_Pocket TV_PC Products 2" xfId="0"/>
    <cellStyle name="_DPF_Pocket TV_PC Products 3" xfId="0"/>
    <cellStyle name="_DPF_Pocket TV_PC Products 4" xfId="0"/>
    <cellStyle name="_DPF_Pocket TV_PC Products 4 2" xfId="0"/>
    <cellStyle name="_DPF_Pocket TV_PC Products_By Region" xfId="0"/>
    <cellStyle name="_DPF_Pocket TV_PC Products_CORP SG&amp;A" xfId="0"/>
    <cellStyle name="_DPF_Pocket TV_PC Products_LCD" xfId="0"/>
    <cellStyle name="_DPF_Pocket TV_PC Products_PJ" xfId="0"/>
    <cellStyle name="_DPF_Pocket TV_VSA 111014" xfId="0"/>
    <cellStyle name="_DPF_Pocket TV_VSA 111014 2" xfId="0"/>
    <cellStyle name="_DPF_Pocket TV_VSA 111014 3" xfId="0"/>
    <cellStyle name="_DPF_Pocket TV_VSA 111014 4" xfId="0"/>
    <cellStyle name="_DPF_Pocket TV_VSA 111014 4 2" xfId="0"/>
    <cellStyle name="_DPF_Pocket TV_VSA 111014_By Region" xfId="0"/>
    <cellStyle name="_DPF_Pocket TV_VSA 111014_CORP SG&amp;A" xfId="0"/>
    <cellStyle name="_DPF_Pocket TV_VSA 111014_LCD" xfId="0"/>
    <cellStyle name="_DPF_Pocket TV_VSA 111014_PJ" xfId="0"/>
    <cellStyle name="_DPF_Pocket TV_VSA Roll-Up (LW)" xfId="0"/>
    <cellStyle name="_DPF_Pocket TV_VSA Roll-Up (LW) 2" xfId="0"/>
    <cellStyle name="_DPF_Pocket TV_VSA Roll-Up (LW) 3" xfId="0"/>
    <cellStyle name="_DPF_Pocket TV_VSA Roll-Up (LW) 4" xfId="0"/>
    <cellStyle name="_DPF_Pocket TV_VSA Roll-Up (LW) 4 2" xfId="0"/>
    <cellStyle name="_DPF_Pocket TV_VSA Roll-Up (LW)_By Region" xfId="0"/>
    <cellStyle name="_DPF_Pocket TV_VSA Roll-Up (LW)_CORP SG&amp;A" xfId="0"/>
    <cellStyle name="_DPF_Pocket TV_VSA Roll-Up (LW)_LCD" xfId="0"/>
    <cellStyle name="_DPF_Pocket TV_VSA Roll-Up (LW)_PJ" xfId="0"/>
    <cellStyle name="_DPF_Pocket_TV" xfId="0"/>
    <cellStyle name="_DPF_Pocket_TV 2" xfId="0"/>
    <cellStyle name="_DPF_Pocket_TV 3" xfId="0"/>
    <cellStyle name="_DPF_Pocket_TV 4" xfId="0"/>
    <cellStyle name="_DPF_Pocket_TV_By Region" xfId="0"/>
    <cellStyle name="_DPF_Pocket_TV_CORP SG&amp;A" xfId="0"/>
    <cellStyle name="_DPF_Pocket_TV_Digitizer" xfId="0"/>
    <cellStyle name="_DPF_Pocket_TV_GPS OTHER" xfId="0"/>
    <cellStyle name="_DPF_Pocket_TV_GPS OTHER 2" xfId="0"/>
    <cellStyle name="_DPF_Pocket_TV_GPS OTHER 3" xfId="0"/>
    <cellStyle name="_DPF_Pocket_TV_GPS OTHER 4" xfId="0"/>
    <cellStyle name="_DPF_Pocket_TV_GPS OTHER 4 2" xfId="0"/>
    <cellStyle name="_DPF_Pocket_TV_GPS OTHER_By Region" xfId="0"/>
    <cellStyle name="_DPF_Pocket_TV_GPS OTHER_CORP SG&amp;A" xfId="0"/>
    <cellStyle name="_DPF_Pocket_TV_GPS OTHER_LCD" xfId="0"/>
    <cellStyle name="_DPF_Pocket_TV_GPS OTHER_PJ" xfId="0"/>
    <cellStyle name="_DPF_Pocket_TV_LCD" xfId="0"/>
    <cellStyle name="_DPF_Pocket_TV_LCD 2" xfId="0"/>
    <cellStyle name="_DPF_Pocket_TV_LCD 3" xfId="0"/>
    <cellStyle name="_DPF_Pocket_TV_LCD 4" xfId="0"/>
    <cellStyle name="_DPF_Pocket_TV_LCD_By Region" xfId="0"/>
    <cellStyle name="_DPF_Pocket_TV_LCD_CORP SG&amp;A" xfId="0"/>
    <cellStyle name="_DPF_Pocket_TV_LCD_LCD" xfId="0"/>
    <cellStyle name="_DPF_Pocket_TV_LCD_PJ" xfId="0"/>
    <cellStyle name="_DPF_Pocket_TV_lightling" xfId="0"/>
    <cellStyle name="_DPF_Pocket_TV_lightling 2" xfId="0"/>
    <cellStyle name="_DPF_Pocket_TV_lightling_By Region" xfId="0"/>
    <cellStyle name="_DPF_Pocket_TV_lightling_CORP SG&amp;A" xfId="0"/>
    <cellStyle name="_DPF_Pocket_TV_PC Products" xfId="0"/>
    <cellStyle name="_DPF_Pocket_TV_PC Products 2" xfId="0"/>
    <cellStyle name="_DPF_Pocket_TV_PC Products 3" xfId="0"/>
    <cellStyle name="_DPF_Pocket_TV_PC Products 4" xfId="0"/>
    <cellStyle name="_DPF_Pocket_TV_PC Products 4 2" xfId="0"/>
    <cellStyle name="_DPF_Pocket_TV_PC Products_By Region" xfId="0"/>
    <cellStyle name="_DPF_Pocket_TV_PC Products_CORP SG&amp;A" xfId="0"/>
    <cellStyle name="_DPF_Pocket_TV_PC Products_LCD" xfId="0"/>
    <cellStyle name="_DPF_Pocket_TV_PC Products_PJ" xfId="0"/>
    <cellStyle name="_DPF_Pocket_TV_VSA 111014" xfId="0"/>
    <cellStyle name="_DPF_Pocket_TV_VSA 111014 2" xfId="0"/>
    <cellStyle name="_DPF_Pocket_TV_VSA 111014 3" xfId="0"/>
    <cellStyle name="_DPF_Pocket_TV_VSA 111014 4" xfId="0"/>
    <cellStyle name="_DPF_Pocket_TV_VSA 111014 4 2" xfId="0"/>
    <cellStyle name="_DPF_Pocket_TV_VSA 111014_By Region" xfId="0"/>
    <cellStyle name="_DPF_Pocket_TV_VSA 111014_CORP SG&amp;A" xfId="0"/>
    <cellStyle name="_DPF_Pocket_TV_VSA 111014_LCD" xfId="0"/>
    <cellStyle name="_DPF_Pocket_TV_VSA 111014_PJ" xfId="0"/>
    <cellStyle name="_DPF_Pocket_TV_VSA Roll-Up (LW)" xfId="0"/>
    <cellStyle name="_DPF_Pocket_TV_VSA Roll-Up (LW) 2" xfId="0"/>
    <cellStyle name="_DPF_Pocket_TV_VSA Roll-Up (LW) 3" xfId="0"/>
    <cellStyle name="_DPF_Pocket_TV_VSA Roll-Up (LW) 4" xfId="0"/>
    <cellStyle name="_DPF_Pocket_TV_VSA Roll-Up (LW) 4 2" xfId="0"/>
    <cellStyle name="_DPF_Pocket_TV_VSA Roll-Up (LW)_By Region" xfId="0"/>
    <cellStyle name="_DPF_Pocket_TV_VSA Roll-Up (LW)_CORP SG&amp;A" xfId="0"/>
    <cellStyle name="_DPF_Pocket_TV_VSA Roll-Up (LW)_LCD" xfId="0"/>
    <cellStyle name="_DPF_Pocket_TV_VSA Roll-Up (LW)_PJ" xfId="0"/>
    <cellStyle name="_DPF_TV" xfId="0"/>
    <cellStyle name="_DPF_TV 2" xfId="0"/>
    <cellStyle name="_DPF_TV 3" xfId="0"/>
    <cellStyle name="_DPF_TV 4" xfId="0"/>
    <cellStyle name="_DPF_TV_By Region" xfId="0"/>
    <cellStyle name="_DPF_TV_CORP SG&amp;A" xfId="0"/>
    <cellStyle name="_DPF_TV_Digitizer" xfId="0"/>
    <cellStyle name="_DPF_TV_GPS OTHER" xfId="0"/>
    <cellStyle name="_DPF_TV_GPS OTHER 2" xfId="0"/>
    <cellStyle name="_DPF_TV_GPS OTHER 3" xfId="0"/>
    <cellStyle name="_DPF_TV_GPS OTHER 4" xfId="0"/>
    <cellStyle name="_DPF_TV_GPS OTHER 4 2" xfId="0"/>
    <cellStyle name="_DPF_TV_GPS OTHER_By Region" xfId="0"/>
    <cellStyle name="_DPF_TV_GPS OTHER_CORP SG&amp;A" xfId="0"/>
    <cellStyle name="_DPF_TV_GPS OTHER_LCD" xfId="0"/>
    <cellStyle name="_DPF_TV_GPS OTHER_PJ" xfId="0"/>
    <cellStyle name="_DPF_TV_LCD" xfId="0"/>
    <cellStyle name="_DPF_TV_LCD 2" xfId="0"/>
    <cellStyle name="_DPF_TV_LCD 3" xfId="0"/>
    <cellStyle name="_DPF_TV_LCD 4" xfId="0"/>
    <cellStyle name="_DPF_TV_LCD_By Region" xfId="0"/>
    <cellStyle name="_DPF_TV_LCD_CORP SG&amp;A" xfId="0"/>
    <cellStyle name="_DPF_TV_LCD_LCD" xfId="0"/>
    <cellStyle name="_DPF_TV_LCD_PJ" xfId="0"/>
    <cellStyle name="_DPF_TV_lightling" xfId="0"/>
    <cellStyle name="_DPF_TV_lightling 2" xfId="0"/>
    <cellStyle name="_DPF_TV_lightling_By Region" xfId="0"/>
    <cellStyle name="_DPF_TV_lightling_CORP SG&amp;A" xfId="0"/>
    <cellStyle name="_DPF_TV_PC Products" xfId="0"/>
    <cellStyle name="_DPF_TV_PC Products 2" xfId="0"/>
    <cellStyle name="_DPF_TV_PC Products 3" xfId="0"/>
    <cellStyle name="_DPF_TV_PC Products 4" xfId="0"/>
    <cellStyle name="_DPF_TV_PC Products 4 2" xfId="0"/>
    <cellStyle name="_DPF_TV_PC Products_By Region" xfId="0"/>
    <cellStyle name="_DPF_TV_PC Products_CORP SG&amp;A" xfId="0"/>
    <cellStyle name="_DPF_TV_PC Products_LCD" xfId="0"/>
    <cellStyle name="_DPF_TV_PC Products_PJ" xfId="0"/>
    <cellStyle name="_DPF_TV_VSA 111014" xfId="0"/>
    <cellStyle name="_DPF_TV_VSA 111014 2" xfId="0"/>
    <cellStyle name="_DPF_TV_VSA 111014 3" xfId="0"/>
    <cellStyle name="_DPF_TV_VSA 111014 4" xfId="0"/>
    <cellStyle name="_DPF_TV_VSA 111014 4 2" xfId="0"/>
    <cellStyle name="_DPF_TV_VSA 111014_By Region" xfId="0"/>
    <cellStyle name="_DPF_TV_VSA 111014_CORP SG&amp;A" xfId="0"/>
    <cellStyle name="_DPF_TV_VSA 111014_LCD" xfId="0"/>
    <cellStyle name="_DPF_TV_VSA 111014_PJ" xfId="0"/>
    <cellStyle name="_DPF_TV_VSA Roll-Up (LW)" xfId="0"/>
    <cellStyle name="_DPF_TV_VSA Roll-Up (LW) 2" xfId="0"/>
    <cellStyle name="_DPF_TV_VSA Roll-Up (LW) 3" xfId="0"/>
    <cellStyle name="_DPF_TV_VSA Roll-Up (LW) 4" xfId="0"/>
    <cellStyle name="_DPF_TV_VSA Roll-Up (LW) 4 2" xfId="0"/>
    <cellStyle name="_DPF_TV_VSA Roll-Up (LW)_By Region" xfId="0"/>
    <cellStyle name="_DPF_TV_VSA Roll-Up (LW)_CORP SG&amp;A" xfId="0"/>
    <cellStyle name="_DPF_TV_VSA Roll-Up (LW)_LCD" xfId="0"/>
    <cellStyle name="_DPF_TV_VSA Roll-Up (LW)_PJ" xfId="0"/>
    <cellStyle name="_DPF_VD" xfId="0"/>
    <cellStyle name="_DPF_VD 2" xfId="0"/>
    <cellStyle name="_DPF_VD 3" xfId="0"/>
    <cellStyle name="_DPF_VD 4" xfId="0"/>
    <cellStyle name="_DPF_VD_By Region" xfId="0"/>
    <cellStyle name="_DPF_VD_CORP SG&amp;A" xfId="0"/>
    <cellStyle name="_DPF_VD_Digitizer" xfId="0"/>
    <cellStyle name="_DPF_VD_GPS OTHER" xfId="0"/>
    <cellStyle name="_DPF_VD_GPS OTHER 2" xfId="0"/>
    <cellStyle name="_DPF_VD_GPS OTHER 3" xfId="0"/>
    <cellStyle name="_DPF_VD_GPS OTHER 4" xfId="0"/>
    <cellStyle name="_DPF_VD_GPS OTHER 4 2" xfId="0"/>
    <cellStyle name="_DPF_VD_GPS OTHER_By Region" xfId="0"/>
    <cellStyle name="_DPF_VD_GPS OTHER_CORP SG&amp;A" xfId="0"/>
    <cellStyle name="_DPF_VD_GPS OTHER_LCD" xfId="0"/>
    <cellStyle name="_DPF_VD_GPS OTHER_PJ" xfId="0"/>
    <cellStyle name="_DPF_VD_LCD" xfId="0"/>
    <cellStyle name="_DPF_VD_LCD 2" xfId="0"/>
    <cellStyle name="_DPF_VD_LCD 3" xfId="0"/>
    <cellStyle name="_DPF_VD_LCD 4" xfId="0"/>
    <cellStyle name="_DPF_VD_LCD_By Region" xfId="0"/>
    <cellStyle name="_DPF_VD_LCD_CORP SG&amp;A" xfId="0"/>
    <cellStyle name="_DPF_VD_LCD_LCD" xfId="0"/>
    <cellStyle name="_DPF_VD_LCD_PJ" xfId="0"/>
    <cellStyle name="_DPF_VD_lightling" xfId="0"/>
    <cellStyle name="_DPF_VD_lightling 2" xfId="0"/>
    <cellStyle name="_DPF_VD_lightling_By Region" xfId="0"/>
    <cellStyle name="_DPF_VD_lightling_CORP SG&amp;A" xfId="0"/>
    <cellStyle name="_DPF_VD_PC Products" xfId="0"/>
    <cellStyle name="_DPF_VD_PC Products 2" xfId="0"/>
    <cellStyle name="_DPF_VD_PC Products 3" xfId="0"/>
    <cellStyle name="_DPF_VD_PC Products 4" xfId="0"/>
    <cellStyle name="_DPF_VD_PC Products 4 2" xfId="0"/>
    <cellStyle name="_DPF_VD_PC Products_By Region" xfId="0"/>
    <cellStyle name="_DPF_VD_PC Products_CORP SG&amp;A" xfId="0"/>
    <cellStyle name="_DPF_VD_PC Products_LCD" xfId="0"/>
    <cellStyle name="_DPF_VD_PC Products_PJ" xfId="0"/>
    <cellStyle name="_DPF_VD_VSA 111014" xfId="0"/>
    <cellStyle name="_DPF_VD_VSA 111014 2" xfId="0"/>
    <cellStyle name="_DPF_VD_VSA 111014 3" xfId="0"/>
    <cellStyle name="_DPF_VD_VSA 111014 4" xfId="0"/>
    <cellStyle name="_DPF_VD_VSA 111014 4 2" xfId="0"/>
    <cellStyle name="_DPF_VD_VSA 111014_By Region" xfId="0"/>
    <cellStyle name="_DPF_VD_VSA 111014_CORP SG&amp;A" xfId="0"/>
    <cellStyle name="_DPF_VD_VSA 111014_LCD" xfId="0"/>
    <cellStyle name="_DPF_VD_VSA 111014_PJ" xfId="0"/>
    <cellStyle name="_DPF_VD_VSA Roll-Up (LW)" xfId="0"/>
    <cellStyle name="_DPF_VD_VSA Roll-Up (LW) 2" xfId="0"/>
    <cellStyle name="_DPF_VD_VSA Roll-Up (LW) 3" xfId="0"/>
    <cellStyle name="_DPF_VD_VSA Roll-Up (LW) 4" xfId="0"/>
    <cellStyle name="_DPF_VD_VSA Roll-Up (LW) 4 2" xfId="0"/>
    <cellStyle name="_DPF_VD_VSA Roll-Up (LW)_By Region" xfId="0"/>
    <cellStyle name="_DPF_VD_VSA Roll-Up (LW)_CORP SG&amp;A" xfId="0"/>
    <cellStyle name="_DPF_VD_VSA Roll-Up (LW)_LCD" xfId="0"/>
    <cellStyle name="_DPF_VD_VSA Roll-Up (LW)_PJ" xfId="0"/>
    <cellStyle name="_DPF_VSA 111014" xfId="0"/>
    <cellStyle name="_DPF_VSA 111014 2" xfId="0"/>
    <cellStyle name="_DPF_VSA 111014 3" xfId="0"/>
    <cellStyle name="_DPF_VSA 111014 4" xfId="0"/>
    <cellStyle name="_DPF_VSA 111014 4 2" xfId="0"/>
    <cellStyle name="_DPF_VSA 111014_By Region" xfId="0"/>
    <cellStyle name="_DPF_VSA 111014_CORP SG&amp;A" xfId="0"/>
    <cellStyle name="_DPF_VSA 111014_LCD" xfId="0"/>
    <cellStyle name="_DPF_VSA 111014_PJ" xfId="0"/>
    <cellStyle name="_DPF_VSA Roll-Up (LW)" xfId="0"/>
    <cellStyle name="_DPF_VSA Roll-Up (LW) 2" xfId="0"/>
    <cellStyle name="_DPF_VSA Roll-Up (LW) 3" xfId="0"/>
    <cellStyle name="_DPF_VSA Roll-Up (LW) 4" xfId="0"/>
    <cellStyle name="_DPF_VSA Roll-Up (LW) 4 2" xfId="0"/>
    <cellStyle name="_DPF_VSA Roll-Up (LW)_By Region" xfId="0"/>
    <cellStyle name="_DPF_VSA Roll-Up (LW)_CORP SG&amp;A" xfId="0"/>
    <cellStyle name="_DPF_VSA Roll-Up (LW)_LCD" xfId="0"/>
    <cellStyle name="_DPF_VSA Roll-Up (LW)_PJ" xfId="0"/>
    <cellStyle name="_DPF_VSE 2011 Budget" xfId="0"/>
    <cellStyle name="_DPF_VSE 2011 Budget 2" xfId="0"/>
    <cellStyle name="_DPF_VSE 2011 Budget 3" xfId="0"/>
    <cellStyle name="_DPF_VSE 2011 Budget 4" xfId="0"/>
    <cellStyle name="_DPF_VSE 2011 Budget_By Region" xfId="0"/>
    <cellStyle name="_DPF_VSE 2011 Budget_CORP SG&amp;A" xfId="0"/>
    <cellStyle name="_DPF_VSE 2011 Budget_Digitizer" xfId="0"/>
    <cellStyle name="_DPF_VSE 2011 Budget_GPS OTHER" xfId="0"/>
    <cellStyle name="_DPF_VSE 2011 Budget_GPS OTHER 2" xfId="0"/>
    <cellStyle name="_DPF_VSE 2011 Budget_GPS OTHER 3" xfId="0"/>
    <cellStyle name="_DPF_VSE 2011 Budget_GPS OTHER 4" xfId="0"/>
    <cellStyle name="_DPF_VSE 2011 Budget_GPS OTHER 4 2" xfId="0"/>
    <cellStyle name="_DPF_VSE 2011 Budget_GPS OTHER_By Region" xfId="0"/>
    <cellStyle name="_DPF_VSE 2011 Budget_GPS OTHER_CORP SG&amp;A" xfId="0"/>
    <cellStyle name="_DPF_VSE 2011 Budget_GPS OTHER_LCD" xfId="0"/>
    <cellStyle name="_DPF_VSE 2011 Budget_GPS OTHER_PJ" xfId="0"/>
    <cellStyle name="_DPF_VSE 2011 Budget_LCD" xfId="0"/>
    <cellStyle name="_DPF_VSE 2011 Budget_LCD 2" xfId="0"/>
    <cellStyle name="_DPF_VSE 2011 Budget_LCD 3" xfId="0"/>
    <cellStyle name="_DPF_VSE 2011 Budget_LCD 4" xfId="0"/>
    <cellStyle name="_DPF_VSE 2011 Budget_LCD_By Region" xfId="0"/>
    <cellStyle name="_DPF_VSE 2011 Budget_LCD_CORP SG&amp;A" xfId="0"/>
    <cellStyle name="_DPF_VSE 2011 Budget_LCD_LCD" xfId="0"/>
    <cellStyle name="_DPF_VSE 2011 Budget_LCD_PJ" xfId="0"/>
    <cellStyle name="_DPF_VSE 2011 Budget_lightling" xfId="0"/>
    <cellStyle name="_DPF_VSE 2011 Budget_lightling 2" xfId="0"/>
    <cellStyle name="_DPF_VSE 2011 Budget_lightling_By Region" xfId="0"/>
    <cellStyle name="_DPF_VSE 2011 Budget_lightling_CORP SG&amp;A" xfId="0"/>
    <cellStyle name="_DPF_VSE 2011 Budget_PC Products" xfId="0"/>
    <cellStyle name="_DPF_VSE 2011 Budget_PC Products 2" xfId="0"/>
    <cellStyle name="_DPF_VSE 2011 Budget_PC Products 3" xfId="0"/>
    <cellStyle name="_DPF_VSE 2011 Budget_PC Products 4" xfId="0"/>
    <cellStyle name="_DPF_VSE 2011 Budget_PC Products 4 2" xfId="0"/>
    <cellStyle name="_DPF_VSE 2011 Budget_PC Products_By Region" xfId="0"/>
    <cellStyle name="_DPF_VSE 2011 Budget_PC Products_CORP SG&amp;A" xfId="0"/>
    <cellStyle name="_DPF_VSE 2011 Budget_PC Products_LCD" xfId="0"/>
    <cellStyle name="_DPF_VSE 2011 Budget_PC Products_PJ" xfId="0"/>
    <cellStyle name="_DPF_VSE 2011 Budget_VSA 111014" xfId="0"/>
    <cellStyle name="_DPF_VSE 2011 Budget_VSA 111014 2" xfId="0"/>
    <cellStyle name="_DPF_VSE 2011 Budget_VSA 111014 3" xfId="0"/>
    <cellStyle name="_DPF_VSE 2011 Budget_VSA 111014 4" xfId="0"/>
    <cellStyle name="_DPF_VSE 2011 Budget_VSA 111014 4 2" xfId="0"/>
    <cellStyle name="_DPF_VSE 2011 Budget_VSA 111014_By Region" xfId="0"/>
    <cellStyle name="_DPF_VSE 2011 Budget_VSA 111014_CORP SG&amp;A" xfId="0"/>
    <cellStyle name="_DPF_VSE 2011 Budget_VSA 111014_LCD" xfId="0"/>
    <cellStyle name="_DPF_VSE 2011 Budget_VSA 111014_PJ" xfId="0"/>
    <cellStyle name="_DPF_VSE 2011 Budget_VSA Roll-Up (LW)" xfId="0"/>
    <cellStyle name="_DPF_VSE 2011 Budget_VSA Roll-Up (LW) 2" xfId="0"/>
    <cellStyle name="_DPF_VSE 2011 Budget_VSA Roll-Up (LW) 3" xfId="0"/>
    <cellStyle name="_DPF_VSE 2011 Budget_VSA Roll-Up (LW) 4" xfId="0"/>
    <cellStyle name="_DPF_VSE 2011 Budget_VSA Roll-Up (LW) 4 2" xfId="0"/>
    <cellStyle name="_DPF_VSE 2011 Budget_VSA Roll-Up (LW)_By Region" xfId="0"/>
    <cellStyle name="_DPF_VSE 2011 Budget_VSA Roll-Up (LW)_CORP SG&amp;A" xfId="0"/>
    <cellStyle name="_DPF_VSE 2011 Budget_VSA Roll-Up (LW)_LCD" xfId="0"/>
    <cellStyle name="_DPF_VSE 2011 Budget_VSA Roll-Up (LW)_PJ" xfId="0"/>
    <cellStyle name="_DPF_VSE 2H  WFP review (Spring Global meeting)-conservative Adam working v3" xfId="0"/>
    <cellStyle name="_DPF_VSE 2H  WFP review (Spring Global meeting)-conservative Adam working v3 2" xfId="0"/>
    <cellStyle name="_DPF_VSE 2H  WFP review (Spring Global meeting)-conservative Adam working v3 3" xfId="0"/>
    <cellStyle name="_DPF_VSE 2H Rebalance 110712" xfId="0"/>
    <cellStyle name="_DPF_VSE 2H Rebalance 110712 2" xfId="0"/>
    <cellStyle name="_DPF_VSE 2H Rebalance 110712 3" xfId="0"/>
    <cellStyle name="_DPF_VSE 2H Rebalance 110712 4" xfId="0"/>
    <cellStyle name="_DPF_VSE 2H Rebalance 110712_By Region" xfId="0"/>
    <cellStyle name="_DPF_VSE 2H Rebalance 110712_CORP SG&amp;A" xfId="0"/>
    <cellStyle name="_DPF_VSE WFP 101203" xfId="0"/>
    <cellStyle name="_DPF_VSE WFP 101203 2" xfId="0"/>
    <cellStyle name="_DPF_VSE WFP 101203 3" xfId="0"/>
    <cellStyle name="_DPF_VSE WFP 101203 4" xfId="0"/>
    <cellStyle name="_DPF_VSE WFP 101203_By Region" xfId="0"/>
    <cellStyle name="_DPF_VSE WFP 101203_CORP SG&amp;A" xfId="0"/>
    <cellStyle name="_DPF_VSE WFP 110311" xfId="0"/>
    <cellStyle name="_DPF_VSE WFP 110311 2" xfId="0"/>
    <cellStyle name="_DPF_VSE WFP 110311 3" xfId="0"/>
    <cellStyle name="_DPF_VSE WFP 110311 4" xfId="0"/>
    <cellStyle name="_DPF_VSE WFP 110311_By Region" xfId="0"/>
    <cellStyle name="_DPF_VSE WFP 110311_CORP SG&amp;A" xfId="0"/>
    <cellStyle name="_DPF_VSE WFP 110415" xfId="0"/>
    <cellStyle name="_DPF_VSE WFP 110415 2" xfId="0"/>
    <cellStyle name="_DPF_VSE WFP 110415 3" xfId="0"/>
    <cellStyle name="_DPF_VSE WFP 110415 4" xfId="0"/>
    <cellStyle name="_DPF_VSE WFP 110415_By Region" xfId="0"/>
    <cellStyle name="_DPF_VSE WFP 110415_CORP SG&amp;A" xfId="0"/>
    <cellStyle name="_DPF_VSE WFP_100409" xfId="0"/>
    <cellStyle name="_DPF_VSE WFP_100409 2" xfId="0"/>
    <cellStyle name="_DPF_VSE WFP_100409 3" xfId="0"/>
    <cellStyle name="_DPF_VSE WFP_100409 4" xfId="0"/>
    <cellStyle name="_DPF_VSE WFP_100409_By Region" xfId="0"/>
    <cellStyle name="_DPF_VSE WFP_100409_CORP SG&amp;A" xfId="0"/>
    <cellStyle name="_DPF_VSE WFP_100409_Digitizer" xfId="0"/>
    <cellStyle name="_DPF_VSE WFP_100409_GPS OTHER" xfId="0"/>
    <cellStyle name="_DPF_VSE WFP_100409_GPS OTHER 2" xfId="0"/>
    <cellStyle name="_DPF_VSE WFP_100409_GPS OTHER 3" xfId="0"/>
    <cellStyle name="_DPF_VSE WFP_100409_GPS OTHER 4" xfId="0"/>
    <cellStyle name="_DPF_VSE WFP_100409_GPS OTHER 4 2" xfId="0"/>
    <cellStyle name="_DPF_VSE WFP_100409_GPS OTHER_By Region" xfId="0"/>
    <cellStyle name="_DPF_VSE WFP_100409_GPS OTHER_CORP SG&amp;A" xfId="0"/>
    <cellStyle name="_DPF_VSE WFP_100409_GPS OTHER_LCD" xfId="0"/>
    <cellStyle name="_DPF_VSE WFP_100409_GPS OTHER_PJ" xfId="0"/>
    <cellStyle name="_DPF_VSE WFP_100409_LCD" xfId="0"/>
    <cellStyle name="_DPF_VSE WFP_100409_LCD 2" xfId="0"/>
    <cellStyle name="_DPF_VSE WFP_100409_LCD 3" xfId="0"/>
    <cellStyle name="_DPF_VSE WFP_100409_LCD 4" xfId="0"/>
    <cellStyle name="_DPF_VSE WFP_100409_LCD_By Region" xfId="0"/>
    <cellStyle name="_DPF_VSE WFP_100409_LCD_CORP SG&amp;A" xfId="0"/>
    <cellStyle name="_DPF_VSE WFP_100409_LCD_LCD" xfId="0"/>
    <cellStyle name="_DPF_VSE WFP_100409_LCD_PJ" xfId="0"/>
    <cellStyle name="_DPF_VSE WFP_100409_lightling" xfId="0"/>
    <cellStyle name="_DPF_VSE WFP_100409_lightling 2" xfId="0"/>
    <cellStyle name="_DPF_VSE WFP_100409_lightling_By Region" xfId="0"/>
    <cellStyle name="_DPF_VSE WFP_100409_lightling_CORP SG&amp;A" xfId="0"/>
    <cellStyle name="_DPF_VSE WFP_100409_PC Products" xfId="0"/>
    <cellStyle name="_DPF_VSE WFP_100409_PC Products 2" xfId="0"/>
    <cellStyle name="_DPF_VSE WFP_100409_PC Products 3" xfId="0"/>
    <cellStyle name="_DPF_VSE WFP_100409_PC Products 4" xfId="0"/>
    <cellStyle name="_DPF_VSE WFP_100409_PC Products 4 2" xfId="0"/>
    <cellStyle name="_DPF_VSE WFP_100409_PC Products_By Region" xfId="0"/>
    <cellStyle name="_DPF_VSE WFP_100409_PC Products_CORP SG&amp;A" xfId="0"/>
    <cellStyle name="_DPF_VSE WFP_100409_PC Products_LCD" xfId="0"/>
    <cellStyle name="_DPF_VSE WFP_100409_PC Products_PJ" xfId="0"/>
    <cellStyle name="_DPF_VSE WFP_100409_VSA 111014" xfId="0"/>
    <cellStyle name="_DPF_VSE WFP_100409_VSA 111014 2" xfId="0"/>
    <cellStyle name="_DPF_VSE WFP_100409_VSA 111014 3" xfId="0"/>
    <cellStyle name="_DPF_VSE WFP_100409_VSA 111014 4" xfId="0"/>
    <cellStyle name="_DPF_VSE WFP_100409_VSA 111014 4 2" xfId="0"/>
    <cellStyle name="_DPF_VSE WFP_100409_VSA 111014_By Region" xfId="0"/>
    <cellStyle name="_DPF_VSE WFP_100409_VSA 111014_CORP SG&amp;A" xfId="0"/>
    <cellStyle name="_DPF_VSE WFP_100409_VSA 111014_LCD" xfId="0"/>
    <cellStyle name="_DPF_VSE WFP_100409_VSA 111014_PJ" xfId="0"/>
    <cellStyle name="_DPF_VSE WFP_100409_VSA Roll-Up (LW)" xfId="0"/>
    <cellStyle name="_DPF_VSE WFP_100409_VSA Roll-Up (LW) 2" xfId="0"/>
    <cellStyle name="_DPF_VSE WFP_100409_VSA Roll-Up (LW) 3" xfId="0"/>
    <cellStyle name="_DPF_VSE WFP_100409_VSA Roll-Up (LW) 4" xfId="0"/>
    <cellStyle name="_DPF_VSE WFP_100409_VSA Roll-Up (LW) 4 2" xfId="0"/>
    <cellStyle name="_DPF_VSE WFP_100409_VSA Roll-Up (LW)_By Region" xfId="0"/>
    <cellStyle name="_DPF_VSE WFP_100409_VSA Roll-Up (LW)_CORP SG&amp;A" xfId="0"/>
    <cellStyle name="_DPF_VSE WFP_100409_VSA Roll-Up (LW)_LCD" xfId="0"/>
    <cellStyle name="_DPF_VSE WFP_100409_VSA Roll-Up (LW)_PJ" xfId="0"/>
    <cellStyle name="_DPF_VSE WFP_100421 v2" xfId="0"/>
    <cellStyle name="_DPF_VSE WFP_100421 v2 2" xfId="0"/>
    <cellStyle name="_DPF_VSE WFP_100421 v2 3" xfId="0"/>
    <cellStyle name="_DPF_VSE WFP_100421 v2 4" xfId="0"/>
    <cellStyle name="_DPF_VSE WFP_100421 v2_By Region" xfId="0"/>
    <cellStyle name="_DPF_VSE WFP_100421 v2_CORP SG&amp;A" xfId="0"/>
    <cellStyle name="_DPF_VSE WFP_100421 v2_Digitizer" xfId="0"/>
    <cellStyle name="_DPF_VSE WFP_100421 v2_GPS OTHER" xfId="0"/>
    <cellStyle name="_DPF_VSE WFP_100421 v2_GPS OTHER 2" xfId="0"/>
    <cellStyle name="_DPF_VSE WFP_100421 v2_GPS OTHER 3" xfId="0"/>
    <cellStyle name="_DPF_VSE WFP_100421 v2_GPS OTHER 4" xfId="0"/>
    <cellStyle name="_DPF_VSE WFP_100421 v2_GPS OTHER 4 2" xfId="0"/>
    <cellStyle name="_DPF_VSE WFP_100421 v2_GPS OTHER_By Region" xfId="0"/>
    <cellStyle name="_DPF_VSE WFP_100421 v2_GPS OTHER_CORP SG&amp;A" xfId="0"/>
    <cellStyle name="_DPF_VSE WFP_100421 v2_GPS OTHER_LCD" xfId="0"/>
    <cellStyle name="_DPF_VSE WFP_100421 v2_GPS OTHER_PJ" xfId="0"/>
    <cellStyle name="_DPF_VSE WFP_100421 v2_LCD" xfId="0"/>
    <cellStyle name="_DPF_VSE WFP_100421 v2_LCD 2" xfId="0"/>
    <cellStyle name="_DPF_VSE WFP_100421 v2_LCD 3" xfId="0"/>
    <cellStyle name="_DPF_VSE WFP_100421 v2_LCD 4" xfId="0"/>
    <cellStyle name="_DPF_VSE WFP_100421 v2_LCD_By Region" xfId="0"/>
    <cellStyle name="_DPF_VSE WFP_100421 v2_LCD_CORP SG&amp;A" xfId="0"/>
    <cellStyle name="_DPF_VSE WFP_100421 v2_LCD_LCD" xfId="0"/>
    <cellStyle name="_DPF_VSE WFP_100421 v2_LCD_PJ" xfId="0"/>
    <cellStyle name="_DPF_VSE WFP_100421 v2_lightling" xfId="0"/>
    <cellStyle name="_DPF_VSE WFP_100421 v2_lightling 2" xfId="0"/>
    <cellStyle name="_DPF_VSE WFP_100421 v2_lightling_By Region" xfId="0"/>
    <cellStyle name="_DPF_VSE WFP_100421 v2_lightling_CORP SG&amp;A" xfId="0"/>
    <cellStyle name="_DPF_VSE WFP_100421 v2_PC Products" xfId="0"/>
    <cellStyle name="_DPF_VSE WFP_100421 v2_PC Products 2" xfId="0"/>
    <cellStyle name="_DPF_VSE WFP_100421 v2_PC Products 3" xfId="0"/>
    <cellStyle name="_DPF_VSE WFP_100421 v2_PC Products 4" xfId="0"/>
    <cellStyle name="_DPF_VSE WFP_100421 v2_PC Products 4 2" xfId="0"/>
    <cellStyle name="_DPF_VSE WFP_100421 v2_PC Products_By Region" xfId="0"/>
    <cellStyle name="_DPF_VSE WFP_100421 v2_PC Products_CORP SG&amp;A" xfId="0"/>
    <cellStyle name="_DPF_VSE WFP_100421 v2_PC Products_LCD" xfId="0"/>
    <cellStyle name="_DPF_VSE WFP_100421 v2_PC Products_PJ" xfId="0"/>
    <cellStyle name="_DPF_VSE WFP_100421 v2_VSA 111014" xfId="0"/>
    <cellStyle name="_DPF_VSE WFP_100421 v2_VSA 111014 2" xfId="0"/>
    <cellStyle name="_DPF_VSE WFP_100421 v2_VSA 111014 3" xfId="0"/>
    <cellStyle name="_DPF_VSE WFP_100421 v2_VSA 111014 4" xfId="0"/>
    <cellStyle name="_DPF_VSE WFP_100421 v2_VSA 111014 4 2" xfId="0"/>
    <cellStyle name="_DPF_VSE WFP_100421 v2_VSA 111014_By Region" xfId="0"/>
    <cellStyle name="_DPF_VSE WFP_100421 v2_VSA 111014_CORP SG&amp;A" xfId="0"/>
    <cellStyle name="_DPF_VSE WFP_100421 v2_VSA 111014_LCD" xfId="0"/>
    <cellStyle name="_DPF_VSE WFP_100421 v2_VSA 111014_PJ" xfId="0"/>
    <cellStyle name="_DPF_VSE WFP_100421 v2_VSA Roll-Up (LW)" xfId="0"/>
    <cellStyle name="_DPF_VSE WFP_100421 v2_VSA Roll-Up (LW) 2" xfId="0"/>
    <cellStyle name="_DPF_VSE WFP_100421 v2_VSA Roll-Up (LW) 3" xfId="0"/>
    <cellStyle name="_DPF_VSE WFP_100421 v2_VSA Roll-Up (LW) 4" xfId="0"/>
    <cellStyle name="_DPF_VSE WFP_100421 v2_VSA Roll-Up (LW) 4 2" xfId="0"/>
    <cellStyle name="_DPF_VSE WFP_100421 v2_VSA Roll-Up (LW)_By Region" xfId="0"/>
    <cellStyle name="_DPF_VSE WFP_100421 v2_VSA Roll-Up (LW)_CORP SG&amp;A" xfId="0"/>
    <cellStyle name="_DPF_VSE WFP_100421 v2_VSA Roll-Up (LW)_LCD" xfId="0"/>
    <cellStyle name="_DPF_VSE WFP_100421 v2_VSA Roll-Up (LW)_PJ" xfId="0"/>
    <cellStyle name="_DPF_VSE WFP_100507" xfId="0"/>
    <cellStyle name="_DPF_VSE WFP_100507 2" xfId="0"/>
    <cellStyle name="_DPF_VSE WFP_100507 3" xfId="0"/>
    <cellStyle name="_DPF_VSE WFP_100507 4" xfId="0"/>
    <cellStyle name="_DPF_VSE WFP_100507_By Region" xfId="0"/>
    <cellStyle name="_DPF_VSE WFP_100507_CORP SG&amp;A" xfId="0"/>
    <cellStyle name="_DPF_VSE WFP_100507_Digitizer" xfId="0"/>
    <cellStyle name="_DPF_VSE WFP_100507_GPS OTHER" xfId="0"/>
    <cellStyle name="_DPF_VSE WFP_100507_GPS OTHER 2" xfId="0"/>
    <cellStyle name="_DPF_VSE WFP_100507_GPS OTHER 3" xfId="0"/>
    <cellStyle name="_DPF_VSE WFP_100507_GPS OTHER 4" xfId="0"/>
    <cellStyle name="_DPF_VSE WFP_100507_GPS OTHER 4 2" xfId="0"/>
    <cellStyle name="_DPF_VSE WFP_100507_GPS OTHER_By Region" xfId="0"/>
    <cellStyle name="_DPF_VSE WFP_100507_GPS OTHER_CORP SG&amp;A" xfId="0"/>
    <cellStyle name="_DPF_VSE WFP_100507_GPS OTHER_LCD" xfId="0"/>
    <cellStyle name="_DPF_VSE WFP_100507_GPS OTHER_PJ" xfId="0"/>
    <cellStyle name="_DPF_VSE WFP_100507_LCD" xfId="0"/>
    <cellStyle name="_DPF_VSE WFP_100507_LCD 2" xfId="0"/>
    <cellStyle name="_DPF_VSE WFP_100507_LCD 3" xfId="0"/>
    <cellStyle name="_DPF_VSE WFP_100507_LCD 4" xfId="0"/>
    <cellStyle name="_DPF_VSE WFP_100507_LCD_By Region" xfId="0"/>
    <cellStyle name="_DPF_VSE WFP_100507_LCD_CORP SG&amp;A" xfId="0"/>
    <cellStyle name="_DPF_VSE WFP_100507_LCD_LCD" xfId="0"/>
    <cellStyle name="_DPF_VSE WFP_100507_LCD_PJ" xfId="0"/>
    <cellStyle name="_DPF_VSE WFP_100507_lightling" xfId="0"/>
    <cellStyle name="_DPF_VSE WFP_100507_lightling 2" xfId="0"/>
    <cellStyle name="_DPF_VSE WFP_100507_lightling_By Region" xfId="0"/>
    <cellStyle name="_DPF_VSE WFP_100507_lightling_CORP SG&amp;A" xfId="0"/>
    <cellStyle name="_DPF_VSE WFP_100507_PC Products" xfId="0"/>
    <cellStyle name="_DPF_VSE WFP_100507_PC Products 2" xfId="0"/>
    <cellStyle name="_DPF_VSE WFP_100507_PC Products 3" xfId="0"/>
    <cellStyle name="_DPF_VSE WFP_100507_PC Products 4" xfId="0"/>
    <cellStyle name="_DPF_VSE WFP_100507_PC Products 4 2" xfId="0"/>
    <cellStyle name="_DPF_VSE WFP_100507_PC Products_By Region" xfId="0"/>
    <cellStyle name="_DPF_VSE WFP_100507_PC Products_CORP SG&amp;A" xfId="0"/>
    <cellStyle name="_DPF_VSE WFP_100507_PC Products_LCD" xfId="0"/>
    <cellStyle name="_DPF_VSE WFP_100507_PC Products_PJ" xfId="0"/>
    <cellStyle name="_DPF_VSE WFP_100507_VSA 111014" xfId="0"/>
    <cellStyle name="_DPF_VSE WFP_100507_VSA 111014 2" xfId="0"/>
    <cellStyle name="_DPF_VSE WFP_100507_VSA 111014 3" xfId="0"/>
    <cellStyle name="_DPF_VSE WFP_100507_VSA 111014 4" xfId="0"/>
    <cellStyle name="_DPF_VSE WFP_100507_VSA 111014 4 2" xfId="0"/>
    <cellStyle name="_DPF_VSE WFP_100507_VSA 111014_By Region" xfId="0"/>
    <cellStyle name="_DPF_VSE WFP_100507_VSA 111014_CORP SG&amp;A" xfId="0"/>
    <cellStyle name="_DPF_VSE WFP_100507_VSA 111014_LCD" xfId="0"/>
    <cellStyle name="_DPF_VSE WFP_100507_VSA 111014_PJ" xfId="0"/>
    <cellStyle name="_DPF_VSE WFP_100507_VSA Roll-Up (LW)" xfId="0"/>
    <cellStyle name="_DPF_VSE WFP_100507_VSA Roll-Up (LW) 2" xfId="0"/>
    <cellStyle name="_DPF_VSE WFP_100507_VSA Roll-Up (LW) 3" xfId="0"/>
    <cellStyle name="_DPF_VSE WFP_100507_VSA Roll-Up (LW) 4" xfId="0"/>
    <cellStyle name="_DPF_VSE WFP_100507_VSA Roll-Up (LW) 4 2" xfId="0"/>
    <cellStyle name="_DPF_VSE WFP_100507_VSA Roll-Up (LW)_By Region" xfId="0"/>
    <cellStyle name="_DPF_VSE WFP_100507_VSA Roll-Up (LW)_CORP SG&amp;A" xfId="0"/>
    <cellStyle name="_DPF_VSE WFP_100507_VSA Roll-Up (LW)_LCD" xfId="0"/>
    <cellStyle name="_DPF_VSE WFP_100507_VSA Roll-Up (LW)_PJ" xfId="0"/>
    <cellStyle name="_DPF_VSE WFP_100608" xfId="0"/>
    <cellStyle name="_DPF_VSE WFP_100608 2" xfId="0"/>
    <cellStyle name="_DPF_VSE WFP_100608 3" xfId="0"/>
    <cellStyle name="_DPF_VSE WFP_100608 4" xfId="0"/>
    <cellStyle name="_DPF_VSE WFP_100608_By Region" xfId="0"/>
    <cellStyle name="_DPF_VSE WFP_100608_CORP SG&amp;A" xfId="0"/>
    <cellStyle name="_DPF_VSE WFP_100608_Digitizer" xfId="0"/>
    <cellStyle name="_DPF_VSE WFP_100608_GPS OTHER" xfId="0"/>
    <cellStyle name="_DPF_VSE WFP_100608_GPS OTHER 2" xfId="0"/>
    <cellStyle name="_DPF_VSE WFP_100608_GPS OTHER 3" xfId="0"/>
    <cellStyle name="_DPF_VSE WFP_100608_GPS OTHER 4" xfId="0"/>
    <cellStyle name="_DPF_VSE WFP_100608_GPS OTHER 4 2" xfId="0"/>
    <cellStyle name="_DPF_VSE WFP_100608_GPS OTHER_By Region" xfId="0"/>
    <cellStyle name="_DPF_VSE WFP_100608_GPS OTHER_CORP SG&amp;A" xfId="0"/>
    <cellStyle name="_DPF_VSE WFP_100608_GPS OTHER_LCD" xfId="0"/>
    <cellStyle name="_DPF_VSE WFP_100608_GPS OTHER_PJ" xfId="0"/>
    <cellStyle name="_DPF_VSE WFP_100608_LCD" xfId="0"/>
    <cellStyle name="_DPF_VSE WFP_100608_LCD 2" xfId="0"/>
    <cellStyle name="_DPF_VSE WFP_100608_LCD 3" xfId="0"/>
    <cellStyle name="_DPF_VSE WFP_100608_LCD 4" xfId="0"/>
    <cellStyle name="_DPF_VSE WFP_100608_LCD_By Region" xfId="0"/>
    <cellStyle name="_DPF_VSE WFP_100608_LCD_CORP SG&amp;A" xfId="0"/>
    <cellStyle name="_DPF_VSE WFP_100608_LCD_LCD" xfId="0"/>
    <cellStyle name="_DPF_VSE WFP_100608_LCD_PJ" xfId="0"/>
    <cellStyle name="_DPF_VSE WFP_100608_lightling" xfId="0"/>
    <cellStyle name="_DPF_VSE WFP_100608_lightling 2" xfId="0"/>
    <cellStyle name="_DPF_VSE WFP_100608_lightling_By Region" xfId="0"/>
    <cellStyle name="_DPF_VSE WFP_100608_lightling_CORP SG&amp;A" xfId="0"/>
    <cellStyle name="_DPF_VSE WFP_100608_PC Products" xfId="0"/>
    <cellStyle name="_DPF_VSE WFP_100608_PC Products 2" xfId="0"/>
    <cellStyle name="_DPF_VSE WFP_100608_PC Products 3" xfId="0"/>
    <cellStyle name="_DPF_VSE WFP_100608_PC Products 4" xfId="0"/>
    <cellStyle name="_DPF_VSE WFP_100608_PC Products 4 2" xfId="0"/>
    <cellStyle name="_DPF_VSE WFP_100608_PC Products_By Region" xfId="0"/>
    <cellStyle name="_DPF_VSE WFP_100608_PC Products_CORP SG&amp;A" xfId="0"/>
    <cellStyle name="_DPF_VSE WFP_100608_PC Products_LCD" xfId="0"/>
    <cellStyle name="_DPF_VSE WFP_100608_PC Products_PJ" xfId="0"/>
    <cellStyle name="_DPF_VSE WFP_100608_VSA 111014" xfId="0"/>
    <cellStyle name="_DPF_VSE WFP_100608_VSA 111014 2" xfId="0"/>
    <cellStyle name="_DPF_VSE WFP_100608_VSA 111014 3" xfId="0"/>
    <cellStyle name="_DPF_VSE WFP_100608_VSA 111014 4" xfId="0"/>
    <cellStyle name="_DPF_VSE WFP_100608_VSA 111014 4 2" xfId="0"/>
    <cellStyle name="_DPF_VSE WFP_100608_VSA 111014_By Region" xfId="0"/>
    <cellStyle name="_DPF_VSE WFP_100608_VSA 111014_CORP SG&amp;A" xfId="0"/>
    <cellStyle name="_DPF_VSE WFP_100608_VSA 111014_LCD" xfId="0"/>
    <cellStyle name="_DPF_VSE WFP_100608_VSA 111014_PJ" xfId="0"/>
    <cellStyle name="_DPF_VSE WFP_100608_VSA Roll-Up (LW)" xfId="0"/>
    <cellStyle name="_DPF_VSE WFP_100608_VSA Roll-Up (LW) 2" xfId="0"/>
    <cellStyle name="_DPF_VSE WFP_100608_VSA Roll-Up (LW) 3" xfId="0"/>
    <cellStyle name="_DPF_VSE WFP_100608_VSA Roll-Up (LW) 4" xfId="0"/>
    <cellStyle name="_DPF_VSE WFP_100608_VSA Roll-Up (LW) 4 2" xfId="0"/>
    <cellStyle name="_DPF_VSE WFP_100608_VSA Roll-Up (LW)_By Region" xfId="0"/>
    <cellStyle name="_DPF_VSE WFP_100608_VSA Roll-Up (LW)_CORP SG&amp;A" xfId="0"/>
    <cellStyle name="_DPF_VSE WFP_100608_VSA Roll-Up (LW)_LCD" xfId="0"/>
    <cellStyle name="_DPF_VSE WFP_100608_VSA Roll-Up (LW)_PJ" xfId="0"/>
    <cellStyle name="_DPF_VSE WFP_100625" xfId="0"/>
    <cellStyle name="_DPF_VSE WFP_100625 2" xfId="0"/>
    <cellStyle name="_DPF_VSE WFP_100625 3" xfId="0"/>
    <cellStyle name="_DPF_VSE WFP_100625 4" xfId="0"/>
    <cellStyle name="_DPF_VSE WFP_100625_By Region" xfId="0"/>
    <cellStyle name="_DPF_VSE WFP_100625_CORP SG&amp;A" xfId="0"/>
    <cellStyle name="_DPF_VSE WFP_100625_Digitizer" xfId="0"/>
    <cellStyle name="_DPF_VSE WFP_100625_GPS OTHER" xfId="0"/>
    <cellStyle name="_DPF_VSE WFP_100625_GPS OTHER 2" xfId="0"/>
    <cellStyle name="_DPF_VSE WFP_100625_GPS OTHER 3" xfId="0"/>
    <cellStyle name="_DPF_VSE WFP_100625_GPS OTHER 4" xfId="0"/>
    <cellStyle name="_DPF_VSE WFP_100625_GPS OTHER 4 2" xfId="0"/>
    <cellStyle name="_DPF_VSE WFP_100625_GPS OTHER_By Region" xfId="0"/>
    <cellStyle name="_DPF_VSE WFP_100625_GPS OTHER_CORP SG&amp;A" xfId="0"/>
    <cellStyle name="_DPF_VSE WFP_100625_GPS OTHER_LCD" xfId="0"/>
    <cellStyle name="_DPF_VSE WFP_100625_GPS OTHER_PJ" xfId="0"/>
    <cellStyle name="_DPF_VSE WFP_100625_LCD" xfId="0"/>
    <cellStyle name="_DPF_VSE WFP_100625_LCD 2" xfId="0"/>
    <cellStyle name="_DPF_VSE WFP_100625_LCD 3" xfId="0"/>
    <cellStyle name="_DPF_VSE WFP_100625_LCD 4" xfId="0"/>
    <cellStyle name="_DPF_VSE WFP_100625_LCD_By Region" xfId="0"/>
    <cellStyle name="_DPF_VSE WFP_100625_LCD_CORP SG&amp;A" xfId="0"/>
    <cellStyle name="_DPF_VSE WFP_100625_LCD_LCD" xfId="0"/>
    <cellStyle name="_DPF_VSE WFP_100625_LCD_PJ" xfId="0"/>
    <cellStyle name="_DPF_VSE WFP_100625_lightling" xfId="0"/>
    <cellStyle name="_DPF_VSE WFP_100625_lightling 2" xfId="0"/>
    <cellStyle name="_DPF_VSE WFP_100625_lightling_By Region" xfId="0"/>
    <cellStyle name="_DPF_VSE WFP_100625_lightling_CORP SG&amp;A" xfId="0"/>
    <cellStyle name="_DPF_VSE WFP_100625_PC Products" xfId="0"/>
    <cellStyle name="_DPF_VSE WFP_100625_PC Products 2" xfId="0"/>
    <cellStyle name="_DPF_VSE WFP_100625_PC Products 3" xfId="0"/>
    <cellStyle name="_DPF_VSE WFP_100625_PC Products 4" xfId="0"/>
    <cellStyle name="_DPF_VSE WFP_100625_PC Products 4 2" xfId="0"/>
    <cellStyle name="_DPF_VSE WFP_100625_PC Products_By Region" xfId="0"/>
    <cellStyle name="_DPF_VSE WFP_100625_PC Products_CORP SG&amp;A" xfId="0"/>
    <cellStyle name="_DPF_VSE WFP_100625_PC Products_LCD" xfId="0"/>
    <cellStyle name="_DPF_VSE WFP_100625_PC Products_PJ" xfId="0"/>
    <cellStyle name="_DPF_VSE WFP_100625_VSA 111014" xfId="0"/>
    <cellStyle name="_DPF_VSE WFP_100625_VSA 111014 2" xfId="0"/>
    <cellStyle name="_DPF_VSE WFP_100625_VSA 111014 3" xfId="0"/>
    <cellStyle name="_DPF_VSE WFP_100625_VSA 111014 4" xfId="0"/>
    <cellStyle name="_DPF_VSE WFP_100625_VSA 111014 4 2" xfId="0"/>
    <cellStyle name="_DPF_VSE WFP_100625_VSA 111014_By Region" xfId="0"/>
    <cellStyle name="_DPF_VSE WFP_100625_VSA 111014_CORP SG&amp;A" xfId="0"/>
    <cellStyle name="_DPF_VSE WFP_100625_VSA 111014_LCD" xfId="0"/>
    <cellStyle name="_DPF_VSE WFP_100625_VSA 111014_PJ" xfId="0"/>
    <cellStyle name="_DPF_VSE WFP_100625_VSA Roll-Up (LW)" xfId="0"/>
    <cellStyle name="_DPF_VSE WFP_100625_VSA Roll-Up (LW) 2" xfId="0"/>
    <cellStyle name="_DPF_VSE WFP_100625_VSA Roll-Up (LW) 3" xfId="0"/>
    <cellStyle name="_DPF_VSE WFP_100625_VSA Roll-Up (LW) 4" xfId="0"/>
    <cellStyle name="_DPF_VSE WFP_100625_VSA Roll-Up (LW) 4 2" xfId="0"/>
    <cellStyle name="_DPF_VSE WFP_100625_VSA Roll-Up (LW)_By Region" xfId="0"/>
    <cellStyle name="_DPF_VSE WFP_100625_VSA Roll-Up (LW)_CORP SG&amp;A" xfId="0"/>
    <cellStyle name="_DPF_VSE WFP_100625_VSA Roll-Up (LW)_LCD" xfId="0"/>
    <cellStyle name="_DPF_VSE WFP_100625_VSA Roll-Up (LW)_PJ" xfId="0"/>
    <cellStyle name="_DPF_VSE WFP_100708_3rd" xfId="0"/>
    <cellStyle name="_DPF_VSE WFP_100708_3rd 2" xfId="0"/>
    <cellStyle name="_DPF_VSE WFP_100708_3rd 3" xfId="0"/>
    <cellStyle name="_DPF_VSE WFP_100708_3rd 4" xfId="0"/>
    <cellStyle name="_DPF_VSE WFP_100708_3rd_By Region" xfId="0"/>
    <cellStyle name="_DPF_VSE WFP_100708_3rd_CORP SG&amp;A" xfId="0"/>
    <cellStyle name="_DPF_VSE WFP_100708_3rd_Digitizer" xfId="0"/>
    <cellStyle name="_DPF_VSE WFP_100708_3rd_GPS OTHER" xfId="0"/>
    <cellStyle name="_DPF_VSE WFP_100708_3rd_GPS OTHER 2" xfId="0"/>
    <cellStyle name="_DPF_VSE WFP_100708_3rd_GPS OTHER 3" xfId="0"/>
    <cellStyle name="_DPF_VSE WFP_100708_3rd_GPS OTHER 4" xfId="0"/>
    <cellStyle name="_DPF_VSE WFP_100708_3rd_GPS OTHER 4 2" xfId="0"/>
    <cellStyle name="_DPF_VSE WFP_100708_3rd_GPS OTHER_By Region" xfId="0"/>
    <cellStyle name="_DPF_VSE WFP_100708_3rd_GPS OTHER_CORP SG&amp;A" xfId="0"/>
    <cellStyle name="_DPF_VSE WFP_100708_3rd_GPS OTHER_LCD" xfId="0"/>
    <cellStyle name="_DPF_VSE WFP_100708_3rd_GPS OTHER_PJ" xfId="0"/>
    <cellStyle name="_DPF_VSE WFP_100708_3rd_LCD" xfId="0"/>
    <cellStyle name="_DPF_VSE WFP_100708_3rd_LCD 2" xfId="0"/>
    <cellStyle name="_DPF_VSE WFP_100708_3rd_LCD 3" xfId="0"/>
    <cellStyle name="_DPF_VSE WFP_100708_3rd_LCD 4" xfId="0"/>
    <cellStyle name="_DPF_VSE WFP_100708_3rd_LCD_By Region" xfId="0"/>
    <cellStyle name="_DPF_VSE WFP_100708_3rd_LCD_CORP SG&amp;A" xfId="0"/>
    <cellStyle name="_DPF_VSE WFP_100708_3rd_LCD_LCD" xfId="0"/>
    <cellStyle name="_DPF_VSE WFP_100708_3rd_LCD_PJ" xfId="0"/>
    <cellStyle name="_DPF_VSE WFP_100708_3rd_lightling" xfId="0"/>
    <cellStyle name="_DPF_VSE WFP_100708_3rd_lightling 2" xfId="0"/>
    <cellStyle name="_DPF_VSE WFP_100708_3rd_lightling_By Region" xfId="0"/>
    <cellStyle name="_DPF_VSE WFP_100708_3rd_lightling_CORP SG&amp;A" xfId="0"/>
    <cellStyle name="_DPF_VSE WFP_100708_3rd_PC Products" xfId="0"/>
    <cellStyle name="_DPF_VSE WFP_100708_3rd_PC Products 2" xfId="0"/>
    <cellStyle name="_DPF_VSE WFP_100708_3rd_PC Products 3" xfId="0"/>
    <cellStyle name="_DPF_VSE WFP_100708_3rd_PC Products 4" xfId="0"/>
    <cellStyle name="_DPF_VSE WFP_100708_3rd_PC Products 4 2" xfId="0"/>
    <cellStyle name="_DPF_VSE WFP_100708_3rd_PC Products_By Region" xfId="0"/>
    <cellStyle name="_DPF_VSE WFP_100708_3rd_PC Products_CORP SG&amp;A" xfId="0"/>
    <cellStyle name="_DPF_VSE WFP_100708_3rd_PC Products_LCD" xfId="0"/>
    <cellStyle name="_DPF_VSE WFP_100708_3rd_PC Products_PJ" xfId="0"/>
    <cellStyle name="_DPF_VSE WFP_100708_3rd_VSA 111014" xfId="0"/>
    <cellStyle name="_DPF_VSE WFP_100708_3rd_VSA 111014 2" xfId="0"/>
    <cellStyle name="_DPF_VSE WFP_100708_3rd_VSA 111014 3" xfId="0"/>
    <cellStyle name="_DPF_VSE WFP_100708_3rd_VSA 111014 4" xfId="0"/>
    <cellStyle name="_DPF_VSE WFP_100708_3rd_VSA 111014 4 2" xfId="0"/>
    <cellStyle name="_DPF_VSE WFP_100708_3rd_VSA 111014_By Region" xfId="0"/>
    <cellStyle name="_DPF_VSE WFP_100708_3rd_VSA 111014_CORP SG&amp;A" xfId="0"/>
    <cellStyle name="_DPF_VSE WFP_100708_3rd_VSA 111014_LCD" xfId="0"/>
    <cellStyle name="_DPF_VSE WFP_100708_3rd_VSA 111014_PJ" xfId="0"/>
    <cellStyle name="_DPF_VSE WFP_100708_3rd_VSA Roll-Up (LW)" xfId="0"/>
    <cellStyle name="_DPF_VSE WFP_100708_3rd_VSA Roll-Up (LW) 2" xfId="0"/>
    <cellStyle name="_DPF_VSE WFP_100708_3rd_VSA Roll-Up (LW) 3" xfId="0"/>
    <cellStyle name="_DPF_VSE WFP_100708_3rd_VSA Roll-Up (LW) 4" xfId="0"/>
    <cellStyle name="_DPF_VSE WFP_100708_3rd_VSA Roll-Up (LW) 4 2" xfId="0"/>
    <cellStyle name="_DPF_VSE WFP_100708_3rd_VSA Roll-Up (LW)_By Region" xfId="0"/>
    <cellStyle name="_DPF_VSE WFP_100708_3rd_VSA Roll-Up (LW)_CORP SG&amp;A" xfId="0"/>
    <cellStyle name="_DPF_VSE WFP_100708_3rd_VSA Roll-Up (LW)_LCD" xfId="0"/>
    <cellStyle name="_DPF_VSE WFP_100708_3rd_VSA Roll-Up (LW)_PJ" xfId="0"/>
    <cellStyle name="_DPF_VSE WFP_100726" xfId="0"/>
    <cellStyle name="_DPF_VSE WFP_100726 2" xfId="0"/>
    <cellStyle name="_DPF_VSE WFP_100726 3" xfId="0"/>
    <cellStyle name="_DPF_VSE WFP_100726 4" xfId="0"/>
    <cellStyle name="_DPF_VSE WFP_100726-1" xfId="0"/>
    <cellStyle name="_DPF_VSE WFP_100726-1 2" xfId="0"/>
    <cellStyle name="_DPF_VSE WFP_100726-1 3" xfId="0"/>
    <cellStyle name="_DPF_VSE WFP_100726-1 4" xfId="0"/>
    <cellStyle name="_DPF_VSE WFP_100726-1_By Region" xfId="0"/>
    <cellStyle name="_DPF_VSE WFP_100726-1_CORP SG&amp;A" xfId="0"/>
    <cellStyle name="_DPF_VSE WFP_100726-1_Digitizer" xfId="0"/>
    <cellStyle name="_DPF_VSE WFP_100726-1_GPS OTHER" xfId="0"/>
    <cellStyle name="_DPF_VSE WFP_100726-1_GPS OTHER 2" xfId="0"/>
    <cellStyle name="_DPF_VSE WFP_100726-1_GPS OTHER 3" xfId="0"/>
    <cellStyle name="_DPF_VSE WFP_100726-1_GPS OTHER 4" xfId="0"/>
    <cellStyle name="_DPF_VSE WFP_100726-1_GPS OTHER 4 2" xfId="0"/>
    <cellStyle name="_DPF_VSE WFP_100726-1_GPS OTHER_By Region" xfId="0"/>
    <cellStyle name="_DPF_VSE WFP_100726-1_GPS OTHER_CORP SG&amp;A" xfId="0"/>
    <cellStyle name="_DPF_VSE WFP_100726-1_GPS OTHER_LCD" xfId="0"/>
    <cellStyle name="_DPF_VSE WFP_100726-1_GPS OTHER_PJ" xfId="0"/>
    <cellStyle name="_DPF_VSE WFP_100726-1_LCD" xfId="0"/>
    <cellStyle name="_DPF_VSE WFP_100726-1_LCD 2" xfId="0"/>
    <cellStyle name="_DPF_VSE WFP_100726-1_LCD 3" xfId="0"/>
    <cellStyle name="_DPF_VSE WFP_100726-1_LCD 4" xfId="0"/>
    <cellStyle name="_DPF_VSE WFP_100726-1_LCD_By Region" xfId="0"/>
    <cellStyle name="_DPF_VSE WFP_100726-1_LCD_CORP SG&amp;A" xfId="0"/>
    <cellStyle name="_DPF_VSE WFP_100726-1_LCD_LCD" xfId="0"/>
    <cellStyle name="_DPF_VSE WFP_100726-1_LCD_PJ" xfId="0"/>
    <cellStyle name="_DPF_VSE WFP_100726-1_lightling" xfId="0"/>
    <cellStyle name="_DPF_VSE WFP_100726-1_lightling 2" xfId="0"/>
    <cellStyle name="_DPF_VSE WFP_100726-1_lightling_By Region" xfId="0"/>
    <cellStyle name="_DPF_VSE WFP_100726-1_lightling_CORP SG&amp;A" xfId="0"/>
    <cellStyle name="_DPF_VSE WFP_100726-1_PC Products" xfId="0"/>
    <cellStyle name="_DPF_VSE WFP_100726-1_PC Products 2" xfId="0"/>
    <cellStyle name="_DPF_VSE WFP_100726-1_PC Products 3" xfId="0"/>
    <cellStyle name="_DPF_VSE WFP_100726-1_PC Products 4" xfId="0"/>
    <cellStyle name="_DPF_VSE WFP_100726-1_PC Products 4 2" xfId="0"/>
    <cellStyle name="_DPF_VSE WFP_100726-1_PC Products_By Region" xfId="0"/>
    <cellStyle name="_DPF_VSE WFP_100726-1_PC Products_CORP SG&amp;A" xfId="0"/>
    <cellStyle name="_DPF_VSE WFP_100726-1_PC Products_LCD" xfId="0"/>
    <cellStyle name="_DPF_VSE WFP_100726-1_PC Products_PJ" xfId="0"/>
    <cellStyle name="_DPF_VSE WFP_100726-1_VSA 111014" xfId="0"/>
    <cellStyle name="_DPF_VSE WFP_100726-1_VSA 111014 2" xfId="0"/>
    <cellStyle name="_DPF_VSE WFP_100726-1_VSA 111014 3" xfId="0"/>
    <cellStyle name="_DPF_VSE WFP_100726-1_VSA 111014 4" xfId="0"/>
    <cellStyle name="_DPF_VSE WFP_100726-1_VSA 111014 4 2" xfId="0"/>
    <cellStyle name="_DPF_VSE WFP_100726-1_VSA 111014_By Region" xfId="0"/>
    <cellStyle name="_DPF_VSE WFP_100726-1_VSA 111014_CORP SG&amp;A" xfId="0"/>
    <cellStyle name="_DPF_VSE WFP_100726-1_VSA 111014_LCD" xfId="0"/>
    <cellStyle name="_DPF_VSE WFP_100726-1_VSA 111014_PJ" xfId="0"/>
    <cellStyle name="_DPF_VSE WFP_100726-1_VSA Roll-Up (LW)" xfId="0"/>
    <cellStyle name="_DPF_VSE WFP_100726-1_VSA Roll-Up (LW) 2" xfId="0"/>
    <cellStyle name="_DPF_VSE WFP_100726-1_VSA Roll-Up (LW) 3" xfId="0"/>
    <cellStyle name="_DPF_VSE WFP_100726-1_VSA Roll-Up (LW) 4" xfId="0"/>
    <cellStyle name="_DPF_VSE WFP_100726-1_VSA Roll-Up (LW) 4 2" xfId="0"/>
    <cellStyle name="_DPF_VSE WFP_100726-1_VSA Roll-Up (LW)_By Region" xfId="0"/>
    <cellStyle name="_DPF_VSE WFP_100726-1_VSA Roll-Up (LW)_CORP SG&amp;A" xfId="0"/>
    <cellStyle name="_DPF_VSE WFP_100726-1_VSA Roll-Up (LW)_LCD" xfId="0"/>
    <cellStyle name="_DPF_VSE WFP_100726-1_VSA Roll-Up (LW)_PJ" xfId="0"/>
    <cellStyle name="_DPF_VSE WFP_100726-2-yc" xfId="0"/>
    <cellStyle name="_DPF_VSE WFP_100726-2-yc 2" xfId="0"/>
    <cellStyle name="_DPF_VSE WFP_100726-2-yc 3" xfId="0"/>
    <cellStyle name="_DPF_VSE WFP_100726-2-yc 4" xfId="0"/>
    <cellStyle name="_DPF_VSE WFP_100726-2-yc_By Region" xfId="0"/>
    <cellStyle name="_DPF_VSE WFP_100726-2-yc_CORP SG&amp;A" xfId="0"/>
    <cellStyle name="_DPF_VSE WFP_100726-2-yc_Digitizer" xfId="0"/>
    <cellStyle name="_DPF_VSE WFP_100726-2-yc_GPS OTHER" xfId="0"/>
    <cellStyle name="_DPF_VSE WFP_100726-2-yc_GPS OTHER 2" xfId="0"/>
    <cellStyle name="_DPF_VSE WFP_100726-2-yc_GPS OTHER 3" xfId="0"/>
    <cellStyle name="_DPF_VSE WFP_100726-2-yc_GPS OTHER 4" xfId="0"/>
    <cellStyle name="_DPF_VSE WFP_100726-2-yc_GPS OTHER 4 2" xfId="0"/>
    <cellStyle name="_DPF_VSE WFP_100726-2-yc_GPS OTHER_By Region" xfId="0"/>
    <cellStyle name="_DPF_VSE WFP_100726-2-yc_GPS OTHER_CORP SG&amp;A" xfId="0"/>
    <cellStyle name="_DPF_VSE WFP_100726-2-yc_GPS OTHER_LCD" xfId="0"/>
    <cellStyle name="_DPF_VSE WFP_100726-2-yc_GPS OTHER_PJ" xfId="0"/>
    <cellStyle name="_DPF_VSE WFP_100726-2-yc_LCD" xfId="0"/>
    <cellStyle name="_DPF_VSE WFP_100726-2-yc_LCD 2" xfId="0"/>
    <cellStyle name="_DPF_VSE WFP_100726-2-yc_LCD 3" xfId="0"/>
    <cellStyle name="_DPF_VSE WFP_100726-2-yc_LCD 4" xfId="0"/>
    <cellStyle name="_DPF_VSE WFP_100726-2-yc_LCD_By Region" xfId="0"/>
    <cellStyle name="_DPF_VSE WFP_100726-2-yc_LCD_CORP SG&amp;A" xfId="0"/>
    <cellStyle name="_DPF_VSE WFP_100726-2-yc_LCD_LCD" xfId="0"/>
    <cellStyle name="_DPF_VSE WFP_100726-2-yc_LCD_PJ" xfId="0"/>
    <cellStyle name="_DPF_VSE WFP_100726-2-yc_lightling" xfId="0"/>
    <cellStyle name="_DPF_VSE WFP_100726-2-yc_lightling 2" xfId="0"/>
    <cellStyle name="_DPF_VSE WFP_100726-2-yc_lightling_By Region" xfId="0"/>
    <cellStyle name="_DPF_VSE WFP_100726-2-yc_lightling_CORP SG&amp;A" xfId="0"/>
    <cellStyle name="_DPF_VSE WFP_100726-2-yc_PC Products" xfId="0"/>
    <cellStyle name="_DPF_VSE WFP_100726-2-yc_PC Products 2" xfId="0"/>
    <cellStyle name="_DPF_VSE WFP_100726-2-yc_PC Products 3" xfId="0"/>
    <cellStyle name="_DPF_VSE WFP_100726-2-yc_PC Products 4" xfId="0"/>
    <cellStyle name="_DPF_VSE WFP_100726-2-yc_PC Products 4 2" xfId="0"/>
    <cellStyle name="_DPF_VSE WFP_100726-2-yc_PC Products_By Region" xfId="0"/>
    <cellStyle name="_DPF_VSE WFP_100726-2-yc_PC Products_CORP SG&amp;A" xfId="0"/>
    <cellStyle name="_DPF_VSE WFP_100726-2-yc_PC Products_LCD" xfId="0"/>
    <cellStyle name="_DPF_VSE WFP_100726-2-yc_PC Products_PJ" xfId="0"/>
    <cellStyle name="_DPF_VSE WFP_100726-2-yc_VSA 111014" xfId="0"/>
    <cellStyle name="_DPF_VSE WFP_100726-2-yc_VSA 111014 2" xfId="0"/>
    <cellStyle name="_DPF_VSE WFP_100726-2-yc_VSA 111014 3" xfId="0"/>
    <cellStyle name="_DPF_VSE WFP_100726-2-yc_VSA 111014 4" xfId="0"/>
    <cellStyle name="_DPF_VSE WFP_100726-2-yc_VSA 111014 4 2" xfId="0"/>
    <cellStyle name="_DPF_VSE WFP_100726-2-yc_VSA 111014_By Region" xfId="0"/>
    <cellStyle name="_DPF_VSE WFP_100726-2-yc_VSA 111014_CORP SG&amp;A" xfId="0"/>
    <cellStyle name="_DPF_VSE WFP_100726-2-yc_VSA 111014_LCD" xfId="0"/>
    <cellStyle name="_DPF_VSE WFP_100726-2-yc_VSA 111014_PJ" xfId="0"/>
    <cellStyle name="_DPF_VSE WFP_100726-2-yc_VSA Roll-Up (LW)" xfId="0"/>
    <cellStyle name="_DPF_VSE WFP_100726-2-yc_VSA Roll-Up (LW) 2" xfId="0"/>
    <cellStyle name="_DPF_VSE WFP_100726-2-yc_VSA Roll-Up (LW) 3" xfId="0"/>
    <cellStyle name="_DPF_VSE WFP_100726-2-yc_VSA Roll-Up (LW) 4" xfId="0"/>
    <cellStyle name="_DPF_VSE WFP_100726-2-yc_VSA Roll-Up (LW) 4 2" xfId="0"/>
    <cellStyle name="_DPF_VSE WFP_100726-2-yc_VSA Roll-Up (LW)_By Region" xfId="0"/>
    <cellStyle name="_DPF_VSE WFP_100726-2-yc_VSA Roll-Up (LW)_CORP SG&amp;A" xfId="0"/>
    <cellStyle name="_DPF_VSE WFP_100726-2-yc_VSA Roll-Up (LW)_LCD" xfId="0"/>
    <cellStyle name="_DPF_VSE WFP_100726-2-yc_VSA Roll-Up (LW)_PJ" xfId="0"/>
    <cellStyle name="_DPF_VSE WFP_100726_By Region" xfId="0"/>
    <cellStyle name="_DPF_VSE WFP_100726_CORP SG&amp;A" xfId="0"/>
    <cellStyle name="_DPF_VSE WFP_100726_Digitizer" xfId="0"/>
    <cellStyle name="_DPF_VSE WFP_100726_GPS OTHER" xfId="0"/>
    <cellStyle name="_DPF_VSE WFP_100726_GPS OTHER 2" xfId="0"/>
    <cellStyle name="_DPF_VSE WFP_100726_GPS OTHER 3" xfId="0"/>
    <cellStyle name="_DPF_VSE WFP_100726_GPS OTHER 4" xfId="0"/>
    <cellStyle name="_DPF_VSE WFP_100726_GPS OTHER 4 2" xfId="0"/>
    <cellStyle name="_DPF_VSE WFP_100726_GPS OTHER_By Region" xfId="0"/>
    <cellStyle name="_DPF_VSE WFP_100726_GPS OTHER_CORP SG&amp;A" xfId="0"/>
    <cellStyle name="_DPF_VSE WFP_100726_GPS OTHER_LCD" xfId="0"/>
    <cellStyle name="_DPF_VSE WFP_100726_GPS OTHER_PJ" xfId="0"/>
    <cellStyle name="_DPF_VSE WFP_100726_LCD" xfId="0"/>
    <cellStyle name="_DPF_VSE WFP_100726_LCD 2" xfId="0"/>
    <cellStyle name="_DPF_VSE WFP_100726_LCD 3" xfId="0"/>
    <cellStyle name="_DPF_VSE WFP_100726_LCD 4" xfId="0"/>
    <cellStyle name="_DPF_VSE WFP_100726_LCD_By Region" xfId="0"/>
    <cellStyle name="_DPF_VSE WFP_100726_LCD_CORP SG&amp;A" xfId="0"/>
    <cellStyle name="_DPF_VSE WFP_100726_LCD_LCD" xfId="0"/>
    <cellStyle name="_DPF_VSE WFP_100726_LCD_PJ" xfId="0"/>
    <cellStyle name="_DPF_VSE WFP_100726_lightling" xfId="0"/>
    <cellStyle name="_DPF_VSE WFP_100726_lightling 2" xfId="0"/>
    <cellStyle name="_DPF_VSE WFP_100726_lightling_By Region" xfId="0"/>
    <cellStyle name="_DPF_VSE WFP_100726_lightling_CORP SG&amp;A" xfId="0"/>
    <cellStyle name="_DPF_VSE WFP_100726_PC Products" xfId="0"/>
    <cellStyle name="_DPF_VSE WFP_100726_PC Products 2" xfId="0"/>
    <cellStyle name="_DPF_VSE WFP_100726_PC Products 3" xfId="0"/>
    <cellStyle name="_DPF_VSE WFP_100726_PC Products 4" xfId="0"/>
    <cellStyle name="_DPF_VSE WFP_100726_PC Products 4 2" xfId="0"/>
    <cellStyle name="_DPF_VSE WFP_100726_PC Products_By Region" xfId="0"/>
    <cellStyle name="_DPF_VSE WFP_100726_PC Products_CORP SG&amp;A" xfId="0"/>
    <cellStyle name="_DPF_VSE WFP_100726_PC Products_LCD" xfId="0"/>
    <cellStyle name="_DPF_VSE WFP_100726_PC Products_PJ" xfId="0"/>
    <cellStyle name="_DPF_VSE WFP_100726_VSA 111014" xfId="0"/>
    <cellStyle name="_DPF_VSE WFP_100726_VSA 111014 2" xfId="0"/>
    <cellStyle name="_DPF_VSE WFP_100726_VSA 111014 3" xfId="0"/>
    <cellStyle name="_DPF_VSE WFP_100726_VSA 111014 4" xfId="0"/>
    <cellStyle name="_DPF_VSE WFP_100726_VSA 111014 4 2" xfId="0"/>
    <cellStyle name="_DPF_VSE WFP_100726_VSA 111014_By Region" xfId="0"/>
    <cellStyle name="_DPF_VSE WFP_100726_VSA 111014_CORP SG&amp;A" xfId="0"/>
    <cellStyle name="_DPF_VSE WFP_100726_VSA 111014_LCD" xfId="0"/>
    <cellStyle name="_DPF_VSE WFP_100726_VSA 111014_PJ" xfId="0"/>
    <cellStyle name="_DPF_VSE WFP_100726_VSA Roll-Up (LW)" xfId="0"/>
    <cellStyle name="_DPF_VSE WFP_100726_VSA Roll-Up (LW) 2" xfId="0"/>
    <cellStyle name="_DPF_VSE WFP_100726_VSA Roll-Up (LW) 3" xfId="0"/>
    <cellStyle name="_DPF_VSE WFP_100726_VSA Roll-Up (LW) 4" xfId="0"/>
    <cellStyle name="_DPF_VSE WFP_100726_VSA Roll-Up (LW) 4 2" xfId="0"/>
    <cellStyle name="_DPF_VSE WFP_100726_VSA Roll-Up (LW)_By Region" xfId="0"/>
    <cellStyle name="_DPF_VSE WFP_100726_VSA Roll-Up (LW)_CORP SG&amp;A" xfId="0"/>
    <cellStyle name="_DPF_VSE WFP_100726_VSA Roll-Up (LW)_LCD" xfId="0"/>
    <cellStyle name="_DPF_VSE WFP_100726_VSA Roll-Up (LW)_PJ" xfId="0"/>
    <cellStyle name="_DPF_VSE WFP_100827-1" xfId="0"/>
    <cellStyle name="_DPF_VSE WFP_100827-1 2" xfId="0"/>
    <cellStyle name="_DPF_VSE WFP_100827-1 3" xfId="0"/>
    <cellStyle name="_DPF_VSE WFP_100827-1 4" xfId="0"/>
    <cellStyle name="_DPF_VSE WFP_100827-1_By Region" xfId="0"/>
    <cellStyle name="_DPF_VSE WFP_100827-1_CORP SG&amp;A" xfId="0"/>
    <cellStyle name="_DPF_VSE WFP_100827-1_Digitizer" xfId="0"/>
    <cellStyle name="_DPF_VSE WFP_100827-1_GPS OTHER" xfId="0"/>
    <cellStyle name="_DPF_VSE WFP_100827-1_GPS OTHER 2" xfId="0"/>
    <cellStyle name="_DPF_VSE WFP_100827-1_GPS OTHER 3" xfId="0"/>
    <cellStyle name="_DPF_VSE WFP_100827-1_GPS OTHER 4" xfId="0"/>
    <cellStyle name="_DPF_VSE WFP_100827-1_GPS OTHER 4 2" xfId="0"/>
    <cellStyle name="_DPF_VSE WFP_100827-1_GPS OTHER_By Region" xfId="0"/>
    <cellStyle name="_DPF_VSE WFP_100827-1_GPS OTHER_CORP SG&amp;A" xfId="0"/>
    <cellStyle name="_DPF_VSE WFP_100827-1_GPS OTHER_LCD" xfId="0"/>
    <cellStyle name="_DPF_VSE WFP_100827-1_GPS OTHER_PJ" xfId="0"/>
    <cellStyle name="_DPF_VSE WFP_100827-1_LCD" xfId="0"/>
    <cellStyle name="_DPF_VSE WFP_100827-1_LCD 2" xfId="0"/>
    <cellStyle name="_DPF_VSE WFP_100827-1_LCD 3" xfId="0"/>
    <cellStyle name="_DPF_VSE WFP_100827-1_LCD 4" xfId="0"/>
    <cellStyle name="_DPF_VSE WFP_100827-1_LCD_By Region" xfId="0"/>
    <cellStyle name="_DPF_VSE WFP_100827-1_LCD_CORP SG&amp;A" xfId="0"/>
    <cellStyle name="_DPF_VSE WFP_100827-1_LCD_LCD" xfId="0"/>
    <cellStyle name="_DPF_VSE WFP_100827-1_LCD_PJ" xfId="0"/>
    <cellStyle name="_DPF_VSE WFP_100827-1_lightling" xfId="0"/>
    <cellStyle name="_DPF_VSE WFP_100827-1_lightling 2" xfId="0"/>
    <cellStyle name="_DPF_VSE WFP_100827-1_lightling_By Region" xfId="0"/>
    <cellStyle name="_DPF_VSE WFP_100827-1_lightling_CORP SG&amp;A" xfId="0"/>
    <cellStyle name="_DPF_VSE WFP_100827-1_PC Products" xfId="0"/>
    <cellStyle name="_DPF_VSE WFP_100827-1_PC Products 2" xfId="0"/>
    <cellStyle name="_DPF_VSE WFP_100827-1_PC Products 3" xfId="0"/>
    <cellStyle name="_DPF_VSE WFP_100827-1_PC Products 4" xfId="0"/>
    <cellStyle name="_DPF_VSE WFP_100827-1_PC Products 4 2" xfId="0"/>
    <cellStyle name="_DPF_VSE WFP_100827-1_PC Products_By Region" xfId="0"/>
    <cellStyle name="_DPF_VSE WFP_100827-1_PC Products_CORP SG&amp;A" xfId="0"/>
    <cellStyle name="_DPF_VSE WFP_100827-1_PC Products_LCD" xfId="0"/>
    <cellStyle name="_DPF_VSE WFP_100827-1_PC Products_PJ" xfId="0"/>
    <cellStyle name="_DPF_VSE WFP_100827-1_VSA 111014" xfId="0"/>
    <cellStyle name="_DPF_VSE WFP_100827-1_VSA 111014 2" xfId="0"/>
    <cellStyle name="_DPF_VSE WFP_100827-1_VSA 111014 3" xfId="0"/>
    <cellStyle name="_DPF_VSE WFP_100827-1_VSA 111014 4" xfId="0"/>
    <cellStyle name="_DPF_VSE WFP_100827-1_VSA 111014 4 2" xfId="0"/>
    <cellStyle name="_DPF_VSE WFP_100827-1_VSA 111014_By Region" xfId="0"/>
    <cellStyle name="_DPF_VSE WFP_100827-1_VSA 111014_CORP SG&amp;A" xfId="0"/>
    <cellStyle name="_DPF_VSE WFP_100827-1_VSA 111014_LCD" xfId="0"/>
    <cellStyle name="_DPF_VSE WFP_100827-1_VSA 111014_PJ" xfId="0"/>
    <cellStyle name="_DPF_VSE WFP_100827-1_VSA Roll-Up (LW)" xfId="0"/>
    <cellStyle name="_DPF_VSE WFP_100827-1_VSA Roll-Up (LW) 2" xfId="0"/>
    <cellStyle name="_DPF_VSE WFP_100827-1_VSA Roll-Up (LW) 3" xfId="0"/>
    <cellStyle name="_DPF_VSE WFP_100827-1_VSA Roll-Up (LW) 4" xfId="0"/>
    <cellStyle name="_DPF_VSE WFP_100827-1_VSA Roll-Up (LW) 4 2" xfId="0"/>
    <cellStyle name="_DPF_VSE WFP_100827-1_VSA Roll-Up (LW)_By Region" xfId="0"/>
    <cellStyle name="_DPF_VSE WFP_100827-1_VSA Roll-Up (LW)_CORP SG&amp;A" xfId="0"/>
    <cellStyle name="_DPF_VSE WFP_100827-1_VSA Roll-Up (LW)_LCD" xfId="0"/>
    <cellStyle name="_DPF_VSE WFP_100827-1_VSA Roll-Up (LW)_PJ" xfId="0"/>
    <cellStyle name="_DPF_VSE WFP_101001" xfId="0"/>
    <cellStyle name="_DPF_VSE WFP_101001 2" xfId="0"/>
    <cellStyle name="_DPF_VSE WFP_101001 3" xfId="0"/>
    <cellStyle name="_DPF_VSE WFP_101001 4" xfId="0"/>
    <cellStyle name="_DPF_VSE WFP_101001_By Region" xfId="0"/>
    <cellStyle name="_DPF_VSE WFP_101001_CORP SG&amp;A" xfId="0"/>
    <cellStyle name="_DPF_VSE WFP_101001_Digitizer" xfId="0"/>
    <cellStyle name="_DPF_VSE WFP_101001_GPS OTHER" xfId="0"/>
    <cellStyle name="_DPF_VSE WFP_101001_GPS OTHER 2" xfId="0"/>
    <cellStyle name="_DPF_VSE WFP_101001_GPS OTHER 3" xfId="0"/>
    <cellStyle name="_DPF_VSE WFP_101001_GPS OTHER 4" xfId="0"/>
    <cellStyle name="_DPF_VSE WFP_101001_GPS OTHER 4 2" xfId="0"/>
    <cellStyle name="_DPF_VSE WFP_101001_GPS OTHER_By Region" xfId="0"/>
    <cellStyle name="_DPF_VSE WFP_101001_GPS OTHER_CORP SG&amp;A" xfId="0"/>
    <cellStyle name="_DPF_VSE WFP_101001_GPS OTHER_LCD" xfId="0"/>
    <cellStyle name="_DPF_VSE WFP_101001_GPS OTHER_PJ" xfId="0"/>
    <cellStyle name="_DPF_VSE WFP_101001_LCD" xfId="0"/>
    <cellStyle name="_DPF_VSE WFP_101001_LCD 2" xfId="0"/>
    <cellStyle name="_DPF_VSE WFP_101001_LCD 3" xfId="0"/>
    <cellStyle name="_DPF_VSE WFP_101001_LCD 4" xfId="0"/>
    <cellStyle name="_DPF_VSE WFP_101001_LCD_By Region" xfId="0"/>
    <cellStyle name="_DPF_VSE WFP_101001_LCD_CORP SG&amp;A" xfId="0"/>
    <cellStyle name="_DPF_VSE WFP_101001_LCD_LCD" xfId="0"/>
    <cellStyle name="_DPF_VSE WFP_101001_LCD_PJ" xfId="0"/>
    <cellStyle name="_DPF_VSE WFP_101001_lightling" xfId="0"/>
    <cellStyle name="_DPF_VSE WFP_101001_lightling 2" xfId="0"/>
    <cellStyle name="_DPF_VSE WFP_101001_lightling_By Region" xfId="0"/>
    <cellStyle name="_DPF_VSE WFP_101001_lightling_CORP SG&amp;A" xfId="0"/>
    <cellStyle name="_DPF_VSE WFP_101001_PC Products" xfId="0"/>
    <cellStyle name="_DPF_VSE WFP_101001_PC Products 2" xfId="0"/>
    <cellStyle name="_DPF_VSE WFP_101001_PC Products 3" xfId="0"/>
    <cellStyle name="_DPF_VSE WFP_101001_PC Products 4" xfId="0"/>
    <cellStyle name="_DPF_VSE WFP_101001_PC Products 4 2" xfId="0"/>
    <cellStyle name="_DPF_VSE WFP_101001_PC Products_By Region" xfId="0"/>
    <cellStyle name="_DPF_VSE WFP_101001_PC Products_CORP SG&amp;A" xfId="0"/>
    <cellStyle name="_DPF_VSE WFP_101001_PC Products_LCD" xfId="0"/>
    <cellStyle name="_DPF_VSE WFP_101001_PC Products_PJ" xfId="0"/>
    <cellStyle name="_DPF_VSE WFP_101001_VSA 111014" xfId="0"/>
    <cellStyle name="_DPF_VSE WFP_101001_VSA 111014 2" xfId="0"/>
    <cellStyle name="_DPF_VSE WFP_101001_VSA 111014 3" xfId="0"/>
    <cellStyle name="_DPF_VSE WFP_101001_VSA 111014 4" xfId="0"/>
    <cellStyle name="_DPF_VSE WFP_101001_VSA 111014 4 2" xfId="0"/>
    <cellStyle name="_DPF_VSE WFP_101001_VSA 111014_By Region" xfId="0"/>
    <cellStyle name="_DPF_VSE WFP_101001_VSA 111014_CORP SG&amp;A" xfId="0"/>
    <cellStyle name="_DPF_VSE WFP_101001_VSA 111014_LCD" xfId="0"/>
    <cellStyle name="_DPF_VSE WFP_101001_VSA 111014_PJ" xfId="0"/>
    <cellStyle name="_DPF_VSE WFP_101001_VSA Roll-Up (LW)" xfId="0"/>
    <cellStyle name="_DPF_VSE WFP_101001_VSA Roll-Up (LW) 2" xfId="0"/>
    <cellStyle name="_DPF_VSE WFP_101001_VSA Roll-Up (LW) 3" xfId="0"/>
    <cellStyle name="_DPF_VSE WFP_101001_VSA Roll-Up (LW) 4" xfId="0"/>
    <cellStyle name="_DPF_VSE WFP_101001_VSA Roll-Up (LW) 4 2" xfId="0"/>
    <cellStyle name="_DPF_VSE WFP_101001_VSA Roll-Up (LW)_By Region" xfId="0"/>
    <cellStyle name="_DPF_VSE WFP_101001_VSA Roll-Up (LW)_CORP SG&amp;A" xfId="0"/>
    <cellStyle name="_DPF_VSE WFP_101001_VSA Roll-Up (LW)_LCD" xfId="0"/>
    <cellStyle name="_DPF_VSE WFP_101001_VSA Roll-Up (LW)_PJ" xfId="0"/>
    <cellStyle name="_DPF_VSE WFP_101029-with more ViewPad 7" xfId="0"/>
    <cellStyle name="_DPF_VSE WFP_101029-with more ViewPad 7 2" xfId="0"/>
    <cellStyle name="_DPF_VSE WFP_101029-with more ViewPad 7 3" xfId="0"/>
    <cellStyle name="_DPF_VSE WFP_101029-with more ViewPad 7 4" xfId="0"/>
    <cellStyle name="_DPF_VSE WFP_101029-with more ViewPad 7_By Region" xfId="0"/>
    <cellStyle name="_DPF_VSE WFP_101029-with more ViewPad 7_CORP SG&amp;A" xfId="0"/>
    <cellStyle name="_DPF_VSE WFP_101029-with more ViewPad 7_Digitizer" xfId="0"/>
    <cellStyle name="_DPF_VSE WFP_101029-with more ViewPad 7_GPS OTHER" xfId="0"/>
    <cellStyle name="_DPF_VSE WFP_101029-with more ViewPad 7_GPS OTHER 2" xfId="0"/>
    <cellStyle name="_DPF_VSE WFP_101029-with more ViewPad 7_GPS OTHER 3" xfId="0"/>
    <cellStyle name="_DPF_VSE WFP_101029-with more ViewPad 7_GPS OTHER 4" xfId="0"/>
    <cellStyle name="_DPF_VSE WFP_101029-with more ViewPad 7_GPS OTHER 4 2" xfId="0"/>
    <cellStyle name="_DPF_VSE WFP_101029-with more ViewPad 7_GPS OTHER_By Region" xfId="0"/>
    <cellStyle name="_DPF_VSE WFP_101029-with more ViewPad 7_GPS OTHER_CORP SG&amp;A" xfId="0"/>
    <cellStyle name="_DPF_VSE WFP_101029-with more ViewPad 7_GPS OTHER_LCD" xfId="0"/>
    <cellStyle name="_DPF_VSE WFP_101029-with more ViewPad 7_GPS OTHER_PJ" xfId="0"/>
    <cellStyle name="_DPF_VSE WFP_101029-with more ViewPad 7_LCD" xfId="0"/>
    <cellStyle name="_DPF_VSE WFP_101029-with more ViewPad 7_LCD 2" xfId="0"/>
    <cellStyle name="_DPF_VSE WFP_101029-with more ViewPad 7_LCD 3" xfId="0"/>
    <cellStyle name="_DPF_VSE WFP_101029-with more ViewPad 7_LCD 4" xfId="0"/>
    <cellStyle name="_DPF_VSE WFP_101029-with more ViewPad 7_LCD_By Region" xfId="0"/>
    <cellStyle name="_DPF_VSE WFP_101029-with more ViewPad 7_LCD_CORP SG&amp;A" xfId="0"/>
    <cellStyle name="_DPF_VSE WFP_101029-with more ViewPad 7_LCD_LCD" xfId="0"/>
    <cellStyle name="_DPF_VSE WFP_101029-with more ViewPad 7_LCD_PJ" xfId="0"/>
    <cellStyle name="_DPF_VSE WFP_101029-with more ViewPad 7_lightling" xfId="0"/>
    <cellStyle name="_DPF_VSE WFP_101029-with more ViewPad 7_lightling 2" xfId="0"/>
    <cellStyle name="_DPF_VSE WFP_101029-with more ViewPad 7_lightling_By Region" xfId="0"/>
    <cellStyle name="_DPF_VSE WFP_101029-with more ViewPad 7_lightling_CORP SG&amp;A" xfId="0"/>
    <cellStyle name="_DPF_VSE WFP_101029-with more ViewPad 7_PC Products" xfId="0"/>
    <cellStyle name="_DPF_VSE WFP_101029-with more ViewPad 7_PC Products 2" xfId="0"/>
    <cellStyle name="_DPF_VSE WFP_101029-with more ViewPad 7_PC Products 3" xfId="0"/>
    <cellStyle name="_DPF_VSE WFP_101029-with more ViewPad 7_PC Products 4" xfId="0"/>
    <cellStyle name="_DPF_VSE WFP_101029-with more ViewPad 7_PC Products 4 2" xfId="0"/>
    <cellStyle name="_DPF_VSE WFP_101029-with more ViewPad 7_PC Products_By Region" xfId="0"/>
    <cellStyle name="_DPF_VSE WFP_101029-with more ViewPad 7_PC Products_CORP SG&amp;A" xfId="0"/>
    <cellStyle name="_DPF_VSE WFP_101029-with more ViewPad 7_PC Products_LCD" xfId="0"/>
    <cellStyle name="_DPF_VSE WFP_101029-with more ViewPad 7_PC Products_PJ" xfId="0"/>
    <cellStyle name="_DPF_VSE WFP_101029-with more ViewPad 7_VSA 111014" xfId="0"/>
    <cellStyle name="_DPF_VSE WFP_101029-with more ViewPad 7_VSA 111014 2" xfId="0"/>
    <cellStyle name="_DPF_VSE WFP_101029-with more ViewPad 7_VSA 111014 3" xfId="0"/>
    <cellStyle name="_DPF_VSE WFP_101029-with more ViewPad 7_VSA 111014 4" xfId="0"/>
    <cellStyle name="_DPF_VSE WFP_101029-with more ViewPad 7_VSA 111014 4 2" xfId="0"/>
    <cellStyle name="_DPF_VSE WFP_101029-with more ViewPad 7_VSA 111014_By Region" xfId="0"/>
    <cellStyle name="_DPF_VSE WFP_101029-with more ViewPad 7_VSA 111014_CORP SG&amp;A" xfId="0"/>
    <cellStyle name="_DPF_VSE WFP_101029-with more ViewPad 7_VSA 111014_LCD" xfId="0"/>
    <cellStyle name="_DPF_VSE WFP_101029-with more ViewPad 7_VSA 111014_PJ" xfId="0"/>
    <cellStyle name="_DPF_VSE WFP_101029-with more ViewPad 7_VSA Roll-Up (LW)" xfId="0"/>
    <cellStyle name="_DPF_VSE WFP_101029-with more ViewPad 7_VSA Roll-Up (LW) 2" xfId="0"/>
    <cellStyle name="_DPF_VSE WFP_101029-with more ViewPad 7_VSA Roll-Up (LW) 3" xfId="0"/>
    <cellStyle name="_DPF_VSE WFP_101029-with more ViewPad 7_VSA Roll-Up (LW) 4" xfId="0"/>
    <cellStyle name="_DPF_VSE WFP_101029-with more ViewPad 7_VSA Roll-Up (LW) 4 2" xfId="0"/>
    <cellStyle name="_DPF_VSE WFP_101029-with more ViewPad 7_VSA Roll-Up (LW)_By Region" xfId="0"/>
    <cellStyle name="_DPF_VSE WFP_101029-with more ViewPad 7_VSA Roll-Up (LW)_CORP SG&amp;A" xfId="0"/>
    <cellStyle name="_DPF_VSE WFP_101029-with more ViewPad 7_VSA Roll-Up (LW)_LCD" xfId="0"/>
    <cellStyle name="_DPF_VSE WFP_101029-with more ViewPad 7_VSA Roll-Up (LW)_PJ" xfId="0"/>
    <cellStyle name="_draft" xfId="0"/>
    <cellStyle name="_draft 2" xfId="0"/>
    <cellStyle name="_draft_1" xfId="0"/>
    <cellStyle name="_draft_1 2" xfId="0"/>
    <cellStyle name="_draft_CORP SG&amp;A" xfId="0"/>
    <cellStyle name="_DS" xfId="0"/>
    <cellStyle name="_DS 2" xfId="0"/>
    <cellStyle name="_DS 3" xfId="0"/>
    <cellStyle name="_DS 4" xfId="0"/>
    <cellStyle name="_DS 5" xfId="0"/>
    <cellStyle name="_DS DCR" xfId="0"/>
    <cellStyle name="_DS DCR 2" xfId="0"/>
    <cellStyle name="_DS DCR_VSE DCR Planning Model and Trend Charts 20100118" xfId="0"/>
    <cellStyle name="_DS DCR_VSE DCR Planning Model and Trend Charts 20100118 2" xfId="0"/>
    <cellStyle name="_DS DCR_VSE DCR Planning Model and Trend Charts 20100315" xfId="0"/>
    <cellStyle name="_DS DCR_VSE DCR Planning Model and Trend Charts 20100315 2" xfId="0"/>
    <cellStyle name="_DS_By Region" xfId="0"/>
    <cellStyle name="_DS_CIS" xfId="0"/>
    <cellStyle name="_DS_CIS 2" xfId="0"/>
    <cellStyle name="_DS_CIS 3" xfId="0"/>
    <cellStyle name="_DS_CIS 4" xfId="0"/>
    <cellStyle name="_DS_CIS_By Region" xfId="0"/>
    <cellStyle name="_DS_CIS_CORP SG&amp;A" xfId="0"/>
    <cellStyle name="_DS_CIS_Digitizer" xfId="0"/>
    <cellStyle name="_DS_CIS_GPS OTHER" xfId="0"/>
    <cellStyle name="_DS_CIS_GPS OTHER 2" xfId="0"/>
    <cellStyle name="_DS_CIS_GPS OTHER 3" xfId="0"/>
    <cellStyle name="_DS_CIS_GPS OTHER 4" xfId="0"/>
    <cellStyle name="_DS_CIS_GPS OTHER 4 2" xfId="0"/>
    <cellStyle name="_DS_CIS_GPS OTHER_By Region" xfId="0"/>
    <cellStyle name="_DS_CIS_GPS OTHER_CORP SG&amp;A" xfId="0"/>
    <cellStyle name="_DS_CIS_GPS OTHER_LCD" xfId="0"/>
    <cellStyle name="_DS_CIS_GPS OTHER_PJ" xfId="0"/>
    <cellStyle name="_DS_CIS_LCD" xfId="0"/>
    <cellStyle name="_DS_CIS_LCD 2" xfId="0"/>
    <cellStyle name="_DS_CIS_LCD 3" xfId="0"/>
    <cellStyle name="_DS_CIS_LCD 4" xfId="0"/>
    <cellStyle name="_DS_CIS_LCD_By Region" xfId="0"/>
    <cellStyle name="_DS_CIS_LCD_CORP SG&amp;A" xfId="0"/>
    <cellStyle name="_DS_CIS_LCD_LCD" xfId="0"/>
    <cellStyle name="_DS_CIS_LCD_PJ" xfId="0"/>
    <cellStyle name="_DS_CIS_lightling" xfId="0"/>
    <cellStyle name="_DS_CIS_lightling 2" xfId="0"/>
    <cellStyle name="_DS_CIS_lightling_By Region" xfId="0"/>
    <cellStyle name="_DS_CIS_lightling_CORP SG&amp;A" xfId="0"/>
    <cellStyle name="_DS_CIS_PC Products" xfId="0"/>
    <cellStyle name="_DS_CIS_PC Products 2" xfId="0"/>
    <cellStyle name="_DS_CIS_PC Products 3" xfId="0"/>
    <cellStyle name="_DS_CIS_PC Products 4" xfId="0"/>
    <cellStyle name="_DS_CIS_PC Products 4 2" xfId="0"/>
    <cellStyle name="_DS_CIS_PC Products_By Region" xfId="0"/>
    <cellStyle name="_DS_CIS_PC Products_CORP SG&amp;A" xfId="0"/>
    <cellStyle name="_DS_CIS_PC Products_LCD" xfId="0"/>
    <cellStyle name="_DS_CIS_PC Products_PJ" xfId="0"/>
    <cellStyle name="_DS_CIS_VSA 111014" xfId="0"/>
    <cellStyle name="_DS_CIS_VSA 111014 2" xfId="0"/>
    <cellStyle name="_DS_CIS_VSA 111014 3" xfId="0"/>
    <cellStyle name="_DS_CIS_VSA 111014 4" xfId="0"/>
    <cellStyle name="_DS_CIS_VSA 111014 4 2" xfId="0"/>
    <cellStyle name="_DS_CIS_VSA 111014_By Region" xfId="0"/>
    <cellStyle name="_DS_CIS_VSA 111014_CORP SG&amp;A" xfId="0"/>
    <cellStyle name="_DS_CIS_VSA 111014_LCD" xfId="0"/>
    <cellStyle name="_DS_CIS_VSA 111014_PJ" xfId="0"/>
    <cellStyle name="_DS_CIS_VSA Roll-Up (LW)" xfId="0"/>
    <cellStyle name="_DS_CIS_VSA Roll-Up (LW) 2" xfId="0"/>
    <cellStyle name="_DS_CIS_VSA Roll-Up (LW) 3" xfId="0"/>
    <cellStyle name="_DS_CIS_VSA Roll-Up (LW) 4" xfId="0"/>
    <cellStyle name="_DS_CIS_VSA Roll-Up (LW) 4 2" xfId="0"/>
    <cellStyle name="_DS_CIS_VSA Roll-Up (LW)_By Region" xfId="0"/>
    <cellStyle name="_DS_CIS_VSA Roll-Up (LW)_CORP SG&amp;A" xfId="0"/>
    <cellStyle name="_DS_CIS_VSA Roll-Up (LW)_LCD" xfId="0"/>
    <cellStyle name="_DS_CIS_VSA Roll-Up (LW)_PJ" xfId="0"/>
    <cellStyle name="_DS_CORP SG&amp;A" xfId="0"/>
    <cellStyle name="_DS_CRT" xfId="0"/>
    <cellStyle name="_DS_CRT 2" xfId="0"/>
    <cellStyle name="_DS_CRT 3" xfId="0"/>
    <cellStyle name="_DS_CRT 4" xfId="0"/>
    <cellStyle name="_DS_CRT_By Region" xfId="0"/>
    <cellStyle name="_DS_CRT_CORP SG&amp;A" xfId="0"/>
    <cellStyle name="_DS_CRT_Digitizer" xfId="0"/>
    <cellStyle name="_DS_CRT_GPS OTHER" xfId="0"/>
    <cellStyle name="_DS_CRT_GPS OTHER 2" xfId="0"/>
    <cellStyle name="_DS_CRT_GPS OTHER 3" xfId="0"/>
    <cellStyle name="_DS_CRT_GPS OTHER 4" xfId="0"/>
    <cellStyle name="_DS_CRT_GPS OTHER 4 2" xfId="0"/>
    <cellStyle name="_DS_CRT_GPS OTHER_By Region" xfId="0"/>
    <cellStyle name="_DS_CRT_GPS OTHER_CORP SG&amp;A" xfId="0"/>
    <cellStyle name="_DS_CRT_GPS OTHER_LCD" xfId="0"/>
    <cellStyle name="_DS_CRT_GPS OTHER_PJ" xfId="0"/>
    <cellStyle name="_DS_CRT_LCD" xfId="0"/>
    <cellStyle name="_DS_CRT_LCD 2" xfId="0"/>
    <cellStyle name="_DS_CRT_LCD 3" xfId="0"/>
    <cellStyle name="_DS_CRT_LCD 4" xfId="0"/>
    <cellStyle name="_DS_CRT_LCD_By Region" xfId="0"/>
    <cellStyle name="_DS_CRT_LCD_CORP SG&amp;A" xfId="0"/>
    <cellStyle name="_DS_CRT_LCD_LCD" xfId="0"/>
    <cellStyle name="_DS_CRT_LCD_PJ" xfId="0"/>
    <cellStyle name="_DS_CRT_lightling" xfId="0"/>
    <cellStyle name="_DS_CRT_lightling 2" xfId="0"/>
    <cellStyle name="_DS_CRT_lightling_By Region" xfId="0"/>
    <cellStyle name="_DS_CRT_lightling_CORP SG&amp;A" xfId="0"/>
    <cellStyle name="_DS_CRT_PC Products" xfId="0"/>
    <cellStyle name="_DS_CRT_PC Products 2" xfId="0"/>
    <cellStyle name="_DS_CRT_PC Products 3" xfId="0"/>
    <cellStyle name="_DS_CRT_PC Products 4" xfId="0"/>
    <cellStyle name="_DS_CRT_PC Products 4 2" xfId="0"/>
    <cellStyle name="_DS_CRT_PC Products_By Region" xfId="0"/>
    <cellStyle name="_DS_CRT_PC Products_CORP SG&amp;A" xfId="0"/>
    <cellStyle name="_DS_CRT_PC Products_LCD" xfId="0"/>
    <cellStyle name="_DS_CRT_PC Products_PJ" xfId="0"/>
    <cellStyle name="_DS_CRT_VSA 111014" xfId="0"/>
    <cellStyle name="_DS_CRT_VSA 111014 2" xfId="0"/>
    <cellStyle name="_DS_CRT_VSA 111014 3" xfId="0"/>
    <cellStyle name="_DS_CRT_VSA 111014 4" xfId="0"/>
    <cellStyle name="_DS_CRT_VSA 111014 4 2" xfId="0"/>
    <cellStyle name="_DS_CRT_VSA 111014_By Region" xfId="0"/>
    <cellStyle name="_DS_CRT_VSA 111014_CORP SG&amp;A" xfId="0"/>
    <cellStyle name="_DS_CRT_VSA 111014_LCD" xfId="0"/>
    <cellStyle name="_DS_CRT_VSA 111014_PJ" xfId="0"/>
    <cellStyle name="_DS_CRT_VSA Roll-Up (LW)" xfId="0"/>
    <cellStyle name="_DS_CRT_VSA Roll-Up (LW) 2" xfId="0"/>
    <cellStyle name="_DS_CRT_VSA Roll-Up (LW) 3" xfId="0"/>
    <cellStyle name="_DS_CRT_VSA Roll-Up (LW) 4" xfId="0"/>
    <cellStyle name="_DS_CRT_VSA Roll-Up (LW) 4 2" xfId="0"/>
    <cellStyle name="_DS_CRT_VSA Roll-Up (LW)_By Region" xfId="0"/>
    <cellStyle name="_DS_CRT_VSA Roll-Up (LW)_CORP SG&amp;A" xfId="0"/>
    <cellStyle name="_DS_CRT_VSA Roll-Up (LW)_LCD" xfId="0"/>
    <cellStyle name="_DS_CRT_VSA Roll-Up (LW)_PJ" xfId="0"/>
    <cellStyle name="_DS_Diff" xfId="0"/>
    <cellStyle name="_DS_Diff 2" xfId="0"/>
    <cellStyle name="_DS_Diff 3" xfId="0"/>
    <cellStyle name="_DS_Diff 4" xfId="0"/>
    <cellStyle name="_DS_Diff_By Region" xfId="0"/>
    <cellStyle name="_DS_Diff_CORP SG&amp;A" xfId="0"/>
    <cellStyle name="_DS_Diff_Digitizer" xfId="0"/>
    <cellStyle name="_DS_Diff_GPS OTHER" xfId="0"/>
    <cellStyle name="_DS_Diff_GPS OTHER 2" xfId="0"/>
    <cellStyle name="_DS_Diff_GPS OTHER 3" xfId="0"/>
    <cellStyle name="_DS_Diff_GPS OTHER 4" xfId="0"/>
    <cellStyle name="_DS_Diff_GPS OTHER 4 2" xfId="0"/>
    <cellStyle name="_DS_Diff_GPS OTHER_By Region" xfId="0"/>
    <cellStyle name="_DS_Diff_GPS OTHER_CORP SG&amp;A" xfId="0"/>
    <cellStyle name="_DS_Diff_GPS OTHER_LCD" xfId="0"/>
    <cellStyle name="_DS_Diff_GPS OTHER_PJ" xfId="0"/>
    <cellStyle name="_DS_Diff_LCD" xfId="0"/>
    <cellStyle name="_DS_Diff_LCD 2" xfId="0"/>
    <cellStyle name="_DS_Diff_LCD 3" xfId="0"/>
    <cellStyle name="_DS_Diff_LCD 4" xfId="0"/>
    <cellStyle name="_DS_Diff_LCD_By Region" xfId="0"/>
    <cellStyle name="_DS_Diff_LCD_CORP SG&amp;A" xfId="0"/>
    <cellStyle name="_DS_Diff_LCD_LCD" xfId="0"/>
    <cellStyle name="_DS_Diff_LCD_PJ" xfId="0"/>
    <cellStyle name="_DS_Diff_lightling" xfId="0"/>
    <cellStyle name="_DS_Diff_lightling 2" xfId="0"/>
    <cellStyle name="_DS_Diff_lightling_By Region" xfId="0"/>
    <cellStyle name="_DS_Diff_lightling_CORP SG&amp;A" xfId="0"/>
    <cellStyle name="_DS_Diff_PC Products" xfId="0"/>
    <cellStyle name="_DS_Diff_PC Products 2" xfId="0"/>
    <cellStyle name="_DS_Diff_PC Products 3" xfId="0"/>
    <cellStyle name="_DS_Diff_PC Products 4" xfId="0"/>
    <cellStyle name="_DS_Diff_PC Products 4 2" xfId="0"/>
    <cellStyle name="_DS_Diff_PC Products_By Region" xfId="0"/>
    <cellStyle name="_DS_Diff_PC Products_CORP SG&amp;A" xfId="0"/>
    <cellStyle name="_DS_Diff_PC Products_LCD" xfId="0"/>
    <cellStyle name="_DS_Diff_PC Products_PJ" xfId="0"/>
    <cellStyle name="_DS_Diff_VSA 111014" xfId="0"/>
    <cellStyle name="_DS_Diff_VSA 111014 2" xfId="0"/>
    <cellStyle name="_DS_Diff_VSA 111014 3" xfId="0"/>
    <cellStyle name="_DS_Diff_VSA 111014 4" xfId="0"/>
    <cellStyle name="_DS_Diff_VSA 111014 4 2" xfId="0"/>
    <cellStyle name="_DS_Diff_VSA 111014_By Region" xfId="0"/>
    <cellStyle name="_DS_Diff_VSA 111014_CORP SG&amp;A" xfId="0"/>
    <cellStyle name="_DS_Diff_VSA 111014_LCD" xfId="0"/>
    <cellStyle name="_DS_Diff_VSA 111014_PJ" xfId="0"/>
    <cellStyle name="_DS_Diff_VSA Roll-Up (LW)" xfId="0"/>
    <cellStyle name="_DS_Diff_VSA Roll-Up (LW) 2" xfId="0"/>
    <cellStyle name="_DS_Diff_VSA Roll-Up (LW) 3" xfId="0"/>
    <cellStyle name="_DS_Diff_VSA Roll-Up (LW) 4" xfId="0"/>
    <cellStyle name="_DS_Diff_VSA Roll-Up (LW) 4 2" xfId="0"/>
    <cellStyle name="_DS_Diff_VSA Roll-Up (LW)_By Region" xfId="0"/>
    <cellStyle name="_DS_Diff_VSA Roll-Up (LW)_CORP SG&amp;A" xfId="0"/>
    <cellStyle name="_DS_Diff_VSA Roll-Up (LW)_LCD" xfId="0"/>
    <cellStyle name="_DS_Diff_VSA Roll-Up (LW)_PJ" xfId="0"/>
    <cellStyle name="_DS_Digital Product" xfId="0"/>
    <cellStyle name="_DS_Digital Product 2" xfId="0"/>
    <cellStyle name="_DS_Digital Product 3" xfId="0"/>
    <cellStyle name="_DS_Digital Product 4" xfId="0"/>
    <cellStyle name="_DS_Digital Product_By Region" xfId="0"/>
    <cellStyle name="_DS_Digital Product_CORP SG&amp;A" xfId="0"/>
    <cellStyle name="_DS_Digital Product_Digitizer" xfId="0"/>
    <cellStyle name="_DS_Digital Product_GPS OTHER" xfId="0"/>
    <cellStyle name="_DS_Digital Product_GPS OTHER 2" xfId="0"/>
    <cellStyle name="_DS_Digital Product_GPS OTHER 3" xfId="0"/>
    <cellStyle name="_DS_Digital Product_GPS OTHER 4" xfId="0"/>
    <cellStyle name="_DS_Digital Product_GPS OTHER 4 2" xfId="0"/>
    <cellStyle name="_DS_Digital Product_GPS OTHER_By Region" xfId="0"/>
    <cellStyle name="_DS_Digital Product_GPS OTHER_CORP SG&amp;A" xfId="0"/>
    <cellStyle name="_DS_Digital Product_GPS OTHER_LCD" xfId="0"/>
    <cellStyle name="_DS_Digital Product_GPS OTHER_PJ" xfId="0"/>
    <cellStyle name="_DS_Digital Product_LCD" xfId="0"/>
    <cellStyle name="_DS_Digital Product_LCD 2" xfId="0"/>
    <cellStyle name="_DS_Digital Product_LCD 3" xfId="0"/>
    <cellStyle name="_DS_Digital Product_LCD 4" xfId="0"/>
    <cellStyle name="_DS_Digital Product_LCD_By Region" xfId="0"/>
    <cellStyle name="_DS_Digital Product_LCD_CORP SG&amp;A" xfId="0"/>
    <cellStyle name="_DS_Digital Product_LCD_LCD" xfId="0"/>
    <cellStyle name="_DS_Digital Product_LCD_PJ" xfId="0"/>
    <cellStyle name="_DS_Digital Product_lightling" xfId="0"/>
    <cellStyle name="_DS_Digital Product_lightling 2" xfId="0"/>
    <cellStyle name="_DS_Digital Product_lightling_By Region" xfId="0"/>
    <cellStyle name="_DS_Digital Product_lightling_CORP SG&amp;A" xfId="0"/>
    <cellStyle name="_DS_Digital Product_PC Products" xfId="0"/>
    <cellStyle name="_DS_Digital Product_PC Products 2" xfId="0"/>
    <cellStyle name="_DS_Digital Product_PC Products 3" xfId="0"/>
    <cellStyle name="_DS_Digital Product_PC Products 4" xfId="0"/>
    <cellStyle name="_DS_Digital Product_PC Products 4 2" xfId="0"/>
    <cellStyle name="_DS_Digital Product_PC Products_By Region" xfId="0"/>
    <cellStyle name="_DS_Digital Product_PC Products_CORP SG&amp;A" xfId="0"/>
    <cellStyle name="_DS_Digital Product_PC Products_LCD" xfId="0"/>
    <cellStyle name="_DS_Digital Product_PC Products_PJ" xfId="0"/>
    <cellStyle name="_DS_Digital Product_VSA 111014" xfId="0"/>
    <cellStyle name="_DS_Digital Product_VSA 111014 2" xfId="0"/>
    <cellStyle name="_DS_Digital Product_VSA 111014 3" xfId="0"/>
    <cellStyle name="_DS_Digital Product_VSA 111014 4" xfId="0"/>
    <cellStyle name="_DS_Digital Product_VSA 111014 4 2" xfId="0"/>
    <cellStyle name="_DS_Digital Product_VSA 111014_By Region" xfId="0"/>
    <cellStyle name="_DS_Digital Product_VSA 111014_CORP SG&amp;A" xfId="0"/>
    <cellStyle name="_DS_Digital Product_VSA 111014_LCD" xfId="0"/>
    <cellStyle name="_DS_Digital Product_VSA 111014_PJ" xfId="0"/>
    <cellStyle name="_DS_Digital Product_VSA Roll-Up (LW)" xfId="0"/>
    <cellStyle name="_DS_Digital Product_VSA Roll-Up (LW) 2" xfId="0"/>
    <cellStyle name="_DS_Digital Product_VSA Roll-Up (LW) 3" xfId="0"/>
    <cellStyle name="_DS_Digital Product_VSA Roll-Up (LW) 4" xfId="0"/>
    <cellStyle name="_DS_Digital Product_VSA Roll-Up (LW) 4 2" xfId="0"/>
    <cellStyle name="_DS_Digital Product_VSA Roll-Up (LW)_By Region" xfId="0"/>
    <cellStyle name="_DS_Digital Product_VSA Roll-Up (LW)_CORP SG&amp;A" xfId="0"/>
    <cellStyle name="_DS_Digital Product_VSA Roll-Up (LW)_LCD" xfId="0"/>
    <cellStyle name="_DS_Digital Product_VSA Roll-Up (LW)_PJ" xfId="0"/>
    <cellStyle name="_DS_Digital Signage" xfId="0"/>
    <cellStyle name="_DS_Digital Signage 2" xfId="0"/>
    <cellStyle name="_DS_Digital Signage 3" xfId="0"/>
    <cellStyle name="_DS_Digital Signage 4" xfId="0"/>
    <cellStyle name="_DS_Digital Signage_By Region" xfId="0"/>
    <cellStyle name="_DS_Digital Signage_CORP SG&amp;A" xfId="0"/>
    <cellStyle name="_DS_Digital Signage_Digitizer" xfId="0"/>
    <cellStyle name="_DS_Digital Signage_GPS OTHER" xfId="0"/>
    <cellStyle name="_DS_Digital Signage_GPS OTHER 2" xfId="0"/>
    <cellStyle name="_DS_Digital Signage_GPS OTHER 3" xfId="0"/>
    <cellStyle name="_DS_Digital Signage_GPS OTHER 4" xfId="0"/>
    <cellStyle name="_DS_Digital Signage_GPS OTHER 4 2" xfId="0"/>
    <cellStyle name="_DS_Digital Signage_GPS OTHER_By Region" xfId="0"/>
    <cellStyle name="_DS_Digital Signage_GPS OTHER_CORP SG&amp;A" xfId="0"/>
    <cellStyle name="_DS_Digital Signage_GPS OTHER_LCD" xfId="0"/>
    <cellStyle name="_DS_Digital Signage_GPS OTHER_PJ" xfId="0"/>
    <cellStyle name="_DS_Digital Signage_LCD" xfId="0"/>
    <cellStyle name="_DS_Digital Signage_LCD 2" xfId="0"/>
    <cellStyle name="_DS_Digital Signage_LCD 3" xfId="0"/>
    <cellStyle name="_DS_Digital Signage_LCD 4" xfId="0"/>
    <cellStyle name="_DS_Digital Signage_LCD_By Region" xfId="0"/>
    <cellStyle name="_DS_Digital Signage_LCD_CORP SG&amp;A" xfId="0"/>
    <cellStyle name="_DS_Digital Signage_LCD_LCD" xfId="0"/>
    <cellStyle name="_DS_Digital Signage_LCD_PJ" xfId="0"/>
    <cellStyle name="_DS_Digital Signage_lightling" xfId="0"/>
    <cellStyle name="_DS_Digital Signage_lightling 2" xfId="0"/>
    <cellStyle name="_DS_Digital Signage_lightling_By Region" xfId="0"/>
    <cellStyle name="_DS_Digital Signage_lightling_CORP SG&amp;A" xfId="0"/>
    <cellStyle name="_DS_Digital Signage_PC Products" xfId="0"/>
    <cellStyle name="_DS_Digital Signage_PC Products 2" xfId="0"/>
    <cellStyle name="_DS_Digital Signage_PC Products 3" xfId="0"/>
    <cellStyle name="_DS_Digital Signage_PC Products 4" xfId="0"/>
    <cellStyle name="_DS_Digital Signage_PC Products 4 2" xfId="0"/>
    <cellStyle name="_DS_Digital Signage_PC Products_By Region" xfId="0"/>
    <cellStyle name="_DS_Digital Signage_PC Products_CORP SG&amp;A" xfId="0"/>
    <cellStyle name="_DS_Digital Signage_PC Products_LCD" xfId="0"/>
    <cellStyle name="_DS_Digital Signage_PC Products_PJ" xfId="0"/>
    <cellStyle name="_DS_Digital Signage_VSA 111014" xfId="0"/>
    <cellStyle name="_DS_Digital Signage_VSA 111014 2" xfId="0"/>
    <cellStyle name="_DS_Digital Signage_VSA 111014 3" xfId="0"/>
    <cellStyle name="_DS_Digital Signage_VSA 111014 4" xfId="0"/>
    <cellStyle name="_DS_Digital Signage_VSA 111014 4 2" xfId="0"/>
    <cellStyle name="_DS_Digital Signage_VSA 111014_By Region" xfId="0"/>
    <cellStyle name="_DS_Digital Signage_VSA 111014_CORP SG&amp;A" xfId="0"/>
    <cellStyle name="_DS_Digital Signage_VSA 111014_LCD" xfId="0"/>
    <cellStyle name="_DS_Digital Signage_VSA 111014_PJ" xfId="0"/>
    <cellStyle name="_DS_Digital Signage_VSA Roll-Up (LW)" xfId="0"/>
    <cellStyle name="_DS_Digital Signage_VSA Roll-Up (LW) 2" xfId="0"/>
    <cellStyle name="_DS_Digital Signage_VSA Roll-Up (LW) 3" xfId="0"/>
    <cellStyle name="_DS_Digital Signage_VSA Roll-Up (LW) 4" xfId="0"/>
    <cellStyle name="_DS_Digital Signage_VSA Roll-Up (LW) 4 2" xfId="0"/>
    <cellStyle name="_DS_Digital Signage_VSA Roll-Up (LW)_By Region" xfId="0"/>
    <cellStyle name="_DS_Digital Signage_VSA Roll-Up (LW)_CORP SG&amp;A" xfId="0"/>
    <cellStyle name="_DS_Digital Signage_VSA Roll-Up (LW)_LCD" xfId="0"/>
    <cellStyle name="_DS_Digital Signage_VSA Roll-Up (LW)_PJ" xfId="0"/>
    <cellStyle name="_DS_Digitizer" xfId="0"/>
    <cellStyle name="_DS_DMA(VMP)" xfId="0"/>
    <cellStyle name="_DS_DMA(VMP) 2" xfId="0"/>
    <cellStyle name="_DS_DMA(VMP) 3" xfId="0"/>
    <cellStyle name="_DS_DMA(VMP) 4" xfId="0"/>
    <cellStyle name="_DS_DMA(VMP)_By Region" xfId="0"/>
    <cellStyle name="_DS_DMA(VMP)_CORP SG&amp;A" xfId="0"/>
    <cellStyle name="_DS_DMA(VMP)_Digitizer" xfId="0"/>
    <cellStyle name="_DS_DMA(VMP)_GPS OTHER" xfId="0"/>
    <cellStyle name="_DS_DMA(VMP)_GPS OTHER 2" xfId="0"/>
    <cellStyle name="_DS_DMA(VMP)_GPS OTHER 3" xfId="0"/>
    <cellStyle name="_DS_DMA(VMP)_GPS OTHER 4" xfId="0"/>
    <cellStyle name="_DS_DMA(VMP)_GPS OTHER 4 2" xfId="0"/>
    <cellStyle name="_DS_DMA(VMP)_GPS OTHER_By Region" xfId="0"/>
    <cellStyle name="_DS_DMA(VMP)_GPS OTHER_CORP SG&amp;A" xfId="0"/>
    <cellStyle name="_DS_DMA(VMP)_GPS OTHER_LCD" xfId="0"/>
    <cellStyle name="_DS_DMA(VMP)_GPS OTHER_PJ" xfId="0"/>
    <cellStyle name="_DS_DMA(VMP)_LCD" xfId="0"/>
    <cellStyle name="_DS_DMA(VMP)_LCD 2" xfId="0"/>
    <cellStyle name="_DS_DMA(VMP)_LCD 3" xfId="0"/>
    <cellStyle name="_DS_DMA(VMP)_LCD 4" xfId="0"/>
    <cellStyle name="_DS_DMA(VMP)_LCD_By Region" xfId="0"/>
    <cellStyle name="_DS_DMA(VMP)_LCD_CORP SG&amp;A" xfId="0"/>
    <cellStyle name="_DS_DMA(VMP)_LCD_LCD" xfId="0"/>
    <cellStyle name="_DS_DMA(VMP)_LCD_PJ" xfId="0"/>
    <cellStyle name="_DS_DMA(VMP)_lightling" xfId="0"/>
    <cellStyle name="_DS_DMA(VMP)_lightling 2" xfId="0"/>
    <cellStyle name="_DS_DMA(VMP)_lightling_By Region" xfId="0"/>
    <cellStyle name="_DS_DMA(VMP)_lightling_CORP SG&amp;A" xfId="0"/>
    <cellStyle name="_DS_DMA(VMP)_PC Products" xfId="0"/>
    <cellStyle name="_DS_DMA(VMP)_PC Products 2" xfId="0"/>
    <cellStyle name="_DS_DMA(VMP)_PC Products 3" xfId="0"/>
    <cellStyle name="_DS_DMA(VMP)_PC Products 4" xfId="0"/>
    <cellStyle name="_DS_DMA(VMP)_PC Products 4 2" xfId="0"/>
    <cellStyle name="_DS_DMA(VMP)_PC Products_By Region" xfId="0"/>
    <cellStyle name="_DS_DMA(VMP)_PC Products_CORP SG&amp;A" xfId="0"/>
    <cellStyle name="_DS_DMA(VMP)_PC Products_LCD" xfId="0"/>
    <cellStyle name="_DS_DMA(VMP)_PC Products_PJ" xfId="0"/>
    <cellStyle name="_DS_DMA(VMP)_VSA 111014" xfId="0"/>
    <cellStyle name="_DS_DMA(VMP)_VSA 111014 2" xfId="0"/>
    <cellStyle name="_DS_DMA(VMP)_VSA 111014 3" xfId="0"/>
    <cellStyle name="_DS_DMA(VMP)_VSA 111014 4" xfId="0"/>
    <cellStyle name="_DS_DMA(VMP)_VSA 111014 4 2" xfId="0"/>
    <cellStyle name="_DS_DMA(VMP)_VSA 111014_By Region" xfId="0"/>
    <cellStyle name="_DS_DMA(VMP)_VSA 111014_CORP SG&amp;A" xfId="0"/>
    <cellStyle name="_DS_DMA(VMP)_VSA 111014_LCD" xfId="0"/>
    <cellStyle name="_DS_DMA(VMP)_VSA 111014_PJ" xfId="0"/>
    <cellStyle name="_DS_DMA(VMP)_VSA Roll-Up (LW)" xfId="0"/>
    <cellStyle name="_DS_DMA(VMP)_VSA Roll-Up (LW) 2" xfId="0"/>
    <cellStyle name="_DS_DMA(VMP)_VSA Roll-Up (LW) 3" xfId="0"/>
    <cellStyle name="_DS_DMA(VMP)_VSA Roll-Up (LW) 4" xfId="0"/>
    <cellStyle name="_DS_DMA(VMP)_VSA Roll-Up (LW) 4 2" xfId="0"/>
    <cellStyle name="_DS_DMA(VMP)_VSA Roll-Up (LW)_By Region" xfId="0"/>
    <cellStyle name="_DS_DMA(VMP)_VSA Roll-Up (LW)_CORP SG&amp;A" xfId="0"/>
    <cellStyle name="_DS_DMA(VMP)_VSA Roll-Up (LW)_LCD" xfId="0"/>
    <cellStyle name="_DS_DMA(VMP)_VSA Roll-Up (LW)_PJ" xfId="0"/>
    <cellStyle name="_DS_DPF" xfId="0"/>
    <cellStyle name="_DS_DPF 2" xfId="0"/>
    <cellStyle name="_DS_DPF 3" xfId="0"/>
    <cellStyle name="_DS_DPF 4" xfId="0"/>
    <cellStyle name="_DS_DPF_By Region" xfId="0"/>
    <cellStyle name="_DS_DPF_CORP SG&amp;A" xfId="0"/>
    <cellStyle name="_DS_DPF_Digitizer" xfId="0"/>
    <cellStyle name="_DS_DPF_GPS OTHER" xfId="0"/>
    <cellStyle name="_DS_DPF_GPS OTHER 2" xfId="0"/>
    <cellStyle name="_DS_DPF_GPS OTHER 3" xfId="0"/>
    <cellStyle name="_DS_DPF_GPS OTHER 4" xfId="0"/>
    <cellStyle name="_DS_DPF_GPS OTHER 4 2" xfId="0"/>
    <cellStyle name="_DS_DPF_GPS OTHER_By Region" xfId="0"/>
    <cellStyle name="_DS_DPF_GPS OTHER_CORP SG&amp;A" xfId="0"/>
    <cellStyle name="_DS_DPF_GPS OTHER_LCD" xfId="0"/>
    <cellStyle name="_DS_DPF_GPS OTHER_PJ" xfId="0"/>
    <cellStyle name="_DS_DPF_LCD" xfId="0"/>
    <cellStyle name="_DS_DPF_LCD 2" xfId="0"/>
    <cellStyle name="_DS_DPF_LCD 3" xfId="0"/>
    <cellStyle name="_DS_DPF_LCD 4" xfId="0"/>
    <cellStyle name="_DS_DPF_LCD_By Region" xfId="0"/>
    <cellStyle name="_DS_DPF_LCD_CORP SG&amp;A" xfId="0"/>
    <cellStyle name="_DS_DPF_LCD_LCD" xfId="0"/>
    <cellStyle name="_DS_DPF_LCD_PJ" xfId="0"/>
    <cellStyle name="_DS_DPF_lightling" xfId="0"/>
    <cellStyle name="_DS_DPF_lightling 2" xfId="0"/>
    <cellStyle name="_DS_DPF_lightling_By Region" xfId="0"/>
    <cellStyle name="_DS_DPF_lightling_CORP SG&amp;A" xfId="0"/>
    <cellStyle name="_DS_DPF_PC Products" xfId="0"/>
    <cellStyle name="_DS_DPF_PC Products 2" xfId="0"/>
    <cellStyle name="_DS_DPF_PC Products 3" xfId="0"/>
    <cellStyle name="_DS_DPF_PC Products 4" xfId="0"/>
    <cellStyle name="_DS_DPF_PC Products 4 2" xfId="0"/>
    <cellStyle name="_DS_DPF_PC Products_By Region" xfId="0"/>
    <cellStyle name="_DS_DPF_PC Products_CORP SG&amp;A" xfId="0"/>
    <cellStyle name="_DS_DPF_PC Products_LCD" xfId="0"/>
    <cellStyle name="_DS_DPF_PC Products_PJ" xfId="0"/>
    <cellStyle name="_DS_DPF_VSA 111014" xfId="0"/>
    <cellStyle name="_DS_DPF_VSA 111014 2" xfId="0"/>
    <cellStyle name="_DS_DPF_VSA 111014 3" xfId="0"/>
    <cellStyle name="_DS_DPF_VSA 111014 4" xfId="0"/>
    <cellStyle name="_DS_DPF_VSA 111014 4 2" xfId="0"/>
    <cellStyle name="_DS_DPF_VSA 111014_By Region" xfId="0"/>
    <cellStyle name="_DS_DPF_VSA 111014_CORP SG&amp;A" xfId="0"/>
    <cellStyle name="_DS_DPF_VSA 111014_LCD" xfId="0"/>
    <cellStyle name="_DS_DPF_VSA 111014_PJ" xfId="0"/>
    <cellStyle name="_DS_DPF_VSA Roll-Up (LW)" xfId="0"/>
    <cellStyle name="_DS_DPF_VSA Roll-Up (LW) 2" xfId="0"/>
    <cellStyle name="_DS_DPF_VSA Roll-Up (LW) 3" xfId="0"/>
    <cellStyle name="_DS_DPF_VSA Roll-Up (LW) 4" xfId="0"/>
    <cellStyle name="_DS_DPF_VSA Roll-Up (LW) 4 2" xfId="0"/>
    <cellStyle name="_DS_DPF_VSA Roll-Up (LW)_By Region" xfId="0"/>
    <cellStyle name="_DS_DPF_VSA Roll-Up (LW)_CORP SG&amp;A" xfId="0"/>
    <cellStyle name="_DS_DPF_VSA Roll-Up (LW)_LCD" xfId="0"/>
    <cellStyle name="_DS_DPF_VSA Roll-Up (LW)_PJ" xfId="0"/>
    <cellStyle name="_DS_DS" xfId="0"/>
    <cellStyle name="_DS_DS 2" xfId="0"/>
    <cellStyle name="_DS_DS 3" xfId="0"/>
    <cellStyle name="_DS_DS 4" xfId="0"/>
    <cellStyle name="_DS_DS_By Region" xfId="0"/>
    <cellStyle name="_DS_DS_CORP SG&amp;A" xfId="0"/>
    <cellStyle name="_DS_DS_Digitizer" xfId="0"/>
    <cellStyle name="_DS_DS_GPS OTHER" xfId="0"/>
    <cellStyle name="_DS_DS_GPS OTHER 2" xfId="0"/>
    <cellStyle name="_DS_DS_GPS OTHER 3" xfId="0"/>
    <cellStyle name="_DS_DS_GPS OTHER 4" xfId="0"/>
    <cellStyle name="_DS_DS_GPS OTHER 4 2" xfId="0"/>
    <cellStyle name="_DS_DS_GPS OTHER_By Region" xfId="0"/>
    <cellStyle name="_DS_DS_GPS OTHER_CORP SG&amp;A" xfId="0"/>
    <cellStyle name="_DS_DS_GPS OTHER_LCD" xfId="0"/>
    <cellStyle name="_DS_DS_GPS OTHER_PJ" xfId="0"/>
    <cellStyle name="_DS_DS_LCD" xfId="0"/>
    <cellStyle name="_DS_DS_LCD 2" xfId="0"/>
    <cellStyle name="_DS_DS_LCD 3" xfId="0"/>
    <cellStyle name="_DS_DS_LCD 4" xfId="0"/>
    <cellStyle name="_DS_DS_LCD_By Region" xfId="0"/>
    <cellStyle name="_DS_DS_LCD_CORP SG&amp;A" xfId="0"/>
    <cellStyle name="_DS_DS_LCD_LCD" xfId="0"/>
    <cellStyle name="_DS_DS_LCD_PJ" xfId="0"/>
    <cellStyle name="_DS_DS_lightling" xfId="0"/>
    <cellStyle name="_DS_DS_lightling 2" xfId="0"/>
    <cellStyle name="_DS_DS_lightling_By Region" xfId="0"/>
    <cellStyle name="_DS_DS_lightling_CORP SG&amp;A" xfId="0"/>
    <cellStyle name="_DS_DS_PC Products" xfId="0"/>
    <cellStyle name="_DS_DS_PC Products 2" xfId="0"/>
    <cellStyle name="_DS_DS_PC Products 3" xfId="0"/>
    <cellStyle name="_DS_DS_PC Products 4" xfId="0"/>
    <cellStyle name="_DS_DS_PC Products 4 2" xfId="0"/>
    <cellStyle name="_DS_DS_PC Products_By Region" xfId="0"/>
    <cellStyle name="_DS_DS_PC Products_CORP SG&amp;A" xfId="0"/>
    <cellStyle name="_DS_DS_PC Products_LCD" xfId="0"/>
    <cellStyle name="_DS_DS_PC Products_PJ" xfId="0"/>
    <cellStyle name="_DS_DS_VSA 111014" xfId="0"/>
    <cellStyle name="_DS_DS_VSA 111014 2" xfId="0"/>
    <cellStyle name="_DS_DS_VSA 111014 3" xfId="0"/>
    <cellStyle name="_DS_DS_VSA 111014 4" xfId="0"/>
    <cellStyle name="_DS_DS_VSA 111014 4 2" xfId="0"/>
    <cellStyle name="_DS_DS_VSA 111014_By Region" xfId="0"/>
    <cellStyle name="_DS_DS_VSA 111014_CORP SG&amp;A" xfId="0"/>
    <cellStyle name="_DS_DS_VSA 111014_LCD" xfId="0"/>
    <cellStyle name="_DS_DS_VSA 111014_PJ" xfId="0"/>
    <cellStyle name="_DS_DS_VSA Roll-Up (LW)" xfId="0"/>
    <cellStyle name="_DS_DS_VSA Roll-Up (LW) 2" xfId="0"/>
    <cellStyle name="_DS_DS_VSA Roll-Up (LW) 3" xfId="0"/>
    <cellStyle name="_DS_DS_VSA Roll-Up (LW) 4" xfId="0"/>
    <cellStyle name="_DS_DS_VSA Roll-Up (LW) 4 2" xfId="0"/>
    <cellStyle name="_DS_DS_VSA Roll-Up (LW)_By Region" xfId="0"/>
    <cellStyle name="_DS_DS_VSA Roll-Up (LW)_CORP SG&amp;A" xfId="0"/>
    <cellStyle name="_DS_DS_VSA Roll-Up (LW)_LCD" xfId="0"/>
    <cellStyle name="_DS_DS_VSA Roll-Up (LW)_PJ" xfId="0"/>
    <cellStyle name="_DS_DVD_TV" xfId="0"/>
    <cellStyle name="_DS_DVD_TV 2" xfId="0"/>
    <cellStyle name="_DS_DVD_TV 3" xfId="0"/>
    <cellStyle name="_DS_DVD_TV 4" xfId="0"/>
    <cellStyle name="_DS_DVD_TV_By Region" xfId="0"/>
    <cellStyle name="_DS_DVD_TV_CORP SG&amp;A" xfId="0"/>
    <cellStyle name="_DS_DVD_TV_Digitizer" xfId="0"/>
    <cellStyle name="_DS_DVD_TV_GPS OTHER" xfId="0"/>
    <cellStyle name="_DS_DVD_TV_GPS OTHER 2" xfId="0"/>
    <cellStyle name="_DS_DVD_TV_GPS OTHER 3" xfId="0"/>
    <cellStyle name="_DS_DVD_TV_GPS OTHER 4" xfId="0"/>
    <cellStyle name="_DS_DVD_TV_GPS OTHER 4 2" xfId="0"/>
    <cellStyle name="_DS_DVD_TV_GPS OTHER_By Region" xfId="0"/>
    <cellStyle name="_DS_DVD_TV_GPS OTHER_CORP SG&amp;A" xfId="0"/>
    <cellStyle name="_DS_DVD_TV_GPS OTHER_LCD" xfId="0"/>
    <cellStyle name="_DS_DVD_TV_GPS OTHER_PJ" xfId="0"/>
    <cellStyle name="_DS_DVD_TV_LCD" xfId="0"/>
    <cellStyle name="_DS_DVD_TV_LCD 2" xfId="0"/>
    <cellStyle name="_DS_DVD_TV_LCD 3" xfId="0"/>
    <cellStyle name="_DS_DVD_TV_LCD 4" xfId="0"/>
    <cellStyle name="_DS_DVD_TV_LCD_By Region" xfId="0"/>
    <cellStyle name="_DS_DVD_TV_LCD_CORP SG&amp;A" xfId="0"/>
    <cellStyle name="_DS_DVD_TV_LCD_LCD" xfId="0"/>
    <cellStyle name="_DS_DVD_TV_LCD_PJ" xfId="0"/>
    <cellStyle name="_DS_DVD_TV_lightling" xfId="0"/>
    <cellStyle name="_DS_DVD_TV_lightling 2" xfId="0"/>
    <cellStyle name="_DS_DVD_TV_lightling_By Region" xfId="0"/>
    <cellStyle name="_DS_DVD_TV_lightling_CORP SG&amp;A" xfId="0"/>
    <cellStyle name="_DS_DVD_TV_PC Products" xfId="0"/>
    <cellStyle name="_DS_DVD_TV_PC Products 2" xfId="0"/>
    <cellStyle name="_DS_DVD_TV_PC Products 3" xfId="0"/>
    <cellStyle name="_DS_DVD_TV_PC Products 4" xfId="0"/>
    <cellStyle name="_DS_DVD_TV_PC Products 4 2" xfId="0"/>
    <cellStyle name="_DS_DVD_TV_PC Products_By Region" xfId="0"/>
    <cellStyle name="_DS_DVD_TV_PC Products_CORP SG&amp;A" xfId="0"/>
    <cellStyle name="_DS_DVD_TV_PC Products_LCD" xfId="0"/>
    <cellStyle name="_DS_DVD_TV_PC Products_PJ" xfId="0"/>
    <cellStyle name="_DS_DVD_TV_VSA 111014" xfId="0"/>
    <cellStyle name="_DS_DVD_TV_VSA 111014 2" xfId="0"/>
    <cellStyle name="_DS_DVD_TV_VSA 111014 3" xfId="0"/>
    <cellStyle name="_DS_DVD_TV_VSA 111014 4" xfId="0"/>
    <cellStyle name="_DS_DVD_TV_VSA 111014 4 2" xfId="0"/>
    <cellStyle name="_DS_DVD_TV_VSA 111014_By Region" xfId="0"/>
    <cellStyle name="_DS_DVD_TV_VSA 111014_CORP SG&amp;A" xfId="0"/>
    <cellStyle name="_DS_DVD_TV_VSA 111014_LCD" xfId="0"/>
    <cellStyle name="_DS_DVD_TV_VSA 111014_PJ" xfId="0"/>
    <cellStyle name="_DS_DVD_TV_VSA Roll-Up (LW)" xfId="0"/>
    <cellStyle name="_DS_DVD_TV_VSA Roll-Up (LW) 2" xfId="0"/>
    <cellStyle name="_DS_DVD_TV_VSA Roll-Up (LW) 3" xfId="0"/>
    <cellStyle name="_DS_DVD_TV_VSA Roll-Up (LW) 4" xfId="0"/>
    <cellStyle name="_DS_DVD_TV_VSA Roll-Up (LW) 4 2" xfId="0"/>
    <cellStyle name="_DS_DVD_TV_VSA Roll-Up (LW)_By Region" xfId="0"/>
    <cellStyle name="_DS_DVD_TV_VSA Roll-Up (LW)_CORP SG&amp;A" xfId="0"/>
    <cellStyle name="_DS_DVD_TV_VSA Roll-Up (LW)_LCD" xfId="0"/>
    <cellStyle name="_DS_DVD_TV_VSA Roll-Up (LW)_PJ" xfId="0"/>
    <cellStyle name="_DS_GPS OTHER" xfId="0"/>
    <cellStyle name="_DS_GPS OTHER 2" xfId="0"/>
    <cellStyle name="_DS_GPS OTHER 3" xfId="0"/>
    <cellStyle name="_DS_GPS OTHER 4" xfId="0"/>
    <cellStyle name="_DS_GPS OTHER 4 2" xfId="0"/>
    <cellStyle name="_DS_GPS OTHER_By Region" xfId="0"/>
    <cellStyle name="_DS_GPS OTHER_CORP SG&amp;A" xfId="0"/>
    <cellStyle name="_DS_GPS OTHER_LCD" xfId="0"/>
    <cellStyle name="_DS_GPS OTHER_PJ" xfId="0"/>
    <cellStyle name="_DS_LCD" xfId="0"/>
    <cellStyle name="_DS_LCD 2" xfId="0"/>
    <cellStyle name="_DS_LCD 3" xfId="0"/>
    <cellStyle name="_DS_LCD 4" xfId="0"/>
    <cellStyle name="_DS_LCD_1" xfId="0"/>
    <cellStyle name="_DS_LCD_1 2" xfId="0"/>
    <cellStyle name="_DS_LCD_1 3" xfId="0"/>
    <cellStyle name="_DS_LCD_1 4" xfId="0"/>
    <cellStyle name="_DS_LCD_1_By Region" xfId="0"/>
    <cellStyle name="_DS_LCD_1_CORP SG&amp;A" xfId="0"/>
    <cellStyle name="_DS_LCD_1_LCD" xfId="0"/>
    <cellStyle name="_DS_LCD_1_PJ" xfId="0"/>
    <cellStyle name="_DS_LCD_By Region" xfId="0"/>
    <cellStyle name="_DS_LCD_CORP SG&amp;A" xfId="0"/>
    <cellStyle name="_DS_LCD_Digitizer" xfId="0"/>
    <cellStyle name="_DS_LCD_GPS OTHER" xfId="0"/>
    <cellStyle name="_DS_LCD_GPS OTHER 2" xfId="0"/>
    <cellStyle name="_DS_LCD_GPS OTHER 3" xfId="0"/>
    <cellStyle name="_DS_LCD_GPS OTHER 4" xfId="0"/>
    <cellStyle name="_DS_LCD_GPS OTHER 4 2" xfId="0"/>
    <cellStyle name="_DS_LCD_GPS OTHER_By Region" xfId="0"/>
    <cellStyle name="_DS_LCD_GPS OTHER_CORP SG&amp;A" xfId="0"/>
    <cellStyle name="_DS_LCD_GPS OTHER_LCD" xfId="0"/>
    <cellStyle name="_DS_LCD_GPS OTHER_PJ" xfId="0"/>
    <cellStyle name="_DS_LCD_LCD" xfId="0"/>
    <cellStyle name="_DS_LCD_LCD 2" xfId="0"/>
    <cellStyle name="_DS_LCD_LCD 3" xfId="0"/>
    <cellStyle name="_DS_LCD_LCD 4" xfId="0"/>
    <cellStyle name="_DS_LCD_LCD_By Region" xfId="0"/>
    <cellStyle name="_DS_LCD_LCD_CORP SG&amp;A" xfId="0"/>
    <cellStyle name="_DS_LCD_LCD_LCD" xfId="0"/>
    <cellStyle name="_DS_LCD_LCD_PJ" xfId="0"/>
    <cellStyle name="_DS_LCD_lightling" xfId="0"/>
    <cellStyle name="_DS_LCD_lightling 2" xfId="0"/>
    <cellStyle name="_DS_LCD_lightling_By Region" xfId="0"/>
    <cellStyle name="_DS_LCD_lightling_CORP SG&amp;A" xfId="0"/>
    <cellStyle name="_DS_LCD_PC Products" xfId="0"/>
    <cellStyle name="_DS_LCD_PC Products 2" xfId="0"/>
    <cellStyle name="_DS_LCD_PC Products 3" xfId="0"/>
    <cellStyle name="_DS_LCD_PC Products 4" xfId="0"/>
    <cellStyle name="_DS_LCD_PC Products 4 2" xfId="0"/>
    <cellStyle name="_DS_LCD_PC Products_By Region" xfId="0"/>
    <cellStyle name="_DS_LCD_PC Products_CORP SG&amp;A" xfId="0"/>
    <cellStyle name="_DS_LCD_PC Products_LCD" xfId="0"/>
    <cellStyle name="_DS_LCD_PC Products_PJ" xfId="0"/>
    <cellStyle name="_DS_LCD_VSA 111014" xfId="0"/>
    <cellStyle name="_DS_LCD_VSA 111014 2" xfId="0"/>
    <cellStyle name="_DS_LCD_VSA 111014 3" xfId="0"/>
    <cellStyle name="_DS_LCD_VSA 111014 4" xfId="0"/>
    <cellStyle name="_DS_LCD_VSA 111014 4 2" xfId="0"/>
    <cellStyle name="_DS_LCD_VSA 111014_By Region" xfId="0"/>
    <cellStyle name="_DS_LCD_VSA 111014_CORP SG&amp;A" xfId="0"/>
    <cellStyle name="_DS_LCD_VSA 111014_LCD" xfId="0"/>
    <cellStyle name="_DS_LCD_VSA 111014_PJ" xfId="0"/>
    <cellStyle name="_DS_LCD_VSA Roll-Up (LW)" xfId="0"/>
    <cellStyle name="_DS_LCD_VSA Roll-Up (LW) 2" xfId="0"/>
    <cellStyle name="_DS_LCD_VSA Roll-Up (LW) 3" xfId="0"/>
    <cellStyle name="_DS_LCD_VSA Roll-Up (LW) 4" xfId="0"/>
    <cellStyle name="_DS_LCD_VSA Roll-Up (LW) 4 2" xfId="0"/>
    <cellStyle name="_DS_LCD_VSA Roll-Up (LW)_By Region" xfId="0"/>
    <cellStyle name="_DS_LCD_VSA Roll-Up (LW)_CORP SG&amp;A" xfId="0"/>
    <cellStyle name="_DS_LCD_VSA Roll-Up (LW)_LCD" xfId="0"/>
    <cellStyle name="_DS_LCD_VSA Roll-Up (LW)_PJ" xfId="0"/>
    <cellStyle name="_DS_LCDTV" xfId="0"/>
    <cellStyle name="_DS_LCDTV 2" xfId="0"/>
    <cellStyle name="_DS_LCDTV 3" xfId="0"/>
    <cellStyle name="_DS_LCDTV 4" xfId="0"/>
    <cellStyle name="_DS_LCDTV_By Region" xfId="0"/>
    <cellStyle name="_DS_LCDTV_CORP SG&amp;A" xfId="0"/>
    <cellStyle name="_DS_LCDTV_Digitizer" xfId="0"/>
    <cellStyle name="_DS_LCDTV_GPS OTHER" xfId="0"/>
    <cellStyle name="_DS_LCDTV_GPS OTHER 2" xfId="0"/>
    <cellStyle name="_DS_LCDTV_GPS OTHER 3" xfId="0"/>
    <cellStyle name="_DS_LCDTV_GPS OTHER 4" xfId="0"/>
    <cellStyle name="_DS_LCDTV_GPS OTHER 4 2" xfId="0"/>
    <cellStyle name="_DS_LCDTV_GPS OTHER_By Region" xfId="0"/>
    <cellStyle name="_DS_LCDTV_GPS OTHER_CORP SG&amp;A" xfId="0"/>
    <cellStyle name="_DS_LCDTV_GPS OTHER_LCD" xfId="0"/>
    <cellStyle name="_DS_LCDTV_GPS OTHER_PJ" xfId="0"/>
    <cellStyle name="_DS_LCDTV_LCD" xfId="0"/>
    <cellStyle name="_DS_LCDTV_LCD 2" xfId="0"/>
    <cellStyle name="_DS_LCDTV_LCD 3" xfId="0"/>
    <cellStyle name="_DS_LCDTV_LCD 4" xfId="0"/>
    <cellStyle name="_DS_LCDTV_LCD_By Region" xfId="0"/>
    <cellStyle name="_DS_LCDTV_LCD_CORP SG&amp;A" xfId="0"/>
    <cellStyle name="_DS_LCDTV_LCD_LCD" xfId="0"/>
    <cellStyle name="_DS_LCDTV_LCD_PJ" xfId="0"/>
    <cellStyle name="_DS_LCDTV_lightling" xfId="0"/>
    <cellStyle name="_DS_LCDTV_lightling 2" xfId="0"/>
    <cellStyle name="_DS_LCDTV_lightling_By Region" xfId="0"/>
    <cellStyle name="_DS_LCDTV_lightling_CORP SG&amp;A" xfId="0"/>
    <cellStyle name="_DS_LCDTV_PC Products" xfId="0"/>
    <cellStyle name="_DS_LCDTV_PC Products 2" xfId="0"/>
    <cellStyle name="_DS_LCDTV_PC Products 3" xfId="0"/>
    <cellStyle name="_DS_LCDTV_PC Products 4" xfId="0"/>
    <cellStyle name="_DS_LCDTV_PC Products 4 2" xfId="0"/>
    <cellStyle name="_DS_LCDTV_PC Products_By Region" xfId="0"/>
    <cellStyle name="_DS_LCDTV_PC Products_CORP SG&amp;A" xfId="0"/>
    <cellStyle name="_DS_LCDTV_PC Products_LCD" xfId="0"/>
    <cellStyle name="_DS_LCDTV_PC Products_PJ" xfId="0"/>
    <cellStyle name="_DS_LCDTV_VSA 111014" xfId="0"/>
    <cellStyle name="_DS_LCDTV_VSA 111014 2" xfId="0"/>
    <cellStyle name="_DS_LCDTV_VSA 111014 3" xfId="0"/>
    <cellStyle name="_DS_LCDTV_VSA 111014 4" xfId="0"/>
    <cellStyle name="_DS_LCDTV_VSA 111014 4 2" xfId="0"/>
    <cellStyle name="_DS_LCDTV_VSA 111014_By Region" xfId="0"/>
    <cellStyle name="_DS_LCDTV_VSA 111014_CORP SG&amp;A" xfId="0"/>
    <cellStyle name="_DS_LCDTV_VSA 111014_LCD" xfId="0"/>
    <cellStyle name="_DS_LCDTV_VSA 111014_PJ" xfId="0"/>
    <cellStyle name="_DS_LCDTV_VSA Roll-Up (LW)" xfId="0"/>
    <cellStyle name="_DS_LCDTV_VSA Roll-Up (LW) 2" xfId="0"/>
    <cellStyle name="_DS_LCDTV_VSA Roll-Up (LW) 3" xfId="0"/>
    <cellStyle name="_DS_LCDTV_VSA Roll-Up (LW) 4" xfId="0"/>
    <cellStyle name="_DS_LCDTV_VSA Roll-Up (LW) 4 2" xfId="0"/>
    <cellStyle name="_DS_LCDTV_VSA Roll-Up (LW)_By Region" xfId="0"/>
    <cellStyle name="_DS_LCDTV_VSA Roll-Up (LW)_CORP SG&amp;A" xfId="0"/>
    <cellStyle name="_DS_LCDTV_VSA Roll-Up (LW)_LCD" xfId="0"/>
    <cellStyle name="_DS_LCDTV_VSA Roll-Up (LW)_PJ" xfId="0"/>
    <cellStyle name="_DS_lightling" xfId="0"/>
    <cellStyle name="_DS_lightling 2" xfId="0"/>
    <cellStyle name="_DS_lightling_By Region" xfId="0"/>
    <cellStyle name="_DS_lightling_CORP SG&amp;A" xfId="0"/>
    <cellStyle name="_DS_MNT" xfId="0"/>
    <cellStyle name="_DS_MNT 2" xfId="0"/>
    <cellStyle name="_DS_MNT 3" xfId="0"/>
    <cellStyle name="_DS_MNT 4" xfId="0"/>
    <cellStyle name="_DS_MNT_By Region" xfId="0"/>
    <cellStyle name="_DS_MNT_CORP SG&amp;A" xfId="0"/>
    <cellStyle name="_DS_MNT_Digitizer" xfId="0"/>
    <cellStyle name="_DS_MNT_GPS OTHER" xfId="0"/>
    <cellStyle name="_DS_MNT_GPS OTHER 2" xfId="0"/>
    <cellStyle name="_DS_MNT_GPS OTHER 3" xfId="0"/>
    <cellStyle name="_DS_MNT_GPS OTHER 4" xfId="0"/>
    <cellStyle name="_DS_MNT_GPS OTHER 4 2" xfId="0"/>
    <cellStyle name="_DS_MNT_GPS OTHER_By Region" xfId="0"/>
    <cellStyle name="_DS_MNT_GPS OTHER_CORP SG&amp;A" xfId="0"/>
    <cellStyle name="_DS_MNT_GPS OTHER_LCD" xfId="0"/>
    <cellStyle name="_DS_MNT_GPS OTHER_PJ" xfId="0"/>
    <cellStyle name="_DS_MNT_LCD" xfId="0"/>
    <cellStyle name="_DS_MNT_LCD 2" xfId="0"/>
    <cellStyle name="_DS_MNT_LCD 3" xfId="0"/>
    <cellStyle name="_DS_MNT_LCD 4" xfId="0"/>
    <cellStyle name="_DS_MNT_LCD_By Region" xfId="0"/>
    <cellStyle name="_DS_MNT_LCD_CORP SG&amp;A" xfId="0"/>
    <cellStyle name="_DS_MNT_LCD_LCD" xfId="0"/>
    <cellStyle name="_DS_MNT_LCD_PJ" xfId="0"/>
    <cellStyle name="_DS_MNT_lightling" xfId="0"/>
    <cellStyle name="_DS_MNT_lightling 2" xfId="0"/>
    <cellStyle name="_DS_MNT_lightling 3" xfId="0"/>
    <cellStyle name="_DS_MNT_lightling_By Region" xfId="0"/>
    <cellStyle name="_DS_MNT_PC Products" xfId="0"/>
    <cellStyle name="_DS_MNT_PC Products 2" xfId="0"/>
    <cellStyle name="_DS_MNT_PC Products 3" xfId="0"/>
    <cellStyle name="_DS_MNT_PC Products 4" xfId="0"/>
    <cellStyle name="_DS_MNT_PC Products 4 2" xfId="0"/>
    <cellStyle name="_DS_MNT_PC Products_By Region" xfId="0"/>
    <cellStyle name="_DS_MNT_PC Products_CORP SG&amp;A" xfId="0"/>
    <cellStyle name="_DS_MNT_PC Products_LCD" xfId="0"/>
    <cellStyle name="_DS_MNT_PC Products_PJ" xfId="0"/>
    <cellStyle name="_DS_MNT_VSA 111014" xfId="0"/>
    <cellStyle name="_DS_MNT_VSA 111014 2" xfId="0"/>
    <cellStyle name="_DS_MNT_VSA 111014 3" xfId="0"/>
    <cellStyle name="_DS_MNT_VSA 111014 4" xfId="0"/>
    <cellStyle name="_DS_MNT_VSA 111014 4 2" xfId="0"/>
    <cellStyle name="_DS_MNT_VSA 111014_By Region" xfId="0"/>
    <cellStyle name="_DS_MNT_VSA 111014_CORP SG&amp;A" xfId="0"/>
    <cellStyle name="_DS_MNT_VSA 111014_LCD" xfId="0"/>
    <cellStyle name="_DS_MNT_VSA 111014_PJ" xfId="0"/>
    <cellStyle name="_DS_MNT_VSA Roll-Up (LW)" xfId="0"/>
    <cellStyle name="_DS_MNT_VSA Roll-Up (LW) 2" xfId="0"/>
    <cellStyle name="_DS_MNT_VSA Roll-Up (LW) 3" xfId="0"/>
    <cellStyle name="_DS_MNT_VSA Roll-Up (LW) 4" xfId="0"/>
    <cellStyle name="_DS_MNT_VSA Roll-Up (LW) 4 2" xfId="0"/>
    <cellStyle name="_DS_MNT_VSA Roll-Up (LW)_By Region" xfId="0"/>
    <cellStyle name="_DS_MNT_VSA Roll-Up (LW)_CORP SG&amp;A" xfId="0"/>
    <cellStyle name="_DS_MNT_VSA Roll-Up (LW)_LCD" xfId="0"/>
    <cellStyle name="_DS_MNT_VSA Roll-Up (LW)_PJ" xfId="0"/>
    <cellStyle name="_DS_Other" xfId="0"/>
    <cellStyle name="_DS_Other 2" xfId="0"/>
    <cellStyle name="_DS_Other 3" xfId="0"/>
    <cellStyle name="_DS_Other 4" xfId="0"/>
    <cellStyle name="_DS_Other_By Region" xfId="0"/>
    <cellStyle name="_DS_Other_CORP SG&amp;A" xfId="0"/>
    <cellStyle name="_DS_Other_Digitizer" xfId="0"/>
    <cellStyle name="_DS_Other_GPS OTHER" xfId="0"/>
    <cellStyle name="_DS_Other_GPS OTHER 2" xfId="0"/>
    <cellStyle name="_DS_Other_GPS OTHER 3" xfId="0"/>
    <cellStyle name="_DS_Other_GPS OTHER 4" xfId="0"/>
    <cellStyle name="_DS_Other_GPS OTHER 4 2" xfId="0"/>
    <cellStyle name="_DS_Other_GPS OTHER_By Region" xfId="0"/>
    <cellStyle name="_DS_Other_GPS OTHER_CORP SG&amp;A" xfId="0"/>
    <cellStyle name="_DS_Other_GPS OTHER_LCD" xfId="0"/>
    <cellStyle name="_DS_Other_GPS OTHER_PJ" xfId="0"/>
    <cellStyle name="_DS_Other_LCD" xfId="0"/>
    <cellStyle name="_DS_Other_LCD 2" xfId="0"/>
    <cellStyle name="_DS_Other_LCD 3" xfId="0"/>
    <cellStyle name="_DS_Other_LCD 4" xfId="0"/>
    <cellStyle name="_DS_Other_LCD_By Region" xfId="0"/>
    <cellStyle name="_DS_Other_LCD_CORP SG&amp;A" xfId="0"/>
    <cellStyle name="_DS_Other_LCD_LCD" xfId="0"/>
    <cellStyle name="_DS_Other_LCD_PJ" xfId="0"/>
    <cellStyle name="_DS_Other_lightling" xfId="0"/>
    <cellStyle name="_DS_Other_lightling 2" xfId="0"/>
    <cellStyle name="_DS_Other_lightling 3" xfId="0"/>
    <cellStyle name="_DS_Other_lightling_By Region" xfId="0"/>
    <cellStyle name="_DS_Other_PC Products" xfId="0"/>
    <cellStyle name="_DS_Other_PC Products 2" xfId="0"/>
    <cellStyle name="_DS_Other_PC Products 3" xfId="0"/>
    <cellStyle name="_DS_Other_PC Products 4" xfId="0"/>
    <cellStyle name="_DS_Other_PC Products 4 2" xfId="0"/>
    <cellStyle name="_DS_Other_PC Products_By Region" xfId="0"/>
    <cellStyle name="_DS_Other_PC Products_CORP SG&amp;A" xfId="0"/>
    <cellStyle name="_DS_Other_PC Products_LCD" xfId="0"/>
    <cellStyle name="_DS_Other_PC Products_PJ" xfId="0"/>
    <cellStyle name="_DS_Other_VSA 111014" xfId="0"/>
    <cellStyle name="_DS_Other_VSA 111014 2" xfId="0"/>
    <cellStyle name="_DS_Other_VSA 111014 3" xfId="0"/>
    <cellStyle name="_DS_Other_VSA 111014 4" xfId="0"/>
    <cellStyle name="_DS_Other_VSA 111014 4 2" xfId="0"/>
    <cellStyle name="_DS_Other_VSA 111014_By Region" xfId="0"/>
    <cellStyle name="_DS_Other_VSA 111014_CORP SG&amp;A" xfId="0"/>
    <cellStyle name="_DS_Other_VSA 111014_LCD" xfId="0"/>
    <cellStyle name="_DS_Other_VSA 111014_PJ" xfId="0"/>
    <cellStyle name="_DS_Other_VSA Roll-Up (LW)" xfId="0"/>
    <cellStyle name="_DS_Other_VSA Roll-Up (LW) 2" xfId="0"/>
    <cellStyle name="_DS_Other_VSA Roll-Up (LW) 3" xfId="0"/>
    <cellStyle name="_DS_Other_VSA Roll-Up (LW) 4" xfId="0"/>
    <cellStyle name="_DS_Other_VSA Roll-Up (LW) 4 2" xfId="0"/>
    <cellStyle name="_DS_Other_VSA Roll-Up (LW)_By Region" xfId="0"/>
    <cellStyle name="_DS_Other_VSA Roll-Up (LW)_CORP SG&amp;A" xfId="0"/>
    <cellStyle name="_DS_Other_VSA Roll-Up (LW)_LCD" xfId="0"/>
    <cellStyle name="_DS_Other_VSA Roll-Up (LW)_PJ" xfId="0"/>
    <cellStyle name="_DS_PC" xfId="0"/>
    <cellStyle name="_DS_PC 2" xfId="0"/>
    <cellStyle name="_DS_PC 3" xfId="0"/>
    <cellStyle name="_DS_PC 4" xfId="0"/>
    <cellStyle name="_DS_PC Products" xfId="0"/>
    <cellStyle name="_DS_PC Products 2" xfId="0"/>
    <cellStyle name="_DS_PC Products 3" xfId="0"/>
    <cellStyle name="_DS_PC Products 4" xfId="0"/>
    <cellStyle name="_DS_PC Products 4 2" xfId="0"/>
    <cellStyle name="_DS_PC Products_By Region" xfId="0"/>
    <cellStyle name="_DS_PC Products_CORP SG&amp;A" xfId="0"/>
    <cellStyle name="_DS_PC Products_LCD" xfId="0"/>
    <cellStyle name="_DS_PC Products_PJ" xfId="0"/>
    <cellStyle name="_DS_PC_By Region" xfId="0"/>
    <cellStyle name="_DS_PC_CORP SG&amp;A" xfId="0"/>
    <cellStyle name="_DS_PC_Digitizer" xfId="0"/>
    <cellStyle name="_DS_PC_DT" xfId="0"/>
    <cellStyle name="_DS_PC_DT 2" xfId="0"/>
    <cellStyle name="_DS_PC_DT 3" xfId="0"/>
    <cellStyle name="_DS_PC_DT_By Region" xfId="0"/>
    <cellStyle name="_DS_PC_GPS OTHER" xfId="0"/>
    <cellStyle name="_DS_PC_GPS OTHER 2" xfId="0"/>
    <cellStyle name="_DS_PC_GPS OTHER 3" xfId="0"/>
    <cellStyle name="_DS_PC_GPS OTHER 4" xfId="0"/>
    <cellStyle name="_DS_PC_GPS OTHER 4 2" xfId="0"/>
    <cellStyle name="_DS_PC_GPS OTHER_By Region" xfId="0"/>
    <cellStyle name="_DS_PC_GPS OTHER_CORP SG&amp;A" xfId="0"/>
    <cellStyle name="_DS_PC_GPS OTHER_LCD" xfId="0"/>
    <cellStyle name="_DS_PC_GPS OTHER_PJ" xfId="0"/>
    <cellStyle name="_DS_PC_LCD" xfId="0"/>
    <cellStyle name="_DS_PC_LCD 2" xfId="0"/>
    <cellStyle name="_DS_PC_LCD 3" xfId="0"/>
    <cellStyle name="_DS_PC_LCD 4" xfId="0"/>
    <cellStyle name="_DS_PC_LCD_By Region" xfId="0"/>
    <cellStyle name="_DS_PC_LCD_CORP SG&amp;A" xfId="0"/>
    <cellStyle name="_DS_PC_LCD_LCD" xfId="0"/>
    <cellStyle name="_DS_PC_LCD_PJ" xfId="0"/>
    <cellStyle name="_DS_PC_lightling" xfId="0"/>
    <cellStyle name="_DS_PC_lightling 2" xfId="0"/>
    <cellStyle name="_DS_PC_lightling 3" xfId="0"/>
    <cellStyle name="_DS_PC_lightling_By Region" xfId="0"/>
    <cellStyle name="_DS_PC_PC Products" xfId="0"/>
    <cellStyle name="_DS_PC_PC Products 2" xfId="0"/>
    <cellStyle name="_DS_PC_PC Products 3" xfId="0"/>
    <cellStyle name="_DS_PC_PC Products 4" xfId="0"/>
    <cellStyle name="_DS_PC_PC Products 4 2" xfId="0"/>
    <cellStyle name="_DS_PC_PC Products_By Region" xfId="0"/>
    <cellStyle name="_DS_PC_PC Products_CORP SG&amp;A" xfId="0"/>
    <cellStyle name="_DS_PC_PC Products_LCD" xfId="0"/>
    <cellStyle name="_DS_PC_PC Products_PJ" xfId="0"/>
    <cellStyle name="_DS_PC_TV" xfId="0"/>
    <cellStyle name="_DS_PC_TV 2" xfId="0"/>
    <cellStyle name="_DS_PC_TV 3" xfId="0"/>
    <cellStyle name="_DS_PC_TV 4" xfId="0"/>
    <cellStyle name="_DS_PC_TV_By Region" xfId="0"/>
    <cellStyle name="_DS_PC_TV_CORP SG&amp;A" xfId="0"/>
    <cellStyle name="_DS_PC_TV_Digitizer" xfId="0"/>
    <cellStyle name="_DS_PC_TV_GPS OTHER" xfId="0"/>
    <cellStyle name="_DS_PC_TV_GPS OTHER 2" xfId="0"/>
    <cellStyle name="_DS_PC_TV_GPS OTHER 3" xfId="0"/>
    <cellStyle name="_DS_PC_TV_GPS OTHER 4" xfId="0"/>
    <cellStyle name="_DS_PC_TV_GPS OTHER 4 2" xfId="0"/>
    <cellStyle name="_DS_PC_TV_GPS OTHER_By Region" xfId="0"/>
    <cellStyle name="_DS_PC_TV_GPS OTHER_CORP SG&amp;A" xfId="0"/>
    <cellStyle name="_DS_PC_TV_GPS OTHER_LCD" xfId="0"/>
    <cellStyle name="_DS_PC_TV_GPS OTHER_PJ" xfId="0"/>
    <cellStyle name="_DS_PC_TV_LCD" xfId="0"/>
    <cellStyle name="_DS_PC_TV_LCD 2" xfId="0"/>
    <cellStyle name="_DS_PC_TV_LCD 3" xfId="0"/>
    <cellStyle name="_DS_PC_TV_LCD 4" xfId="0"/>
    <cellStyle name="_DS_PC_TV_LCD_By Region" xfId="0"/>
    <cellStyle name="_DS_PC_TV_LCD_CORP SG&amp;A" xfId="0"/>
    <cellStyle name="_DS_PC_TV_LCD_LCD" xfId="0"/>
    <cellStyle name="_DS_PC_TV_LCD_PJ" xfId="0"/>
    <cellStyle name="_DS_PC_TV_lightling" xfId="0"/>
    <cellStyle name="_DS_PC_TV_lightling 2" xfId="0"/>
    <cellStyle name="_DS_PC_TV_lightling 3" xfId="0"/>
    <cellStyle name="_DS_PC_TV_lightling_By Region" xfId="0"/>
    <cellStyle name="_DS_PC_TV_PC Products" xfId="0"/>
    <cellStyle name="_DS_PC_TV_PC Products 2" xfId="0"/>
    <cellStyle name="_DS_PC_TV_PC Products 3" xfId="0"/>
    <cellStyle name="_DS_PC_TV_PC Products 4" xfId="0"/>
    <cellStyle name="_DS_PC_TV_PC Products 4 2" xfId="0"/>
    <cellStyle name="_DS_PC_TV_PC Products_By Region" xfId="0"/>
    <cellStyle name="_DS_PC_TV_PC Products_CORP SG&amp;A" xfId="0"/>
    <cellStyle name="_DS_PC_TV_PC Products_LCD" xfId="0"/>
    <cellStyle name="_DS_PC_TV_PC Products_PJ" xfId="0"/>
    <cellStyle name="_DS_PC_TV_VSA 111014" xfId="0"/>
    <cellStyle name="_DS_PC_TV_VSA 111014 2" xfId="0"/>
    <cellStyle name="_DS_PC_TV_VSA 111014 3" xfId="0"/>
    <cellStyle name="_DS_PC_TV_VSA 111014 4" xfId="0"/>
    <cellStyle name="_DS_PC_TV_VSA 111014 4 2" xfId="0"/>
    <cellStyle name="_DS_PC_TV_VSA 111014_By Region" xfId="0"/>
    <cellStyle name="_DS_PC_TV_VSA 111014_CORP SG&amp;A" xfId="0"/>
    <cellStyle name="_DS_PC_TV_VSA 111014_LCD" xfId="0"/>
    <cellStyle name="_DS_PC_TV_VSA 111014_PJ" xfId="0"/>
    <cellStyle name="_DS_PC_TV_VSA Roll-Up (LW)" xfId="0"/>
    <cellStyle name="_DS_PC_TV_VSA Roll-Up (LW) 2" xfId="0"/>
    <cellStyle name="_DS_PC_TV_VSA Roll-Up (LW) 3" xfId="0"/>
    <cellStyle name="_DS_PC_TV_VSA Roll-Up (LW) 4" xfId="0"/>
    <cellStyle name="_DS_PC_TV_VSA Roll-Up (LW) 4 2" xfId="0"/>
    <cellStyle name="_DS_PC_TV_VSA Roll-Up (LW)_By Region" xfId="0"/>
    <cellStyle name="_DS_PC_TV_VSA Roll-Up (LW)_CORP SG&amp;A" xfId="0"/>
    <cellStyle name="_DS_PC_TV_VSA Roll-Up (LW)_LCD" xfId="0"/>
    <cellStyle name="_DS_PC_TV_VSA Roll-Up (LW)_PJ" xfId="0"/>
    <cellStyle name="_DS_PC_VSA 111014" xfId="0"/>
    <cellStyle name="_DS_PC_VSA 111014 2" xfId="0"/>
    <cellStyle name="_DS_PC_VSA 111014 3" xfId="0"/>
    <cellStyle name="_DS_PC_VSA 111014 4" xfId="0"/>
    <cellStyle name="_DS_PC_VSA 111014 4 2" xfId="0"/>
    <cellStyle name="_DS_PC_VSA 111014_By Region" xfId="0"/>
    <cellStyle name="_DS_PC_VSA 111014_CORP SG&amp;A" xfId="0"/>
    <cellStyle name="_DS_PC_VSA 111014_LCD" xfId="0"/>
    <cellStyle name="_DS_PC_VSA 111014_PJ" xfId="0"/>
    <cellStyle name="_DS_PC_VSA Roll-Up (LW)" xfId="0"/>
    <cellStyle name="_DS_PC_VSA Roll-Up (LW) 2" xfId="0"/>
    <cellStyle name="_DS_PC_VSA Roll-Up (LW) 3" xfId="0"/>
    <cellStyle name="_DS_PC_VSA Roll-Up (LW) 4" xfId="0"/>
    <cellStyle name="_DS_PC_VSA Roll-Up (LW) 4 2" xfId="0"/>
    <cellStyle name="_DS_PC_VSA Roll-Up (LW)_By Region" xfId="0"/>
    <cellStyle name="_DS_PC_VSA Roll-Up (LW)_CORP SG&amp;A" xfId="0"/>
    <cellStyle name="_DS_PC_VSA Roll-Up (LW)_LCD" xfId="0"/>
    <cellStyle name="_DS_PC_VSA Roll-Up (LW)_PJ" xfId="0"/>
    <cellStyle name="_DS_PJ" xfId="0"/>
    <cellStyle name="_DS_PJ 2" xfId="0"/>
    <cellStyle name="_DS_PJ 3" xfId="0"/>
    <cellStyle name="_DS_PJ 4" xfId="0"/>
    <cellStyle name="_DS_PJ_By Region" xfId="0"/>
    <cellStyle name="_DS_PJ_CORP SG&amp;A" xfId="0"/>
    <cellStyle name="_DS_PJ_Digitizer" xfId="0"/>
    <cellStyle name="_DS_PJ_GPS OTHER" xfId="0"/>
    <cellStyle name="_DS_PJ_GPS OTHER 2" xfId="0"/>
    <cellStyle name="_DS_PJ_GPS OTHER 3" xfId="0"/>
    <cellStyle name="_DS_PJ_GPS OTHER 4" xfId="0"/>
    <cellStyle name="_DS_PJ_GPS OTHER 4 2" xfId="0"/>
    <cellStyle name="_DS_PJ_GPS OTHER_By Region" xfId="0"/>
    <cellStyle name="_DS_PJ_GPS OTHER_CORP SG&amp;A" xfId="0"/>
    <cellStyle name="_DS_PJ_GPS OTHER_LCD" xfId="0"/>
    <cellStyle name="_DS_PJ_GPS OTHER_PJ" xfId="0"/>
    <cellStyle name="_DS_PJ_LCD" xfId="0"/>
    <cellStyle name="_DS_PJ_LCD 2" xfId="0"/>
    <cellStyle name="_DS_PJ_LCD 3" xfId="0"/>
    <cellStyle name="_DS_PJ_LCD 4" xfId="0"/>
    <cellStyle name="_DS_PJ_LCD_By Region" xfId="0"/>
    <cellStyle name="_DS_PJ_LCD_CORP SG&amp;A" xfId="0"/>
    <cellStyle name="_DS_PJ_LCD_LCD" xfId="0"/>
    <cellStyle name="_DS_PJ_LCD_PJ" xfId="0"/>
    <cellStyle name="_DS_PJ_lightling" xfId="0"/>
    <cellStyle name="_DS_PJ_lightling 2" xfId="0"/>
    <cellStyle name="_DS_PJ_lightling 3" xfId="0"/>
    <cellStyle name="_DS_PJ_lightling_By Region" xfId="0"/>
    <cellStyle name="_DS_PJ_PC Products" xfId="0"/>
    <cellStyle name="_DS_PJ_PC Products 2" xfId="0"/>
    <cellStyle name="_DS_PJ_PC Products 3" xfId="0"/>
    <cellStyle name="_DS_PJ_PC Products 4" xfId="0"/>
    <cellStyle name="_DS_PJ_PC Products 4 2" xfId="0"/>
    <cellStyle name="_DS_PJ_PC Products_By Region" xfId="0"/>
    <cellStyle name="_DS_PJ_PC Products_CORP SG&amp;A" xfId="0"/>
    <cellStyle name="_DS_PJ_PC Products_LCD" xfId="0"/>
    <cellStyle name="_DS_PJ_PC Products_PJ" xfId="0"/>
    <cellStyle name="_DS_PJ_VSA 111014" xfId="0"/>
    <cellStyle name="_DS_PJ_VSA 111014 2" xfId="0"/>
    <cellStyle name="_DS_PJ_VSA 111014 3" xfId="0"/>
    <cellStyle name="_DS_PJ_VSA 111014 4" xfId="0"/>
    <cellStyle name="_DS_PJ_VSA 111014 4 2" xfId="0"/>
    <cellStyle name="_DS_PJ_VSA 111014_By Region" xfId="0"/>
    <cellStyle name="_DS_PJ_VSA 111014_CORP SG&amp;A" xfId="0"/>
    <cellStyle name="_DS_PJ_VSA 111014_LCD" xfId="0"/>
    <cellStyle name="_DS_PJ_VSA 111014_PJ" xfId="0"/>
    <cellStyle name="_DS_PJ_VSA Roll-Up (LW)" xfId="0"/>
    <cellStyle name="_DS_PJ_VSA Roll-Up (LW) 2" xfId="0"/>
    <cellStyle name="_DS_PJ_VSA Roll-Up (LW) 3" xfId="0"/>
    <cellStyle name="_DS_PJ_VSA Roll-Up (LW) 4" xfId="0"/>
    <cellStyle name="_DS_PJ_VSA Roll-Up (LW) 4 2" xfId="0"/>
    <cellStyle name="_DS_PJ_VSA Roll-Up (LW)_By Region" xfId="0"/>
    <cellStyle name="_DS_PJ_VSA Roll-Up (LW)_CORP SG&amp;A" xfId="0"/>
    <cellStyle name="_DS_PJ_VSA Roll-Up (LW)_LCD" xfId="0"/>
    <cellStyle name="_DS_PJ_VSA Roll-Up (LW)_PJ" xfId="0"/>
    <cellStyle name="_DS_PMP(VPD)" xfId="0"/>
    <cellStyle name="_DS_PMP(VPD) 2" xfId="0"/>
    <cellStyle name="_DS_PMP(VPD) 3" xfId="0"/>
    <cellStyle name="_DS_PMP(VPD) 4" xfId="0"/>
    <cellStyle name="_DS_PMP(VPD)_By Region" xfId="0"/>
    <cellStyle name="_DS_PMP(VPD)_CORP SG&amp;A" xfId="0"/>
    <cellStyle name="_DS_PMP(VPD)_Digitizer" xfId="0"/>
    <cellStyle name="_DS_PMP(VPD)_GPS OTHER" xfId="0"/>
    <cellStyle name="_DS_PMP(VPD)_GPS OTHER 2" xfId="0"/>
    <cellStyle name="_DS_PMP(VPD)_GPS OTHER 3" xfId="0"/>
    <cellStyle name="_DS_PMP(VPD)_GPS OTHER 4" xfId="0"/>
    <cellStyle name="_DS_PMP(VPD)_GPS OTHER 4 2" xfId="0"/>
    <cellStyle name="_DS_PMP(VPD)_GPS OTHER_By Region" xfId="0"/>
    <cellStyle name="_DS_PMP(VPD)_GPS OTHER_CORP SG&amp;A" xfId="0"/>
    <cellStyle name="_DS_PMP(VPD)_GPS OTHER_LCD" xfId="0"/>
    <cellStyle name="_DS_PMP(VPD)_GPS OTHER_PJ" xfId="0"/>
    <cellStyle name="_DS_PMP(VPD)_LCD" xfId="0"/>
    <cellStyle name="_DS_PMP(VPD)_LCD 2" xfId="0"/>
    <cellStyle name="_DS_PMP(VPD)_LCD 3" xfId="0"/>
    <cellStyle name="_DS_PMP(VPD)_LCD 4" xfId="0"/>
    <cellStyle name="_DS_PMP(VPD)_LCD_By Region" xfId="0"/>
    <cellStyle name="_DS_PMP(VPD)_LCD_CORP SG&amp;A" xfId="0"/>
    <cellStyle name="_DS_PMP(VPD)_LCD_LCD" xfId="0"/>
    <cellStyle name="_DS_PMP(VPD)_LCD_PJ" xfId="0"/>
    <cellStyle name="_DS_PMP(VPD)_lightling" xfId="0"/>
    <cellStyle name="_DS_PMP(VPD)_lightling 2" xfId="0"/>
    <cellStyle name="_DS_PMP(VPD)_lightling 3" xfId="0"/>
    <cellStyle name="_DS_PMP(VPD)_lightling_By Region" xfId="0"/>
    <cellStyle name="_DS_PMP(VPD)_PC Products" xfId="0"/>
    <cellStyle name="_DS_PMP(VPD)_PC Products 2" xfId="0"/>
    <cellStyle name="_DS_PMP(VPD)_PC Products 3" xfId="0"/>
    <cellStyle name="_DS_PMP(VPD)_PC Products 4" xfId="0"/>
    <cellStyle name="_DS_PMP(VPD)_PC Products 4 2" xfId="0"/>
    <cellStyle name="_DS_PMP(VPD)_PC Products_By Region" xfId="0"/>
    <cellStyle name="_DS_PMP(VPD)_PC Products_CORP SG&amp;A" xfId="0"/>
    <cellStyle name="_DS_PMP(VPD)_PC Products_LCD" xfId="0"/>
    <cellStyle name="_DS_PMP(VPD)_PC Products_PJ" xfId="0"/>
    <cellStyle name="_DS_PMP(VPD)_VSA 111014" xfId="0"/>
    <cellStyle name="_DS_PMP(VPD)_VSA 111014 2" xfId="0"/>
    <cellStyle name="_DS_PMP(VPD)_VSA 111014 3" xfId="0"/>
    <cellStyle name="_DS_PMP(VPD)_VSA 111014 4" xfId="0"/>
    <cellStyle name="_DS_PMP(VPD)_VSA 111014 4 2" xfId="0"/>
    <cellStyle name="_DS_PMP(VPD)_VSA 111014_By Region" xfId="0"/>
    <cellStyle name="_DS_PMP(VPD)_VSA 111014_CORP SG&amp;A" xfId="0"/>
    <cellStyle name="_DS_PMP(VPD)_VSA 111014_LCD" xfId="0"/>
    <cellStyle name="_DS_PMP(VPD)_VSA 111014_PJ" xfId="0"/>
    <cellStyle name="_DS_PMP(VPD)_VSA Roll-Up (LW)" xfId="0"/>
    <cellStyle name="_DS_PMP(VPD)_VSA Roll-Up (LW) 2" xfId="0"/>
    <cellStyle name="_DS_PMP(VPD)_VSA Roll-Up (LW) 3" xfId="0"/>
    <cellStyle name="_DS_PMP(VPD)_VSA Roll-Up (LW) 4" xfId="0"/>
    <cellStyle name="_DS_PMP(VPD)_VSA Roll-Up (LW) 4 2" xfId="0"/>
    <cellStyle name="_DS_PMP(VPD)_VSA Roll-Up (LW)_By Region" xfId="0"/>
    <cellStyle name="_DS_PMP(VPD)_VSA Roll-Up (LW)_CORP SG&amp;A" xfId="0"/>
    <cellStyle name="_DS_PMP(VPD)_VSA Roll-Up (LW)_LCD" xfId="0"/>
    <cellStyle name="_DS_PMP(VPD)_VSA Roll-Up (LW)_PJ" xfId="0"/>
    <cellStyle name="_DS_Pocket TV" xfId="0"/>
    <cellStyle name="_DS_Pocket TV 2" xfId="0"/>
    <cellStyle name="_DS_Pocket TV 3" xfId="0"/>
    <cellStyle name="_DS_Pocket TV 4" xfId="0"/>
    <cellStyle name="_DS_Pocket TV_By Region" xfId="0"/>
    <cellStyle name="_DS_Pocket TV_CORP SG&amp;A" xfId="0"/>
    <cellStyle name="_DS_Pocket TV_Digitizer" xfId="0"/>
    <cellStyle name="_DS_Pocket TV_GPS OTHER" xfId="0"/>
    <cellStyle name="_DS_Pocket TV_GPS OTHER 2" xfId="0"/>
    <cellStyle name="_DS_Pocket TV_GPS OTHER 3" xfId="0"/>
    <cellStyle name="_DS_Pocket TV_GPS OTHER 4" xfId="0"/>
    <cellStyle name="_DS_Pocket TV_GPS OTHER 4 2" xfId="0"/>
    <cellStyle name="_DS_Pocket TV_GPS OTHER_By Region" xfId="0"/>
    <cellStyle name="_DS_Pocket TV_GPS OTHER_CORP SG&amp;A" xfId="0"/>
    <cellStyle name="_DS_Pocket TV_GPS OTHER_LCD" xfId="0"/>
    <cellStyle name="_DS_Pocket TV_GPS OTHER_PJ" xfId="0"/>
    <cellStyle name="_DS_Pocket TV_LCD" xfId="0"/>
    <cellStyle name="_DS_Pocket TV_LCD 2" xfId="0"/>
    <cellStyle name="_DS_Pocket TV_LCD 3" xfId="0"/>
    <cellStyle name="_DS_Pocket TV_LCD 4" xfId="0"/>
    <cellStyle name="_DS_Pocket TV_LCD_By Region" xfId="0"/>
    <cellStyle name="_DS_Pocket TV_LCD_CORP SG&amp;A" xfId="0"/>
    <cellStyle name="_DS_Pocket TV_LCD_LCD" xfId="0"/>
    <cellStyle name="_DS_Pocket TV_LCD_PJ" xfId="0"/>
    <cellStyle name="_DS_Pocket TV_lightling" xfId="0"/>
    <cellStyle name="_DS_Pocket TV_lightling 2" xfId="0"/>
    <cellStyle name="_DS_Pocket TV_lightling 3" xfId="0"/>
    <cellStyle name="_DS_Pocket TV_lightling_By Region" xfId="0"/>
    <cellStyle name="_DS_Pocket TV_PC Products" xfId="0"/>
    <cellStyle name="_DS_Pocket TV_PC Products 2" xfId="0"/>
    <cellStyle name="_DS_Pocket TV_PC Products 3" xfId="0"/>
    <cellStyle name="_DS_Pocket TV_PC Products 4" xfId="0"/>
    <cellStyle name="_DS_Pocket TV_PC Products 4 2" xfId="0"/>
    <cellStyle name="_DS_Pocket TV_PC Products_By Region" xfId="0"/>
    <cellStyle name="_DS_Pocket TV_PC Products_CORP SG&amp;A" xfId="0"/>
    <cellStyle name="_DS_Pocket TV_PC Products_LCD" xfId="0"/>
    <cellStyle name="_DS_Pocket TV_PC Products_PJ" xfId="0"/>
    <cellStyle name="_DS_Pocket TV_VSA 111014" xfId="0"/>
    <cellStyle name="_DS_Pocket TV_VSA 111014 2" xfId="0"/>
    <cellStyle name="_DS_Pocket TV_VSA 111014 3" xfId="0"/>
    <cellStyle name="_DS_Pocket TV_VSA 111014 4" xfId="0"/>
    <cellStyle name="_DS_Pocket TV_VSA 111014 4 2" xfId="0"/>
    <cellStyle name="_DS_Pocket TV_VSA 111014_By Region" xfId="0"/>
    <cellStyle name="_DS_Pocket TV_VSA 111014_CORP SG&amp;A" xfId="0"/>
    <cellStyle name="_DS_Pocket TV_VSA 111014_LCD" xfId="0"/>
    <cellStyle name="_DS_Pocket TV_VSA 111014_PJ" xfId="0"/>
    <cellStyle name="_DS_Pocket TV_VSA Roll-Up (LW)" xfId="0"/>
    <cellStyle name="_DS_Pocket TV_VSA Roll-Up (LW) 2" xfId="0"/>
    <cellStyle name="_DS_Pocket TV_VSA Roll-Up (LW) 3" xfId="0"/>
    <cellStyle name="_DS_Pocket TV_VSA Roll-Up (LW) 4" xfId="0"/>
    <cellStyle name="_DS_Pocket TV_VSA Roll-Up (LW) 4 2" xfId="0"/>
    <cellStyle name="_DS_Pocket TV_VSA Roll-Up (LW)_By Region" xfId="0"/>
    <cellStyle name="_DS_Pocket TV_VSA Roll-Up (LW)_CORP SG&amp;A" xfId="0"/>
    <cellStyle name="_DS_Pocket TV_VSA Roll-Up (LW)_LCD" xfId="0"/>
    <cellStyle name="_DS_Pocket TV_VSA Roll-Up (LW)_PJ" xfId="0"/>
    <cellStyle name="_DS_Pocket_TV" xfId="0"/>
    <cellStyle name="_DS_Pocket_TV 2" xfId="0"/>
    <cellStyle name="_DS_Pocket_TV 3" xfId="0"/>
    <cellStyle name="_DS_Pocket_TV 4" xfId="0"/>
    <cellStyle name="_DS_Pocket_TV_By Region" xfId="0"/>
    <cellStyle name="_DS_Pocket_TV_CORP SG&amp;A" xfId="0"/>
    <cellStyle name="_DS_Pocket_TV_Digitizer" xfId="0"/>
    <cellStyle name="_DS_Pocket_TV_GPS OTHER" xfId="0"/>
    <cellStyle name="_DS_Pocket_TV_GPS OTHER 2" xfId="0"/>
    <cellStyle name="_DS_Pocket_TV_GPS OTHER 3" xfId="0"/>
    <cellStyle name="_DS_Pocket_TV_GPS OTHER 4" xfId="0"/>
    <cellStyle name="_DS_Pocket_TV_GPS OTHER 4 2" xfId="0"/>
    <cellStyle name="_DS_Pocket_TV_GPS OTHER_By Region" xfId="0"/>
    <cellStyle name="_DS_Pocket_TV_GPS OTHER_CORP SG&amp;A" xfId="0"/>
    <cellStyle name="_DS_Pocket_TV_GPS OTHER_LCD" xfId="0"/>
    <cellStyle name="_DS_Pocket_TV_GPS OTHER_PJ" xfId="0"/>
    <cellStyle name="_DS_Pocket_TV_LCD" xfId="0"/>
    <cellStyle name="_DS_Pocket_TV_LCD 2" xfId="0"/>
    <cellStyle name="_DS_Pocket_TV_LCD 3" xfId="0"/>
    <cellStyle name="_DS_Pocket_TV_LCD 4" xfId="0"/>
    <cellStyle name="_DS_Pocket_TV_LCD_By Region" xfId="0"/>
    <cellStyle name="_DS_Pocket_TV_LCD_CORP SG&amp;A" xfId="0"/>
    <cellStyle name="_DS_Pocket_TV_LCD_LCD" xfId="0"/>
    <cellStyle name="_DS_Pocket_TV_LCD_PJ" xfId="0"/>
    <cellStyle name="_DS_Pocket_TV_lightling" xfId="0"/>
    <cellStyle name="_DS_Pocket_TV_lightling 2" xfId="0"/>
    <cellStyle name="_DS_Pocket_TV_lightling 3" xfId="0"/>
    <cellStyle name="_DS_Pocket_TV_lightling_By Region" xfId="0"/>
    <cellStyle name="_DS_Pocket_TV_PC Products" xfId="0"/>
    <cellStyle name="_DS_Pocket_TV_PC Products 2" xfId="0"/>
    <cellStyle name="_DS_Pocket_TV_PC Products 3" xfId="0"/>
    <cellStyle name="_DS_Pocket_TV_PC Products 4" xfId="0"/>
    <cellStyle name="_DS_Pocket_TV_PC Products 4 2" xfId="0"/>
    <cellStyle name="_DS_Pocket_TV_PC Products_By Region" xfId="0"/>
    <cellStyle name="_DS_Pocket_TV_PC Products_CORP SG&amp;A" xfId="0"/>
    <cellStyle name="_DS_Pocket_TV_PC Products_LCD" xfId="0"/>
    <cellStyle name="_DS_Pocket_TV_PC Products_PJ" xfId="0"/>
    <cellStyle name="_DS_Pocket_TV_VSA 111014" xfId="0"/>
    <cellStyle name="_DS_Pocket_TV_VSA 111014 2" xfId="0"/>
    <cellStyle name="_DS_Pocket_TV_VSA 111014 3" xfId="0"/>
    <cellStyle name="_DS_Pocket_TV_VSA 111014 4" xfId="0"/>
    <cellStyle name="_DS_Pocket_TV_VSA 111014 4 2" xfId="0"/>
    <cellStyle name="_DS_Pocket_TV_VSA 111014_By Region" xfId="0"/>
    <cellStyle name="_DS_Pocket_TV_VSA 111014_CORP SG&amp;A" xfId="0"/>
    <cellStyle name="_DS_Pocket_TV_VSA 111014_LCD" xfId="0"/>
    <cellStyle name="_DS_Pocket_TV_VSA 111014_PJ" xfId="0"/>
    <cellStyle name="_DS_Pocket_TV_VSA Roll-Up (LW)" xfId="0"/>
    <cellStyle name="_DS_Pocket_TV_VSA Roll-Up (LW) 2" xfId="0"/>
    <cellStyle name="_DS_Pocket_TV_VSA Roll-Up (LW) 3" xfId="0"/>
    <cellStyle name="_DS_Pocket_TV_VSA Roll-Up (LW) 4" xfId="0"/>
    <cellStyle name="_DS_Pocket_TV_VSA Roll-Up (LW) 4 2" xfId="0"/>
    <cellStyle name="_DS_Pocket_TV_VSA Roll-Up (LW)_By Region" xfId="0"/>
    <cellStyle name="_DS_Pocket_TV_VSA Roll-Up (LW)_CORP SG&amp;A" xfId="0"/>
    <cellStyle name="_DS_Pocket_TV_VSA Roll-Up (LW)_LCD" xfId="0"/>
    <cellStyle name="_DS_Pocket_TV_VSA Roll-Up (LW)_PJ" xfId="0"/>
    <cellStyle name="_DS_TV" xfId="0"/>
    <cellStyle name="_DS_TV 2" xfId="0"/>
    <cellStyle name="_DS_TV 3" xfId="0"/>
    <cellStyle name="_DS_TV 4" xfId="0"/>
    <cellStyle name="_DS_TV_By Region" xfId="0"/>
    <cellStyle name="_DS_TV_CORP SG&amp;A" xfId="0"/>
    <cellStyle name="_DS_TV_Digitizer" xfId="0"/>
    <cellStyle name="_DS_TV_GPS OTHER" xfId="0"/>
    <cellStyle name="_DS_TV_GPS OTHER 2" xfId="0"/>
    <cellStyle name="_DS_TV_GPS OTHER 3" xfId="0"/>
    <cellStyle name="_DS_TV_GPS OTHER 4" xfId="0"/>
    <cellStyle name="_DS_TV_GPS OTHER 4 2" xfId="0"/>
    <cellStyle name="_DS_TV_GPS OTHER_By Region" xfId="0"/>
    <cellStyle name="_DS_TV_GPS OTHER_CORP SG&amp;A" xfId="0"/>
    <cellStyle name="_DS_TV_GPS OTHER_LCD" xfId="0"/>
    <cellStyle name="_DS_TV_GPS OTHER_PJ" xfId="0"/>
    <cellStyle name="_DS_TV_LCD" xfId="0"/>
    <cellStyle name="_DS_TV_LCD 2" xfId="0"/>
    <cellStyle name="_DS_TV_LCD 3" xfId="0"/>
    <cellStyle name="_DS_TV_LCD 4" xfId="0"/>
    <cellStyle name="_DS_TV_LCD_By Region" xfId="0"/>
    <cellStyle name="_DS_TV_LCD_CORP SG&amp;A" xfId="0"/>
    <cellStyle name="_DS_TV_LCD_LCD" xfId="0"/>
    <cellStyle name="_DS_TV_LCD_PJ" xfId="0"/>
    <cellStyle name="_DS_TV_lightling" xfId="0"/>
    <cellStyle name="_DS_TV_lightling 2" xfId="0"/>
    <cellStyle name="_DS_TV_lightling 3" xfId="0"/>
    <cellStyle name="_DS_TV_lightling_By Region" xfId="0"/>
    <cellStyle name="_DS_TV_PC Products" xfId="0"/>
    <cellStyle name="_DS_TV_PC Products 2" xfId="0"/>
    <cellStyle name="_DS_TV_PC Products 3" xfId="0"/>
    <cellStyle name="_DS_TV_PC Products 4" xfId="0"/>
    <cellStyle name="_DS_TV_PC Products 4 2" xfId="0"/>
    <cellStyle name="_DS_TV_PC Products_By Region" xfId="0"/>
    <cellStyle name="_DS_TV_PC Products_CORP SG&amp;A" xfId="0"/>
    <cellStyle name="_DS_TV_PC Products_LCD" xfId="0"/>
    <cellStyle name="_DS_TV_PC Products_PJ" xfId="0"/>
    <cellStyle name="_DS_TV_VSA 111014" xfId="0"/>
    <cellStyle name="_DS_TV_VSA 111014 2" xfId="0"/>
    <cellStyle name="_DS_TV_VSA 111014 3" xfId="0"/>
    <cellStyle name="_DS_TV_VSA 111014 4" xfId="0"/>
    <cellStyle name="_DS_TV_VSA 111014 4 2" xfId="0"/>
    <cellStyle name="_DS_TV_VSA 111014_By Region" xfId="0"/>
    <cellStyle name="_DS_TV_VSA 111014_CORP SG&amp;A" xfId="0"/>
    <cellStyle name="_DS_TV_VSA 111014_LCD" xfId="0"/>
    <cellStyle name="_DS_TV_VSA 111014_PJ" xfId="0"/>
    <cellStyle name="_DS_TV_VSA Roll-Up (LW)" xfId="0"/>
    <cellStyle name="_DS_TV_VSA Roll-Up (LW) 2" xfId="0"/>
    <cellStyle name="_DS_TV_VSA Roll-Up (LW) 3" xfId="0"/>
    <cellStyle name="_DS_TV_VSA Roll-Up (LW) 4" xfId="0"/>
    <cellStyle name="_DS_TV_VSA Roll-Up (LW) 4 2" xfId="0"/>
    <cellStyle name="_DS_TV_VSA Roll-Up (LW)_By Region" xfId="0"/>
    <cellStyle name="_DS_TV_VSA Roll-Up (LW)_CORP SG&amp;A" xfId="0"/>
    <cellStyle name="_DS_TV_VSA Roll-Up (LW)_LCD" xfId="0"/>
    <cellStyle name="_DS_TV_VSA Roll-Up (LW)_PJ" xfId="0"/>
    <cellStyle name="_DS_VD" xfId="0"/>
    <cellStyle name="_DS_VD 2" xfId="0"/>
    <cellStyle name="_DS_VD 3" xfId="0"/>
    <cellStyle name="_DS_VD 4" xfId="0"/>
    <cellStyle name="_DS_VD_By Region" xfId="0"/>
    <cellStyle name="_DS_VD_CORP SG&amp;A" xfId="0"/>
    <cellStyle name="_DS_VD_Digitizer" xfId="0"/>
    <cellStyle name="_DS_VD_GPS OTHER" xfId="0"/>
    <cellStyle name="_DS_VD_GPS OTHER 2" xfId="0"/>
    <cellStyle name="_DS_VD_GPS OTHER 3" xfId="0"/>
    <cellStyle name="_DS_VD_GPS OTHER 4" xfId="0"/>
    <cellStyle name="_DS_VD_GPS OTHER 4 2" xfId="0"/>
    <cellStyle name="_DS_VD_GPS OTHER_By Region" xfId="0"/>
    <cellStyle name="_DS_VD_GPS OTHER_CORP SG&amp;A" xfId="0"/>
    <cellStyle name="_DS_VD_GPS OTHER_LCD" xfId="0"/>
    <cellStyle name="_DS_VD_GPS OTHER_PJ" xfId="0"/>
    <cellStyle name="_DS_VD_LCD" xfId="0"/>
    <cellStyle name="_DS_VD_LCD 2" xfId="0"/>
    <cellStyle name="_DS_VD_LCD 3" xfId="0"/>
    <cellStyle name="_DS_VD_LCD 4" xfId="0"/>
    <cellStyle name="_DS_VD_LCD_By Region" xfId="0"/>
    <cellStyle name="_DS_VD_LCD_CORP SG&amp;A" xfId="0"/>
    <cellStyle name="_DS_VD_LCD_LCD" xfId="0"/>
    <cellStyle name="_DS_VD_LCD_PJ" xfId="0"/>
    <cellStyle name="_DS_VD_lightling" xfId="0"/>
    <cellStyle name="_DS_VD_lightling 2" xfId="0"/>
    <cellStyle name="_DS_VD_lightling 3" xfId="0"/>
    <cellStyle name="_DS_VD_lightling_By Region" xfId="0"/>
    <cellStyle name="_DS_VD_PC Products" xfId="0"/>
    <cellStyle name="_DS_VD_PC Products 2" xfId="0"/>
    <cellStyle name="_DS_VD_PC Products 3" xfId="0"/>
    <cellStyle name="_DS_VD_PC Products 4" xfId="0"/>
    <cellStyle name="_DS_VD_PC Products 4 2" xfId="0"/>
    <cellStyle name="_DS_VD_PC Products_By Region" xfId="0"/>
    <cellStyle name="_DS_VD_PC Products_CORP SG&amp;A" xfId="0"/>
    <cellStyle name="_DS_VD_PC Products_LCD" xfId="0"/>
    <cellStyle name="_DS_VD_PC Products_PJ" xfId="0"/>
    <cellStyle name="_DS_VD_VSA 111014" xfId="0"/>
    <cellStyle name="_DS_VD_VSA 111014 2" xfId="0"/>
    <cellStyle name="_DS_VD_VSA 111014 3" xfId="0"/>
    <cellStyle name="_DS_VD_VSA 111014 4" xfId="0"/>
    <cellStyle name="_DS_VD_VSA 111014 4 2" xfId="0"/>
    <cellStyle name="_DS_VD_VSA 111014_By Region" xfId="0"/>
    <cellStyle name="_DS_VD_VSA 111014_CORP SG&amp;A" xfId="0"/>
    <cellStyle name="_DS_VD_VSA 111014_LCD" xfId="0"/>
    <cellStyle name="_DS_VD_VSA 111014_PJ" xfId="0"/>
    <cellStyle name="_DS_VD_VSA Roll-Up (LW)" xfId="0"/>
    <cellStyle name="_DS_VD_VSA Roll-Up (LW) 2" xfId="0"/>
    <cellStyle name="_DS_VD_VSA Roll-Up (LW) 3" xfId="0"/>
    <cellStyle name="_DS_VD_VSA Roll-Up (LW) 4" xfId="0"/>
    <cellStyle name="_DS_VD_VSA Roll-Up (LW) 4 2" xfId="0"/>
    <cellStyle name="_DS_VD_VSA Roll-Up (LW)_By Region" xfId="0"/>
    <cellStyle name="_DS_VD_VSA Roll-Up (LW)_CORP SG&amp;A" xfId="0"/>
    <cellStyle name="_DS_VD_VSA Roll-Up (LW)_LCD" xfId="0"/>
    <cellStyle name="_DS_VD_VSA Roll-Up (LW)_PJ" xfId="0"/>
    <cellStyle name="_DS_VSA 111014" xfId="0"/>
    <cellStyle name="_DS_VSA 111014 2" xfId="0"/>
    <cellStyle name="_DS_VSA 111014 3" xfId="0"/>
    <cellStyle name="_DS_VSA 111014 4" xfId="0"/>
    <cellStyle name="_DS_VSA 111014 4 2" xfId="0"/>
    <cellStyle name="_DS_VSA 111014_By Region" xfId="0"/>
    <cellStyle name="_DS_VSA 111014_CORP SG&amp;A" xfId="0"/>
    <cellStyle name="_DS_VSA 111014_LCD" xfId="0"/>
    <cellStyle name="_DS_VSA 111014_PJ" xfId="0"/>
    <cellStyle name="_DS_VSA Roll-Up (LW)" xfId="0"/>
    <cellStyle name="_DS_VSA Roll-Up (LW) 2" xfId="0"/>
    <cellStyle name="_DS_VSA Roll-Up (LW) 3" xfId="0"/>
    <cellStyle name="_DS_VSA Roll-Up (LW) 4" xfId="0"/>
    <cellStyle name="_DS_VSA Roll-Up (LW) 4 2" xfId="0"/>
    <cellStyle name="_DS_VSA Roll-Up (LW)_By Region" xfId="0"/>
    <cellStyle name="_DS_VSA Roll-Up (LW)_CORP SG&amp;A" xfId="0"/>
    <cellStyle name="_DS_VSA Roll-Up (LW)_LCD" xfId="0"/>
    <cellStyle name="_DS_VSA Roll-Up (LW)_PJ" xfId="0"/>
    <cellStyle name="_DS_VSE 2011 Budget" xfId="0"/>
    <cellStyle name="_DS_VSE 2011 Budget 2" xfId="0"/>
    <cellStyle name="_DS_VSE 2011 Budget 3" xfId="0"/>
    <cellStyle name="_DS_VSE 2011 Budget 4" xfId="0"/>
    <cellStyle name="_DS_VSE 2011 Budget_By Region" xfId="0"/>
    <cellStyle name="_DS_VSE 2011 Budget_CORP SG&amp;A" xfId="0"/>
    <cellStyle name="_DS_VSE 2011 Budget_Digitizer" xfId="0"/>
    <cellStyle name="_DS_VSE 2011 Budget_GPS OTHER" xfId="0"/>
    <cellStyle name="_DS_VSE 2011 Budget_GPS OTHER 2" xfId="0"/>
    <cellStyle name="_DS_VSE 2011 Budget_GPS OTHER 3" xfId="0"/>
    <cellStyle name="_DS_VSE 2011 Budget_GPS OTHER 4" xfId="0"/>
    <cellStyle name="_DS_VSE 2011 Budget_GPS OTHER 4 2" xfId="0"/>
    <cellStyle name="_DS_VSE 2011 Budget_GPS OTHER_By Region" xfId="0"/>
    <cellStyle name="_DS_VSE 2011 Budget_GPS OTHER_CORP SG&amp;A" xfId="0"/>
    <cellStyle name="_DS_VSE 2011 Budget_GPS OTHER_LCD" xfId="0"/>
    <cellStyle name="_DS_VSE 2011 Budget_GPS OTHER_PJ" xfId="0"/>
    <cellStyle name="_DS_VSE 2011 Budget_LCD" xfId="0"/>
    <cellStyle name="_DS_VSE 2011 Budget_LCD 2" xfId="0"/>
    <cellStyle name="_DS_VSE 2011 Budget_LCD 3" xfId="0"/>
    <cellStyle name="_DS_VSE 2011 Budget_LCD 4" xfId="0"/>
    <cellStyle name="_DS_VSE 2011 Budget_LCD_By Region" xfId="0"/>
    <cellStyle name="_DS_VSE 2011 Budget_LCD_CORP SG&amp;A" xfId="0"/>
    <cellStyle name="_DS_VSE 2011 Budget_LCD_LCD" xfId="0"/>
    <cellStyle name="_DS_VSE 2011 Budget_LCD_PJ" xfId="0"/>
    <cellStyle name="_DS_VSE 2011 Budget_lightling" xfId="0"/>
    <cellStyle name="_DS_VSE 2011 Budget_lightling 2" xfId="0"/>
    <cellStyle name="_DS_VSE 2011 Budget_lightling 3" xfId="0"/>
    <cellStyle name="_DS_VSE 2011 Budget_lightling_By Region" xfId="0"/>
    <cellStyle name="_DS_VSE 2011 Budget_PC Products" xfId="0"/>
    <cellStyle name="_DS_VSE 2011 Budget_PC Products 2" xfId="0"/>
    <cellStyle name="_DS_VSE 2011 Budget_PC Products 3" xfId="0"/>
    <cellStyle name="_DS_VSE 2011 Budget_PC Products 4" xfId="0"/>
    <cellStyle name="_DS_VSE 2011 Budget_PC Products 4 2" xfId="0"/>
    <cellStyle name="_DS_VSE 2011 Budget_PC Products_By Region" xfId="0"/>
    <cellStyle name="_DS_VSE 2011 Budget_PC Products_CORP SG&amp;A" xfId="0"/>
    <cellStyle name="_DS_VSE 2011 Budget_PC Products_LCD" xfId="0"/>
    <cellStyle name="_DS_VSE 2011 Budget_PC Products_PJ" xfId="0"/>
    <cellStyle name="_DS_VSE 2011 Budget_VSA 111014" xfId="0"/>
    <cellStyle name="_DS_VSE 2011 Budget_VSA 111014 2" xfId="0"/>
    <cellStyle name="_DS_VSE 2011 Budget_VSA 111014 3" xfId="0"/>
    <cellStyle name="_DS_VSE 2011 Budget_VSA 111014 4" xfId="0"/>
    <cellStyle name="_DS_VSE 2011 Budget_VSA 111014 4 2" xfId="0"/>
    <cellStyle name="_DS_VSE 2011 Budget_VSA 111014_By Region" xfId="0"/>
    <cellStyle name="_DS_VSE 2011 Budget_VSA 111014_CORP SG&amp;A" xfId="0"/>
    <cellStyle name="_DS_VSE 2011 Budget_VSA 111014_LCD" xfId="0"/>
    <cellStyle name="_DS_VSE 2011 Budget_VSA 111014_PJ" xfId="0"/>
    <cellStyle name="_DS_VSE 2011 Budget_VSA Roll-Up (LW)" xfId="0"/>
    <cellStyle name="_DS_VSE 2011 Budget_VSA Roll-Up (LW) 2" xfId="0"/>
    <cellStyle name="_DS_VSE 2011 Budget_VSA Roll-Up (LW) 3" xfId="0"/>
    <cellStyle name="_DS_VSE 2011 Budget_VSA Roll-Up (LW) 4" xfId="0"/>
    <cellStyle name="_DS_VSE 2011 Budget_VSA Roll-Up (LW) 4 2" xfId="0"/>
    <cellStyle name="_DS_VSE 2011 Budget_VSA Roll-Up (LW)_By Region" xfId="0"/>
    <cellStyle name="_DS_VSE 2011 Budget_VSA Roll-Up (LW)_CORP SG&amp;A" xfId="0"/>
    <cellStyle name="_DS_VSE 2011 Budget_VSA Roll-Up (LW)_LCD" xfId="0"/>
    <cellStyle name="_DS_VSE 2011 Budget_VSA Roll-Up (LW)_PJ" xfId="0"/>
    <cellStyle name="_DS_VSE 2H  WFP review (Spring Global meeting)-conservative Adam working v3" xfId="0"/>
    <cellStyle name="_DS_VSE 2H  WFP review (Spring Global meeting)-conservative Adam working v3 2" xfId="0"/>
    <cellStyle name="_DS_VSE 2H  WFP review (Spring Global meeting)-conservative Adam working v3 3" xfId="0"/>
    <cellStyle name="_DS_VSE 2H Rebalance 110712" xfId="0"/>
    <cellStyle name="_DS_VSE 2H Rebalance 110712 2" xfId="0"/>
    <cellStyle name="_DS_VSE 2H Rebalance 110712 3" xfId="0"/>
    <cellStyle name="_DS_VSE 2H Rebalance 110712 4" xfId="0"/>
    <cellStyle name="_DS_VSE 2H Rebalance 110712_By Region" xfId="0"/>
    <cellStyle name="_DS_VSE 2H Rebalance 110712_CORP SG&amp;A" xfId="0"/>
    <cellStyle name="_DS_VSE WFP 101203" xfId="0"/>
    <cellStyle name="_DS_VSE WFP 101203 2" xfId="0"/>
    <cellStyle name="_DS_VSE WFP 101203 3" xfId="0"/>
    <cellStyle name="_DS_VSE WFP 101203 4" xfId="0"/>
    <cellStyle name="_DS_VSE WFP 101203_By Region" xfId="0"/>
    <cellStyle name="_DS_VSE WFP 101203_CORP SG&amp;A" xfId="0"/>
    <cellStyle name="_DS_VSE WFP 110311" xfId="0"/>
    <cellStyle name="_DS_VSE WFP 110311 2" xfId="0"/>
    <cellStyle name="_DS_VSE WFP 110311 3" xfId="0"/>
    <cellStyle name="_DS_VSE WFP 110311 4" xfId="0"/>
    <cellStyle name="_DS_VSE WFP 110311_By Region" xfId="0"/>
    <cellStyle name="_DS_VSE WFP 110311_CORP SG&amp;A" xfId="0"/>
    <cellStyle name="_DS_VSE WFP 110415" xfId="0"/>
    <cellStyle name="_DS_VSE WFP 110415 2" xfId="0"/>
    <cellStyle name="_DS_VSE WFP 110415 3" xfId="0"/>
    <cellStyle name="_DS_VSE WFP 110415 4" xfId="0"/>
    <cellStyle name="_DS_VSE WFP 110415_By Region" xfId="0"/>
    <cellStyle name="_DS_VSE WFP 110415_CORP SG&amp;A" xfId="0"/>
    <cellStyle name="_DS_VSE WFP_100409" xfId="0"/>
    <cellStyle name="_DS_VSE WFP_100409 2" xfId="0"/>
    <cellStyle name="_DS_VSE WFP_100409 3" xfId="0"/>
    <cellStyle name="_DS_VSE WFP_100409 4" xfId="0"/>
    <cellStyle name="_DS_VSE WFP_100409_By Region" xfId="0"/>
    <cellStyle name="_DS_VSE WFP_100409_CORP SG&amp;A" xfId="0"/>
    <cellStyle name="_DS_VSE WFP_100409_Digitizer" xfId="0"/>
    <cellStyle name="_DS_VSE WFP_100409_GPS OTHER" xfId="0"/>
    <cellStyle name="_DS_VSE WFP_100409_GPS OTHER 2" xfId="0"/>
    <cellStyle name="_DS_VSE WFP_100409_GPS OTHER 3" xfId="0"/>
    <cellStyle name="_DS_VSE WFP_100409_GPS OTHER 4" xfId="0"/>
    <cellStyle name="_DS_VSE WFP_100409_GPS OTHER 4 2" xfId="0"/>
    <cellStyle name="_DS_VSE WFP_100409_GPS OTHER_By Region" xfId="0"/>
    <cellStyle name="_DS_VSE WFP_100409_GPS OTHER_CORP SG&amp;A" xfId="0"/>
    <cellStyle name="_DS_VSE WFP_100409_GPS OTHER_LCD" xfId="0"/>
    <cellStyle name="_DS_VSE WFP_100409_GPS OTHER_PJ" xfId="0"/>
    <cellStyle name="_DS_VSE WFP_100409_LCD" xfId="0"/>
    <cellStyle name="_DS_VSE WFP_100409_LCD 2" xfId="0"/>
    <cellStyle name="_DS_VSE WFP_100409_LCD 3" xfId="0"/>
    <cellStyle name="_DS_VSE WFP_100409_LCD 4" xfId="0"/>
    <cellStyle name="_DS_VSE WFP_100409_LCD_By Region" xfId="0"/>
    <cellStyle name="_DS_VSE WFP_100409_LCD_CORP SG&amp;A" xfId="0"/>
    <cellStyle name="_DS_VSE WFP_100409_LCD_LCD" xfId="0"/>
    <cellStyle name="_DS_VSE WFP_100409_LCD_PJ" xfId="0"/>
    <cellStyle name="_DS_VSE WFP_100409_lightling" xfId="0"/>
    <cellStyle name="_DS_VSE WFP_100409_lightling 2" xfId="0"/>
    <cellStyle name="_DS_VSE WFP_100409_lightling 3" xfId="0"/>
    <cellStyle name="_DS_VSE WFP_100409_lightling_By Region" xfId="0"/>
    <cellStyle name="_DS_VSE WFP_100409_PC Products" xfId="0"/>
    <cellStyle name="_DS_VSE WFP_100409_PC Products 2" xfId="0"/>
    <cellStyle name="_DS_VSE WFP_100409_PC Products 3" xfId="0"/>
    <cellStyle name="_DS_VSE WFP_100409_PC Products 4" xfId="0"/>
    <cellStyle name="_DS_VSE WFP_100409_PC Products 4 2" xfId="0"/>
    <cellStyle name="_DS_VSE WFP_100409_PC Products_By Region" xfId="0"/>
    <cellStyle name="_DS_VSE WFP_100409_PC Products_CORP SG&amp;A" xfId="0"/>
    <cellStyle name="_DS_VSE WFP_100409_PC Products_LCD" xfId="0"/>
    <cellStyle name="_DS_VSE WFP_100409_PC Products_PJ" xfId="0"/>
    <cellStyle name="_DS_VSE WFP_100409_VSA 111014" xfId="0"/>
    <cellStyle name="_DS_VSE WFP_100409_VSA 111014 2" xfId="0"/>
    <cellStyle name="_DS_VSE WFP_100409_VSA 111014 3" xfId="0"/>
    <cellStyle name="_DS_VSE WFP_100409_VSA 111014 4" xfId="0"/>
    <cellStyle name="_DS_VSE WFP_100409_VSA 111014 4 2" xfId="0"/>
    <cellStyle name="_DS_VSE WFP_100409_VSA 111014_By Region" xfId="0"/>
    <cellStyle name="_DS_VSE WFP_100409_VSA 111014_CORP SG&amp;A" xfId="0"/>
    <cellStyle name="_DS_VSE WFP_100409_VSA 111014_LCD" xfId="0"/>
    <cellStyle name="_DS_VSE WFP_100409_VSA 111014_PJ" xfId="0"/>
    <cellStyle name="_DS_VSE WFP_100409_VSA Roll-Up (LW)" xfId="0"/>
    <cellStyle name="_DS_VSE WFP_100409_VSA Roll-Up (LW) 2" xfId="0"/>
    <cellStyle name="_DS_VSE WFP_100409_VSA Roll-Up (LW) 3" xfId="0"/>
    <cellStyle name="_DS_VSE WFP_100409_VSA Roll-Up (LW) 4" xfId="0"/>
    <cellStyle name="_DS_VSE WFP_100409_VSA Roll-Up (LW) 4 2" xfId="0"/>
    <cellStyle name="_DS_VSE WFP_100409_VSA Roll-Up (LW)_By Region" xfId="0"/>
    <cellStyle name="_DS_VSE WFP_100409_VSA Roll-Up (LW)_CORP SG&amp;A" xfId="0"/>
    <cellStyle name="_DS_VSE WFP_100409_VSA Roll-Up (LW)_LCD" xfId="0"/>
    <cellStyle name="_DS_VSE WFP_100409_VSA Roll-Up (LW)_PJ" xfId="0"/>
    <cellStyle name="_DS_VSE WFP_100421 v2" xfId="0"/>
    <cellStyle name="_DS_VSE WFP_100421 v2 2" xfId="0"/>
    <cellStyle name="_DS_VSE WFP_100421 v2 3" xfId="0"/>
    <cellStyle name="_DS_VSE WFP_100421 v2 4" xfId="0"/>
    <cellStyle name="_DS_VSE WFP_100421 v2_By Region" xfId="0"/>
    <cellStyle name="_DS_VSE WFP_100421 v2_CORP SG&amp;A" xfId="0"/>
    <cellStyle name="_DS_VSE WFP_100421 v2_Digitizer" xfId="0"/>
    <cellStyle name="_DS_VSE WFP_100421 v2_GPS OTHER" xfId="0"/>
    <cellStyle name="_DS_VSE WFP_100421 v2_GPS OTHER 2" xfId="0"/>
    <cellStyle name="_DS_VSE WFP_100421 v2_GPS OTHER 3" xfId="0"/>
    <cellStyle name="_DS_VSE WFP_100421 v2_GPS OTHER 4" xfId="0"/>
    <cellStyle name="_DS_VSE WFP_100421 v2_GPS OTHER 4 2" xfId="0"/>
    <cellStyle name="_DS_VSE WFP_100421 v2_GPS OTHER_By Region" xfId="0"/>
    <cellStyle name="_DS_VSE WFP_100421 v2_GPS OTHER_CORP SG&amp;A" xfId="0"/>
    <cellStyle name="_DS_VSE WFP_100421 v2_GPS OTHER_LCD" xfId="0"/>
    <cellStyle name="_DS_VSE WFP_100421 v2_GPS OTHER_PJ" xfId="0"/>
    <cellStyle name="_DS_VSE WFP_100421 v2_LCD" xfId="0"/>
    <cellStyle name="_DS_VSE WFP_100421 v2_LCD 2" xfId="0"/>
    <cellStyle name="_DS_VSE WFP_100421 v2_LCD 3" xfId="0"/>
    <cellStyle name="_DS_VSE WFP_100421 v2_LCD 4" xfId="0"/>
    <cellStyle name="_DS_VSE WFP_100421 v2_LCD_By Region" xfId="0"/>
    <cellStyle name="_DS_VSE WFP_100421 v2_LCD_CORP SG&amp;A" xfId="0"/>
    <cellStyle name="_DS_VSE WFP_100421 v2_LCD_LCD" xfId="0"/>
    <cellStyle name="_DS_VSE WFP_100421 v2_LCD_PJ" xfId="0"/>
    <cellStyle name="_DS_VSE WFP_100421 v2_lightling" xfId="0"/>
    <cellStyle name="_DS_VSE WFP_100421 v2_lightling 2" xfId="0"/>
    <cellStyle name="_DS_VSE WFP_100421 v2_lightling 3" xfId="0"/>
    <cellStyle name="_DS_VSE WFP_100421 v2_lightling_By Region" xfId="0"/>
    <cellStyle name="_DS_VSE WFP_100421 v2_PC Products" xfId="0"/>
    <cellStyle name="_DS_VSE WFP_100421 v2_PC Products 2" xfId="0"/>
    <cellStyle name="_DS_VSE WFP_100421 v2_PC Products 3" xfId="0"/>
    <cellStyle name="_DS_VSE WFP_100421 v2_PC Products 4" xfId="0"/>
    <cellStyle name="_DS_VSE WFP_100421 v2_PC Products 4 2" xfId="0"/>
    <cellStyle name="_DS_VSE WFP_100421 v2_PC Products_By Region" xfId="0"/>
    <cellStyle name="_DS_VSE WFP_100421 v2_PC Products_CORP SG&amp;A" xfId="0"/>
    <cellStyle name="_DS_VSE WFP_100421 v2_PC Products_LCD" xfId="0"/>
    <cellStyle name="_DS_VSE WFP_100421 v2_PC Products_PJ" xfId="0"/>
    <cellStyle name="_DS_VSE WFP_100421 v2_VSA 111014" xfId="0"/>
    <cellStyle name="_DS_VSE WFP_100421 v2_VSA 111014 2" xfId="0"/>
    <cellStyle name="_DS_VSE WFP_100421 v2_VSA 111014 3" xfId="0"/>
    <cellStyle name="_DS_VSE WFP_100421 v2_VSA 111014 4" xfId="0"/>
    <cellStyle name="_DS_VSE WFP_100421 v2_VSA 111014 4 2" xfId="0"/>
    <cellStyle name="_DS_VSE WFP_100421 v2_VSA 111014_By Region" xfId="0"/>
    <cellStyle name="_DS_VSE WFP_100421 v2_VSA 111014_CORP SG&amp;A" xfId="0"/>
    <cellStyle name="_DS_VSE WFP_100421 v2_VSA 111014_LCD" xfId="0"/>
    <cellStyle name="_DS_VSE WFP_100421 v2_VSA 111014_PJ" xfId="0"/>
    <cellStyle name="_DS_VSE WFP_100421 v2_VSA Roll-Up (LW)" xfId="0"/>
    <cellStyle name="_DS_VSE WFP_100421 v2_VSA Roll-Up (LW) 2" xfId="0"/>
    <cellStyle name="_DS_VSE WFP_100421 v2_VSA Roll-Up (LW) 3" xfId="0"/>
    <cellStyle name="_DS_VSE WFP_100421 v2_VSA Roll-Up (LW) 4" xfId="0"/>
    <cellStyle name="_DS_VSE WFP_100421 v2_VSA Roll-Up (LW) 4 2" xfId="0"/>
    <cellStyle name="_DS_VSE WFP_100421 v2_VSA Roll-Up (LW)_By Region" xfId="0"/>
    <cellStyle name="_DS_VSE WFP_100421 v2_VSA Roll-Up (LW)_CORP SG&amp;A" xfId="0"/>
    <cellStyle name="_DS_VSE WFP_100421 v2_VSA Roll-Up (LW)_LCD" xfId="0"/>
    <cellStyle name="_DS_VSE WFP_100421 v2_VSA Roll-Up (LW)_PJ" xfId="0"/>
    <cellStyle name="_DS_VSE WFP_100507" xfId="0"/>
    <cellStyle name="_DS_VSE WFP_100507 2" xfId="0"/>
    <cellStyle name="_DS_VSE WFP_100507 3" xfId="0"/>
    <cellStyle name="_DS_VSE WFP_100507 4" xfId="0"/>
    <cellStyle name="_DS_VSE WFP_100507_By Region" xfId="0"/>
    <cellStyle name="_DS_VSE WFP_100507_CORP SG&amp;A" xfId="0"/>
    <cellStyle name="_DS_VSE WFP_100507_Digitizer" xfId="0"/>
    <cellStyle name="_DS_VSE WFP_100507_GPS OTHER" xfId="0"/>
    <cellStyle name="_DS_VSE WFP_100507_GPS OTHER 2" xfId="0"/>
    <cellStyle name="_DS_VSE WFP_100507_GPS OTHER 3" xfId="0"/>
    <cellStyle name="_DS_VSE WFP_100507_GPS OTHER 4" xfId="0"/>
    <cellStyle name="_DS_VSE WFP_100507_GPS OTHER 4 2" xfId="0"/>
    <cellStyle name="_DS_VSE WFP_100507_GPS OTHER_By Region" xfId="0"/>
    <cellStyle name="_DS_VSE WFP_100507_GPS OTHER_CORP SG&amp;A" xfId="0"/>
    <cellStyle name="_DS_VSE WFP_100507_GPS OTHER_LCD" xfId="0"/>
    <cellStyle name="_DS_VSE WFP_100507_GPS OTHER_PJ" xfId="0"/>
    <cellStyle name="_DS_VSE WFP_100507_LCD" xfId="0"/>
    <cellStyle name="_DS_VSE WFP_100507_LCD 2" xfId="0"/>
    <cellStyle name="_DS_VSE WFP_100507_LCD 3" xfId="0"/>
    <cellStyle name="_DS_VSE WFP_100507_LCD 4" xfId="0"/>
    <cellStyle name="_DS_VSE WFP_100507_LCD_By Region" xfId="0"/>
    <cellStyle name="_DS_VSE WFP_100507_LCD_CORP SG&amp;A" xfId="0"/>
    <cellStyle name="_DS_VSE WFP_100507_LCD_LCD" xfId="0"/>
    <cellStyle name="_DS_VSE WFP_100507_LCD_PJ" xfId="0"/>
    <cellStyle name="_DS_VSE WFP_100507_lightling" xfId="0"/>
    <cellStyle name="_DS_VSE WFP_100507_lightling 2" xfId="0"/>
    <cellStyle name="_DS_VSE WFP_100507_lightling 3" xfId="0"/>
    <cellStyle name="_DS_VSE WFP_100507_lightling_By Region" xfId="0"/>
    <cellStyle name="_DS_VSE WFP_100507_PC Products" xfId="0"/>
    <cellStyle name="_DS_VSE WFP_100507_PC Products 2" xfId="0"/>
    <cellStyle name="_DS_VSE WFP_100507_PC Products 3" xfId="0"/>
    <cellStyle name="_DS_VSE WFP_100507_PC Products 4" xfId="0"/>
    <cellStyle name="_DS_VSE WFP_100507_PC Products 4 2" xfId="0"/>
    <cellStyle name="_DS_VSE WFP_100507_PC Products_By Region" xfId="0"/>
    <cellStyle name="_DS_VSE WFP_100507_PC Products_CORP SG&amp;A" xfId="0"/>
    <cellStyle name="_DS_VSE WFP_100507_PC Products_LCD" xfId="0"/>
    <cellStyle name="_DS_VSE WFP_100507_PC Products_PJ" xfId="0"/>
    <cellStyle name="_DS_VSE WFP_100507_VSA 111014" xfId="0"/>
    <cellStyle name="_DS_VSE WFP_100507_VSA 111014 2" xfId="0"/>
    <cellStyle name="_DS_VSE WFP_100507_VSA 111014 3" xfId="0"/>
    <cellStyle name="_DS_VSE WFP_100507_VSA 111014 4" xfId="0"/>
    <cellStyle name="_DS_VSE WFP_100507_VSA 111014 4 2" xfId="0"/>
    <cellStyle name="_DS_VSE WFP_100507_VSA 111014_By Region" xfId="0"/>
    <cellStyle name="_DS_VSE WFP_100507_VSA 111014_CORP SG&amp;A" xfId="0"/>
    <cellStyle name="_DS_VSE WFP_100507_VSA 111014_LCD" xfId="0"/>
    <cellStyle name="_DS_VSE WFP_100507_VSA 111014_PJ" xfId="0"/>
    <cellStyle name="_DS_VSE WFP_100507_VSA Roll-Up (LW)" xfId="0"/>
    <cellStyle name="_DS_VSE WFP_100507_VSA Roll-Up (LW) 2" xfId="0"/>
    <cellStyle name="_DS_VSE WFP_100507_VSA Roll-Up (LW) 3" xfId="0"/>
    <cellStyle name="_DS_VSE WFP_100507_VSA Roll-Up (LW) 4" xfId="0"/>
    <cellStyle name="_DS_VSE WFP_100507_VSA Roll-Up (LW) 4 2" xfId="0"/>
    <cellStyle name="_DS_VSE WFP_100507_VSA Roll-Up (LW)_By Region" xfId="0"/>
    <cellStyle name="_DS_VSE WFP_100507_VSA Roll-Up (LW)_CORP SG&amp;A" xfId="0"/>
    <cellStyle name="_DS_VSE WFP_100507_VSA Roll-Up (LW)_LCD" xfId="0"/>
    <cellStyle name="_DS_VSE WFP_100507_VSA Roll-Up (LW)_PJ" xfId="0"/>
    <cellStyle name="_DS_VSE WFP_100608" xfId="0"/>
    <cellStyle name="_DS_VSE WFP_100608 2" xfId="0"/>
    <cellStyle name="_DS_VSE WFP_100608 3" xfId="0"/>
    <cellStyle name="_DS_VSE WFP_100608 4" xfId="0"/>
    <cellStyle name="_DS_VSE WFP_100608_By Region" xfId="0"/>
    <cellStyle name="_DS_VSE WFP_100608_CORP SG&amp;A" xfId="0"/>
    <cellStyle name="_DS_VSE WFP_100608_Digitizer" xfId="0"/>
    <cellStyle name="_DS_VSE WFP_100608_GPS OTHER" xfId="0"/>
    <cellStyle name="_DS_VSE WFP_100608_GPS OTHER 2" xfId="0"/>
    <cellStyle name="_DS_VSE WFP_100608_GPS OTHER 3" xfId="0"/>
    <cellStyle name="_DS_VSE WFP_100608_GPS OTHER 4" xfId="0"/>
    <cellStyle name="_DS_VSE WFP_100608_GPS OTHER 4 2" xfId="0"/>
    <cellStyle name="_DS_VSE WFP_100608_GPS OTHER_By Region" xfId="0"/>
    <cellStyle name="_DS_VSE WFP_100608_GPS OTHER_CORP SG&amp;A" xfId="0"/>
    <cellStyle name="_DS_VSE WFP_100608_GPS OTHER_LCD" xfId="0"/>
    <cellStyle name="_DS_VSE WFP_100608_GPS OTHER_PJ" xfId="0"/>
    <cellStyle name="_DS_VSE WFP_100608_LCD" xfId="0"/>
    <cellStyle name="_DS_VSE WFP_100608_LCD 2" xfId="0"/>
    <cellStyle name="_DS_VSE WFP_100608_LCD 3" xfId="0"/>
    <cellStyle name="_DS_VSE WFP_100608_LCD 4" xfId="0"/>
    <cellStyle name="_DS_VSE WFP_100608_LCD_By Region" xfId="0"/>
    <cellStyle name="_DS_VSE WFP_100608_LCD_CORP SG&amp;A" xfId="0"/>
    <cellStyle name="_DS_VSE WFP_100608_LCD_LCD" xfId="0"/>
    <cellStyle name="_DS_VSE WFP_100608_LCD_PJ" xfId="0"/>
    <cellStyle name="_DS_VSE WFP_100608_lightling" xfId="0"/>
    <cellStyle name="_DS_VSE WFP_100608_lightling 2" xfId="0"/>
    <cellStyle name="_DS_VSE WFP_100608_lightling 3" xfId="0"/>
    <cellStyle name="_DS_VSE WFP_100608_lightling_By Region" xfId="0"/>
    <cellStyle name="_DS_VSE WFP_100608_PC Products" xfId="0"/>
    <cellStyle name="_DS_VSE WFP_100608_PC Products 2" xfId="0"/>
    <cellStyle name="_DS_VSE WFP_100608_PC Products 3" xfId="0"/>
    <cellStyle name="_DS_VSE WFP_100608_PC Products 4" xfId="0"/>
    <cellStyle name="_DS_VSE WFP_100608_PC Products 4 2" xfId="0"/>
    <cellStyle name="_DS_VSE WFP_100608_PC Products_By Region" xfId="0"/>
    <cellStyle name="_DS_VSE WFP_100608_PC Products_CORP SG&amp;A" xfId="0"/>
    <cellStyle name="_DS_VSE WFP_100608_PC Products_LCD" xfId="0"/>
    <cellStyle name="_DS_VSE WFP_100608_PC Products_PJ" xfId="0"/>
    <cellStyle name="_DS_VSE WFP_100608_VSA 111014" xfId="0"/>
    <cellStyle name="_DS_VSE WFP_100608_VSA 111014 2" xfId="0"/>
    <cellStyle name="_DS_VSE WFP_100608_VSA 111014 3" xfId="0"/>
    <cellStyle name="_DS_VSE WFP_100608_VSA 111014 4" xfId="0"/>
    <cellStyle name="_DS_VSE WFP_100608_VSA 111014 4 2" xfId="0"/>
    <cellStyle name="_DS_VSE WFP_100608_VSA 111014_By Region" xfId="0"/>
    <cellStyle name="_DS_VSE WFP_100608_VSA 111014_CORP SG&amp;A" xfId="0"/>
    <cellStyle name="_DS_VSE WFP_100608_VSA 111014_LCD" xfId="0"/>
    <cellStyle name="_DS_VSE WFP_100608_VSA 111014_PJ" xfId="0"/>
    <cellStyle name="_DS_VSE WFP_100608_VSA Roll-Up (LW)" xfId="0"/>
    <cellStyle name="_DS_VSE WFP_100608_VSA Roll-Up (LW) 2" xfId="0"/>
    <cellStyle name="_DS_VSE WFP_100608_VSA Roll-Up (LW) 3" xfId="0"/>
    <cellStyle name="_DS_VSE WFP_100608_VSA Roll-Up (LW) 4" xfId="0"/>
    <cellStyle name="_DS_VSE WFP_100608_VSA Roll-Up (LW) 4 2" xfId="0"/>
    <cellStyle name="_DS_VSE WFP_100608_VSA Roll-Up (LW)_By Region" xfId="0"/>
    <cellStyle name="_DS_VSE WFP_100608_VSA Roll-Up (LW)_CORP SG&amp;A" xfId="0"/>
    <cellStyle name="_DS_VSE WFP_100608_VSA Roll-Up (LW)_LCD" xfId="0"/>
    <cellStyle name="_DS_VSE WFP_100608_VSA Roll-Up (LW)_PJ" xfId="0"/>
    <cellStyle name="_DS_VSE WFP_100625" xfId="0"/>
    <cellStyle name="_DS_VSE WFP_100625 2" xfId="0"/>
    <cellStyle name="_DS_VSE WFP_100625 3" xfId="0"/>
    <cellStyle name="_DS_VSE WFP_100625 4" xfId="0"/>
    <cellStyle name="_DS_VSE WFP_100625_By Region" xfId="0"/>
    <cellStyle name="_DS_VSE WFP_100625_CORP SG&amp;A" xfId="0"/>
    <cellStyle name="_DS_VSE WFP_100625_Digitizer" xfId="0"/>
    <cellStyle name="_DS_VSE WFP_100625_GPS OTHER" xfId="0"/>
    <cellStyle name="_DS_VSE WFP_100625_GPS OTHER 2" xfId="0"/>
    <cellStyle name="_DS_VSE WFP_100625_GPS OTHER 3" xfId="0"/>
    <cellStyle name="_DS_VSE WFP_100625_GPS OTHER 4" xfId="0"/>
    <cellStyle name="_DS_VSE WFP_100625_GPS OTHER 4 2" xfId="0"/>
    <cellStyle name="_DS_VSE WFP_100625_GPS OTHER_By Region" xfId="0"/>
    <cellStyle name="_DS_VSE WFP_100625_GPS OTHER_CORP SG&amp;A" xfId="0"/>
    <cellStyle name="_DS_VSE WFP_100625_GPS OTHER_LCD" xfId="0"/>
    <cellStyle name="_DS_VSE WFP_100625_GPS OTHER_PJ" xfId="0"/>
    <cellStyle name="_DS_VSE WFP_100625_LCD" xfId="0"/>
    <cellStyle name="_DS_VSE WFP_100625_LCD 2" xfId="0"/>
    <cellStyle name="_DS_VSE WFP_100625_LCD 3" xfId="0"/>
    <cellStyle name="_DS_VSE WFP_100625_LCD 4" xfId="0"/>
    <cellStyle name="_DS_VSE WFP_100625_LCD_By Region" xfId="0"/>
    <cellStyle name="_DS_VSE WFP_100625_LCD_CORP SG&amp;A" xfId="0"/>
    <cellStyle name="_DS_VSE WFP_100625_LCD_LCD" xfId="0"/>
    <cellStyle name="_DS_VSE WFP_100625_LCD_PJ" xfId="0"/>
    <cellStyle name="_DS_VSE WFP_100625_lightling" xfId="0"/>
    <cellStyle name="_DS_VSE WFP_100625_lightling 2" xfId="0"/>
    <cellStyle name="_DS_VSE WFP_100625_lightling 3" xfId="0"/>
    <cellStyle name="_DS_VSE WFP_100625_lightling_By Region" xfId="0"/>
    <cellStyle name="_DS_VSE WFP_100625_PC Products" xfId="0"/>
    <cellStyle name="_DS_VSE WFP_100625_PC Products 2" xfId="0"/>
    <cellStyle name="_DS_VSE WFP_100625_PC Products 3" xfId="0"/>
    <cellStyle name="_DS_VSE WFP_100625_PC Products 4" xfId="0"/>
    <cellStyle name="_DS_VSE WFP_100625_PC Products 4 2" xfId="0"/>
    <cellStyle name="_DS_VSE WFP_100625_PC Products_By Region" xfId="0"/>
    <cellStyle name="_DS_VSE WFP_100625_PC Products_CORP SG&amp;A" xfId="0"/>
    <cellStyle name="_DS_VSE WFP_100625_PC Products_LCD" xfId="0"/>
    <cellStyle name="_DS_VSE WFP_100625_PC Products_PJ" xfId="0"/>
    <cellStyle name="_DS_VSE WFP_100625_VSA 111014" xfId="0"/>
    <cellStyle name="_DS_VSE WFP_100625_VSA 111014 2" xfId="0"/>
    <cellStyle name="_DS_VSE WFP_100625_VSA 111014 3" xfId="0"/>
    <cellStyle name="_DS_VSE WFP_100625_VSA 111014 4" xfId="0"/>
    <cellStyle name="_DS_VSE WFP_100625_VSA 111014 4 2" xfId="0"/>
    <cellStyle name="_DS_VSE WFP_100625_VSA 111014_By Region" xfId="0"/>
    <cellStyle name="_DS_VSE WFP_100625_VSA 111014_CORP SG&amp;A" xfId="0"/>
    <cellStyle name="_DS_VSE WFP_100625_VSA 111014_LCD" xfId="0"/>
    <cellStyle name="_DS_VSE WFP_100625_VSA 111014_PJ" xfId="0"/>
    <cellStyle name="_DS_VSE WFP_100625_VSA Roll-Up (LW)" xfId="0"/>
    <cellStyle name="_DS_VSE WFP_100625_VSA Roll-Up (LW) 2" xfId="0"/>
    <cellStyle name="_DS_VSE WFP_100625_VSA Roll-Up (LW) 3" xfId="0"/>
    <cellStyle name="_DS_VSE WFP_100625_VSA Roll-Up (LW) 4" xfId="0"/>
    <cellStyle name="_DS_VSE WFP_100625_VSA Roll-Up (LW) 4 2" xfId="0"/>
    <cellStyle name="_DS_VSE WFP_100625_VSA Roll-Up (LW)_By Region" xfId="0"/>
    <cellStyle name="_DS_VSE WFP_100625_VSA Roll-Up (LW)_CORP SG&amp;A" xfId="0"/>
    <cellStyle name="_DS_VSE WFP_100625_VSA Roll-Up (LW)_LCD" xfId="0"/>
    <cellStyle name="_DS_VSE WFP_100625_VSA Roll-Up (LW)_PJ" xfId="0"/>
    <cellStyle name="_DS_VSE WFP_100708_3rd" xfId="0"/>
    <cellStyle name="_DS_VSE WFP_100708_3rd 2" xfId="0"/>
    <cellStyle name="_DS_VSE WFP_100708_3rd 3" xfId="0"/>
    <cellStyle name="_DS_VSE WFP_100708_3rd 4" xfId="0"/>
    <cellStyle name="_DS_VSE WFP_100708_3rd_By Region" xfId="0"/>
    <cellStyle name="_DS_VSE WFP_100708_3rd_CORP SG&amp;A" xfId="0"/>
    <cellStyle name="_DS_VSE WFP_100708_3rd_Digitizer" xfId="0"/>
    <cellStyle name="_DS_VSE WFP_100708_3rd_GPS OTHER" xfId="0"/>
    <cellStyle name="_DS_VSE WFP_100708_3rd_GPS OTHER 2" xfId="0"/>
    <cellStyle name="_DS_VSE WFP_100708_3rd_GPS OTHER 3" xfId="0"/>
    <cellStyle name="_DS_VSE WFP_100708_3rd_GPS OTHER 4" xfId="0"/>
    <cellStyle name="_DS_VSE WFP_100708_3rd_GPS OTHER 4 2" xfId="0"/>
    <cellStyle name="_DS_VSE WFP_100708_3rd_GPS OTHER_By Region" xfId="0"/>
    <cellStyle name="_DS_VSE WFP_100708_3rd_GPS OTHER_CORP SG&amp;A" xfId="0"/>
    <cellStyle name="_DS_VSE WFP_100708_3rd_GPS OTHER_LCD" xfId="0"/>
    <cellStyle name="_DS_VSE WFP_100708_3rd_GPS OTHER_PJ" xfId="0"/>
    <cellStyle name="_DS_VSE WFP_100708_3rd_LCD" xfId="0"/>
    <cellStyle name="_DS_VSE WFP_100708_3rd_LCD 2" xfId="0"/>
    <cellStyle name="_DS_VSE WFP_100708_3rd_LCD 3" xfId="0"/>
    <cellStyle name="_DS_VSE WFP_100708_3rd_LCD 4" xfId="0"/>
    <cellStyle name="_DS_VSE WFP_100708_3rd_LCD_By Region" xfId="0"/>
    <cellStyle name="_DS_VSE WFP_100708_3rd_LCD_CORP SG&amp;A" xfId="0"/>
    <cellStyle name="_DS_VSE WFP_100708_3rd_LCD_LCD" xfId="0"/>
    <cellStyle name="_DS_VSE WFP_100708_3rd_LCD_PJ" xfId="0"/>
    <cellStyle name="_DS_VSE WFP_100708_3rd_lightling" xfId="0"/>
    <cellStyle name="_DS_VSE WFP_100708_3rd_lightling 2" xfId="0"/>
    <cellStyle name="_DS_VSE WFP_100708_3rd_lightling 3" xfId="0"/>
    <cellStyle name="_DS_VSE WFP_100708_3rd_lightling_By Region" xfId="0"/>
    <cellStyle name="_DS_VSE WFP_100708_3rd_PC Products" xfId="0"/>
    <cellStyle name="_DS_VSE WFP_100708_3rd_PC Products 2" xfId="0"/>
    <cellStyle name="_DS_VSE WFP_100708_3rd_PC Products 3" xfId="0"/>
    <cellStyle name="_DS_VSE WFP_100708_3rd_PC Products 4" xfId="0"/>
    <cellStyle name="_DS_VSE WFP_100708_3rd_PC Products 4 2" xfId="0"/>
    <cellStyle name="_DS_VSE WFP_100708_3rd_PC Products_By Region" xfId="0"/>
    <cellStyle name="_DS_VSE WFP_100708_3rd_PC Products_CORP SG&amp;A" xfId="0"/>
    <cellStyle name="_DS_VSE WFP_100708_3rd_PC Products_LCD" xfId="0"/>
    <cellStyle name="_DS_VSE WFP_100708_3rd_PC Products_PJ" xfId="0"/>
    <cellStyle name="_DS_VSE WFP_100708_3rd_VSA 111014" xfId="0"/>
    <cellStyle name="_DS_VSE WFP_100708_3rd_VSA 111014 2" xfId="0"/>
    <cellStyle name="_DS_VSE WFP_100708_3rd_VSA 111014 3" xfId="0"/>
    <cellStyle name="_DS_VSE WFP_100708_3rd_VSA 111014 4" xfId="0"/>
    <cellStyle name="_DS_VSE WFP_100708_3rd_VSA 111014 4 2" xfId="0"/>
    <cellStyle name="_DS_VSE WFP_100708_3rd_VSA 111014_By Region" xfId="0"/>
    <cellStyle name="_DS_VSE WFP_100708_3rd_VSA 111014_CORP SG&amp;A" xfId="0"/>
    <cellStyle name="_DS_VSE WFP_100708_3rd_VSA 111014_LCD" xfId="0"/>
    <cellStyle name="_DS_VSE WFP_100708_3rd_VSA 111014_PJ" xfId="0"/>
    <cellStyle name="_DS_VSE WFP_100708_3rd_VSA Roll-Up (LW)" xfId="0"/>
    <cellStyle name="_DS_VSE WFP_100708_3rd_VSA Roll-Up (LW) 2" xfId="0"/>
    <cellStyle name="_DS_VSE WFP_100708_3rd_VSA Roll-Up (LW) 3" xfId="0"/>
    <cellStyle name="_DS_VSE WFP_100708_3rd_VSA Roll-Up (LW) 4" xfId="0"/>
    <cellStyle name="_DS_VSE WFP_100708_3rd_VSA Roll-Up (LW) 4 2" xfId="0"/>
    <cellStyle name="_DS_VSE WFP_100708_3rd_VSA Roll-Up (LW)_By Region" xfId="0"/>
    <cellStyle name="_DS_VSE WFP_100708_3rd_VSA Roll-Up (LW)_CORP SG&amp;A" xfId="0"/>
    <cellStyle name="_DS_VSE WFP_100708_3rd_VSA Roll-Up (LW)_LCD" xfId="0"/>
    <cellStyle name="_DS_VSE WFP_100708_3rd_VSA Roll-Up (LW)_PJ" xfId="0"/>
    <cellStyle name="_DS_VSE WFP_100726" xfId="0"/>
    <cellStyle name="_DS_VSE WFP_100726 2" xfId="0"/>
    <cellStyle name="_DS_VSE WFP_100726 3" xfId="0"/>
    <cellStyle name="_DS_VSE WFP_100726 4" xfId="0"/>
    <cellStyle name="_DS_VSE WFP_100726-1" xfId="0"/>
    <cellStyle name="_DS_VSE WFP_100726-1 2" xfId="0"/>
    <cellStyle name="_DS_VSE WFP_100726-1 3" xfId="0"/>
    <cellStyle name="_DS_VSE WFP_100726-1 4" xfId="0"/>
    <cellStyle name="_DS_VSE WFP_100726-1_By Region" xfId="0"/>
    <cellStyle name="_DS_VSE WFP_100726-1_CORP SG&amp;A" xfId="0"/>
    <cellStyle name="_DS_VSE WFP_100726-1_Digitizer" xfId="0"/>
    <cellStyle name="_DS_VSE WFP_100726-1_GPS OTHER" xfId="0"/>
    <cellStyle name="_DS_VSE WFP_100726-1_GPS OTHER 2" xfId="0"/>
    <cellStyle name="_DS_VSE WFP_100726-1_GPS OTHER 3" xfId="0"/>
    <cellStyle name="_DS_VSE WFP_100726-1_GPS OTHER 4" xfId="0"/>
    <cellStyle name="_DS_VSE WFP_100726-1_GPS OTHER 4 2" xfId="0"/>
    <cellStyle name="_DS_VSE WFP_100726-1_GPS OTHER_By Region" xfId="0"/>
    <cellStyle name="_DS_VSE WFP_100726-1_GPS OTHER_CORP SG&amp;A" xfId="0"/>
    <cellStyle name="_DS_VSE WFP_100726-1_GPS OTHER_LCD" xfId="0"/>
    <cellStyle name="_DS_VSE WFP_100726-1_GPS OTHER_PJ" xfId="0"/>
    <cellStyle name="_DS_VSE WFP_100726-1_LCD" xfId="0"/>
    <cellStyle name="_DS_VSE WFP_100726-1_LCD 2" xfId="0"/>
    <cellStyle name="_DS_VSE WFP_100726-1_LCD 3" xfId="0"/>
    <cellStyle name="_DS_VSE WFP_100726-1_LCD 4" xfId="0"/>
    <cellStyle name="_DS_VSE WFP_100726-1_LCD_By Region" xfId="0"/>
    <cellStyle name="_DS_VSE WFP_100726-1_LCD_CORP SG&amp;A" xfId="0"/>
    <cellStyle name="_DS_VSE WFP_100726-1_LCD_LCD" xfId="0"/>
    <cellStyle name="_DS_VSE WFP_100726-1_LCD_PJ" xfId="0"/>
    <cellStyle name="_DS_VSE WFP_100726-1_lightling" xfId="0"/>
    <cellStyle name="_DS_VSE WFP_100726-1_lightling 2" xfId="0"/>
    <cellStyle name="_DS_VSE WFP_100726-1_lightling 3" xfId="0"/>
    <cellStyle name="_DS_VSE WFP_100726-1_lightling_By Region" xfId="0"/>
    <cellStyle name="_DS_VSE WFP_100726-1_PC Products" xfId="0"/>
    <cellStyle name="_DS_VSE WFP_100726-1_PC Products 2" xfId="0"/>
    <cellStyle name="_DS_VSE WFP_100726-1_PC Products 3" xfId="0"/>
    <cellStyle name="_DS_VSE WFP_100726-1_PC Products 4" xfId="0"/>
    <cellStyle name="_DS_VSE WFP_100726-1_PC Products 4 2" xfId="0"/>
    <cellStyle name="_DS_VSE WFP_100726-1_PC Products_By Region" xfId="0"/>
    <cellStyle name="_DS_VSE WFP_100726-1_PC Products_CORP SG&amp;A" xfId="0"/>
    <cellStyle name="_DS_VSE WFP_100726-1_PC Products_LCD" xfId="0"/>
    <cellStyle name="_DS_VSE WFP_100726-1_PC Products_PJ" xfId="0"/>
    <cellStyle name="_DS_VSE WFP_100726-1_VSA 111014" xfId="0"/>
    <cellStyle name="_DS_VSE WFP_100726-1_VSA 111014 2" xfId="0"/>
    <cellStyle name="_DS_VSE WFP_100726-1_VSA 111014 3" xfId="0"/>
    <cellStyle name="_DS_VSE WFP_100726-1_VSA 111014 4" xfId="0"/>
    <cellStyle name="_DS_VSE WFP_100726-1_VSA 111014 4 2" xfId="0"/>
    <cellStyle name="_DS_VSE WFP_100726-1_VSA 111014_By Region" xfId="0"/>
    <cellStyle name="_DS_VSE WFP_100726-1_VSA 111014_CORP SG&amp;A" xfId="0"/>
    <cellStyle name="_DS_VSE WFP_100726-1_VSA 111014_LCD" xfId="0"/>
    <cellStyle name="_DS_VSE WFP_100726-1_VSA 111014_PJ" xfId="0"/>
    <cellStyle name="_DS_VSE WFP_100726-1_VSA Roll-Up (LW)" xfId="0"/>
    <cellStyle name="_DS_VSE WFP_100726-1_VSA Roll-Up (LW) 2" xfId="0"/>
    <cellStyle name="_DS_VSE WFP_100726-1_VSA Roll-Up (LW) 3" xfId="0"/>
    <cellStyle name="_DS_VSE WFP_100726-1_VSA Roll-Up (LW) 4" xfId="0"/>
    <cellStyle name="_DS_VSE WFP_100726-1_VSA Roll-Up (LW) 4 2" xfId="0"/>
    <cellStyle name="_DS_VSE WFP_100726-1_VSA Roll-Up (LW)_By Region" xfId="0"/>
    <cellStyle name="_DS_VSE WFP_100726-1_VSA Roll-Up (LW)_CORP SG&amp;A" xfId="0"/>
    <cellStyle name="_DS_VSE WFP_100726-1_VSA Roll-Up (LW)_LCD" xfId="0"/>
    <cellStyle name="_DS_VSE WFP_100726-1_VSA Roll-Up (LW)_PJ" xfId="0"/>
    <cellStyle name="_DS_VSE WFP_100726-2-yc" xfId="0"/>
    <cellStyle name="_DS_VSE WFP_100726-2-yc 2" xfId="0"/>
    <cellStyle name="_DS_VSE WFP_100726-2-yc 3" xfId="0"/>
    <cellStyle name="_DS_VSE WFP_100726-2-yc 4" xfId="0"/>
    <cellStyle name="_DS_VSE WFP_100726-2-yc_By Region" xfId="0"/>
    <cellStyle name="_DS_VSE WFP_100726-2-yc_CORP SG&amp;A" xfId="0"/>
    <cellStyle name="_DS_VSE WFP_100726-2-yc_Digitizer" xfId="0"/>
    <cellStyle name="_DS_VSE WFP_100726-2-yc_GPS OTHER" xfId="0"/>
    <cellStyle name="_DS_VSE WFP_100726-2-yc_GPS OTHER 2" xfId="0"/>
    <cellStyle name="_DS_VSE WFP_100726-2-yc_GPS OTHER 3" xfId="0"/>
    <cellStyle name="_DS_VSE WFP_100726-2-yc_GPS OTHER 4" xfId="0"/>
    <cellStyle name="_DS_VSE WFP_100726-2-yc_GPS OTHER 4 2" xfId="0"/>
    <cellStyle name="_DS_VSE WFP_100726-2-yc_GPS OTHER_By Region" xfId="0"/>
    <cellStyle name="_DS_VSE WFP_100726-2-yc_GPS OTHER_CORP SG&amp;A" xfId="0"/>
    <cellStyle name="_DS_VSE WFP_100726-2-yc_GPS OTHER_LCD" xfId="0"/>
    <cellStyle name="_DS_VSE WFP_100726-2-yc_GPS OTHER_PJ" xfId="0"/>
    <cellStyle name="_DS_VSE WFP_100726-2-yc_LCD" xfId="0"/>
    <cellStyle name="_DS_VSE WFP_100726-2-yc_LCD 2" xfId="0"/>
    <cellStyle name="_DS_VSE WFP_100726-2-yc_LCD 3" xfId="0"/>
    <cellStyle name="_DS_VSE WFP_100726-2-yc_LCD 4" xfId="0"/>
    <cellStyle name="_DS_VSE WFP_100726-2-yc_LCD_By Region" xfId="0"/>
    <cellStyle name="_DS_VSE WFP_100726-2-yc_LCD_CORP SG&amp;A" xfId="0"/>
    <cellStyle name="_DS_VSE WFP_100726-2-yc_LCD_LCD" xfId="0"/>
    <cellStyle name="_DS_VSE WFP_100726-2-yc_LCD_PJ" xfId="0"/>
    <cellStyle name="_DS_VSE WFP_100726-2-yc_lightling" xfId="0"/>
    <cellStyle name="_DS_VSE WFP_100726-2-yc_lightling 2" xfId="0"/>
    <cellStyle name="_DS_VSE WFP_100726-2-yc_lightling 3" xfId="0"/>
    <cellStyle name="_DS_VSE WFP_100726-2-yc_lightling_By Region" xfId="0"/>
    <cellStyle name="_DS_VSE WFP_100726-2-yc_PC Products" xfId="0"/>
    <cellStyle name="_DS_VSE WFP_100726-2-yc_PC Products 2" xfId="0"/>
    <cellStyle name="_DS_VSE WFP_100726-2-yc_PC Products 3" xfId="0"/>
    <cellStyle name="_DS_VSE WFP_100726-2-yc_PC Products 4" xfId="0"/>
    <cellStyle name="_DS_VSE WFP_100726-2-yc_PC Products 4 2" xfId="0"/>
    <cellStyle name="_DS_VSE WFP_100726-2-yc_PC Products_By Region" xfId="0"/>
    <cellStyle name="_DS_VSE WFP_100726-2-yc_PC Products_CORP SG&amp;A" xfId="0"/>
    <cellStyle name="_DS_VSE WFP_100726-2-yc_PC Products_LCD" xfId="0"/>
    <cellStyle name="_DS_VSE WFP_100726-2-yc_PC Products_PJ" xfId="0"/>
    <cellStyle name="_DS_VSE WFP_100726-2-yc_VSA 111014" xfId="0"/>
    <cellStyle name="_DS_VSE WFP_100726-2-yc_VSA 111014 2" xfId="0"/>
    <cellStyle name="_DS_VSE WFP_100726-2-yc_VSA 111014 3" xfId="0"/>
    <cellStyle name="_DS_VSE WFP_100726-2-yc_VSA 111014 4" xfId="0"/>
    <cellStyle name="_DS_VSE WFP_100726-2-yc_VSA 111014 4 2" xfId="0"/>
    <cellStyle name="_DS_VSE WFP_100726-2-yc_VSA 111014_By Region" xfId="0"/>
    <cellStyle name="_DS_VSE WFP_100726-2-yc_VSA 111014_CORP SG&amp;A" xfId="0"/>
    <cellStyle name="_DS_VSE WFP_100726-2-yc_VSA 111014_LCD" xfId="0"/>
    <cellStyle name="_DS_VSE WFP_100726-2-yc_VSA 111014_PJ" xfId="0"/>
    <cellStyle name="_DS_VSE WFP_100726-2-yc_VSA Roll-Up (LW)" xfId="0"/>
    <cellStyle name="_DS_VSE WFP_100726-2-yc_VSA Roll-Up (LW) 2" xfId="0"/>
    <cellStyle name="_DS_VSE WFP_100726-2-yc_VSA Roll-Up (LW) 3" xfId="0"/>
    <cellStyle name="_DS_VSE WFP_100726-2-yc_VSA Roll-Up (LW) 4" xfId="0"/>
    <cellStyle name="_DS_VSE WFP_100726-2-yc_VSA Roll-Up (LW) 4 2" xfId="0"/>
    <cellStyle name="_DS_VSE WFP_100726-2-yc_VSA Roll-Up (LW)_By Region" xfId="0"/>
    <cellStyle name="_DS_VSE WFP_100726-2-yc_VSA Roll-Up (LW)_CORP SG&amp;A" xfId="0"/>
    <cellStyle name="_DS_VSE WFP_100726-2-yc_VSA Roll-Up (LW)_LCD" xfId="0"/>
    <cellStyle name="_DS_VSE WFP_100726-2-yc_VSA Roll-Up (LW)_PJ" xfId="0"/>
    <cellStyle name="_DS_VSE WFP_100726_By Region" xfId="0"/>
    <cellStyle name="_DS_VSE WFP_100726_CORP SG&amp;A" xfId="0"/>
    <cellStyle name="_DS_VSE WFP_100726_Digitizer" xfId="0"/>
    <cellStyle name="_DS_VSE WFP_100726_GPS OTHER" xfId="0"/>
    <cellStyle name="_DS_VSE WFP_100726_GPS OTHER 2" xfId="0"/>
    <cellStyle name="_DS_VSE WFP_100726_GPS OTHER 3" xfId="0"/>
    <cellStyle name="_DS_VSE WFP_100726_GPS OTHER 4" xfId="0"/>
    <cellStyle name="_DS_VSE WFP_100726_GPS OTHER 4 2" xfId="0"/>
    <cellStyle name="_DS_VSE WFP_100726_GPS OTHER_By Region" xfId="0"/>
    <cellStyle name="_DS_VSE WFP_100726_GPS OTHER_CORP SG&amp;A" xfId="0"/>
    <cellStyle name="_DS_VSE WFP_100726_GPS OTHER_LCD" xfId="0"/>
    <cellStyle name="_DS_VSE WFP_100726_GPS OTHER_PJ" xfId="0"/>
    <cellStyle name="_DS_VSE WFP_100726_LCD" xfId="0"/>
    <cellStyle name="_DS_VSE WFP_100726_LCD 2" xfId="0"/>
    <cellStyle name="_DS_VSE WFP_100726_LCD 3" xfId="0"/>
    <cellStyle name="_DS_VSE WFP_100726_LCD 4" xfId="0"/>
    <cellStyle name="_DS_VSE WFP_100726_LCD_By Region" xfId="0"/>
    <cellStyle name="_DS_VSE WFP_100726_LCD_CORP SG&amp;A" xfId="0"/>
    <cellStyle name="_DS_VSE WFP_100726_LCD_LCD" xfId="0"/>
    <cellStyle name="_DS_VSE WFP_100726_LCD_PJ" xfId="0"/>
    <cellStyle name="_DS_VSE WFP_100726_lightling" xfId="0"/>
    <cellStyle name="_DS_VSE WFP_100726_lightling 2" xfId="0"/>
    <cellStyle name="_DS_VSE WFP_100726_lightling 3" xfId="0"/>
    <cellStyle name="_DS_VSE WFP_100726_lightling_By Region" xfId="0"/>
    <cellStyle name="_DS_VSE WFP_100726_PC Products" xfId="0"/>
    <cellStyle name="_DS_VSE WFP_100726_PC Products 2" xfId="0"/>
    <cellStyle name="_DS_VSE WFP_100726_PC Products 3" xfId="0"/>
    <cellStyle name="_DS_VSE WFP_100726_PC Products 4" xfId="0"/>
    <cellStyle name="_DS_VSE WFP_100726_PC Products 4 2" xfId="0"/>
    <cellStyle name="_DS_VSE WFP_100726_PC Products_By Region" xfId="0"/>
    <cellStyle name="_DS_VSE WFP_100726_PC Products_CORP SG&amp;A" xfId="0"/>
    <cellStyle name="_DS_VSE WFP_100726_PC Products_LCD" xfId="0"/>
    <cellStyle name="_DS_VSE WFP_100726_PC Products_PJ" xfId="0"/>
    <cellStyle name="_DS_VSE WFP_100726_VSA 111014" xfId="0"/>
    <cellStyle name="_DS_VSE WFP_100726_VSA 111014 2" xfId="0"/>
    <cellStyle name="_DS_VSE WFP_100726_VSA 111014 3" xfId="0"/>
    <cellStyle name="_DS_VSE WFP_100726_VSA 111014 4" xfId="0"/>
    <cellStyle name="_DS_VSE WFP_100726_VSA 111014 4 2" xfId="0"/>
    <cellStyle name="_DS_VSE WFP_100726_VSA 111014_By Region" xfId="0"/>
    <cellStyle name="_DS_VSE WFP_100726_VSA 111014_CORP SG&amp;A" xfId="0"/>
    <cellStyle name="_DS_VSE WFP_100726_VSA 111014_LCD" xfId="0"/>
    <cellStyle name="_DS_VSE WFP_100726_VSA 111014_PJ" xfId="0"/>
    <cellStyle name="_DS_VSE WFP_100726_VSA Roll-Up (LW)" xfId="0"/>
    <cellStyle name="_DS_VSE WFP_100726_VSA Roll-Up (LW) 2" xfId="0"/>
    <cellStyle name="_DS_VSE WFP_100726_VSA Roll-Up (LW) 3" xfId="0"/>
    <cellStyle name="_DS_VSE WFP_100726_VSA Roll-Up (LW) 4" xfId="0"/>
    <cellStyle name="_DS_VSE WFP_100726_VSA Roll-Up (LW) 4 2" xfId="0"/>
    <cellStyle name="_DS_VSE WFP_100726_VSA Roll-Up (LW)_By Region" xfId="0"/>
    <cellStyle name="_DS_VSE WFP_100726_VSA Roll-Up (LW)_CORP SG&amp;A" xfId="0"/>
    <cellStyle name="_DS_VSE WFP_100726_VSA Roll-Up (LW)_LCD" xfId="0"/>
    <cellStyle name="_DS_VSE WFP_100726_VSA Roll-Up (LW)_PJ" xfId="0"/>
    <cellStyle name="_DS_VSE WFP_100827-1" xfId="0"/>
    <cellStyle name="_DS_VSE WFP_100827-1 2" xfId="0"/>
    <cellStyle name="_DS_VSE WFP_100827-1 3" xfId="0"/>
    <cellStyle name="_DS_VSE WFP_100827-1 4" xfId="0"/>
    <cellStyle name="_DS_VSE WFP_100827-1_By Region" xfId="0"/>
    <cellStyle name="_DS_VSE WFP_100827-1_CORP SG&amp;A" xfId="0"/>
    <cellStyle name="_DS_VSE WFP_100827-1_Digitizer" xfId="0"/>
    <cellStyle name="_DS_VSE WFP_100827-1_GPS OTHER" xfId="0"/>
    <cellStyle name="_DS_VSE WFP_100827-1_GPS OTHER 2" xfId="0"/>
    <cellStyle name="_DS_VSE WFP_100827-1_GPS OTHER 3" xfId="0"/>
    <cellStyle name="_DS_VSE WFP_100827-1_GPS OTHER 4" xfId="0"/>
    <cellStyle name="_DS_VSE WFP_100827-1_GPS OTHER 4 2" xfId="0"/>
    <cellStyle name="_DS_VSE WFP_100827-1_GPS OTHER_By Region" xfId="0"/>
    <cellStyle name="_DS_VSE WFP_100827-1_GPS OTHER_CORP SG&amp;A" xfId="0"/>
    <cellStyle name="_DS_VSE WFP_100827-1_GPS OTHER_LCD" xfId="0"/>
    <cellStyle name="_DS_VSE WFP_100827-1_GPS OTHER_PJ" xfId="0"/>
    <cellStyle name="_DS_VSE WFP_100827-1_LCD" xfId="0"/>
    <cellStyle name="_DS_VSE WFP_100827-1_LCD 2" xfId="0"/>
    <cellStyle name="_DS_VSE WFP_100827-1_LCD 3" xfId="0"/>
    <cellStyle name="_DS_VSE WFP_100827-1_LCD 4" xfId="0"/>
    <cellStyle name="_DS_VSE WFP_100827-1_LCD_By Region" xfId="0"/>
    <cellStyle name="_DS_VSE WFP_100827-1_LCD_CORP SG&amp;A" xfId="0"/>
    <cellStyle name="_DS_VSE WFP_100827-1_LCD_LCD" xfId="0"/>
    <cellStyle name="_DS_VSE WFP_100827-1_LCD_PJ" xfId="0"/>
    <cellStyle name="_DS_VSE WFP_100827-1_lightling" xfId="0"/>
    <cellStyle name="_DS_VSE WFP_100827-1_lightling 2" xfId="0"/>
    <cellStyle name="_DS_VSE WFP_100827-1_lightling 3" xfId="0"/>
    <cellStyle name="_DS_VSE WFP_100827-1_lightling_By Region" xfId="0"/>
    <cellStyle name="_DS_VSE WFP_100827-1_PC Products" xfId="0"/>
    <cellStyle name="_DS_VSE WFP_100827-1_PC Products 2" xfId="0"/>
    <cellStyle name="_DS_VSE WFP_100827-1_PC Products 3" xfId="0"/>
    <cellStyle name="_DS_VSE WFP_100827-1_PC Products 4" xfId="0"/>
    <cellStyle name="_DS_VSE WFP_100827-1_PC Products 4 2" xfId="0"/>
    <cellStyle name="_DS_VSE WFP_100827-1_PC Products_By Region" xfId="0"/>
    <cellStyle name="_DS_VSE WFP_100827-1_PC Products_CORP SG&amp;A" xfId="0"/>
    <cellStyle name="_DS_VSE WFP_100827-1_PC Products_LCD" xfId="0"/>
    <cellStyle name="_DS_VSE WFP_100827-1_PC Products_PJ" xfId="0"/>
    <cellStyle name="_DS_VSE WFP_100827-1_VSA 111014" xfId="0"/>
    <cellStyle name="_DS_VSE WFP_100827-1_VSA 111014 2" xfId="0"/>
    <cellStyle name="_DS_VSE WFP_100827-1_VSA 111014 3" xfId="0"/>
    <cellStyle name="_DS_VSE WFP_100827-1_VSA 111014 4" xfId="0"/>
    <cellStyle name="_DS_VSE WFP_100827-1_VSA 111014 4 2" xfId="0"/>
    <cellStyle name="_DS_VSE WFP_100827-1_VSA 111014_By Region" xfId="0"/>
    <cellStyle name="_DS_VSE WFP_100827-1_VSA 111014_CORP SG&amp;A" xfId="0"/>
    <cellStyle name="_DS_VSE WFP_100827-1_VSA 111014_LCD" xfId="0"/>
    <cellStyle name="_DS_VSE WFP_100827-1_VSA 111014_PJ" xfId="0"/>
    <cellStyle name="_DS_VSE WFP_100827-1_VSA Roll-Up (LW)" xfId="0"/>
    <cellStyle name="_DS_VSE WFP_100827-1_VSA Roll-Up (LW) 2" xfId="0"/>
    <cellStyle name="_DS_VSE WFP_100827-1_VSA Roll-Up (LW) 3" xfId="0"/>
    <cellStyle name="_DS_VSE WFP_100827-1_VSA Roll-Up (LW) 4" xfId="0"/>
    <cellStyle name="_DS_VSE WFP_100827-1_VSA Roll-Up (LW) 4 2" xfId="0"/>
    <cellStyle name="_DS_VSE WFP_100827-1_VSA Roll-Up (LW)_By Region" xfId="0"/>
    <cellStyle name="_DS_VSE WFP_100827-1_VSA Roll-Up (LW)_CORP SG&amp;A" xfId="0"/>
    <cellStyle name="_DS_VSE WFP_100827-1_VSA Roll-Up (LW)_LCD" xfId="0"/>
    <cellStyle name="_DS_VSE WFP_100827-1_VSA Roll-Up (LW)_PJ" xfId="0"/>
    <cellStyle name="_DS_VSE WFP_101001" xfId="0"/>
    <cellStyle name="_DS_VSE WFP_101001 2" xfId="0"/>
    <cellStyle name="_DS_VSE WFP_101001 3" xfId="0"/>
    <cellStyle name="_DS_VSE WFP_101001 4" xfId="0"/>
    <cellStyle name="_DS_VSE WFP_101001_By Region" xfId="0"/>
    <cellStyle name="_DS_VSE WFP_101001_CORP SG&amp;A" xfId="0"/>
    <cellStyle name="_DS_VSE WFP_101001_Digitizer" xfId="0"/>
    <cellStyle name="_DS_VSE WFP_101001_GPS OTHER" xfId="0"/>
    <cellStyle name="_DS_VSE WFP_101001_GPS OTHER 2" xfId="0"/>
    <cellStyle name="_DS_VSE WFP_101001_GPS OTHER 3" xfId="0"/>
    <cellStyle name="_DS_VSE WFP_101001_GPS OTHER 4" xfId="0"/>
    <cellStyle name="_DS_VSE WFP_101001_GPS OTHER 4 2" xfId="0"/>
    <cellStyle name="_DS_VSE WFP_101001_GPS OTHER_By Region" xfId="0"/>
    <cellStyle name="_DS_VSE WFP_101001_GPS OTHER_CORP SG&amp;A" xfId="0"/>
    <cellStyle name="_DS_VSE WFP_101001_GPS OTHER_LCD" xfId="0"/>
    <cellStyle name="_DS_VSE WFP_101001_GPS OTHER_PJ" xfId="0"/>
    <cellStyle name="_DS_VSE WFP_101001_LCD" xfId="0"/>
    <cellStyle name="_DS_VSE WFP_101001_LCD 2" xfId="0"/>
    <cellStyle name="_DS_VSE WFP_101001_LCD 3" xfId="0"/>
    <cellStyle name="_DS_VSE WFP_101001_LCD 4" xfId="0"/>
    <cellStyle name="_DS_VSE WFP_101001_LCD_By Region" xfId="0"/>
    <cellStyle name="_DS_VSE WFP_101001_LCD_CORP SG&amp;A" xfId="0"/>
    <cellStyle name="_DS_VSE WFP_101001_LCD_LCD" xfId="0"/>
    <cellStyle name="_DS_VSE WFP_101001_LCD_PJ" xfId="0"/>
    <cellStyle name="_DS_VSE WFP_101001_lightling" xfId="0"/>
    <cellStyle name="_DS_VSE WFP_101001_lightling 2" xfId="0"/>
    <cellStyle name="_DS_VSE WFP_101001_lightling 3" xfId="0"/>
    <cellStyle name="_DS_VSE WFP_101001_lightling_By Region" xfId="0"/>
    <cellStyle name="_DS_VSE WFP_101001_PC Products" xfId="0"/>
    <cellStyle name="_DS_VSE WFP_101001_PC Products 2" xfId="0"/>
    <cellStyle name="_DS_VSE WFP_101001_PC Products 3" xfId="0"/>
    <cellStyle name="_DS_VSE WFP_101001_PC Products 4" xfId="0"/>
    <cellStyle name="_DS_VSE WFP_101001_PC Products 4 2" xfId="0"/>
    <cellStyle name="_DS_VSE WFP_101001_PC Products_By Region" xfId="0"/>
    <cellStyle name="_DS_VSE WFP_101001_PC Products_CORP SG&amp;A" xfId="0"/>
    <cellStyle name="_DS_VSE WFP_101001_PC Products_LCD" xfId="0"/>
    <cellStyle name="_DS_VSE WFP_101001_PC Products_PJ" xfId="0"/>
    <cellStyle name="_DS_VSE WFP_101001_VSA 111014" xfId="0"/>
    <cellStyle name="_DS_VSE WFP_101001_VSA 111014 2" xfId="0"/>
    <cellStyle name="_DS_VSE WFP_101001_VSA 111014 3" xfId="0"/>
    <cellStyle name="_DS_VSE WFP_101001_VSA 111014 4" xfId="0"/>
    <cellStyle name="_DS_VSE WFP_101001_VSA 111014 4 2" xfId="0"/>
    <cellStyle name="_DS_VSE WFP_101001_VSA 111014_By Region" xfId="0"/>
    <cellStyle name="_DS_VSE WFP_101001_VSA 111014_CORP SG&amp;A" xfId="0"/>
    <cellStyle name="_DS_VSE WFP_101001_VSA 111014_LCD" xfId="0"/>
    <cellStyle name="_DS_VSE WFP_101001_VSA 111014_PJ" xfId="0"/>
    <cellStyle name="_DS_VSE WFP_101001_VSA Roll-Up (LW)" xfId="0"/>
    <cellStyle name="_DS_VSE WFP_101001_VSA Roll-Up (LW) 2" xfId="0"/>
    <cellStyle name="_DS_VSE WFP_101001_VSA Roll-Up (LW) 3" xfId="0"/>
    <cellStyle name="_DS_VSE WFP_101001_VSA Roll-Up (LW) 4" xfId="0"/>
    <cellStyle name="_DS_VSE WFP_101001_VSA Roll-Up (LW) 4 2" xfId="0"/>
    <cellStyle name="_DS_VSE WFP_101001_VSA Roll-Up (LW)_By Region" xfId="0"/>
    <cellStyle name="_DS_VSE WFP_101001_VSA Roll-Up (LW)_CORP SG&amp;A" xfId="0"/>
    <cellStyle name="_DS_VSE WFP_101001_VSA Roll-Up (LW)_LCD" xfId="0"/>
    <cellStyle name="_DS_VSE WFP_101001_VSA Roll-Up (LW)_PJ" xfId="0"/>
    <cellStyle name="_DS_VSE WFP_101029-with more ViewPad 7" xfId="0"/>
    <cellStyle name="_DS_VSE WFP_101029-with more ViewPad 7 2" xfId="0"/>
    <cellStyle name="_DS_VSE WFP_101029-with more ViewPad 7 3" xfId="0"/>
    <cellStyle name="_DS_VSE WFP_101029-with more ViewPad 7 4" xfId="0"/>
    <cellStyle name="_DS_VSE WFP_101029-with more ViewPad 7_By Region" xfId="0"/>
    <cellStyle name="_DS_VSE WFP_101029-with more ViewPad 7_CORP SG&amp;A" xfId="0"/>
    <cellStyle name="_DS_VSE WFP_101029-with more ViewPad 7_Digitizer" xfId="0"/>
    <cellStyle name="_DS_VSE WFP_101029-with more ViewPad 7_GPS OTHER" xfId="0"/>
    <cellStyle name="_DS_VSE WFP_101029-with more ViewPad 7_GPS OTHER 2" xfId="0"/>
    <cellStyle name="_DS_VSE WFP_101029-with more ViewPad 7_GPS OTHER 3" xfId="0"/>
    <cellStyle name="_DS_VSE WFP_101029-with more ViewPad 7_GPS OTHER 4" xfId="0"/>
    <cellStyle name="_DS_VSE WFP_101029-with more ViewPad 7_GPS OTHER 4 2" xfId="0"/>
    <cellStyle name="_DS_VSE WFP_101029-with more ViewPad 7_GPS OTHER_By Region" xfId="0"/>
    <cellStyle name="_DS_VSE WFP_101029-with more ViewPad 7_GPS OTHER_CORP SG&amp;A" xfId="0"/>
    <cellStyle name="_DS_VSE WFP_101029-with more ViewPad 7_GPS OTHER_LCD" xfId="0"/>
    <cellStyle name="_DS_VSE WFP_101029-with more ViewPad 7_GPS OTHER_PJ" xfId="0"/>
    <cellStyle name="_DS_VSE WFP_101029-with more ViewPad 7_LCD" xfId="0"/>
    <cellStyle name="_DS_VSE WFP_101029-with more ViewPad 7_LCD 2" xfId="0"/>
    <cellStyle name="_DS_VSE WFP_101029-with more ViewPad 7_LCD 3" xfId="0"/>
    <cellStyle name="_DS_VSE WFP_101029-with more ViewPad 7_LCD 4" xfId="0"/>
    <cellStyle name="_DS_VSE WFP_101029-with more ViewPad 7_LCD_By Region" xfId="0"/>
    <cellStyle name="_DS_VSE WFP_101029-with more ViewPad 7_LCD_CORP SG&amp;A" xfId="0"/>
    <cellStyle name="_DS_VSE WFP_101029-with more ViewPad 7_LCD_LCD" xfId="0"/>
    <cellStyle name="_DS_VSE WFP_101029-with more ViewPad 7_LCD_PJ" xfId="0"/>
    <cellStyle name="_DS_VSE WFP_101029-with more ViewPad 7_lightling" xfId="0"/>
    <cellStyle name="_DS_VSE WFP_101029-with more ViewPad 7_lightling 2" xfId="0"/>
    <cellStyle name="_DS_VSE WFP_101029-with more ViewPad 7_lightling 3" xfId="0"/>
    <cellStyle name="_DS_VSE WFP_101029-with more ViewPad 7_lightling_By Region" xfId="0"/>
    <cellStyle name="_DS_VSE WFP_101029-with more ViewPad 7_PC Products" xfId="0"/>
    <cellStyle name="_DS_VSE WFP_101029-with more ViewPad 7_PC Products 2" xfId="0"/>
    <cellStyle name="_DS_VSE WFP_101029-with more ViewPad 7_PC Products 3" xfId="0"/>
    <cellStyle name="_DS_VSE WFP_101029-with more ViewPad 7_PC Products 4" xfId="0"/>
    <cellStyle name="_DS_VSE WFP_101029-with more ViewPad 7_PC Products 4 2" xfId="0"/>
    <cellStyle name="_DS_VSE WFP_101029-with more ViewPad 7_PC Products_By Region" xfId="0"/>
    <cellStyle name="_DS_VSE WFP_101029-with more ViewPad 7_PC Products_CORP SG&amp;A" xfId="0"/>
    <cellStyle name="_DS_VSE WFP_101029-with more ViewPad 7_PC Products_LCD" xfId="0"/>
    <cellStyle name="_DS_VSE WFP_101029-with more ViewPad 7_PC Products_PJ" xfId="0"/>
    <cellStyle name="_DS_VSE WFP_101029-with more ViewPad 7_VSA 111014" xfId="0"/>
    <cellStyle name="_DS_VSE WFP_101029-with more ViewPad 7_VSA 111014 2" xfId="0"/>
    <cellStyle name="_DS_VSE WFP_101029-with more ViewPad 7_VSA 111014 3" xfId="0"/>
    <cellStyle name="_DS_VSE WFP_101029-with more ViewPad 7_VSA 111014 4" xfId="0"/>
    <cellStyle name="_DS_VSE WFP_101029-with more ViewPad 7_VSA 111014 4 2" xfId="0"/>
    <cellStyle name="_DS_VSE WFP_101029-with more ViewPad 7_VSA 111014_By Region" xfId="0"/>
    <cellStyle name="_DS_VSE WFP_101029-with more ViewPad 7_VSA 111014_CORP SG&amp;A" xfId="0"/>
    <cellStyle name="_DS_VSE WFP_101029-with more ViewPad 7_VSA 111014_LCD" xfId="0"/>
    <cellStyle name="_DS_VSE WFP_101029-with more ViewPad 7_VSA 111014_PJ" xfId="0"/>
    <cellStyle name="_DS_VSE WFP_101029-with more ViewPad 7_VSA Roll-Up (LW)" xfId="0"/>
    <cellStyle name="_DS_VSE WFP_101029-with more ViewPad 7_VSA Roll-Up (LW) 2" xfId="0"/>
    <cellStyle name="_DS_VSE WFP_101029-with more ViewPad 7_VSA Roll-Up (LW) 3" xfId="0"/>
    <cellStyle name="_DS_VSE WFP_101029-with more ViewPad 7_VSA Roll-Up (LW) 4" xfId="0"/>
    <cellStyle name="_DS_VSE WFP_101029-with more ViewPad 7_VSA Roll-Up (LW) 4 2" xfId="0"/>
    <cellStyle name="_DS_VSE WFP_101029-with more ViewPad 7_VSA Roll-Up (LW)_By Region" xfId="0"/>
    <cellStyle name="_DS_VSE WFP_101029-with more ViewPad 7_VSA Roll-Up (LW)_CORP SG&amp;A" xfId="0"/>
    <cellStyle name="_DS_VSE WFP_101029-with more ViewPad 7_VSA Roll-Up (LW)_LCD" xfId="0"/>
    <cellStyle name="_DS_VSE WFP_101029-with more ViewPad 7_VSA Roll-Up (LW)_PJ" xfId="0"/>
    <cellStyle name="_DSBvsWFP" xfId="0"/>
    <cellStyle name="_DSBvsWFP 2" xfId="0"/>
    <cellStyle name="_EUR" xfId="0"/>
    <cellStyle name="_EUR 2" xfId="0"/>
    <cellStyle name="_Euro BPA " xfId="0"/>
    <cellStyle name="_Euro BPA  2" xfId="0"/>
    <cellStyle name="_Euro BPA  2 10" xfId="0"/>
    <cellStyle name="_Euro BPA  2 10 2" xfId="0"/>
    <cellStyle name="_Euro BPA  2 11" xfId="0"/>
    <cellStyle name="_Euro BPA  2 11 2" xfId="0"/>
    <cellStyle name="_Euro BPA  2 12" xfId="0"/>
    <cellStyle name="_Euro BPA  2 12 2" xfId="0"/>
    <cellStyle name="_Euro BPA  2 2" xfId="0"/>
    <cellStyle name="_Euro BPA  2_cash balance" xfId="0"/>
    <cellStyle name="_Euro BPA  2_cash balance 2" xfId="0"/>
    <cellStyle name="_Euro BPA  3" xfId="0"/>
    <cellStyle name="_Euro BPA  3 2" xfId="0"/>
    <cellStyle name="_Euro BPA  3_cash balance" xfId="0"/>
    <cellStyle name="_Euro BPA  3_cash balance 2" xfId="0"/>
    <cellStyle name="_Euro BPA  4" xfId="0"/>
    <cellStyle name="_Euro BPA  4 2" xfId="0"/>
    <cellStyle name="_Euro BPA  4_cash balance" xfId="0"/>
    <cellStyle name="_Euro BPA  4_cash balance 2" xfId="0"/>
    <cellStyle name="_Euro BPA  5" xfId="0"/>
    <cellStyle name="_Euro BPA  5 2" xfId="0"/>
    <cellStyle name="_Euro BPA  6" xfId="0"/>
    <cellStyle name="_Evercest" xfId="0"/>
    <cellStyle name="_Evercest 2" xfId="0"/>
    <cellStyle name="_FA ledger APR-09-standard" xfId="0"/>
    <cellStyle name="_FA ledger APR-09-standard 2" xfId="0"/>
    <cellStyle name="_FA ledger APR-09-standard_2011 FA (TWD) vsi" xfId="0"/>
    <cellStyle name="_FA ledger APR-09-standard_2011 FA (TWD) vsi 2" xfId="0"/>
    <cellStyle name="_FA ledger APR-09-standard_2011 FA (USD) vsi " xfId="0"/>
    <cellStyle name="_FA ledger APR-09-standard_2011 FA (USD) vsi  2" xfId="0"/>
    <cellStyle name="_FA ledger APR-09-standard_2012 FA (TWD) vsi" xfId="0"/>
    <cellStyle name="_FA ledger APR-09-standard_2012 FA (TWD) vsi 2" xfId="0"/>
    <cellStyle name="_FA ledger APR-09-standard_2012 FA (USD) vsi " xfId="0"/>
    <cellStyle name="_FA ledger APR-09-standard_2012 FA (USD) vsi  2" xfId="0"/>
    <cellStyle name="_FA ledger APR-09-standard_RETIREMEN vsi" xfId="0"/>
    <cellStyle name="_FA ledger APR-09-standard_RETIREMEN vsi 2" xfId="0"/>
    <cellStyle name="_FA ledger APR-09-standard_TB-TWD" xfId="0"/>
    <cellStyle name="_FA ledger APR-09-standard_TB-TWD 2" xfId="0"/>
    <cellStyle name="_FA ledger APR-09-standard_VSI FA Rollforward 1003" xfId="0"/>
    <cellStyle name="_FA ledger APR-09-standard_VSI FA Rollforward 1003 2" xfId="0"/>
    <cellStyle name="_FA ledger APR-09-standard_VSI FA Rollforward 1003_RETIREMEN vsi" xfId="0"/>
    <cellStyle name="_FA ledger APR-09-standard_VSI FA Rollforward 1003_RETIREMEN vsi 2" xfId="0"/>
    <cellStyle name="_FA ledger MAR-09 " xfId="0"/>
    <cellStyle name="_FA ledger MAR-09  2" xfId="0"/>
    <cellStyle name="_FA ledger MAR-09 _2011 FA (TWD) vsi" xfId="0"/>
    <cellStyle name="_FA ledger MAR-09 _2011 FA (TWD) vsi 2" xfId="0"/>
    <cellStyle name="_FA ledger MAR-09 _2011 FA (USD) vsi " xfId="0"/>
    <cellStyle name="_FA ledger MAR-09 _2011 FA (USD) vsi  2" xfId="0"/>
    <cellStyle name="_FA ledger MAR-09 _2012 FA (TWD) vsi" xfId="0"/>
    <cellStyle name="_FA ledger MAR-09 _2012 FA (TWD) vsi 2" xfId="0"/>
    <cellStyle name="_FA ledger MAR-09 _2012 FA (USD) vsi " xfId="0"/>
    <cellStyle name="_FA ledger MAR-09 _2012 FA (USD) vsi  2" xfId="0"/>
    <cellStyle name="_FA ledger MAR-09 _RETIREMEN vsi" xfId="0"/>
    <cellStyle name="_FA ledger MAR-09 _RETIREMEN vsi 2" xfId="0"/>
    <cellStyle name="_FA ledger MAR-09 _TB-TWD" xfId="0"/>
    <cellStyle name="_FA ledger MAR-09 _TB-TWD 2" xfId="0"/>
    <cellStyle name="_FA ledger MAR-09 _VSI FA Rollforward 1003" xfId="0"/>
    <cellStyle name="_FA ledger MAR-09 _VSI FA Rollforward 1003 2" xfId="0"/>
    <cellStyle name="_FA ledger MAR-09 _VSI FA Rollforward 1003_RETIREMEN vsi" xfId="0"/>
    <cellStyle name="_FA ledger MAR-09 _VSI FA Rollforward 1003_RETIREMEN vsi 2" xfId="0"/>
    <cellStyle name="_ForecastPrdtVendor-042409xls (2)" xfId="0"/>
    <cellStyle name="_ForecastPrdtVendor-042409xls (2) 2" xfId="0"/>
    <cellStyle name="_ForecastPrdtVendor-042409xls (2)_VSA Cash Forecast 04-4-10" xfId="0"/>
    <cellStyle name="_ForecastPrdtVendor-042409xls (2)_VSA Cash Forecast 04-4-10 2" xfId="0"/>
    <cellStyle name="_GBP" xfId="0"/>
    <cellStyle name="_GBP 2" xfId="0"/>
    <cellStyle name="_GBP No.2" xfId="0"/>
    <cellStyle name="_GBP No.2 2" xfId="0"/>
    <cellStyle name="_GBP No.2 2 2" xfId="0"/>
    <cellStyle name="_GBP No.2 2_cash balance" xfId="0"/>
    <cellStyle name="_GBP No.2 2_cash balance 2" xfId="0"/>
    <cellStyle name="_GBP No.2 3" xfId="0"/>
    <cellStyle name="_GBP No.2 3 2" xfId="0"/>
    <cellStyle name="_GBP No.2 3_cash balance" xfId="0"/>
    <cellStyle name="_GBP No.2 3_cash balance 2" xfId="0"/>
    <cellStyle name="_GBP No.2 4" xfId="0"/>
    <cellStyle name="_GBP No.2 4 2" xfId="0"/>
    <cellStyle name="_GBP No.2 4_cash balance" xfId="0"/>
    <cellStyle name="_GBP No.2 4_cash balance 2" xfId="0"/>
    <cellStyle name="_GBP No.2 5" xfId="0"/>
    <cellStyle name="_GBP No.2 5 2" xfId="0"/>
    <cellStyle name="_GBP No.2 6" xfId="0"/>
    <cellStyle name="_HannStar" xfId="0"/>
    <cellStyle name="_HannStar 2" xfId="0"/>
    <cellStyle name="_HannStar Display Corporation" xfId="0"/>
    <cellStyle name="_HannStar Display Corporation 2" xfId="0"/>
    <cellStyle name="_Highgrade Tech" xfId="0"/>
    <cellStyle name="_Highgrade Tech 2" xfId="0"/>
    <cellStyle name="_Hitach" xfId="0"/>
    <cellStyle name="_Hitach 2" xfId="0"/>
    <cellStyle name="_Hitachi" xfId="0"/>
    <cellStyle name="_Hitachi 2" xfId="0"/>
    <cellStyle name="_Hon Hai" xfId="0"/>
    <cellStyle name="_Hon Hai 2" xfId="0"/>
    <cellStyle name="_Honhai" xfId="0"/>
    <cellStyle name="_Honhai 2" xfId="0"/>
    <cellStyle name="_Innolux" xfId="0"/>
    <cellStyle name="_Innolux 2" xfId="0"/>
    <cellStyle name="_Innolux Display Corporation" xfId="0"/>
    <cellStyle name="_Innolux Display Corporation 2" xfId="0"/>
    <cellStyle name="_Innolux_1" xfId="0"/>
    <cellStyle name="_Innolux_1 2" xfId="0"/>
    <cellStyle name="_INVENTORY CASH FLOW_100226" xfId="0"/>
    <cellStyle name="_INVENTORY CASH FLOW_100226 2" xfId="0"/>
    <cellStyle name="_INVENTORY CASH FLOW_100312" xfId="0"/>
    <cellStyle name="_INVENTORY CASH FLOW_100312 2" xfId="0"/>
    <cellStyle name="_INVENTORY CASH FLOW_100319" xfId="0"/>
    <cellStyle name="_INVENTORY CASH FLOW_100319 2" xfId="0"/>
    <cellStyle name="_INVENTORY CASH FLOW_100806" xfId="0"/>
    <cellStyle name="_INVENTORY CASH FLOW_100806 2" xfId="0"/>
    <cellStyle name="_INVENTORY CASH FLOW_1010029" xfId="0"/>
    <cellStyle name="_INVENTORY CASH FLOW_1010029 2" xfId="0"/>
    <cellStyle name="_Inventory Cashflow" xfId="0"/>
    <cellStyle name="_Inventory Cashflow 2" xfId="0"/>
    <cellStyle name="_Invoice" xfId="0"/>
    <cellStyle name="_Invoice 2" xfId="0"/>
    <cellStyle name="_J &amp; W Technology Ltd" xfId="0"/>
    <cellStyle name="_J &amp; W Technology Ltd 2" xfId="0"/>
    <cellStyle name="_Jan 08 Margin" xfId="0"/>
    <cellStyle name="_Jan 08 Margin 2" xfId="0"/>
    <cellStyle name="_Jean" xfId="0"/>
    <cellStyle name="_Jean 2" xfId="0"/>
    <cellStyle name="_Jun 08 Margin" xfId="0"/>
    <cellStyle name="_Jun 08 Margin 2" xfId="0"/>
    <cellStyle name="_Jun 08 Margin-1" xfId="0"/>
    <cellStyle name="_Jun 08 Margin-1 2" xfId="0"/>
    <cellStyle name="_Jun-09" xfId="0"/>
    <cellStyle name="_Jun-09 2" xfId="0"/>
    <cellStyle name="_Keen High Technologies Ltd" xfId="0"/>
    <cellStyle name="_Keen High Technologies Ltd 2" xfId="0"/>
    <cellStyle name="_Keen High Technologies Ltd 2 2" xfId="0"/>
    <cellStyle name="_Keen High Technologies Ltd 3" xfId="0"/>
    <cellStyle name="_Keen High Technologies Ltd 3 2" xfId="0"/>
    <cellStyle name="_Keen High Technologies Ltd 4" xfId="0"/>
    <cellStyle name="_LC 12-13-2010" xfId="0"/>
    <cellStyle name="_LC 12-13-2010 2" xfId="0"/>
    <cellStyle name="_LCD" xfId="0"/>
    <cellStyle name="_LCD 2" xfId="0"/>
    <cellStyle name="_LCD 3" xfId="0"/>
    <cellStyle name="_LCD 4" xfId="0"/>
    <cellStyle name="_LCD 5" xfId="0"/>
    <cellStyle name="_LCD DCR" xfId="0"/>
    <cellStyle name="_LCD DCR 2" xfId="0"/>
    <cellStyle name="_LCD DCR_VSE DCR Planning Model and Trend Charts 20100118" xfId="0"/>
    <cellStyle name="_LCD DCR_VSE DCR Planning Model and Trend Charts 20100118 2" xfId="0"/>
    <cellStyle name="_LCD DCR_VSE DCR Planning Model and Trend Charts 20100315" xfId="0"/>
    <cellStyle name="_LCD DCR_VSE DCR Planning Model and Trend Charts 20100315 2" xfId="0"/>
    <cellStyle name="_LCD_By Region" xfId="0"/>
    <cellStyle name="_LCD_CIS" xfId="0"/>
    <cellStyle name="_LCD_CIS 2" xfId="0"/>
    <cellStyle name="_LCD_CIS 3" xfId="0"/>
    <cellStyle name="_LCD_CIS 4" xfId="0"/>
    <cellStyle name="_LCD_CIS_By Region" xfId="0"/>
    <cellStyle name="_LCD_CIS_CORP SG&amp;A" xfId="0"/>
    <cellStyle name="_LCD_CIS_Digitizer" xfId="0"/>
    <cellStyle name="_LCD_CIS_GPS OTHER" xfId="0"/>
    <cellStyle name="_LCD_CIS_GPS OTHER 2" xfId="0"/>
    <cellStyle name="_LCD_CIS_GPS OTHER 3" xfId="0"/>
    <cellStyle name="_LCD_CIS_GPS OTHER 4" xfId="0"/>
    <cellStyle name="_LCD_CIS_GPS OTHER 4 2" xfId="0"/>
    <cellStyle name="_LCD_CIS_GPS OTHER_By Region" xfId="0"/>
    <cellStyle name="_LCD_CIS_GPS OTHER_CORP SG&amp;A" xfId="0"/>
    <cellStyle name="_LCD_CIS_GPS OTHER_LCD" xfId="0"/>
    <cellStyle name="_LCD_CIS_GPS OTHER_PJ" xfId="0"/>
    <cellStyle name="_LCD_CIS_LCD" xfId="0"/>
    <cellStyle name="_LCD_CIS_LCD 2" xfId="0"/>
    <cellStyle name="_LCD_CIS_LCD 3" xfId="0"/>
    <cellStyle name="_LCD_CIS_LCD 4" xfId="0"/>
    <cellStyle name="_LCD_CIS_LCD_By Region" xfId="0"/>
    <cellStyle name="_LCD_CIS_LCD_CORP SG&amp;A" xfId="0"/>
    <cellStyle name="_LCD_CIS_LCD_LCD" xfId="0"/>
    <cellStyle name="_LCD_CIS_LCD_PJ" xfId="0"/>
    <cellStyle name="_LCD_CIS_lightling" xfId="0"/>
    <cellStyle name="_LCD_CIS_lightling 2" xfId="0"/>
    <cellStyle name="_LCD_CIS_lightling 3" xfId="0"/>
    <cellStyle name="_LCD_CIS_lightling_By Region" xfId="0"/>
    <cellStyle name="_LCD_CIS_PC Products" xfId="0"/>
    <cellStyle name="_LCD_CIS_PC Products 2" xfId="0"/>
    <cellStyle name="_LCD_CIS_PC Products 3" xfId="0"/>
    <cellStyle name="_LCD_CIS_PC Products 4" xfId="0"/>
    <cellStyle name="_LCD_CIS_PC Products 4 2" xfId="0"/>
    <cellStyle name="_LCD_CIS_PC Products_By Region" xfId="0"/>
    <cellStyle name="_LCD_CIS_PC Products_CORP SG&amp;A" xfId="0"/>
    <cellStyle name="_LCD_CIS_PC Products_LCD" xfId="0"/>
    <cellStyle name="_LCD_CIS_PC Products_PJ" xfId="0"/>
    <cellStyle name="_LCD_CIS_VSA 111014" xfId="0"/>
    <cellStyle name="_LCD_CIS_VSA 111014 2" xfId="0"/>
    <cellStyle name="_LCD_CIS_VSA 111014 3" xfId="0"/>
    <cellStyle name="_LCD_CIS_VSA 111014 4" xfId="0"/>
    <cellStyle name="_LCD_CIS_VSA 111014 4 2" xfId="0"/>
    <cellStyle name="_LCD_CIS_VSA 111014_By Region" xfId="0"/>
    <cellStyle name="_LCD_CIS_VSA 111014_CORP SG&amp;A" xfId="0"/>
    <cellStyle name="_LCD_CIS_VSA 111014_LCD" xfId="0"/>
    <cellStyle name="_LCD_CIS_VSA 111014_PJ" xfId="0"/>
    <cellStyle name="_LCD_CIS_VSA Roll-Up (LW)" xfId="0"/>
    <cellStyle name="_LCD_CIS_VSA Roll-Up (LW) 2" xfId="0"/>
    <cellStyle name="_LCD_CIS_VSA Roll-Up (LW) 3" xfId="0"/>
    <cellStyle name="_LCD_CIS_VSA Roll-Up (LW) 4" xfId="0"/>
    <cellStyle name="_LCD_CIS_VSA Roll-Up (LW) 4 2" xfId="0"/>
    <cellStyle name="_LCD_CIS_VSA Roll-Up (LW)_By Region" xfId="0"/>
    <cellStyle name="_LCD_CIS_VSA Roll-Up (LW)_CORP SG&amp;A" xfId="0"/>
    <cellStyle name="_LCD_CIS_VSA Roll-Up (LW)_LCD" xfId="0"/>
    <cellStyle name="_LCD_CIS_VSA Roll-Up (LW)_PJ" xfId="0"/>
    <cellStyle name="_LCD_CORP SG&amp;A" xfId="0"/>
    <cellStyle name="_LCD_CRT" xfId="0"/>
    <cellStyle name="_LCD_CRT 2" xfId="0"/>
    <cellStyle name="_LCD_CRT 3" xfId="0"/>
    <cellStyle name="_LCD_CRT 4" xfId="0"/>
    <cellStyle name="_LCD_CRT_By Region" xfId="0"/>
    <cellStyle name="_LCD_CRT_CORP SG&amp;A" xfId="0"/>
    <cellStyle name="_LCD_CRT_Digitizer" xfId="0"/>
    <cellStyle name="_LCD_CRT_GPS OTHER" xfId="0"/>
    <cellStyle name="_LCD_CRT_GPS OTHER 2" xfId="0"/>
    <cellStyle name="_LCD_CRT_GPS OTHER 3" xfId="0"/>
    <cellStyle name="_LCD_CRT_GPS OTHER 4" xfId="0"/>
    <cellStyle name="_LCD_CRT_GPS OTHER 4 2" xfId="0"/>
    <cellStyle name="_LCD_CRT_GPS OTHER_By Region" xfId="0"/>
    <cellStyle name="_LCD_CRT_GPS OTHER_CORP SG&amp;A" xfId="0"/>
    <cellStyle name="_LCD_CRT_GPS OTHER_LCD" xfId="0"/>
    <cellStyle name="_LCD_CRT_GPS OTHER_PJ" xfId="0"/>
    <cellStyle name="_LCD_CRT_LCD" xfId="0"/>
    <cellStyle name="_LCD_CRT_LCD 2" xfId="0"/>
    <cellStyle name="_LCD_CRT_LCD 3" xfId="0"/>
    <cellStyle name="_LCD_CRT_LCD 4" xfId="0"/>
    <cellStyle name="_LCD_CRT_LCD_By Region" xfId="0"/>
    <cellStyle name="_LCD_CRT_LCD_CORP SG&amp;A" xfId="0"/>
    <cellStyle name="_LCD_CRT_LCD_LCD" xfId="0"/>
    <cellStyle name="_LCD_CRT_LCD_PJ" xfId="0"/>
    <cellStyle name="_LCD_CRT_PC Products" xfId="0"/>
    <cellStyle name="_LCD_CRT_PC Products 2" xfId="0"/>
    <cellStyle name="_LCD_CRT_PC Products 3" xfId="0"/>
    <cellStyle name="_LCD_CRT_PC Products 4" xfId="0"/>
    <cellStyle name="_LCD_CRT_PC Products 4 2" xfId="0"/>
    <cellStyle name="_LCD_CRT_PC Products_By Region" xfId="0"/>
    <cellStyle name="_LCD_CRT_PC Products_CORP SG&amp;A" xfId="0"/>
    <cellStyle name="_LCD_CRT_PC Products_LCD" xfId="0"/>
    <cellStyle name="_LCD_CRT_PC Products_PJ" xfId="0"/>
    <cellStyle name="_LCD_CRT_VSA 111014" xfId="0"/>
    <cellStyle name="_LCD_CRT_VSA 111014 2" xfId="0"/>
    <cellStyle name="_LCD_CRT_VSA 111014 3" xfId="0"/>
    <cellStyle name="_LCD_CRT_VSA 111014 4" xfId="0"/>
    <cellStyle name="_LCD_CRT_VSA 111014 4 2" xfId="0"/>
    <cellStyle name="_LCD_CRT_VSA 111014_By Region" xfId="0"/>
    <cellStyle name="_LCD_CRT_VSA 111014_CORP SG&amp;A" xfId="0"/>
    <cellStyle name="_LCD_CRT_VSA 111014_LCD" xfId="0"/>
    <cellStyle name="_LCD_CRT_VSA 111014_PJ" xfId="0"/>
    <cellStyle name="_LCD_CRT_VSA Roll-Up (LW)" xfId="0"/>
    <cellStyle name="_LCD_CRT_VSA Roll-Up (LW) 2" xfId="0"/>
    <cellStyle name="_LCD_CRT_VSA Roll-Up (LW) 3" xfId="0"/>
    <cellStyle name="_LCD_CRT_VSA Roll-Up (LW) 4" xfId="0"/>
    <cellStyle name="_LCD_CRT_VSA Roll-Up (LW) 4 2" xfId="0"/>
    <cellStyle name="_LCD_CRT_VSA Roll-Up (LW)_By Region" xfId="0"/>
    <cellStyle name="_LCD_CRT_VSA Roll-Up (LW)_CORP SG&amp;A" xfId="0"/>
    <cellStyle name="_LCD_CRT_VSA Roll-Up (LW)_LCD" xfId="0"/>
    <cellStyle name="_LCD_CRT_VSA Roll-Up (LW)_PJ" xfId="0"/>
    <cellStyle name="_LCD_Diff" xfId="0"/>
    <cellStyle name="_LCD_Diff 2" xfId="0"/>
    <cellStyle name="_LCD_Diff 3" xfId="0"/>
    <cellStyle name="_LCD_Diff 4" xfId="0"/>
    <cellStyle name="_LCD_Diff_By Region" xfId="0"/>
    <cellStyle name="_LCD_Diff_CORP SG&amp;A" xfId="0"/>
    <cellStyle name="_LCD_Diff_Digitizer" xfId="0"/>
    <cellStyle name="_LCD_Diff_GPS OTHER" xfId="0"/>
    <cellStyle name="_LCD_Diff_GPS OTHER 2" xfId="0"/>
    <cellStyle name="_LCD_Diff_GPS OTHER 3" xfId="0"/>
    <cellStyle name="_LCD_Diff_GPS OTHER 4" xfId="0"/>
    <cellStyle name="_LCD_Diff_GPS OTHER 4 2" xfId="0"/>
    <cellStyle name="_LCD_Diff_GPS OTHER_By Region" xfId="0"/>
    <cellStyle name="_LCD_Diff_GPS OTHER_CORP SG&amp;A" xfId="0"/>
    <cellStyle name="_LCD_Diff_GPS OTHER_LCD" xfId="0"/>
    <cellStyle name="_LCD_Diff_GPS OTHER_PJ" xfId="0"/>
    <cellStyle name="_LCD_Diff_LCD" xfId="0"/>
    <cellStyle name="_LCD_Diff_LCD 2" xfId="0"/>
    <cellStyle name="_LCD_Diff_LCD 3" xfId="0"/>
    <cellStyle name="_LCD_Diff_LCD 4" xfId="0"/>
    <cellStyle name="_LCD_Diff_LCD_By Region" xfId="0"/>
    <cellStyle name="_LCD_Diff_LCD_CORP SG&amp;A" xfId="0"/>
    <cellStyle name="_LCD_Diff_LCD_LCD" xfId="0"/>
    <cellStyle name="_LCD_Diff_LCD_PJ" xfId="0"/>
    <cellStyle name="_LCD_Diff_PC Products" xfId="0"/>
    <cellStyle name="_LCD_Diff_PC Products 2" xfId="0"/>
    <cellStyle name="_LCD_Diff_PC Products 3" xfId="0"/>
    <cellStyle name="_LCD_Diff_PC Products 4" xfId="0"/>
    <cellStyle name="_LCD_Diff_PC Products 4 2" xfId="0"/>
    <cellStyle name="_LCD_Diff_PC Products_By Region" xfId="0"/>
    <cellStyle name="_LCD_Diff_PC Products_CORP SG&amp;A" xfId="0"/>
    <cellStyle name="_LCD_Diff_PC Products_LCD" xfId="0"/>
    <cellStyle name="_LCD_Diff_PC Products_PJ" xfId="0"/>
    <cellStyle name="_LCD_Diff_VSA 111014" xfId="0"/>
    <cellStyle name="_LCD_Diff_VSA 111014 2" xfId="0"/>
    <cellStyle name="_LCD_Diff_VSA 111014 3" xfId="0"/>
    <cellStyle name="_LCD_Diff_VSA 111014 4" xfId="0"/>
    <cellStyle name="_LCD_Diff_VSA 111014 4 2" xfId="0"/>
    <cellStyle name="_LCD_Diff_VSA 111014_By Region" xfId="0"/>
    <cellStyle name="_LCD_Diff_VSA 111014_CORP SG&amp;A" xfId="0"/>
    <cellStyle name="_LCD_Diff_VSA 111014_LCD" xfId="0"/>
    <cellStyle name="_LCD_Diff_VSA 111014_PJ" xfId="0"/>
    <cellStyle name="_LCD_Diff_VSA Roll-Up (LW)" xfId="0"/>
    <cellStyle name="_LCD_Diff_VSA Roll-Up (LW) 2" xfId="0"/>
    <cellStyle name="_LCD_Diff_VSA Roll-Up (LW) 3" xfId="0"/>
    <cellStyle name="_LCD_Diff_VSA Roll-Up (LW) 4" xfId="0"/>
    <cellStyle name="_LCD_Diff_VSA Roll-Up (LW) 4 2" xfId="0"/>
    <cellStyle name="_LCD_Diff_VSA Roll-Up (LW)_By Region" xfId="0"/>
    <cellStyle name="_LCD_Diff_VSA Roll-Up (LW)_CORP SG&amp;A" xfId="0"/>
    <cellStyle name="_LCD_Diff_VSA Roll-Up (LW)_LCD" xfId="0"/>
    <cellStyle name="_LCD_Diff_VSA Roll-Up (LW)_PJ" xfId="0"/>
    <cellStyle name="_LCD_Digital Product" xfId="0"/>
    <cellStyle name="_LCD_Digital Product 2" xfId="0"/>
    <cellStyle name="_LCD_Digital Product 3" xfId="0"/>
    <cellStyle name="_LCD_Digital Product 4" xfId="0"/>
    <cellStyle name="_LCD_Digital Product_By Region" xfId="0"/>
    <cellStyle name="_LCD_Digital Product_CORP SG&amp;A" xfId="0"/>
    <cellStyle name="_LCD_Digital Product_Digitizer" xfId="0"/>
    <cellStyle name="_LCD_Digital Product_GPS OTHER" xfId="0"/>
    <cellStyle name="_LCD_Digital Product_GPS OTHER 2" xfId="0"/>
    <cellStyle name="_LCD_Digital Product_GPS OTHER 3" xfId="0"/>
    <cellStyle name="_LCD_Digital Product_GPS OTHER 4" xfId="0"/>
    <cellStyle name="_LCD_Digital Product_GPS OTHER 4 2" xfId="0"/>
    <cellStyle name="_LCD_Digital Product_GPS OTHER_By Region" xfId="0"/>
    <cellStyle name="_LCD_Digital Product_GPS OTHER_CORP SG&amp;A" xfId="0"/>
    <cellStyle name="_LCD_Digital Product_GPS OTHER_LCD" xfId="0"/>
    <cellStyle name="_LCD_Digital Product_GPS OTHER_PJ" xfId="0"/>
    <cellStyle name="_LCD_Digital Product_LCD" xfId="0"/>
    <cellStyle name="_LCD_Digital Product_LCD 2" xfId="0"/>
    <cellStyle name="_LCD_Digital Product_LCD 3" xfId="0"/>
    <cellStyle name="_LCD_Digital Product_LCD 4" xfId="0"/>
    <cellStyle name="_LCD_Digital Product_LCD_By Region" xfId="0"/>
    <cellStyle name="_LCD_Digital Product_LCD_CORP SG&amp;A" xfId="0"/>
    <cellStyle name="_LCD_Digital Product_LCD_LCD" xfId="0"/>
    <cellStyle name="_LCD_Digital Product_LCD_PJ" xfId="0"/>
    <cellStyle name="_LCD_Digital Product_PC Products" xfId="0"/>
    <cellStyle name="_LCD_Digital Product_PC Products 2" xfId="0"/>
    <cellStyle name="_LCD_Digital Product_PC Products 3" xfId="0"/>
    <cellStyle name="_LCD_Digital Product_PC Products 4" xfId="0"/>
    <cellStyle name="_LCD_Digital Product_PC Products 4 2" xfId="0"/>
    <cellStyle name="_LCD_Digital Product_PC Products_By Region" xfId="0"/>
    <cellStyle name="_LCD_Digital Product_PC Products_CORP SG&amp;A" xfId="0"/>
    <cellStyle name="_LCD_Digital Product_PC Products_LCD" xfId="0"/>
    <cellStyle name="_LCD_Digital Product_PC Products_PJ" xfId="0"/>
    <cellStyle name="_LCD_Digital Product_VSA 111014" xfId="0"/>
    <cellStyle name="_LCD_Digital Product_VSA 111014 2" xfId="0"/>
    <cellStyle name="_LCD_Digital Product_VSA 111014 3" xfId="0"/>
    <cellStyle name="_LCD_Digital Product_VSA 111014 4" xfId="0"/>
    <cellStyle name="_LCD_Digital Product_VSA 111014 4 2" xfId="0"/>
    <cellStyle name="_LCD_Digital Product_VSA 111014_By Region" xfId="0"/>
    <cellStyle name="_LCD_Digital Product_VSA 111014_CORP SG&amp;A" xfId="0"/>
    <cellStyle name="_LCD_Digital Product_VSA 111014_LCD" xfId="0"/>
    <cellStyle name="_LCD_Digital Product_VSA 111014_PJ" xfId="0"/>
    <cellStyle name="_LCD_Digital Product_VSA Roll-Up (LW)" xfId="0"/>
    <cellStyle name="_LCD_Digital Product_VSA Roll-Up (LW) 2" xfId="0"/>
    <cellStyle name="_LCD_Digital Product_VSA Roll-Up (LW) 3" xfId="0"/>
    <cellStyle name="_LCD_Digital Product_VSA Roll-Up (LW) 4" xfId="0"/>
    <cellStyle name="_LCD_Digital Product_VSA Roll-Up (LW) 4 2" xfId="0"/>
    <cellStyle name="_LCD_Digital Product_VSA Roll-Up (LW)_By Region" xfId="0"/>
    <cellStyle name="_LCD_Digital Product_VSA Roll-Up (LW)_CORP SG&amp;A" xfId="0"/>
    <cellStyle name="_LCD_Digital Product_VSA Roll-Up (LW)_LCD" xfId="0"/>
    <cellStyle name="_LCD_Digital Product_VSA Roll-Up (LW)_PJ" xfId="0"/>
    <cellStyle name="_LCD_Digital Signage" xfId="0"/>
    <cellStyle name="_LCD_Digital Signage 2" xfId="0"/>
    <cellStyle name="_LCD_Digital Signage 3" xfId="0"/>
    <cellStyle name="_LCD_Digital Signage 4" xfId="0"/>
    <cellStyle name="_LCD_Digital Signage_By Region" xfId="0"/>
    <cellStyle name="_LCD_Digital Signage_CORP SG&amp;A" xfId="0"/>
    <cellStyle name="_LCD_Digital Signage_Digitizer" xfId="0"/>
    <cellStyle name="_LCD_Digital Signage_GPS OTHER" xfId="0"/>
    <cellStyle name="_LCD_Digital Signage_GPS OTHER 2" xfId="0"/>
    <cellStyle name="_LCD_Digital Signage_GPS OTHER 3" xfId="0"/>
    <cellStyle name="_LCD_Digital Signage_GPS OTHER 4" xfId="0"/>
    <cellStyle name="_LCD_Digital Signage_GPS OTHER 4 2" xfId="0"/>
    <cellStyle name="_LCD_Digital Signage_GPS OTHER_By Region" xfId="0"/>
    <cellStyle name="_LCD_Digital Signage_GPS OTHER_CORP SG&amp;A" xfId="0"/>
    <cellStyle name="_LCD_Digital Signage_GPS OTHER_LCD" xfId="0"/>
    <cellStyle name="_LCD_Digital Signage_GPS OTHER_PJ" xfId="0"/>
    <cellStyle name="_LCD_Digital Signage_LCD" xfId="0"/>
    <cellStyle name="_LCD_Digital Signage_LCD 2" xfId="0"/>
    <cellStyle name="_LCD_Digital Signage_LCD 3" xfId="0"/>
    <cellStyle name="_LCD_Digital Signage_LCD 4" xfId="0"/>
    <cellStyle name="_LCD_Digital Signage_LCD_By Region" xfId="0"/>
    <cellStyle name="_LCD_Digital Signage_LCD_CORP SG&amp;A" xfId="0"/>
    <cellStyle name="_LCD_Digital Signage_LCD_LCD" xfId="0"/>
    <cellStyle name="_LCD_Digital Signage_LCD_PJ" xfId="0"/>
    <cellStyle name="_LCD_Digital Signage_PC Products" xfId="0"/>
    <cellStyle name="_LCD_Digital Signage_PC Products 2" xfId="0"/>
    <cellStyle name="_LCD_Digital Signage_PC Products 3" xfId="0"/>
    <cellStyle name="_LCD_Digital Signage_PC Products 4" xfId="0"/>
    <cellStyle name="_LCD_Digital Signage_PC Products 4 2" xfId="0"/>
    <cellStyle name="_LCD_Digital Signage_PC Products_By Region" xfId="0"/>
    <cellStyle name="_LCD_Digital Signage_PC Products_CORP SG&amp;A" xfId="0"/>
    <cellStyle name="_LCD_Digital Signage_PC Products_LCD" xfId="0"/>
    <cellStyle name="_LCD_Digital Signage_PC Products_PJ" xfId="0"/>
    <cellStyle name="_LCD_Digital Signage_VSA 111014" xfId="0"/>
    <cellStyle name="_LCD_Digital Signage_VSA 111014 2" xfId="0"/>
    <cellStyle name="_LCD_Digital Signage_VSA 111014 3" xfId="0"/>
    <cellStyle name="_LCD_Digital Signage_VSA 111014 4" xfId="0"/>
    <cellStyle name="_LCD_Digital Signage_VSA 111014 4 2" xfId="0"/>
    <cellStyle name="_LCD_Digital Signage_VSA 111014_By Region" xfId="0"/>
    <cellStyle name="_LCD_Digital Signage_VSA 111014_CORP SG&amp;A" xfId="0"/>
    <cellStyle name="_LCD_Digital Signage_VSA 111014_LCD" xfId="0"/>
    <cellStyle name="_LCD_Digital Signage_VSA 111014_PJ" xfId="0"/>
    <cellStyle name="_LCD_Digital Signage_VSA Roll-Up (LW)" xfId="0"/>
    <cellStyle name="_LCD_Digital Signage_VSA Roll-Up (LW) 2" xfId="0"/>
    <cellStyle name="_LCD_Digital Signage_VSA Roll-Up (LW) 3" xfId="0"/>
    <cellStyle name="_LCD_Digital Signage_VSA Roll-Up (LW) 4" xfId="0"/>
    <cellStyle name="_LCD_Digital Signage_VSA Roll-Up (LW) 4 2" xfId="0"/>
    <cellStyle name="_LCD_Digital Signage_VSA Roll-Up (LW)_By Region" xfId="0"/>
    <cellStyle name="_LCD_Digital Signage_VSA Roll-Up (LW)_CORP SG&amp;A" xfId="0"/>
    <cellStyle name="_LCD_Digital Signage_VSA Roll-Up (LW)_LCD" xfId="0"/>
    <cellStyle name="_LCD_Digital Signage_VSA Roll-Up (LW)_PJ" xfId="0"/>
    <cellStyle name="_LCD_Digitizer" xfId="0"/>
    <cellStyle name="_LCD_DMA(VMP)" xfId="0"/>
    <cellStyle name="_LCD_DMA(VMP) 2" xfId="0"/>
    <cellStyle name="_LCD_DMA(VMP) 3" xfId="0"/>
    <cellStyle name="_LCD_DMA(VMP) 4" xfId="0"/>
    <cellStyle name="_LCD_DMA(VMP)_By Region" xfId="0"/>
    <cellStyle name="_LCD_DMA(VMP)_CORP SG&amp;A" xfId="0"/>
    <cellStyle name="_LCD_DMA(VMP)_Digitizer" xfId="0"/>
    <cellStyle name="_LCD_DMA(VMP)_GPS OTHER" xfId="0"/>
    <cellStyle name="_LCD_DMA(VMP)_GPS OTHER 2" xfId="0"/>
    <cellStyle name="_LCD_DMA(VMP)_GPS OTHER 3" xfId="0"/>
    <cellStyle name="_LCD_DMA(VMP)_GPS OTHER 4" xfId="0"/>
    <cellStyle name="_LCD_DMA(VMP)_GPS OTHER 4 2" xfId="0"/>
    <cellStyle name="_LCD_DMA(VMP)_GPS OTHER_By Region" xfId="0"/>
    <cellStyle name="_LCD_DMA(VMP)_GPS OTHER_CORP SG&amp;A" xfId="0"/>
    <cellStyle name="_LCD_DMA(VMP)_GPS OTHER_LCD" xfId="0"/>
    <cellStyle name="_LCD_DMA(VMP)_GPS OTHER_PJ" xfId="0"/>
    <cellStyle name="_LCD_DMA(VMP)_LCD" xfId="0"/>
    <cellStyle name="_LCD_DMA(VMP)_LCD 2" xfId="0"/>
    <cellStyle name="_LCD_DMA(VMP)_LCD 3" xfId="0"/>
    <cellStyle name="_LCD_DMA(VMP)_LCD 4" xfId="0"/>
    <cellStyle name="_LCD_DMA(VMP)_LCD_By Region" xfId="0"/>
    <cellStyle name="_LCD_DMA(VMP)_LCD_CORP SG&amp;A" xfId="0"/>
    <cellStyle name="_LCD_DMA(VMP)_LCD_LCD" xfId="0"/>
    <cellStyle name="_LCD_DMA(VMP)_LCD_PJ" xfId="0"/>
    <cellStyle name="_LCD_DMA(VMP)_PC Products" xfId="0"/>
    <cellStyle name="_LCD_DMA(VMP)_PC Products 2" xfId="0"/>
    <cellStyle name="_LCD_DMA(VMP)_PC Products 3" xfId="0"/>
    <cellStyle name="_LCD_DMA(VMP)_PC Products 4" xfId="0"/>
    <cellStyle name="_LCD_DMA(VMP)_PC Products 4 2" xfId="0"/>
    <cellStyle name="_LCD_DMA(VMP)_PC Products_By Region" xfId="0"/>
    <cellStyle name="_LCD_DMA(VMP)_PC Products_CORP SG&amp;A" xfId="0"/>
    <cellStyle name="_LCD_DMA(VMP)_PC Products_LCD" xfId="0"/>
    <cellStyle name="_LCD_DMA(VMP)_PC Products_PJ" xfId="0"/>
    <cellStyle name="_LCD_DMA(VMP)_VSA 111014" xfId="0"/>
    <cellStyle name="_LCD_DMA(VMP)_VSA 111014 2" xfId="0"/>
    <cellStyle name="_LCD_DMA(VMP)_VSA 111014 3" xfId="0"/>
    <cellStyle name="_LCD_DMA(VMP)_VSA 111014 4" xfId="0"/>
    <cellStyle name="_LCD_DMA(VMP)_VSA 111014 4 2" xfId="0"/>
    <cellStyle name="_LCD_DMA(VMP)_VSA 111014_By Region" xfId="0"/>
    <cellStyle name="_LCD_DMA(VMP)_VSA 111014_CORP SG&amp;A" xfId="0"/>
    <cellStyle name="_LCD_DMA(VMP)_VSA 111014_LCD" xfId="0"/>
    <cellStyle name="_LCD_DMA(VMP)_VSA 111014_PJ" xfId="0"/>
    <cellStyle name="_LCD_DMA(VMP)_VSA Roll-Up (LW)" xfId="0"/>
    <cellStyle name="_LCD_DMA(VMP)_VSA Roll-Up (LW) 2" xfId="0"/>
    <cellStyle name="_LCD_DMA(VMP)_VSA Roll-Up (LW) 3" xfId="0"/>
    <cellStyle name="_LCD_DMA(VMP)_VSA Roll-Up (LW) 4" xfId="0"/>
    <cellStyle name="_LCD_DMA(VMP)_VSA Roll-Up (LW) 4 2" xfId="0"/>
    <cellStyle name="_LCD_DMA(VMP)_VSA Roll-Up (LW)_By Region" xfId="0"/>
    <cellStyle name="_LCD_DMA(VMP)_VSA Roll-Up (LW)_CORP SG&amp;A" xfId="0"/>
    <cellStyle name="_LCD_DMA(VMP)_VSA Roll-Up (LW)_LCD" xfId="0"/>
    <cellStyle name="_LCD_DMA(VMP)_VSA Roll-Up (LW)_PJ" xfId="0"/>
    <cellStyle name="_LCD_DPF" xfId="0"/>
    <cellStyle name="_LCD_DPF 2" xfId="0"/>
    <cellStyle name="_LCD_DPF 3" xfId="0"/>
    <cellStyle name="_LCD_DPF 4" xfId="0"/>
    <cellStyle name="_LCD_DPF_By Region" xfId="0"/>
    <cellStyle name="_LCD_DPF_CORP SG&amp;A" xfId="0"/>
    <cellStyle name="_LCD_DPF_Digitizer" xfId="0"/>
    <cellStyle name="_LCD_DPF_GPS OTHER" xfId="0"/>
    <cellStyle name="_LCD_DPF_GPS OTHER 2" xfId="0"/>
    <cellStyle name="_LCD_DPF_GPS OTHER 3" xfId="0"/>
    <cellStyle name="_LCD_DPF_GPS OTHER 4" xfId="0"/>
    <cellStyle name="_LCD_DPF_GPS OTHER 4 2" xfId="0"/>
    <cellStyle name="_LCD_DPF_GPS OTHER_By Region" xfId="0"/>
    <cellStyle name="_LCD_DPF_GPS OTHER_CORP SG&amp;A" xfId="0"/>
    <cellStyle name="_LCD_DPF_GPS OTHER_LCD" xfId="0"/>
    <cellStyle name="_LCD_DPF_GPS OTHER_PJ" xfId="0"/>
    <cellStyle name="_LCD_DPF_LCD" xfId="0"/>
    <cellStyle name="_LCD_DPF_LCD 2" xfId="0"/>
    <cellStyle name="_LCD_DPF_LCD 3" xfId="0"/>
    <cellStyle name="_LCD_DPF_LCD 4" xfId="0"/>
    <cellStyle name="_LCD_DPF_LCD_By Region" xfId="0"/>
    <cellStyle name="_LCD_DPF_LCD_CORP SG&amp;A" xfId="0"/>
    <cellStyle name="_LCD_DPF_LCD_LCD" xfId="0"/>
    <cellStyle name="_LCD_DPF_LCD_PJ" xfId="0"/>
    <cellStyle name="_LCD_DPF_PC Products" xfId="0"/>
    <cellStyle name="_LCD_DPF_PC Products 2" xfId="0"/>
    <cellStyle name="_LCD_DPF_PC Products 3" xfId="0"/>
    <cellStyle name="_LCD_DPF_PC Products 4" xfId="0"/>
    <cellStyle name="_LCD_DPF_PC Products 4 2" xfId="0"/>
    <cellStyle name="_LCD_DPF_PC Products_By Region" xfId="0"/>
    <cellStyle name="_LCD_DPF_PC Products_CORP SG&amp;A" xfId="0"/>
    <cellStyle name="_LCD_DPF_PC Products_LCD" xfId="0"/>
    <cellStyle name="_LCD_DPF_PC Products_PJ" xfId="0"/>
    <cellStyle name="_LCD_DPF_VSA 111014" xfId="0"/>
    <cellStyle name="_LCD_DPF_VSA 111014 2" xfId="0"/>
    <cellStyle name="_LCD_DPF_VSA 111014 3" xfId="0"/>
    <cellStyle name="_LCD_DPF_VSA 111014 4" xfId="0"/>
    <cellStyle name="_LCD_DPF_VSA 111014 4 2" xfId="0"/>
    <cellStyle name="_LCD_DPF_VSA 111014_By Region" xfId="0"/>
    <cellStyle name="_LCD_DPF_VSA 111014_CORP SG&amp;A" xfId="0"/>
    <cellStyle name="_LCD_DPF_VSA 111014_LCD" xfId="0"/>
    <cellStyle name="_LCD_DPF_VSA 111014_PJ" xfId="0"/>
    <cellStyle name="_LCD_DPF_VSA Roll-Up (LW)" xfId="0"/>
    <cellStyle name="_LCD_DPF_VSA Roll-Up (LW) 2" xfId="0"/>
    <cellStyle name="_LCD_DPF_VSA Roll-Up (LW) 3" xfId="0"/>
    <cellStyle name="_LCD_DPF_VSA Roll-Up (LW) 4" xfId="0"/>
    <cellStyle name="_LCD_DPF_VSA Roll-Up (LW) 4 2" xfId="0"/>
    <cellStyle name="_LCD_DPF_VSA Roll-Up (LW)_By Region" xfId="0"/>
    <cellStyle name="_LCD_DPF_VSA Roll-Up (LW)_CORP SG&amp;A" xfId="0"/>
    <cellStyle name="_LCD_DPF_VSA Roll-Up (LW)_LCD" xfId="0"/>
    <cellStyle name="_LCD_DPF_VSA Roll-Up (LW)_PJ" xfId="0"/>
    <cellStyle name="_LCD_DS" xfId="0"/>
    <cellStyle name="_LCD_DS 2" xfId="0"/>
    <cellStyle name="_LCD_DS 3" xfId="0"/>
    <cellStyle name="_LCD_DS 4" xfId="0"/>
    <cellStyle name="_LCD_DS_By Region" xfId="0"/>
    <cellStyle name="_LCD_DS_CORP SG&amp;A" xfId="0"/>
    <cellStyle name="_LCD_DS_Digitizer" xfId="0"/>
    <cellStyle name="_LCD_DS_GPS OTHER" xfId="0"/>
    <cellStyle name="_LCD_DS_GPS OTHER 2" xfId="0"/>
    <cellStyle name="_LCD_DS_GPS OTHER 3" xfId="0"/>
    <cellStyle name="_LCD_DS_GPS OTHER 4" xfId="0"/>
    <cellStyle name="_LCD_DS_GPS OTHER 4 2" xfId="0"/>
    <cellStyle name="_LCD_DS_GPS OTHER_By Region" xfId="0"/>
    <cellStyle name="_LCD_DS_GPS OTHER_CORP SG&amp;A" xfId="0"/>
    <cellStyle name="_LCD_DS_GPS OTHER_LCD" xfId="0"/>
    <cellStyle name="_LCD_DS_GPS OTHER_PJ" xfId="0"/>
    <cellStyle name="_LCD_DS_LCD" xfId="0"/>
    <cellStyle name="_LCD_DS_LCD 2" xfId="0"/>
    <cellStyle name="_LCD_DS_LCD 3" xfId="0"/>
    <cellStyle name="_LCD_DS_LCD 4" xfId="0"/>
    <cellStyle name="_LCD_DS_LCD_By Region" xfId="0"/>
    <cellStyle name="_LCD_DS_LCD_CORP SG&amp;A" xfId="0"/>
    <cellStyle name="_LCD_DS_LCD_LCD" xfId="0"/>
    <cellStyle name="_LCD_DS_LCD_PJ" xfId="0"/>
    <cellStyle name="_LCD_DS_PC Products" xfId="0"/>
    <cellStyle name="_LCD_DS_PC Products 2" xfId="0"/>
    <cellStyle name="_LCD_DS_PC Products 3" xfId="0"/>
    <cellStyle name="_LCD_DS_PC Products 4" xfId="0"/>
    <cellStyle name="_LCD_DS_PC Products 4 2" xfId="0"/>
    <cellStyle name="_LCD_DS_PC Products_By Region" xfId="0"/>
    <cellStyle name="_LCD_DS_PC Products_CORP SG&amp;A" xfId="0"/>
    <cellStyle name="_LCD_DS_PC Products_LCD" xfId="0"/>
    <cellStyle name="_LCD_DS_PC Products_PJ" xfId="0"/>
    <cellStyle name="_LCD_DS_VSA 111014" xfId="0"/>
    <cellStyle name="_LCD_DS_VSA 111014 2" xfId="0"/>
    <cellStyle name="_LCD_DS_VSA 111014 3" xfId="0"/>
    <cellStyle name="_LCD_DS_VSA 111014 4" xfId="0"/>
    <cellStyle name="_LCD_DS_VSA 111014 4 2" xfId="0"/>
    <cellStyle name="_LCD_DS_VSA 111014_By Region" xfId="0"/>
    <cellStyle name="_LCD_DS_VSA 111014_CORP SG&amp;A" xfId="0"/>
    <cellStyle name="_LCD_DS_VSA 111014_LCD" xfId="0"/>
    <cellStyle name="_LCD_DS_VSA 111014_PJ" xfId="0"/>
    <cellStyle name="_LCD_DS_VSA Roll-Up (LW)" xfId="0"/>
    <cellStyle name="_LCD_DS_VSA Roll-Up (LW) 2" xfId="0"/>
    <cellStyle name="_LCD_DS_VSA Roll-Up (LW) 3" xfId="0"/>
    <cellStyle name="_LCD_DS_VSA Roll-Up (LW) 4" xfId="0"/>
    <cellStyle name="_LCD_DS_VSA Roll-Up (LW) 4 2" xfId="0"/>
    <cellStyle name="_LCD_DS_VSA Roll-Up (LW)_By Region" xfId="0"/>
    <cellStyle name="_LCD_DS_VSA Roll-Up (LW)_CORP SG&amp;A" xfId="0"/>
    <cellStyle name="_LCD_DS_VSA Roll-Up (LW)_LCD" xfId="0"/>
    <cellStyle name="_LCD_DS_VSA Roll-Up (LW)_PJ" xfId="0"/>
    <cellStyle name="_LCD_DVD_TV" xfId="0"/>
    <cellStyle name="_LCD_DVD_TV 2" xfId="0"/>
    <cellStyle name="_LCD_DVD_TV 3" xfId="0"/>
    <cellStyle name="_LCD_DVD_TV 4" xfId="0"/>
    <cellStyle name="_LCD_DVD_TV_By Region" xfId="0"/>
    <cellStyle name="_LCD_DVD_TV_CORP SG&amp;A" xfId="0"/>
    <cellStyle name="_LCD_DVD_TV_Digitizer" xfId="0"/>
    <cellStyle name="_LCD_DVD_TV_GPS OTHER" xfId="0"/>
    <cellStyle name="_LCD_DVD_TV_GPS OTHER 2" xfId="0"/>
    <cellStyle name="_LCD_DVD_TV_GPS OTHER 3" xfId="0"/>
    <cellStyle name="_LCD_DVD_TV_GPS OTHER 4" xfId="0"/>
    <cellStyle name="_LCD_DVD_TV_GPS OTHER 4 2" xfId="0"/>
    <cellStyle name="_LCD_DVD_TV_GPS OTHER_By Region" xfId="0"/>
    <cellStyle name="_LCD_DVD_TV_GPS OTHER_CORP SG&amp;A" xfId="0"/>
    <cellStyle name="_LCD_DVD_TV_GPS OTHER_LCD" xfId="0"/>
    <cellStyle name="_LCD_DVD_TV_GPS OTHER_PJ" xfId="0"/>
    <cellStyle name="_LCD_DVD_TV_LCD" xfId="0"/>
    <cellStyle name="_LCD_DVD_TV_LCD 2" xfId="0"/>
    <cellStyle name="_LCD_DVD_TV_LCD 3" xfId="0"/>
    <cellStyle name="_LCD_DVD_TV_LCD 4" xfId="0"/>
    <cellStyle name="_LCD_DVD_TV_LCD_By Region" xfId="0"/>
    <cellStyle name="_LCD_DVD_TV_LCD_CORP SG&amp;A" xfId="0"/>
    <cellStyle name="_LCD_DVD_TV_LCD_LCD" xfId="0"/>
    <cellStyle name="_LCD_DVD_TV_LCD_PJ" xfId="0"/>
    <cellStyle name="_LCD_DVD_TV_PC Products" xfId="0"/>
    <cellStyle name="_LCD_DVD_TV_PC Products 2" xfId="0"/>
    <cellStyle name="_LCD_DVD_TV_PC Products 3" xfId="0"/>
    <cellStyle name="_LCD_DVD_TV_PC Products 4" xfId="0"/>
    <cellStyle name="_LCD_DVD_TV_PC Products 4 2" xfId="0"/>
    <cellStyle name="_LCD_DVD_TV_PC Products_By Region" xfId="0"/>
    <cellStyle name="_LCD_DVD_TV_PC Products_CORP SG&amp;A" xfId="0"/>
    <cellStyle name="_LCD_DVD_TV_PC Products_LCD" xfId="0"/>
    <cellStyle name="_LCD_DVD_TV_PC Products_PJ" xfId="0"/>
    <cellStyle name="_LCD_DVD_TV_VSA 111014" xfId="0"/>
    <cellStyle name="_LCD_DVD_TV_VSA 111014 2" xfId="0"/>
    <cellStyle name="_LCD_DVD_TV_VSA 111014 3" xfId="0"/>
    <cellStyle name="_LCD_DVD_TV_VSA 111014 4" xfId="0"/>
    <cellStyle name="_LCD_DVD_TV_VSA 111014 4 2" xfId="0"/>
    <cellStyle name="_LCD_DVD_TV_VSA 111014_By Region" xfId="0"/>
    <cellStyle name="_LCD_DVD_TV_VSA 111014_CORP SG&amp;A" xfId="0"/>
    <cellStyle name="_LCD_DVD_TV_VSA 111014_LCD" xfId="0"/>
    <cellStyle name="_LCD_DVD_TV_VSA 111014_PJ" xfId="0"/>
    <cellStyle name="_LCD_DVD_TV_VSA Roll-Up (LW)" xfId="0"/>
    <cellStyle name="_LCD_DVD_TV_VSA Roll-Up (LW) 2" xfId="0"/>
    <cellStyle name="_LCD_DVD_TV_VSA Roll-Up (LW) 3" xfId="0"/>
    <cellStyle name="_LCD_DVD_TV_VSA Roll-Up (LW) 4" xfId="0"/>
    <cellStyle name="_LCD_DVD_TV_VSA Roll-Up (LW) 4 2" xfId="0"/>
    <cellStyle name="_LCD_DVD_TV_VSA Roll-Up (LW)_By Region" xfId="0"/>
    <cellStyle name="_LCD_DVD_TV_VSA Roll-Up (LW)_CORP SG&amp;A" xfId="0"/>
    <cellStyle name="_LCD_DVD_TV_VSA Roll-Up (LW)_LCD" xfId="0"/>
    <cellStyle name="_LCD_DVD_TV_VSA Roll-Up (LW)_PJ" xfId="0"/>
    <cellStyle name="_LCD_GPS OTHER" xfId="0"/>
    <cellStyle name="_LCD_GPS OTHER 2" xfId="0"/>
    <cellStyle name="_LCD_GPS OTHER 3" xfId="0"/>
    <cellStyle name="_LCD_GPS OTHER 4" xfId="0"/>
    <cellStyle name="_LCD_GPS OTHER 4 2" xfId="0"/>
    <cellStyle name="_LCD_GPS OTHER_By Region" xfId="0"/>
    <cellStyle name="_LCD_GPS OTHER_CORP SG&amp;A" xfId="0"/>
    <cellStyle name="_LCD_GPS OTHER_LCD" xfId="0"/>
    <cellStyle name="_LCD_GPS OTHER_PJ" xfId="0"/>
    <cellStyle name="_LCD_LCD" xfId="0"/>
    <cellStyle name="_LCD_LCD 2" xfId="0"/>
    <cellStyle name="_LCD_LCD 3" xfId="0"/>
    <cellStyle name="_LCD_LCD 4" xfId="0"/>
    <cellStyle name="_LCD_LCD_1" xfId="0"/>
    <cellStyle name="_LCD_LCD_1 2" xfId="0"/>
    <cellStyle name="_LCD_LCD_1 3" xfId="0"/>
    <cellStyle name="_LCD_LCD_1 4" xfId="0"/>
    <cellStyle name="_LCD_LCD_1_By Region" xfId="0"/>
    <cellStyle name="_LCD_LCD_1_CORP SG&amp;A" xfId="0"/>
    <cellStyle name="_LCD_LCD_1_LCD" xfId="0"/>
    <cellStyle name="_LCD_LCD_1_PJ" xfId="0"/>
    <cellStyle name="_LCD_LCD_By Region" xfId="0"/>
    <cellStyle name="_LCD_LCD_CORP SG&amp;A" xfId="0"/>
    <cellStyle name="_LCD_LCD_Digitizer" xfId="0"/>
    <cellStyle name="_LCD_LCD_GPS OTHER" xfId="0"/>
    <cellStyle name="_LCD_LCD_GPS OTHER 2" xfId="0"/>
    <cellStyle name="_LCD_LCD_GPS OTHER 3" xfId="0"/>
    <cellStyle name="_LCD_LCD_GPS OTHER 4" xfId="0"/>
    <cellStyle name="_LCD_LCD_GPS OTHER 4 2" xfId="0"/>
    <cellStyle name="_LCD_LCD_GPS OTHER_By Region" xfId="0"/>
    <cellStyle name="_LCD_LCD_GPS OTHER_CORP SG&amp;A" xfId="0"/>
    <cellStyle name="_LCD_LCD_GPS OTHER_LCD" xfId="0"/>
    <cellStyle name="_LCD_LCD_GPS OTHER_PJ" xfId="0"/>
    <cellStyle name="_LCD_LCD_LCD" xfId="0"/>
    <cellStyle name="_LCD_LCD_LCD 2" xfId="0"/>
    <cellStyle name="_LCD_LCD_LCD 3" xfId="0"/>
    <cellStyle name="_LCD_LCD_LCD 4" xfId="0"/>
    <cellStyle name="_LCD_LCD_LCD_By Region" xfId="0"/>
    <cellStyle name="_LCD_LCD_LCD_CORP SG&amp;A" xfId="0"/>
    <cellStyle name="_LCD_LCD_LCD_LCD" xfId="0"/>
    <cellStyle name="_LCD_LCD_LCD_PJ" xfId="0"/>
    <cellStyle name="_LCD_LCD_PC Products" xfId="0"/>
    <cellStyle name="_LCD_LCD_PC Products 2" xfId="0"/>
    <cellStyle name="_LCD_LCD_PC Products 3" xfId="0"/>
    <cellStyle name="_LCD_LCD_PC Products 4" xfId="0"/>
    <cellStyle name="_LCD_LCD_PC Products 4 2" xfId="0"/>
    <cellStyle name="_LCD_LCD_PC Products_By Region" xfId="0"/>
    <cellStyle name="_LCD_LCD_PC Products_CORP SG&amp;A" xfId="0"/>
    <cellStyle name="_LCD_LCD_PC Products_LCD" xfId="0"/>
    <cellStyle name="_LCD_LCD_PC Products_PJ" xfId="0"/>
    <cellStyle name="_LCD_LCD_VSA 111014" xfId="0"/>
    <cellStyle name="_LCD_LCD_VSA 111014 2" xfId="0"/>
    <cellStyle name="_LCD_LCD_VSA 111014 3" xfId="0"/>
    <cellStyle name="_LCD_LCD_VSA 111014 4" xfId="0"/>
    <cellStyle name="_LCD_LCD_VSA 111014 4 2" xfId="0"/>
    <cellStyle name="_LCD_LCD_VSA 111014_By Region" xfId="0"/>
    <cellStyle name="_LCD_LCD_VSA 111014_CORP SG&amp;A" xfId="0"/>
    <cellStyle name="_LCD_LCD_VSA 111014_LCD" xfId="0"/>
    <cellStyle name="_LCD_LCD_VSA 111014_PJ" xfId="0"/>
    <cellStyle name="_LCD_LCD_VSA Roll-Up (LW)" xfId="0"/>
    <cellStyle name="_LCD_LCD_VSA Roll-Up (LW) 2" xfId="0"/>
    <cellStyle name="_LCD_LCD_VSA Roll-Up (LW) 3" xfId="0"/>
    <cellStyle name="_LCD_LCD_VSA Roll-Up (LW) 4" xfId="0"/>
    <cellStyle name="_LCD_LCD_VSA Roll-Up (LW) 4 2" xfId="0"/>
    <cellStyle name="_LCD_LCD_VSA Roll-Up (LW)_By Region" xfId="0"/>
    <cellStyle name="_LCD_LCD_VSA Roll-Up (LW)_CORP SG&amp;A" xfId="0"/>
    <cellStyle name="_LCD_LCD_VSA Roll-Up (LW)_LCD" xfId="0"/>
    <cellStyle name="_LCD_LCD_VSA Roll-Up (LW)_PJ" xfId="0"/>
    <cellStyle name="_LCD_LCDTV" xfId="0"/>
    <cellStyle name="_LCD_LCDTV 2" xfId="0"/>
    <cellStyle name="_LCD_LCDTV 3" xfId="0"/>
    <cellStyle name="_LCD_LCDTV 4" xfId="0"/>
    <cellStyle name="_LCD_LCDTV_By Region" xfId="0"/>
    <cellStyle name="_LCD_LCDTV_CORP SG&amp;A" xfId="0"/>
    <cellStyle name="_LCD_LCDTV_Digitizer" xfId="0"/>
    <cellStyle name="_LCD_LCDTV_GPS OTHER" xfId="0"/>
    <cellStyle name="_LCD_LCDTV_GPS OTHER 2" xfId="0"/>
    <cellStyle name="_LCD_LCDTV_GPS OTHER 3" xfId="0"/>
    <cellStyle name="_LCD_LCDTV_GPS OTHER 4" xfId="0"/>
    <cellStyle name="_LCD_LCDTV_GPS OTHER 4 2" xfId="0"/>
    <cellStyle name="_LCD_LCDTV_GPS OTHER_By Region" xfId="0"/>
    <cellStyle name="_LCD_LCDTV_GPS OTHER_CORP SG&amp;A" xfId="0"/>
    <cellStyle name="_LCD_LCDTV_GPS OTHER_LCD" xfId="0"/>
    <cellStyle name="_LCD_LCDTV_GPS OTHER_PJ" xfId="0"/>
    <cellStyle name="_LCD_LCDTV_LCD" xfId="0"/>
    <cellStyle name="_LCD_LCDTV_LCD 2" xfId="0"/>
    <cellStyle name="_LCD_LCDTV_LCD 3" xfId="0"/>
    <cellStyle name="_LCD_LCDTV_LCD 4" xfId="0"/>
    <cellStyle name="_LCD_LCDTV_LCD_By Region" xfId="0"/>
    <cellStyle name="_LCD_LCDTV_LCD_CORP SG&amp;A" xfId="0"/>
    <cellStyle name="_LCD_LCDTV_LCD_LCD" xfId="0"/>
    <cellStyle name="_LCD_LCDTV_LCD_PJ" xfId="0"/>
    <cellStyle name="_LCD_LCDTV_PC Products" xfId="0"/>
    <cellStyle name="_LCD_LCDTV_PC Products 2" xfId="0"/>
    <cellStyle name="_LCD_LCDTV_PC Products 3" xfId="0"/>
    <cellStyle name="_LCD_LCDTV_PC Products 4" xfId="0"/>
    <cellStyle name="_LCD_LCDTV_PC Products 4 2" xfId="0"/>
    <cellStyle name="_LCD_LCDTV_PC Products_By Region" xfId="0"/>
    <cellStyle name="_LCD_LCDTV_PC Products_CORP SG&amp;A" xfId="0"/>
    <cellStyle name="_LCD_LCDTV_PC Products_LCD" xfId="0"/>
    <cellStyle name="_LCD_LCDTV_PC Products_PJ" xfId="0"/>
    <cellStyle name="_LCD_LCDTV_VSA 111014" xfId="0"/>
    <cellStyle name="_LCD_LCDTV_VSA 111014 2" xfId="0"/>
    <cellStyle name="_LCD_LCDTV_VSA 111014 3" xfId="0"/>
    <cellStyle name="_LCD_LCDTV_VSA 111014 4" xfId="0"/>
    <cellStyle name="_LCD_LCDTV_VSA 111014 4 2" xfId="0"/>
    <cellStyle name="_LCD_LCDTV_VSA 111014_By Region" xfId="0"/>
    <cellStyle name="_LCD_LCDTV_VSA 111014_CORP SG&amp;A" xfId="0"/>
    <cellStyle name="_LCD_LCDTV_VSA 111014_LCD" xfId="0"/>
    <cellStyle name="_LCD_LCDTV_VSA 111014_PJ" xfId="0"/>
    <cellStyle name="_LCD_LCDTV_VSA Roll-Up (LW)" xfId="0"/>
    <cellStyle name="_LCD_LCDTV_VSA Roll-Up (LW) 2" xfId="0"/>
    <cellStyle name="_LCD_LCDTV_VSA Roll-Up (LW) 3" xfId="0"/>
    <cellStyle name="_LCD_LCDTV_VSA Roll-Up (LW) 4" xfId="0"/>
    <cellStyle name="_LCD_LCDTV_VSA Roll-Up (LW) 4 2" xfId="0"/>
    <cellStyle name="_LCD_LCDTV_VSA Roll-Up (LW)_By Region" xfId="0"/>
    <cellStyle name="_LCD_LCDTV_VSA Roll-Up (LW)_CORP SG&amp;A" xfId="0"/>
    <cellStyle name="_LCD_LCDTV_VSA Roll-Up (LW)_LCD" xfId="0"/>
    <cellStyle name="_LCD_LCDTV_VSA Roll-Up (LW)_PJ" xfId="0"/>
    <cellStyle name="_LCD_lightling" xfId="0"/>
    <cellStyle name="_LCD_lightling 2" xfId="0"/>
    <cellStyle name="_LCD_lightling 3" xfId="0"/>
    <cellStyle name="_LCD_lightling_By Region" xfId="0"/>
    <cellStyle name="_LCD_MNT" xfId="0"/>
    <cellStyle name="_LCD_MNT 2" xfId="0"/>
    <cellStyle name="_LCD_MNT 3" xfId="0"/>
    <cellStyle name="_LCD_MNT 4" xfId="0"/>
    <cellStyle name="_LCD_MNT_By Region" xfId="0"/>
    <cellStyle name="_LCD_MNT_CORP SG&amp;A" xfId="0"/>
    <cellStyle name="_LCD_MNT_Digitizer" xfId="0"/>
    <cellStyle name="_LCD_MNT_GPS OTHER" xfId="0"/>
    <cellStyle name="_LCD_MNT_GPS OTHER 2" xfId="0"/>
    <cellStyle name="_LCD_MNT_GPS OTHER 3" xfId="0"/>
    <cellStyle name="_LCD_MNT_GPS OTHER 4" xfId="0"/>
    <cellStyle name="_LCD_MNT_GPS OTHER 4 2" xfId="0"/>
    <cellStyle name="_LCD_MNT_GPS OTHER_By Region" xfId="0"/>
    <cellStyle name="_LCD_MNT_GPS OTHER_CORP SG&amp;A" xfId="0"/>
    <cellStyle name="_LCD_MNT_GPS OTHER_LCD" xfId="0"/>
    <cellStyle name="_LCD_MNT_GPS OTHER_PJ" xfId="0"/>
    <cellStyle name="_LCD_MNT_LCD" xfId="0"/>
    <cellStyle name="_LCD_MNT_LCD 2" xfId="0"/>
    <cellStyle name="_LCD_MNT_LCD 3" xfId="0"/>
    <cellStyle name="_LCD_MNT_LCD 4" xfId="0"/>
    <cellStyle name="_LCD_MNT_LCD_By Region" xfId="0"/>
    <cellStyle name="_LCD_MNT_LCD_CORP SG&amp;A" xfId="0"/>
    <cellStyle name="_LCD_MNT_LCD_LCD" xfId="0"/>
    <cellStyle name="_LCD_MNT_LCD_PJ" xfId="0"/>
    <cellStyle name="_LCD_MNT_PC Products" xfId="0"/>
    <cellStyle name="_LCD_MNT_PC Products 2" xfId="0"/>
    <cellStyle name="_LCD_MNT_PC Products 3" xfId="0"/>
    <cellStyle name="_LCD_MNT_PC Products 4" xfId="0"/>
    <cellStyle name="_LCD_MNT_PC Products 4 2" xfId="0"/>
    <cellStyle name="_LCD_MNT_PC Products_By Region" xfId="0"/>
    <cellStyle name="_LCD_MNT_PC Products_CORP SG&amp;A" xfId="0"/>
    <cellStyle name="_LCD_MNT_PC Products_LCD" xfId="0"/>
    <cellStyle name="_LCD_MNT_PC Products_PJ" xfId="0"/>
    <cellStyle name="_LCD_MNT_VSA 111014" xfId="0"/>
    <cellStyle name="_LCD_MNT_VSA 111014 2" xfId="0"/>
    <cellStyle name="_LCD_MNT_VSA 111014 3" xfId="0"/>
    <cellStyle name="_LCD_MNT_VSA 111014 4" xfId="0"/>
    <cellStyle name="_LCD_MNT_VSA 111014 4 2" xfId="0"/>
    <cellStyle name="_LCD_MNT_VSA 111014_By Region" xfId="0"/>
    <cellStyle name="_LCD_MNT_VSA 111014_CORP SG&amp;A" xfId="0"/>
    <cellStyle name="_LCD_MNT_VSA 111014_LCD" xfId="0"/>
    <cellStyle name="_LCD_MNT_VSA 111014_PJ" xfId="0"/>
    <cellStyle name="_LCD_MNT_VSA Roll-Up (LW)" xfId="0"/>
    <cellStyle name="_LCD_MNT_VSA Roll-Up (LW) 2" xfId="0"/>
    <cellStyle name="_LCD_MNT_VSA Roll-Up (LW) 3" xfId="0"/>
    <cellStyle name="_LCD_MNT_VSA Roll-Up (LW) 4" xfId="0"/>
    <cellStyle name="_LCD_MNT_VSA Roll-Up (LW) 4 2" xfId="0"/>
    <cellStyle name="_LCD_MNT_VSA Roll-Up (LW)_By Region" xfId="0"/>
    <cellStyle name="_LCD_MNT_VSA Roll-Up (LW)_CORP SG&amp;A" xfId="0"/>
    <cellStyle name="_LCD_MNT_VSA Roll-Up (LW)_LCD" xfId="0"/>
    <cellStyle name="_LCD_MNT_VSA Roll-Up (LW)_PJ" xfId="0"/>
    <cellStyle name="_LCD_Other" xfId="0"/>
    <cellStyle name="_LCD_Other 2" xfId="0"/>
    <cellStyle name="_LCD_Other 3" xfId="0"/>
    <cellStyle name="_LCD_Other 4" xfId="0"/>
    <cellStyle name="_LCD_Other_By Region" xfId="0"/>
    <cellStyle name="_LCD_Other_CORP SG&amp;A" xfId="0"/>
    <cellStyle name="_LCD_Other_Digitizer" xfId="0"/>
    <cellStyle name="_LCD_Other_GPS OTHER" xfId="0"/>
    <cellStyle name="_LCD_Other_GPS OTHER 2" xfId="0"/>
    <cellStyle name="_LCD_Other_GPS OTHER 3" xfId="0"/>
    <cellStyle name="_LCD_Other_GPS OTHER 4" xfId="0"/>
    <cellStyle name="_LCD_Other_GPS OTHER 4 2" xfId="0"/>
    <cellStyle name="_LCD_Other_GPS OTHER_By Region" xfId="0"/>
    <cellStyle name="_LCD_Other_GPS OTHER_CORP SG&amp;A" xfId="0"/>
    <cellStyle name="_LCD_Other_GPS OTHER_LCD" xfId="0"/>
    <cellStyle name="_LCD_Other_GPS OTHER_PJ" xfId="0"/>
    <cellStyle name="_LCD_Other_LCD" xfId="0"/>
    <cellStyle name="_LCD_Other_LCD 2" xfId="0"/>
    <cellStyle name="_LCD_Other_LCD 3" xfId="0"/>
    <cellStyle name="_LCD_Other_LCD 4" xfId="0"/>
    <cellStyle name="_LCD_Other_LCD_By Region" xfId="0"/>
    <cellStyle name="_LCD_Other_LCD_CORP SG&amp;A" xfId="0"/>
    <cellStyle name="_LCD_Other_LCD_LCD" xfId="0"/>
    <cellStyle name="_LCD_Other_LCD_PJ" xfId="0"/>
    <cellStyle name="_LCD_Other_PC Products" xfId="0"/>
    <cellStyle name="_LCD_Other_PC Products 2" xfId="0"/>
    <cellStyle name="_LCD_Other_PC Products 3" xfId="0"/>
    <cellStyle name="_LCD_Other_PC Products 4" xfId="0"/>
    <cellStyle name="_LCD_Other_PC Products 4 2" xfId="0"/>
    <cellStyle name="_LCD_Other_PC Products_By Region" xfId="0"/>
    <cellStyle name="_LCD_Other_PC Products_CORP SG&amp;A" xfId="0"/>
    <cellStyle name="_LCD_Other_PC Products_LCD" xfId="0"/>
    <cellStyle name="_LCD_Other_PC Products_PJ" xfId="0"/>
    <cellStyle name="_LCD_Other_VSA 111014" xfId="0"/>
    <cellStyle name="_LCD_Other_VSA 111014 2" xfId="0"/>
    <cellStyle name="_LCD_Other_VSA 111014 3" xfId="0"/>
    <cellStyle name="_LCD_Other_VSA 111014 4" xfId="0"/>
    <cellStyle name="_LCD_Other_VSA 111014 4 2" xfId="0"/>
    <cellStyle name="_LCD_Other_VSA 111014_By Region" xfId="0"/>
    <cellStyle name="_LCD_Other_VSA 111014_CORP SG&amp;A" xfId="0"/>
    <cellStyle name="_LCD_Other_VSA 111014_LCD" xfId="0"/>
    <cellStyle name="_LCD_Other_VSA 111014_PJ" xfId="0"/>
    <cellStyle name="_LCD_Other_VSA Roll-Up (LW)" xfId="0"/>
    <cellStyle name="_LCD_Other_VSA Roll-Up (LW) 2" xfId="0"/>
    <cellStyle name="_LCD_Other_VSA Roll-Up (LW) 3" xfId="0"/>
    <cellStyle name="_LCD_Other_VSA Roll-Up (LW) 4" xfId="0"/>
    <cellStyle name="_LCD_Other_VSA Roll-Up (LW) 4 2" xfId="0"/>
    <cellStyle name="_LCD_Other_VSA Roll-Up (LW)_By Region" xfId="0"/>
    <cellStyle name="_LCD_Other_VSA Roll-Up (LW)_CORP SG&amp;A" xfId="0"/>
    <cellStyle name="_LCD_Other_VSA Roll-Up (LW)_LCD" xfId="0"/>
    <cellStyle name="_LCD_Other_VSA Roll-Up (LW)_PJ" xfId="0"/>
    <cellStyle name="_LCD_PC" xfId="0"/>
    <cellStyle name="_LCD_PC 2" xfId="0"/>
    <cellStyle name="_LCD_PC 3" xfId="0"/>
    <cellStyle name="_LCD_PC 4" xfId="0"/>
    <cellStyle name="_LCD_PC Products" xfId="0"/>
    <cellStyle name="_LCD_PC Products 2" xfId="0"/>
    <cellStyle name="_LCD_PC Products 3" xfId="0"/>
    <cellStyle name="_LCD_PC Products 4" xfId="0"/>
    <cellStyle name="_LCD_PC Products 4 2" xfId="0"/>
    <cellStyle name="_LCD_PC Products_By Region" xfId="0"/>
    <cellStyle name="_LCD_PC Products_CORP SG&amp;A" xfId="0"/>
    <cellStyle name="_LCD_PC Products_LCD" xfId="0"/>
    <cellStyle name="_LCD_PC Products_PJ" xfId="0"/>
    <cellStyle name="_LCD_PC_By Region" xfId="0"/>
    <cellStyle name="_LCD_PC_CORP SG&amp;A" xfId="0"/>
    <cellStyle name="_LCD_PC_Digitizer" xfId="0"/>
    <cellStyle name="_LCD_PC_DT" xfId="0"/>
    <cellStyle name="_LCD_PC_DT 2" xfId="0"/>
    <cellStyle name="_LCD_PC_DT 3" xfId="0"/>
    <cellStyle name="_LCD_PC_DT_By Region" xfId="0"/>
    <cellStyle name="_LCD_PC_GPS OTHER" xfId="0"/>
    <cellStyle name="_LCD_PC_GPS OTHER 2" xfId="0"/>
    <cellStyle name="_LCD_PC_GPS OTHER 3" xfId="0"/>
    <cellStyle name="_LCD_PC_GPS OTHER 4" xfId="0"/>
    <cellStyle name="_LCD_PC_GPS OTHER 4 2" xfId="0"/>
    <cellStyle name="_LCD_PC_GPS OTHER_By Region" xfId="0"/>
    <cellStyle name="_LCD_PC_GPS OTHER_CORP SG&amp;A" xfId="0"/>
    <cellStyle name="_LCD_PC_GPS OTHER_LCD" xfId="0"/>
    <cellStyle name="_LCD_PC_GPS OTHER_PJ" xfId="0"/>
    <cellStyle name="_LCD_PC_LCD" xfId="0"/>
    <cellStyle name="_LCD_PC_LCD 2" xfId="0"/>
    <cellStyle name="_LCD_PC_LCD 3" xfId="0"/>
    <cellStyle name="_LCD_PC_LCD 4" xfId="0"/>
    <cellStyle name="_LCD_PC_LCD_By Region" xfId="0"/>
    <cellStyle name="_LCD_PC_LCD_CORP SG&amp;A" xfId="0"/>
    <cellStyle name="_LCD_PC_LCD_LCD" xfId="0"/>
    <cellStyle name="_LCD_PC_LCD_PJ" xfId="0"/>
    <cellStyle name="_LCD_PC_PC Products" xfId="0"/>
    <cellStyle name="_LCD_PC_PC Products 2" xfId="0"/>
    <cellStyle name="_LCD_PC_PC Products 3" xfId="0"/>
    <cellStyle name="_LCD_PC_PC Products 4" xfId="0"/>
    <cellStyle name="_LCD_PC_PC Products 4 2" xfId="0"/>
    <cellStyle name="_LCD_PC_PC Products_By Region" xfId="0"/>
    <cellStyle name="_LCD_PC_PC Products_CORP SG&amp;A" xfId="0"/>
    <cellStyle name="_LCD_PC_PC Products_LCD" xfId="0"/>
    <cellStyle name="_LCD_PC_PC Products_PJ" xfId="0"/>
    <cellStyle name="_LCD_PC_TV" xfId="0"/>
    <cellStyle name="_LCD_PC_TV 2" xfId="0"/>
    <cellStyle name="_LCD_PC_TV 3" xfId="0"/>
    <cellStyle name="_LCD_PC_TV 4" xfId="0"/>
    <cellStyle name="_LCD_PC_TV_By Region" xfId="0"/>
    <cellStyle name="_LCD_PC_TV_CORP SG&amp;A" xfId="0"/>
    <cellStyle name="_LCD_PC_TV_Digitizer" xfId="0"/>
    <cellStyle name="_LCD_PC_TV_GPS OTHER" xfId="0"/>
    <cellStyle name="_LCD_PC_TV_GPS OTHER 2" xfId="0"/>
    <cellStyle name="_LCD_PC_TV_GPS OTHER 3" xfId="0"/>
    <cellStyle name="_LCD_PC_TV_GPS OTHER 4" xfId="0"/>
    <cellStyle name="_LCD_PC_TV_GPS OTHER 4 2" xfId="0"/>
    <cellStyle name="_LCD_PC_TV_GPS OTHER_By Region" xfId="0"/>
    <cellStyle name="_LCD_PC_TV_GPS OTHER_CORP SG&amp;A" xfId="0"/>
    <cellStyle name="_LCD_PC_TV_GPS OTHER_LCD" xfId="0"/>
    <cellStyle name="_LCD_PC_TV_GPS OTHER_PJ" xfId="0"/>
    <cellStyle name="_LCD_PC_TV_LCD" xfId="0"/>
    <cellStyle name="_LCD_PC_TV_LCD 2" xfId="0"/>
    <cellStyle name="_LCD_PC_TV_LCD 3" xfId="0"/>
    <cellStyle name="_LCD_PC_TV_LCD 4" xfId="0"/>
    <cellStyle name="_LCD_PC_TV_LCD_By Region" xfId="0"/>
    <cellStyle name="_LCD_PC_TV_LCD_CORP SG&amp;A" xfId="0"/>
    <cellStyle name="_LCD_PC_TV_LCD_LCD" xfId="0"/>
    <cellStyle name="_LCD_PC_TV_LCD_PJ" xfId="0"/>
    <cellStyle name="_LCD_PC_TV_PC Products" xfId="0"/>
    <cellStyle name="_LCD_PC_TV_PC Products 2" xfId="0"/>
    <cellStyle name="_LCD_PC_TV_PC Products 3" xfId="0"/>
    <cellStyle name="_LCD_PC_TV_PC Products 4" xfId="0"/>
    <cellStyle name="_LCD_PC_TV_PC Products 4 2" xfId="0"/>
    <cellStyle name="_LCD_PC_TV_PC Products_By Region" xfId="0"/>
    <cellStyle name="_LCD_PC_TV_PC Products_CORP SG&amp;A" xfId="0"/>
    <cellStyle name="_LCD_PC_TV_PC Products_LCD" xfId="0"/>
    <cellStyle name="_LCD_PC_TV_PC Products_PJ" xfId="0"/>
    <cellStyle name="_LCD_PC_TV_VSA 111014" xfId="0"/>
    <cellStyle name="_LCD_PC_TV_VSA 111014 2" xfId="0"/>
    <cellStyle name="_LCD_PC_TV_VSA 111014 3" xfId="0"/>
    <cellStyle name="_LCD_PC_TV_VSA 111014 4" xfId="0"/>
    <cellStyle name="_LCD_PC_TV_VSA 111014 4 2" xfId="0"/>
    <cellStyle name="_LCD_PC_TV_VSA 111014_By Region" xfId="0"/>
    <cellStyle name="_LCD_PC_TV_VSA 111014_CORP SG&amp;A" xfId="0"/>
    <cellStyle name="_LCD_PC_TV_VSA 111014_LCD" xfId="0"/>
    <cellStyle name="_LCD_PC_TV_VSA 111014_PJ" xfId="0"/>
    <cellStyle name="_LCD_PC_TV_VSA Roll-Up (LW)" xfId="0"/>
    <cellStyle name="_LCD_PC_TV_VSA Roll-Up (LW) 2" xfId="0"/>
    <cellStyle name="_LCD_PC_TV_VSA Roll-Up (LW) 3" xfId="0"/>
    <cellStyle name="_LCD_PC_TV_VSA Roll-Up (LW) 4" xfId="0"/>
    <cellStyle name="_LCD_PC_TV_VSA Roll-Up (LW) 4 2" xfId="0"/>
    <cellStyle name="_LCD_PC_TV_VSA Roll-Up (LW)_By Region" xfId="0"/>
    <cellStyle name="_LCD_PC_TV_VSA Roll-Up (LW)_CORP SG&amp;A" xfId="0"/>
    <cellStyle name="_LCD_PC_TV_VSA Roll-Up (LW)_LCD" xfId="0"/>
    <cellStyle name="_LCD_PC_TV_VSA Roll-Up (LW)_PJ" xfId="0"/>
    <cellStyle name="_LCD_PC_VSA 111014" xfId="0"/>
    <cellStyle name="_LCD_PC_VSA 111014 2" xfId="0"/>
    <cellStyle name="_LCD_PC_VSA 111014 3" xfId="0"/>
    <cellStyle name="_LCD_PC_VSA 111014 4" xfId="0"/>
    <cellStyle name="_LCD_PC_VSA 111014 4 2" xfId="0"/>
    <cellStyle name="_LCD_PC_VSA 111014_By Region" xfId="0"/>
    <cellStyle name="_LCD_PC_VSA 111014_CORP SG&amp;A" xfId="0"/>
    <cellStyle name="_LCD_PC_VSA 111014_LCD" xfId="0"/>
    <cellStyle name="_LCD_PC_VSA 111014_PJ" xfId="0"/>
    <cellStyle name="_LCD_PC_VSA Roll-Up (LW)" xfId="0"/>
    <cellStyle name="_LCD_PC_VSA Roll-Up (LW) 2" xfId="0"/>
    <cellStyle name="_LCD_PC_VSA Roll-Up (LW) 3" xfId="0"/>
    <cellStyle name="_LCD_PC_VSA Roll-Up (LW) 4" xfId="0"/>
    <cellStyle name="_LCD_PC_VSA Roll-Up (LW) 4 2" xfId="0"/>
    <cellStyle name="_LCD_PC_VSA Roll-Up (LW)_By Region" xfId="0"/>
    <cellStyle name="_LCD_PC_VSA Roll-Up (LW)_CORP SG&amp;A" xfId="0"/>
    <cellStyle name="_LCD_PC_VSA Roll-Up (LW)_LCD" xfId="0"/>
    <cellStyle name="_LCD_PC_VSA Roll-Up (LW)_PJ" xfId="0"/>
    <cellStyle name="_LCD_PJ" xfId="0"/>
    <cellStyle name="_LCD_PJ 2" xfId="0"/>
    <cellStyle name="_LCD_PJ 3" xfId="0"/>
    <cellStyle name="_LCD_PJ 4" xfId="0"/>
    <cellStyle name="_LCD_PJ_By Region" xfId="0"/>
    <cellStyle name="_LCD_PJ_CORP SG&amp;A" xfId="0"/>
    <cellStyle name="_LCD_PJ_Digitizer" xfId="0"/>
    <cellStyle name="_LCD_PJ_GPS OTHER" xfId="0"/>
    <cellStyle name="_LCD_PJ_GPS OTHER 2" xfId="0"/>
    <cellStyle name="_LCD_PJ_GPS OTHER 3" xfId="0"/>
    <cellStyle name="_LCD_PJ_GPS OTHER 4" xfId="0"/>
    <cellStyle name="_LCD_PJ_GPS OTHER 4 2" xfId="0"/>
    <cellStyle name="_LCD_PJ_GPS OTHER_By Region" xfId="0"/>
    <cellStyle name="_LCD_PJ_GPS OTHER_CORP SG&amp;A" xfId="0"/>
    <cellStyle name="_LCD_PJ_GPS OTHER_LCD" xfId="0"/>
    <cellStyle name="_LCD_PJ_GPS OTHER_PJ" xfId="0"/>
    <cellStyle name="_LCD_PJ_LCD" xfId="0"/>
    <cellStyle name="_LCD_PJ_LCD 2" xfId="0"/>
    <cellStyle name="_LCD_PJ_LCD 3" xfId="0"/>
    <cellStyle name="_LCD_PJ_LCD 4" xfId="0"/>
    <cellStyle name="_LCD_PJ_LCD_By Region" xfId="0"/>
    <cellStyle name="_LCD_PJ_LCD_CORP SG&amp;A" xfId="0"/>
    <cellStyle name="_LCD_PJ_LCD_LCD" xfId="0"/>
    <cellStyle name="_LCD_PJ_LCD_PJ" xfId="0"/>
    <cellStyle name="_LCD_PJ_PC Products" xfId="0"/>
    <cellStyle name="_LCD_PJ_PC Products 2" xfId="0"/>
    <cellStyle name="_LCD_PJ_PC Products 3" xfId="0"/>
    <cellStyle name="_LCD_PJ_PC Products 4" xfId="0"/>
    <cellStyle name="_LCD_PJ_PC Products 4 2" xfId="0"/>
    <cellStyle name="_LCD_PJ_PC Products_By Region" xfId="0"/>
    <cellStyle name="_LCD_PJ_PC Products_CORP SG&amp;A" xfId="0"/>
    <cellStyle name="_LCD_PJ_PC Products_LCD" xfId="0"/>
    <cellStyle name="_LCD_PJ_PC Products_PJ" xfId="0"/>
    <cellStyle name="_LCD_PJ_VSA 111014" xfId="0"/>
    <cellStyle name="_LCD_PJ_VSA 111014 2" xfId="0"/>
    <cellStyle name="_LCD_PJ_VSA 111014 3" xfId="0"/>
    <cellStyle name="_LCD_PJ_VSA 111014 4" xfId="0"/>
    <cellStyle name="_LCD_PJ_VSA 111014 4 2" xfId="0"/>
    <cellStyle name="_LCD_PJ_VSA 111014_By Region" xfId="0"/>
    <cellStyle name="_LCD_PJ_VSA 111014_CORP SG&amp;A" xfId="0"/>
    <cellStyle name="_LCD_PJ_VSA 111014_LCD" xfId="0"/>
    <cellStyle name="_LCD_PJ_VSA 111014_PJ" xfId="0"/>
    <cellStyle name="_LCD_PJ_VSA Roll-Up (LW)" xfId="0"/>
    <cellStyle name="_LCD_PJ_VSA Roll-Up (LW) 2" xfId="0"/>
    <cellStyle name="_LCD_PJ_VSA Roll-Up (LW) 3" xfId="0"/>
    <cellStyle name="_LCD_PJ_VSA Roll-Up (LW) 4" xfId="0"/>
    <cellStyle name="_LCD_PJ_VSA Roll-Up (LW) 4 2" xfId="0"/>
    <cellStyle name="_LCD_PJ_VSA Roll-Up (LW)_By Region" xfId="0"/>
    <cellStyle name="_LCD_PJ_VSA Roll-Up (LW)_CORP SG&amp;A" xfId="0"/>
    <cellStyle name="_LCD_PJ_VSA Roll-Up (LW)_LCD" xfId="0"/>
    <cellStyle name="_LCD_PJ_VSA Roll-Up (LW)_PJ" xfId="0"/>
    <cellStyle name="_LCD_PMP(VPD)" xfId="0"/>
    <cellStyle name="_LCD_PMP(VPD) 2" xfId="0"/>
    <cellStyle name="_LCD_PMP(VPD) 3" xfId="0"/>
    <cellStyle name="_LCD_PMP(VPD) 4" xfId="0"/>
    <cellStyle name="_LCD_PMP(VPD)_By Region" xfId="0"/>
    <cellStyle name="_LCD_PMP(VPD)_CORP SG&amp;A" xfId="0"/>
    <cellStyle name="_LCD_PMP(VPD)_Digitizer" xfId="0"/>
    <cellStyle name="_LCD_PMP(VPD)_GPS OTHER" xfId="0"/>
    <cellStyle name="_LCD_PMP(VPD)_GPS OTHER 2" xfId="0"/>
    <cellStyle name="_LCD_PMP(VPD)_GPS OTHER 3" xfId="0"/>
    <cellStyle name="_LCD_PMP(VPD)_GPS OTHER 4" xfId="0"/>
    <cellStyle name="_LCD_PMP(VPD)_GPS OTHER 4 2" xfId="0"/>
    <cellStyle name="_LCD_PMP(VPD)_GPS OTHER_By Region" xfId="0"/>
    <cellStyle name="_LCD_PMP(VPD)_GPS OTHER_CORP SG&amp;A" xfId="0"/>
    <cellStyle name="_LCD_PMP(VPD)_GPS OTHER_LCD" xfId="0"/>
    <cellStyle name="_LCD_PMP(VPD)_GPS OTHER_PJ" xfId="0"/>
    <cellStyle name="_LCD_PMP(VPD)_LCD" xfId="0"/>
    <cellStyle name="_LCD_PMP(VPD)_LCD 2" xfId="0"/>
    <cellStyle name="_LCD_PMP(VPD)_LCD 3" xfId="0"/>
    <cellStyle name="_LCD_PMP(VPD)_LCD 4" xfId="0"/>
    <cellStyle name="_LCD_PMP(VPD)_LCD_By Region" xfId="0"/>
    <cellStyle name="_LCD_PMP(VPD)_LCD_CORP SG&amp;A" xfId="0"/>
    <cellStyle name="_LCD_PMP(VPD)_LCD_LCD" xfId="0"/>
    <cellStyle name="_LCD_PMP(VPD)_LCD_PJ" xfId="0"/>
    <cellStyle name="_LCD_PMP(VPD)_PC Products" xfId="0"/>
    <cellStyle name="_LCD_PMP(VPD)_PC Products 2" xfId="0"/>
    <cellStyle name="_LCD_PMP(VPD)_PC Products 3" xfId="0"/>
    <cellStyle name="_LCD_PMP(VPD)_PC Products 4" xfId="0"/>
    <cellStyle name="_LCD_PMP(VPD)_PC Products 4 2" xfId="0"/>
    <cellStyle name="_LCD_PMP(VPD)_PC Products_By Region" xfId="0"/>
    <cellStyle name="_LCD_PMP(VPD)_PC Products_CORP SG&amp;A" xfId="0"/>
    <cellStyle name="_LCD_PMP(VPD)_PC Products_LCD" xfId="0"/>
    <cellStyle name="_LCD_PMP(VPD)_PC Products_PJ" xfId="0"/>
    <cellStyle name="_LCD_PMP(VPD)_VSA 111014" xfId="0"/>
    <cellStyle name="_LCD_PMP(VPD)_VSA 111014 2" xfId="0"/>
    <cellStyle name="_LCD_PMP(VPD)_VSA 111014 3" xfId="0"/>
    <cellStyle name="_LCD_PMP(VPD)_VSA 111014 4" xfId="0"/>
    <cellStyle name="_LCD_PMP(VPD)_VSA 111014 4 2" xfId="0"/>
    <cellStyle name="_LCD_PMP(VPD)_VSA 111014_By Region" xfId="0"/>
    <cellStyle name="_LCD_PMP(VPD)_VSA 111014_CORP SG&amp;A" xfId="0"/>
    <cellStyle name="_LCD_PMP(VPD)_VSA 111014_LCD" xfId="0"/>
    <cellStyle name="_LCD_PMP(VPD)_VSA 111014_PJ" xfId="0"/>
    <cellStyle name="_LCD_PMP(VPD)_VSA Roll-Up (LW)" xfId="0"/>
    <cellStyle name="_LCD_PMP(VPD)_VSA Roll-Up (LW) 2" xfId="0"/>
    <cellStyle name="_LCD_PMP(VPD)_VSA Roll-Up (LW) 3" xfId="0"/>
    <cellStyle name="_LCD_PMP(VPD)_VSA Roll-Up (LW) 4" xfId="0"/>
    <cellStyle name="_LCD_PMP(VPD)_VSA Roll-Up (LW) 4 2" xfId="0"/>
    <cellStyle name="_LCD_PMP(VPD)_VSA Roll-Up (LW)_By Region" xfId="0"/>
    <cellStyle name="_LCD_PMP(VPD)_VSA Roll-Up (LW)_CORP SG&amp;A" xfId="0"/>
    <cellStyle name="_LCD_PMP(VPD)_VSA Roll-Up (LW)_LCD" xfId="0"/>
    <cellStyle name="_LCD_PMP(VPD)_VSA Roll-Up (LW)_PJ" xfId="0"/>
    <cellStyle name="_LCD_Pocket TV" xfId="0"/>
    <cellStyle name="_LCD_Pocket TV 2" xfId="0"/>
    <cellStyle name="_LCD_Pocket TV 3" xfId="0"/>
    <cellStyle name="_LCD_Pocket TV 4" xfId="0"/>
    <cellStyle name="_LCD_Pocket TV_By Region" xfId="0"/>
    <cellStyle name="_LCD_Pocket TV_CORP SG&amp;A" xfId="0"/>
    <cellStyle name="_LCD_Pocket TV_Digitizer" xfId="0"/>
    <cellStyle name="_LCD_Pocket TV_GPS OTHER" xfId="0"/>
    <cellStyle name="_LCD_Pocket TV_GPS OTHER 2" xfId="0"/>
    <cellStyle name="_LCD_Pocket TV_GPS OTHER 3" xfId="0"/>
    <cellStyle name="_LCD_Pocket TV_GPS OTHER 4" xfId="0"/>
    <cellStyle name="_LCD_Pocket TV_GPS OTHER 4 2" xfId="0"/>
    <cellStyle name="_LCD_Pocket TV_GPS OTHER_By Region" xfId="0"/>
    <cellStyle name="_LCD_Pocket TV_GPS OTHER_CORP SG&amp;A" xfId="0"/>
    <cellStyle name="_LCD_Pocket TV_GPS OTHER_LCD" xfId="0"/>
    <cellStyle name="_LCD_Pocket TV_GPS OTHER_PJ" xfId="0"/>
    <cellStyle name="_LCD_Pocket TV_LCD" xfId="0"/>
    <cellStyle name="_LCD_Pocket TV_LCD 2" xfId="0"/>
    <cellStyle name="_LCD_Pocket TV_LCD 3" xfId="0"/>
    <cellStyle name="_LCD_Pocket TV_LCD 4" xfId="0"/>
    <cellStyle name="_LCD_Pocket TV_LCD_By Region" xfId="0"/>
    <cellStyle name="_LCD_Pocket TV_LCD_CORP SG&amp;A" xfId="0"/>
    <cellStyle name="_LCD_Pocket TV_LCD_LCD" xfId="0"/>
    <cellStyle name="_LCD_Pocket TV_LCD_PJ" xfId="0"/>
    <cellStyle name="_LCD_Pocket TV_PC Products" xfId="0"/>
    <cellStyle name="_LCD_Pocket TV_PC Products 2" xfId="0"/>
    <cellStyle name="_LCD_Pocket TV_PC Products 3" xfId="0"/>
    <cellStyle name="_LCD_Pocket TV_PC Products 4" xfId="0"/>
    <cellStyle name="_LCD_Pocket TV_PC Products 4 2" xfId="0"/>
    <cellStyle name="_LCD_Pocket TV_PC Products_By Region" xfId="0"/>
    <cellStyle name="_LCD_Pocket TV_PC Products_CORP SG&amp;A" xfId="0"/>
    <cellStyle name="_LCD_Pocket TV_PC Products_LCD" xfId="0"/>
    <cellStyle name="_LCD_Pocket TV_PC Products_PJ" xfId="0"/>
    <cellStyle name="_LCD_Pocket TV_VSA 111014" xfId="0"/>
    <cellStyle name="_LCD_Pocket TV_VSA 111014 2" xfId="0"/>
    <cellStyle name="_LCD_Pocket TV_VSA 111014 3" xfId="0"/>
    <cellStyle name="_LCD_Pocket TV_VSA 111014 4" xfId="0"/>
    <cellStyle name="_LCD_Pocket TV_VSA 111014 4 2" xfId="0"/>
    <cellStyle name="_LCD_Pocket TV_VSA 111014_By Region" xfId="0"/>
    <cellStyle name="_LCD_Pocket TV_VSA 111014_CORP SG&amp;A" xfId="0"/>
    <cellStyle name="_LCD_Pocket TV_VSA 111014_LCD" xfId="0"/>
    <cellStyle name="_LCD_Pocket TV_VSA 111014_PJ" xfId="0"/>
    <cellStyle name="_LCD_Pocket TV_VSA Roll-Up (LW)" xfId="0"/>
    <cellStyle name="_LCD_Pocket TV_VSA Roll-Up (LW) 2" xfId="0"/>
    <cellStyle name="_LCD_Pocket TV_VSA Roll-Up (LW) 3" xfId="0"/>
    <cellStyle name="_LCD_Pocket TV_VSA Roll-Up (LW) 4" xfId="0"/>
    <cellStyle name="_LCD_Pocket TV_VSA Roll-Up (LW) 4 2" xfId="0"/>
    <cellStyle name="_LCD_Pocket TV_VSA Roll-Up (LW)_By Region" xfId="0"/>
    <cellStyle name="_LCD_Pocket TV_VSA Roll-Up (LW)_CORP SG&amp;A" xfId="0"/>
    <cellStyle name="_LCD_Pocket TV_VSA Roll-Up (LW)_LCD" xfId="0"/>
    <cellStyle name="_LCD_Pocket TV_VSA Roll-Up (LW)_PJ" xfId="0"/>
    <cellStyle name="_LCD_Pocket_TV" xfId="0"/>
    <cellStyle name="_LCD_Pocket_TV 2" xfId="0"/>
    <cellStyle name="_LCD_Pocket_TV 3" xfId="0"/>
    <cellStyle name="_LCD_Pocket_TV 4" xfId="0"/>
    <cellStyle name="_LCD_Pocket_TV_By Region" xfId="0"/>
    <cellStyle name="_LCD_Pocket_TV_CORP SG&amp;A" xfId="0"/>
    <cellStyle name="_LCD_Pocket_TV_Digitizer" xfId="0"/>
    <cellStyle name="_LCD_Pocket_TV_GPS OTHER" xfId="0"/>
    <cellStyle name="_LCD_Pocket_TV_GPS OTHER 2" xfId="0"/>
    <cellStyle name="_LCD_Pocket_TV_GPS OTHER 3" xfId="0"/>
    <cellStyle name="_LCD_Pocket_TV_GPS OTHER 4" xfId="0"/>
    <cellStyle name="_LCD_Pocket_TV_GPS OTHER 4 2" xfId="0"/>
    <cellStyle name="_LCD_Pocket_TV_GPS OTHER_By Region" xfId="0"/>
    <cellStyle name="_LCD_Pocket_TV_GPS OTHER_CORP SG&amp;A" xfId="0"/>
    <cellStyle name="_LCD_Pocket_TV_GPS OTHER_LCD" xfId="0"/>
    <cellStyle name="_LCD_Pocket_TV_GPS OTHER_PJ" xfId="0"/>
    <cellStyle name="_LCD_Pocket_TV_LCD" xfId="0"/>
    <cellStyle name="_LCD_Pocket_TV_LCD 2" xfId="0"/>
    <cellStyle name="_LCD_Pocket_TV_LCD 3" xfId="0"/>
    <cellStyle name="_LCD_Pocket_TV_LCD 4" xfId="0"/>
    <cellStyle name="_LCD_Pocket_TV_LCD_By Region" xfId="0"/>
    <cellStyle name="_LCD_Pocket_TV_LCD_CORP SG&amp;A" xfId="0"/>
    <cellStyle name="_LCD_Pocket_TV_LCD_LCD" xfId="0"/>
    <cellStyle name="_LCD_Pocket_TV_LCD_PJ" xfId="0"/>
    <cellStyle name="_LCD_Pocket_TV_PC Products" xfId="0"/>
    <cellStyle name="_LCD_Pocket_TV_PC Products 2" xfId="0"/>
    <cellStyle name="_LCD_Pocket_TV_PC Products 3" xfId="0"/>
    <cellStyle name="_LCD_Pocket_TV_PC Products 4" xfId="0"/>
    <cellStyle name="_LCD_Pocket_TV_PC Products 4 2" xfId="0"/>
    <cellStyle name="_LCD_Pocket_TV_PC Products_By Region" xfId="0"/>
    <cellStyle name="_LCD_Pocket_TV_PC Products_CORP SG&amp;A" xfId="0"/>
    <cellStyle name="_LCD_Pocket_TV_PC Products_LCD" xfId="0"/>
    <cellStyle name="_LCD_Pocket_TV_PC Products_PJ" xfId="0"/>
    <cellStyle name="_LCD_Pocket_TV_VSA 111014" xfId="0"/>
    <cellStyle name="_LCD_Pocket_TV_VSA 111014 2" xfId="0"/>
    <cellStyle name="_LCD_Pocket_TV_VSA 111014 3" xfId="0"/>
    <cellStyle name="_LCD_Pocket_TV_VSA 111014 4" xfId="0"/>
    <cellStyle name="_LCD_Pocket_TV_VSA 111014 4 2" xfId="0"/>
    <cellStyle name="_LCD_Pocket_TV_VSA 111014_By Region" xfId="0"/>
    <cellStyle name="_LCD_Pocket_TV_VSA 111014_CORP SG&amp;A" xfId="0"/>
    <cellStyle name="_LCD_Pocket_TV_VSA 111014_LCD" xfId="0"/>
    <cellStyle name="_LCD_Pocket_TV_VSA 111014_PJ" xfId="0"/>
    <cellStyle name="_LCD_Pocket_TV_VSA Roll-Up (LW)" xfId="0"/>
    <cellStyle name="_LCD_Pocket_TV_VSA Roll-Up (LW) 2" xfId="0"/>
    <cellStyle name="_LCD_Pocket_TV_VSA Roll-Up (LW) 3" xfId="0"/>
    <cellStyle name="_LCD_Pocket_TV_VSA Roll-Up (LW) 4" xfId="0"/>
    <cellStyle name="_LCD_Pocket_TV_VSA Roll-Up (LW) 4 2" xfId="0"/>
    <cellStyle name="_LCD_Pocket_TV_VSA Roll-Up (LW)_By Region" xfId="0"/>
    <cellStyle name="_LCD_Pocket_TV_VSA Roll-Up (LW)_CORP SG&amp;A" xfId="0"/>
    <cellStyle name="_LCD_Pocket_TV_VSA Roll-Up (LW)_LCD" xfId="0"/>
    <cellStyle name="_LCD_Pocket_TV_VSA Roll-Up (LW)_PJ" xfId="0"/>
    <cellStyle name="_LCD_TV" xfId="0"/>
    <cellStyle name="_LCD_TV 2" xfId="0"/>
    <cellStyle name="_LCD_TV 3" xfId="0"/>
    <cellStyle name="_LCD_TV 4" xfId="0"/>
    <cellStyle name="_LCD_TV_By Region" xfId="0"/>
    <cellStyle name="_LCD_TV_CORP SG&amp;A" xfId="0"/>
    <cellStyle name="_LCD_TV_Digitizer" xfId="0"/>
    <cellStyle name="_LCD_TV_GPS OTHER" xfId="0"/>
    <cellStyle name="_LCD_TV_GPS OTHER 2" xfId="0"/>
    <cellStyle name="_LCD_TV_GPS OTHER 3" xfId="0"/>
    <cellStyle name="_LCD_TV_GPS OTHER 4" xfId="0"/>
    <cellStyle name="_LCD_TV_GPS OTHER 4 2" xfId="0"/>
    <cellStyle name="_LCD_TV_GPS OTHER_By Region" xfId="0"/>
    <cellStyle name="_LCD_TV_GPS OTHER_CORP SG&amp;A" xfId="0"/>
    <cellStyle name="_LCD_TV_GPS OTHER_LCD" xfId="0"/>
    <cellStyle name="_LCD_TV_GPS OTHER_PJ" xfId="0"/>
    <cellStyle name="_LCD_TV_LCD" xfId="0"/>
    <cellStyle name="_LCD_TV_LCD 2" xfId="0"/>
    <cellStyle name="_LCD_TV_LCD 3" xfId="0"/>
    <cellStyle name="_LCD_TV_LCD 4" xfId="0"/>
    <cellStyle name="_LCD_TV_LCD_By Region" xfId="0"/>
    <cellStyle name="_LCD_TV_LCD_CORP SG&amp;A" xfId="0"/>
    <cellStyle name="_LCD_TV_LCD_LCD" xfId="0"/>
    <cellStyle name="_LCD_TV_LCD_PJ" xfId="0"/>
    <cellStyle name="_LCD_TV_PC Products" xfId="0"/>
    <cellStyle name="_LCD_TV_PC Products 2" xfId="0"/>
    <cellStyle name="_LCD_TV_PC Products 3" xfId="0"/>
    <cellStyle name="_LCD_TV_PC Products 4" xfId="0"/>
    <cellStyle name="_LCD_TV_PC Products 4 2" xfId="0"/>
    <cellStyle name="_LCD_TV_PC Products_By Region" xfId="0"/>
    <cellStyle name="_LCD_TV_PC Products_CORP SG&amp;A" xfId="0"/>
    <cellStyle name="_LCD_TV_PC Products_LCD" xfId="0"/>
    <cellStyle name="_LCD_TV_PC Products_PJ" xfId="0"/>
    <cellStyle name="_LCD_TV_VSA 111014" xfId="0"/>
    <cellStyle name="_LCD_TV_VSA 111014 2" xfId="0"/>
    <cellStyle name="_LCD_TV_VSA 111014 3" xfId="0"/>
    <cellStyle name="_LCD_TV_VSA 111014 4" xfId="0"/>
    <cellStyle name="_LCD_TV_VSA 111014 4 2" xfId="0"/>
    <cellStyle name="_LCD_TV_VSA 111014_By Region" xfId="0"/>
    <cellStyle name="_LCD_TV_VSA 111014_CORP SG&amp;A" xfId="0"/>
    <cellStyle name="_LCD_TV_VSA 111014_LCD" xfId="0"/>
    <cellStyle name="_LCD_TV_VSA 111014_PJ" xfId="0"/>
    <cellStyle name="_LCD_TV_VSA Roll-Up (LW)" xfId="0"/>
    <cellStyle name="_LCD_TV_VSA Roll-Up (LW) 2" xfId="0"/>
    <cellStyle name="_LCD_TV_VSA Roll-Up (LW) 3" xfId="0"/>
    <cellStyle name="_LCD_TV_VSA Roll-Up (LW) 4" xfId="0"/>
    <cellStyle name="_LCD_TV_VSA Roll-Up (LW) 4 2" xfId="0"/>
    <cellStyle name="_LCD_TV_VSA Roll-Up (LW)_By Region" xfId="0"/>
    <cellStyle name="_LCD_TV_VSA Roll-Up (LW)_CORP SG&amp;A" xfId="0"/>
    <cellStyle name="_LCD_TV_VSA Roll-Up (LW)_LCD" xfId="0"/>
    <cellStyle name="_LCD_TV_VSA Roll-Up (LW)_PJ" xfId="0"/>
    <cellStyle name="_LCD_VD" xfId="0"/>
    <cellStyle name="_LCD_VD 2" xfId="0"/>
    <cellStyle name="_LCD_VD 3" xfId="0"/>
    <cellStyle name="_LCD_VD 4" xfId="0"/>
    <cellStyle name="_LCD_VD_By Region" xfId="0"/>
    <cellStyle name="_LCD_VD_CORP SG&amp;A" xfId="0"/>
    <cellStyle name="_LCD_VD_Digitizer" xfId="0"/>
    <cellStyle name="_LCD_VD_GPS OTHER" xfId="0"/>
    <cellStyle name="_LCD_VD_GPS OTHER 2" xfId="0"/>
    <cellStyle name="_LCD_VD_GPS OTHER 3" xfId="0"/>
    <cellStyle name="_LCD_VD_GPS OTHER 4" xfId="0"/>
    <cellStyle name="_LCD_VD_GPS OTHER 4 2" xfId="0"/>
    <cellStyle name="_LCD_VD_GPS OTHER_By Region" xfId="0"/>
    <cellStyle name="_LCD_VD_GPS OTHER_CORP SG&amp;A" xfId="0"/>
    <cellStyle name="_LCD_VD_GPS OTHER_LCD" xfId="0"/>
    <cellStyle name="_LCD_VD_GPS OTHER_PJ" xfId="0"/>
    <cellStyle name="_LCD_VD_LCD" xfId="0"/>
    <cellStyle name="_LCD_VD_LCD 2" xfId="0"/>
    <cellStyle name="_LCD_VD_LCD 3" xfId="0"/>
    <cellStyle name="_LCD_VD_LCD 4" xfId="0"/>
    <cellStyle name="_LCD_VD_LCD_By Region" xfId="0"/>
    <cellStyle name="_LCD_VD_LCD_CORP SG&amp;A" xfId="0"/>
    <cellStyle name="_LCD_VD_LCD_LCD" xfId="0"/>
    <cellStyle name="_LCD_VD_LCD_PJ" xfId="0"/>
    <cellStyle name="_LCD_VD_PC Products" xfId="0"/>
    <cellStyle name="_LCD_VD_PC Products 2" xfId="0"/>
    <cellStyle name="_LCD_VD_PC Products 3" xfId="0"/>
    <cellStyle name="_LCD_VD_PC Products 4" xfId="0"/>
    <cellStyle name="_LCD_VD_PC Products 4 2" xfId="0"/>
    <cellStyle name="_LCD_VD_PC Products_By Region" xfId="0"/>
    <cellStyle name="_LCD_VD_PC Products_CORP SG&amp;A" xfId="0"/>
    <cellStyle name="_LCD_VD_PC Products_LCD" xfId="0"/>
    <cellStyle name="_LCD_VD_PC Products_PJ" xfId="0"/>
    <cellStyle name="_LCD_VD_VSA 111014" xfId="0"/>
    <cellStyle name="_LCD_VD_VSA 111014 2" xfId="0"/>
    <cellStyle name="_LCD_VD_VSA 111014 3" xfId="0"/>
    <cellStyle name="_LCD_VD_VSA 111014 4" xfId="0"/>
    <cellStyle name="_LCD_VD_VSA 111014 4 2" xfId="0"/>
    <cellStyle name="_LCD_VD_VSA 111014_By Region" xfId="0"/>
    <cellStyle name="_LCD_VD_VSA 111014_CORP SG&amp;A" xfId="0"/>
    <cellStyle name="_LCD_VD_VSA 111014_LCD" xfId="0"/>
    <cellStyle name="_LCD_VD_VSA 111014_PJ" xfId="0"/>
    <cellStyle name="_LCD_VD_VSA Roll-Up (LW)" xfId="0"/>
    <cellStyle name="_LCD_VD_VSA Roll-Up (LW) 2" xfId="0"/>
    <cellStyle name="_LCD_VD_VSA Roll-Up (LW) 3" xfId="0"/>
    <cellStyle name="_LCD_VD_VSA Roll-Up (LW) 4" xfId="0"/>
    <cellStyle name="_LCD_VD_VSA Roll-Up (LW) 4 2" xfId="0"/>
    <cellStyle name="_LCD_VD_VSA Roll-Up (LW)_By Region" xfId="0"/>
    <cellStyle name="_LCD_VD_VSA Roll-Up (LW)_CORP SG&amp;A" xfId="0"/>
    <cellStyle name="_LCD_VD_VSA Roll-Up (LW)_LCD" xfId="0"/>
    <cellStyle name="_LCD_VD_VSA Roll-Up (LW)_PJ" xfId="0"/>
    <cellStyle name="_LCD_VSA 111014" xfId="0"/>
    <cellStyle name="_LCD_VSA 111014 2" xfId="0"/>
    <cellStyle name="_LCD_VSA 111014 3" xfId="0"/>
    <cellStyle name="_LCD_VSA 111014 4" xfId="0"/>
    <cellStyle name="_LCD_VSA 111014 4 2" xfId="0"/>
    <cellStyle name="_LCD_VSA 111014_By Region" xfId="0"/>
    <cellStyle name="_LCD_VSA 111014_CORP SG&amp;A" xfId="0"/>
    <cellStyle name="_LCD_VSA 111014_LCD" xfId="0"/>
    <cellStyle name="_LCD_VSA 111014_PJ" xfId="0"/>
    <cellStyle name="_LCD_VSA Roll-Up (LW)" xfId="0"/>
    <cellStyle name="_LCD_VSA Roll-Up (LW) 2" xfId="0"/>
    <cellStyle name="_LCD_VSA Roll-Up (LW) 3" xfId="0"/>
    <cellStyle name="_LCD_VSA Roll-Up (LW) 4" xfId="0"/>
    <cellStyle name="_LCD_VSA Roll-Up (LW) 4 2" xfId="0"/>
    <cellStyle name="_LCD_VSA Roll-Up (LW)_By Region" xfId="0"/>
    <cellStyle name="_LCD_VSA Roll-Up (LW)_CORP SG&amp;A" xfId="0"/>
    <cellStyle name="_LCD_VSA Roll-Up (LW)_LCD" xfId="0"/>
    <cellStyle name="_LCD_VSA Roll-Up (LW)_PJ" xfId="0"/>
    <cellStyle name="_LCD_VSE 2011 Budget" xfId="0"/>
    <cellStyle name="_LCD_VSE 2011 Budget 2" xfId="0"/>
    <cellStyle name="_LCD_VSE 2011 Budget 3" xfId="0"/>
    <cellStyle name="_LCD_VSE 2011 Budget 4" xfId="0"/>
    <cellStyle name="_LCD_VSE 2011 Budget_By Region" xfId="0"/>
    <cellStyle name="_LCD_VSE 2011 Budget_CORP SG&amp;A" xfId="0"/>
    <cellStyle name="_LCD_VSE 2011 Budget_Digitizer" xfId="0"/>
    <cellStyle name="_LCD_VSE 2011 Budget_GPS OTHER" xfId="0"/>
    <cellStyle name="_LCD_VSE 2011 Budget_GPS OTHER 2" xfId="0"/>
    <cellStyle name="_LCD_VSE 2011 Budget_GPS OTHER 3" xfId="0"/>
    <cellStyle name="_LCD_VSE 2011 Budget_GPS OTHER 4" xfId="0"/>
    <cellStyle name="_LCD_VSE 2011 Budget_GPS OTHER 4 2" xfId="0"/>
    <cellStyle name="_LCD_VSE 2011 Budget_GPS OTHER_By Region" xfId="0"/>
    <cellStyle name="_LCD_VSE 2011 Budget_GPS OTHER_CORP SG&amp;A" xfId="0"/>
    <cellStyle name="_LCD_VSE 2011 Budget_GPS OTHER_LCD" xfId="0"/>
    <cellStyle name="_LCD_VSE 2011 Budget_GPS OTHER_PJ" xfId="0"/>
    <cellStyle name="_LCD_VSE 2011 Budget_LCD" xfId="0"/>
    <cellStyle name="_LCD_VSE 2011 Budget_LCD 2" xfId="0"/>
    <cellStyle name="_LCD_VSE 2011 Budget_LCD 3" xfId="0"/>
    <cellStyle name="_LCD_VSE 2011 Budget_LCD 4" xfId="0"/>
    <cellStyle name="_LCD_VSE 2011 Budget_LCD_By Region" xfId="0"/>
    <cellStyle name="_LCD_VSE 2011 Budget_LCD_CORP SG&amp;A" xfId="0"/>
    <cellStyle name="_LCD_VSE 2011 Budget_LCD_LCD" xfId="0"/>
    <cellStyle name="_LCD_VSE 2011 Budget_LCD_PJ" xfId="0"/>
    <cellStyle name="_LCD_VSE 2011 Budget_PC Products" xfId="0"/>
    <cellStyle name="_LCD_VSE 2011 Budget_PC Products 2" xfId="0"/>
    <cellStyle name="_LCD_VSE 2011 Budget_PC Products 3" xfId="0"/>
    <cellStyle name="_LCD_VSE 2011 Budget_PC Products 4" xfId="0"/>
    <cellStyle name="_LCD_VSE 2011 Budget_PC Products 4 2" xfId="0"/>
    <cellStyle name="_LCD_VSE 2011 Budget_PC Products_By Region" xfId="0"/>
    <cellStyle name="_LCD_VSE 2011 Budget_PC Products_CORP SG&amp;A" xfId="0"/>
    <cellStyle name="_LCD_VSE 2011 Budget_PC Products_LCD" xfId="0"/>
    <cellStyle name="_LCD_VSE 2011 Budget_PC Products_PJ" xfId="0"/>
    <cellStyle name="_LCD_VSE 2011 Budget_VSA 111014" xfId="0"/>
    <cellStyle name="_LCD_VSE 2011 Budget_VSA 111014 2" xfId="0"/>
    <cellStyle name="_LCD_VSE 2011 Budget_VSA 111014 3" xfId="0"/>
    <cellStyle name="_LCD_VSE 2011 Budget_VSA 111014 4" xfId="0"/>
    <cellStyle name="_LCD_VSE 2011 Budget_VSA 111014 4 2" xfId="0"/>
    <cellStyle name="_LCD_VSE 2011 Budget_VSA 111014_By Region" xfId="0"/>
    <cellStyle name="_LCD_VSE 2011 Budget_VSA 111014_CORP SG&amp;A" xfId="0"/>
    <cellStyle name="_LCD_VSE 2011 Budget_VSA 111014_LCD" xfId="0"/>
    <cellStyle name="_LCD_VSE 2011 Budget_VSA 111014_PJ" xfId="0"/>
    <cellStyle name="_LCD_VSE 2011 Budget_VSA Roll-Up (LW)" xfId="0"/>
    <cellStyle name="_LCD_VSE 2011 Budget_VSA Roll-Up (LW) 2" xfId="0"/>
    <cellStyle name="_LCD_VSE 2011 Budget_VSA Roll-Up (LW) 3" xfId="0"/>
    <cellStyle name="_LCD_VSE 2011 Budget_VSA Roll-Up (LW) 4" xfId="0"/>
    <cellStyle name="_LCD_VSE 2011 Budget_VSA Roll-Up (LW) 4 2" xfId="0"/>
    <cellStyle name="_LCD_VSE 2011 Budget_VSA Roll-Up (LW)_By Region" xfId="0"/>
    <cellStyle name="_LCD_VSE 2011 Budget_VSA Roll-Up (LW)_CORP SG&amp;A" xfId="0"/>
    <cellStyle name="_LCD_VSE 2011 Budget_VSA Roll-Up (LW)_LCD" xfId="0"/>
    <cellStyle name="_LCD_VSE 2011 Budget_VSA Roll-Up (LW)_PJ" xfId="0"/>
    <cellStyle name="_LCD_VSE 2H  WFP review (Spring Global meeting)-conservative Adam working v3" xfId="0"/>
    <cellStyle name="_LCD_VSE 2H  WFP review (Spring Global meeting)-conservative Adam working v3 2" xfId="0"/>
    <cellStyle name="_LCD_VSE 2H  WFP review (Spring Global meeting)-conservative Adam working v3 3" xfId="0"/>
    <cellStyle name="_LCD_VSE 2H Rebalance 110712" xfId="0"/>
    <cellStyle name="_LCD_VSE 2H Rebalance 110712 2" xfId="0"/>
    <cellStyle name="_LCD_VSE 2H Rebalance 110712 3" xfId="0"/>
    <cellStyle name="_LCD_VSE 2H Rebalance 110712 4" xfId="0"/>
    <cellStyle name="_LCD_VSE 2H Rebalance 110712_By Region" xfId="0"/>
    <cellStyle name="_LCD_VSE 2H Rebalance 110712_CORP SG&amp;A" xfId="0"/>
    <cellStyle name="_LCD_VSE WFP 101203" xfId="0"/>
    <cellStyle name="_LCD_VSE WFP 101203 2" xfId="0"/>
    <cellStyle name="_LCD_VSE WFP 101203 3" xfId="0"/>
    <cellStyle name="_LCD_VSE WFP 101203 4" xfId="0"/>
    <cellStyle name="_LCD_VSE WFP 101203_By Region" xfId="0"/>
    <cellStyle name="_LCD_VSE WFP 101203_CORP SG&amp;A" xfId="0"/>
    <cellStyle name="_LCD_VSE WFP 110311" xfId="0"/>
    <cellStyle name="_LCD_VSE WFP 110311 2" xfId="0"/>
    <cellStyle name="_LCD_VSE WFP 110311 3" xfId="0"/>
    <cellStyle name="_LCD_VSE WFP 110311 4" xfId="0"/>
    <cellStyle name="_LCD_VSE WFP 110311_By Region" xfId="0"/>
    <cellStyle name="_LCD_VSE WFP 110311_CORP SG&amp;A" xfId="0"/>
    <cellStyle name="_LCD_VSE WFP 110415" xfId="0"/>
    <cellStyle name="_LCD_VSE WFP 110415 2" xfId="0"/>
    <cellStyle name="_LCD_VSE WFP 110415 3" xfId="0"/>
    <cellStyle name="_LCD_VSE WFP 110415 4" xfId="0"/>
    <cellStyle name="_LCD_VSE WFP 110415_By Region" xfId="0"/>
    <cellStyle name="_LCD_VSE WFP 110415_CORP SG&amp;A" xfId="0"/>
    <cellStyle name="_LCD_VSE WFP_100409" xfId="0"/>
    <cellStyle name="_LCD_VSE WFP_100409 2" xfId="0"/>
    <cellStyle name="_LCD_VSE WFP_100409 3" xfId="0"/>
    <cellStyle name="_LCD_VSE WFP_100409 4" xfId="0"/>
    <cellStyle name="_LCD_VSE WFP_100409_By Region" xfId="0"/>
    <cellStyle name="_LCD_VSE WFP_100409_CORP SG&amp;A" xfId="0"/>
    <cellStyle name="_LCD_VSE WFP_100409_Digitizer" xfId="0"/>
    <cellStyle name="_LCD_VSE WFP_100409_GPS OTHER" xfId="0"/>
    <cellStyle name="_LCD_VSE WFP_100409_GPS OTHER 2" xfId="0"/>
    <cellStyle name="_LCD_VSE WFP_100409_GPS OTHER 3" xfId="0"/>
    <cellStyle name="_LCD_VSE WFP_100409_GPS OTHER 4" xfId="0"/>
    <cellStyle name="_LCD_VSE WFP_100409_GPS OTHER 4 2" xfId="0"/>
    <cellStyle name="_LCD_VSE WFP_100409_GPS OTHER_By Region" xfId="0"/>
    <cellStyle name="_LCD_VSE WFP_100409_GPS OTHER_CORP SG&amp;A" xfId="0"/>
    <cellStyle name="_LCD_VSE WFP_100409_GPS OTHER_LCD" xfId="0"/>
    <cellStyle name="_LCD_VSE WFP_100409_GPS OTHER_PJ" xfId="0"/>
    <cellStyle name="_LCD_VSE WFP_100409_LCD" xfId="0"/>
    <cellStyle name="_LCD_VSE WFP_100409_LCD 2" xfId="0"/>
    <cellStyle name="_LCD_VSE WFP_100409_LCD 3" xfId="0"/>
    <cellStyle name="_LCD_VSE WFP_100409_LCD 4" xfId="0"/>
    <cellStyle name="_LCD_VSE WFP_100409_LCD_By Region" xfId="0"/>
    <cellStyle name="_LCD_VSE WFP_100409_LCD_CORP SG&amp;A" xfId="0"/>
    <cellStyle name="_LCD_VSE WFP_100409_LCD_LCD" xfId="0"/>
    <cellStyle name="_LCD_VSE WFP_100409_LCD_PJ" xfId="0"/>
    <cellStyle name="_LCD_VSE WFP_100409_PC Products" xfId="0"/>
    <cellStyle name="_LCD_VSE WFP_100409_PC Products 2" xfId="0"/>
    <cellStyle name="_LCD_VSE WFP_100409_PC Products 3" xfId="0"/>
    <cellStyle name="_LCD_VSE WFP_100409_PC Products 4" xfId="0"/>
    <cellStyle name="_LCD_VSE WFP_100409_PC Products 4 2" xfId="0"/>
    <cellStyle name="_LCD_VSE WFP_100409_PC Products_By Region" xfId="0"/>
    <cellStyle name="_LCD_VSE WFP_100409_PC Products_CORP SG&amp;A" xfId="0"/>
    <cellStyle name="_LCD_VSE WFP_100409_PC Products_LCD" xfId="0"/>
    <cellStyle name="_LCD_VSE WFP_100409_PC Products_PJ" xfId="0"/>
    <cellStyle name="_LCD_VSE WFP_100409_VSA 111014" xfId="0"/>
    <cellStyle name="_LCD_VSE WFP_100409_VSA 111014 2" xfId="0"/>
    <cellStyle name="_LCD_VSE WFP_100409_VSA 111014 3" xfId="0"/>
    <cellStyle name="_LCD_VSE WFP_100409_VSA 111014 4" xfId="0"/>
    <cellStyle name="_LCD_VSE WFP_100409_VSA 111014 4 2" xfId="0"/>
    <cellStyle name="_LCD_VSE WFP_100409_VSA 111014_By Region" xfId="0"/>
    <cellStyle name="_LCD_VSE WFP_100409_VSA 111014_CORP SG&amp;A" xfId="0"/>
    <cellStyle name="_LCD_VSE WFP_100409_VSA 111014_LCD" xfId="0"/>
    <cellStyle name="_LCD_VSE WFP_100409_VSA 111014_PJ" xfId="0"/>
    <cellStyle name="_LCD_VSE WFP_100409_VSA Roll-Up (LW)" xfId="0"/>
    <cellStyle name="_LCD_VSE WFP_100409_VSA Roll-Up (LW) 2" xfId="0"/>
    <cellStyle name="_LCD_VSE WFP_100409_VSA Roll-Up (LW) 3" xfId="0"/>
    <cellStyle name="_LCD_VSE WFP_100409_VSA Roll-Up (LW) 4" xfId="0"/>
    <cellStyle name="_LCD_VSE WFP_100409_VSA Roll-Up (LW) 4 2" xfId="0"/>
    <cellStyle name="_LCD_VSE WFP_100409_VSA Roll-Up (LW)_By Region" xfId="0"/>
    <cellStyle name="_LCD_VSE WFP_100409_VSA Roll-Up (LW)_CORP SG&amp;A" xfId="0"/>
    <cellStyle name="_LCD_VSE WFP_100409_VSA Roll-Up (LW)_LCD" xfId="0"/>
    <cellStyle name="_LCD_VSE WFP_100409_VSA Roll-Up (LW)_PJ" xfId="0"/>
    <cellStyle name="_LCD_VSE WFP_100421 v2" xfId="0"/>
    <cellStyle name="_LCD_VSE WFP_100421 v2 2" xfId="0"/>
    <cellStyle name="_LCD_VSE WFP_100421 v2 3" xfId="0"/>
    <cellStyle name="_LCD_VSE WFP_100421 v2 4" xfId="0"/>
    <cellStyle name="_LCD_VSE WFP_100421 v2_By Region" xfId="0"/>
    <cellStyle name="_LCD_VSE WFP_100421 v2_CORP SG&amp;A" xfId="0"/>
    <cellStyle name="_LCD_VSE WFP_100421 v2_Digitizer" xfId="0"/>
    <cellStyle name="_LCD_VSE WFP_100421 v2_GPS OTHER" xfId="0"/>
    <cellStyle name="_LCD_VSE WFP_100421 v2_GPS OTHER 2" xfId="0"/>
    <cellStyle name="_LCD_VSE WFP_100421 v2_GPS OTHER 3" xfId="0"/>
    <cellStyle name="_LCD_VSE WFP_100421 v2_GPS OTHER 4" xfId="0"/>
    <cellStyle name="_LCD_VSE WFP_100421 v2_GPS OTHER 4 2" xfId="0"/>
    <cellStyle name="_LCD_VSE WFP_100421 v2_GPS OTHER_By Region" xfId="0"/>
    <cellStyle name="_LCD_VSE WFP_100421 v2_GPS OTHER_CORP SG&amp;A" xfId="0"/>
    <cellStyle name="_LCD_VSE WFP_100421 v2_GPS OTHER_LCD" xfId="0"/>
    <cellStyle name="_LCD_VSE WFP_100421 v2_GPS OTHER_PJ" xfId="0"/>
    <cellStyle name="_LCD_VSE WFP_100421 v2_LCD" xfId="0"/>
    <cellStyle name="_LCD_VSE WFP_100421 v2_LCD 2" xfId="0"/>
    <cellStyle name="_LCD_VSE WFP_100421 v2_LCD 3" xfId="0"/>
    <cellStyle name="_LCD_VSE WFP_100421 v2_LCD 4" xfId="0"/>
    <cellStyle name="_LCD_VSE WFP_100421 v2_LCD_By Region" xfId="0"/>
    <cellStyle name="_LCD_VSE WFP_100421 v2_LCD_CORP SG&amp;A" xfId="0"/>
    <cellStyle name="_LCD_VSE WFP_100421 v2_LCD_LCD" xfId="0"/>
    <cellStyle name="_LCD_VSE WFP_100421 v2_LCD_PJ" xfId="0"/>
    <cellStyle name="_LCD_VSE WFP_100421 v2_PC Products" xfId="0"/>
    <cellStyle name="_LCD_VSE WFP_100421 v2_PC Products 2" xfId="0"/>
    <cellStyle name="_LCD_VSE WFP_100421 v2_PC Products 3" xfId="0"/>
    <cellStyle name="_LCD_VSE WFP_100421 v2_PC Products 4" xfId="0"/>
    <cellStyle name="_LCD_VSE WFP_100421 v2_PC Products 4 2" xfId="0"/>
    <cellStyle name="_LCD_VSE WFP_100421 v2_PC Products_By Region" xfId="0"/>
    <cellStyle name="_LCD_VSE WFP_100421 v2_PC Products_CORP SG&amp;A" xfId="0"/>
    <cellStyle name="_LCD_VSE WFP_100421 v2_PC Products_LCD" xfId="0"/>
    <cellStyle name="_LCD_VSE WFP_100421 v2_PC Products_PJ" xfId="0"/>
    <cellStyle name="_LCD_VSE WFP_100421 v2_VSA 111014" xfId="0"/>
    <cellStyle name="_LCD_VSE WFP_100421 v2_VSA 111014 2" xfId="0"/>
    <cellStyle name="_LCD_VSE WFP_100421 v2_VSA 111014 3" xfId="0"/>
    <cellStyle name="_LCD_VSE WFP_100421 v2_VSA 111014 4" xfId="0"/>
    <cellStyle name="_LCD_VSE WFP_100421 v2_VSA 111014 4 2" xfId="0"/>
    <cellStyle name="_LCD_VSE WFP_100421 v2_VSA 111014_By Region" xfId="0"/>
    <cellStyle name="_LCD_VSE WFP_100421 v2_VSA 111014_CORP SG&amp;A" xfId="0"/>
    <cellStyle name="_LCD_VSE WFP_100421 v2_VSA 111014_LCD" xfId="0"/>
    <cellStyle name="_LCD_VSE WFP_100421 v2_VSA 111014_PJ" xfId="0"/>
    <cellStyle name="_LCD_VSE WFP_100421 v2_VSA Roll-Up (LW)" xfId="0"/>
    <cellStyle name="_LCD_VSE WFP_100421 v2_VSA Roll-Up (LW) 2" xfId="0"/>
    <cellStyle name="_LCD_VSE WFP_100421 v2_VSA Roll-Up (LW) 3" xfId="0"/>
    <cellStyle name="_LCD_VSE WFP_100421 v2_VSA Roll-Up (LW) 4" xfId="0"/>
    <cellStyle name="_LCD_VSE WFP_100421 v2_VSA Roll-Up (LW) 4 2" xfId="0"/>
    <cellStyle name="_LCD_VSE WFP_100421 v2_VSA Roll-Up (LW)_By Region" xfId="0"/>
    <cellStyle name="_LCD_VSE WFP_100421 v2_VSA Roll-Up (LW)_CORP SG&amp;A" xfId="0"/>
    <cellStyle name="_LCD_VSE WFP_100421 v2_VSA Roll-Up (LW)_LCD" xfId="0"/>
    <cellStyle name="_LCD_VSE WFP_100421 v2_VSA Roll-Up (LW)_PJ" xfId="0"/>
    <cellStyle name="_LCD_VSE WFP_100507" xfId="0"/>
    <cellStyle name="_LCD_VSE WFP_100507 2" xfId="0"/>
    <cellStyle name="_LCD_VSE WFP_100507 3" xfId="0"/>
    <cellStyle name="_LCD_VSE WFP_100507 4" xfId="0"/>
    <cellStyle name="_LCD_VSE WFP_100507_By Region" xfId="0"/>
    <cellStyle name="_LCD_VSE WFP_100507_CORP SG&amp;A" xfId="0"/>
    <cellStyle name="_LCD_VSE WFP_100507_Digitizer" xfId="0"/>
    <cellStyle name="_LCD_VSE WFP_100507_GPS OTHER" xfId="0"/>
    <cellStyle name="_LCD_VSE WFP_100507_GPS OTHER 2" xfId="0"/>
    <cellStyle name="_LCD_VSE WFP_100507_GPS OTHER 3" xfId="0"/>
    <cellStyle name="_LCD_VSE WFP_100507_GPS OTHER 4" xfId="0"/>
    <cellStyle name="_LCD_VSE WFP_100507_GPS OTHER 4 2" xfId="0"/>
    <cellStyle name="_LCD_VSE WFP_100507_GPS OTHER_By Region" xfId="0"/>
    <cellStyle name="_LCD_VSE WFP_100507_GPS OTHER_CORP SG&amp;A" xfId="0"/>
    <cellStyle name="_LCD_VSE WFP_100507_GPS OTHER_LCD" xfId="0"/>
    <cellStyle name="_LCD_VSE WFP_100507_GPS OTHER_PJ" xfId="0"/>
    <cellStyle name="_LCD_VSE WFP_100507_LCD" xfId="0"/>
    <cellStyle name="_LCD_VSE WFP_100507_LCD 2" xfId="0"/>
    <cellStyle name="_LCD_VSE WFP_100507_LCD 3" xfId="0"/>
    <cellStyle name="_LCD_VSE WFP_100507_LCD 4" xfId="0"/>
    <cellStyle name="_LCD_VSE WFP_100507_LCD_By Region" xfId="0"/>
    <cellStyle name="_LCD_VSE WFP_100507_LCD_CORP SG&amp;A" xfId="0"/>
    <cellStyle name="_LCD_VSE WFP_100507_LCD_LCD" xfId="0"/>
    <cellStyle name="_LCD_VSE WFP_100507_LCD_PJ" xfId="0"/>
    <cellStyle name="_LCD_VSE WFP_100507_PC Products" xfId="0"/>
    <cellStyle name="_LCD_VSE WFP_100507_PC Products 2" xfId="0"/>
    <cellStyle name="_LCD_VSE WFP_100507_PC Products 3" xfId="0"/>
    <cellStyle name="_LCD_VSE WFP_100507_PC Products 4" xfId="0"/>
    <cellStyle name="_LCD_VSE WFP_100507_PC Products 4 2" xfId="0"/>
    <cellStyle name="_LCD_VSE WFP_100507_PC Products_By Region" xfId="0"/>
    <cellStyle name="_LCD_VSE WFP_100507_PC Products_CORP SG&amp;A" xfId="0"/>
    <cellStyle name="_LCD_VSE WFP_100507_PC Products_LCD" xfId="0"/>
    <cellStyle name="_LCD_VSE WFP_100507_PC Products_PJ" xfId="0"/>
    <cellStyle name="_LCD_VSE WFP_100507_VSA 111014" xfId="0"/>
    <cellStyle name="_LCD_VSE WFP_100507_VSA 111014 2" xfId="0"/>
    <cellStyle name="_LCD_VSE WFP_100507_VSA 111014 3" xfId="0"/>
    <cellStyle name="_LCD_VSE WFP_100507_VSA 111014 4" xfId="0"/>
    <cellStyle name="_LCD_VSE WFP_100507_VSA 111014 4 2" xfId="0"/>
    <cellStyle name="_LCD_VSE WFP_100507_VSA 111014_By Region" xfId="0"/>
    <cellStyle name="_LCD_VSE WFP_100507_VSA 111014_CORP SG&amp;A" xfId="0"/>
    <cellStyle name="_LCD_VSE WFP_100507_VSA 111014_LCD" xfId="0"/>
    <cellStyle name="_LCD_VSE WFP_100507_VSA 111014_PJ" xfId="0"/>
    <cellStyle name="_LCD_VSE WFP_100507_VSA Roll-Up (LW)" xfId="0"/>
    <cellStyle name="_LCD_VSE WFP_100507_VSA Roll-Up (LW) 2" xfId="0"/>
    <cellStyle name="_LCD_VSE WFP_100507_VSA Roll-Up (LW) 3" xfId="0"/>
    <cellStyle name="_LCD_VSE WFP_100507_VSA Roll-Up (LW) 4" xfId="0"/>
    <cellStyle name="_LCD_VSE WFP_100507_VSA Roll-Up (LW) 4 2" xfId="0"/>
    <cellStyle name="_LCD_VSE WFP_100507_VSA Roll-Up (LW)_By Region" xfId="0"/>
    <cellStyle name="_LCD_VSE WFP_100507_VSA Roll-Up (LW)_CORP SG&amp;A" xfId="0"/>
    <cellStyle name="_LCD_VSE WFP_100507_VSA Roll-Up (LW)_LCD" xfId="0"/>
    <cellStyle name="_LCD_VSE WFP_100507_VSA Roll-Up (LW)_PJ" xfId="0"/>
    <cellStyle name="_LCD_VSE WFP_100608" xfId="0"/>
    <cellStyle name="_LCD_VSE WFP_100608 2" xfId="0"/>
    <cellStyle name="_LCD_VSE WFP_100608 3" xfId="0"/>
    <cellStyle name="_LCD_VSE WFP_100608 4" xfId="0"/>
    <cellStyle name="_LCD_VSE WFP_100608_By Region" xfId="0"/>
    <cellStyle name="_LCD_VSE WFP_100608_CORP SG&amp;A" xfId="0"/>
    <cellStyle name="_LCD_VSE WFP_100608_Digitizer" xfId="0"/>
    <cellStyle name="_LCD_VSE WFP_100608_GPS OTHER" xfId="0"/>
    <cellStyle name="_LCD_VSE WFP_100608_GPS OTHER 2" xfId="0"/>
    <cellStyle name="_LCD_VSE WFP_100608_GPS OTHER 3" xfId="0"/>
    <cellStyle name="_LCD_VSE WFP_100608_GPS OTHER 4" xfId="0"/>
    <cellStyle name="_LCD_VSE WFP_100608_GPS OTHER 4 2" xfId="0"/>
    <cellStyle name="_LCD_VSE WFP_100608_GPS OTHER_By Region" xfId="0"/>
    <cellStyle name="_LCD_VSE WFP_100608_GPS OTHER_CORP SG&amp;A" xfId="0"/>
    <cellStyle name="_LCD_VSE WFP_100608_GPS OTHER_LCD" xfId="0"/>
    <cellStyle name="_LCD_VSE WFP_100608_GPS OTHER_PJ" xfId="0"/>
    <cellStyle name="_LCD_VSE WFP_100608_LCD" xfId="0"/>
    <cellStyle name="_LCD_VSE WFP_100608_LCD 2" xfId="0"/>
    <cellStyle name="_LCD_VSE WFP_100608_LCD 3" xfId="0"/>
    <cellStyle name="_LCD_VSE WFP_100608_LCD 4" xfId="0"/>
    <cellStyle name="_LCD_VSE WFP_100608_LCD_By Region" xfId="0"/>
    <cellStyle name="_LCD_VSE WFP_100608_LCD_CORP SG&amp;A" xfId="0"/>
    <cellStyle name="_LCD_VSE WFP_100608_LCD_LCD" xfId="0"/>
    <cellStyle name="_LCD_VSE WFP_100608_LCD_PJ" xfId="0"/>
    <cellStyle name="_LCD_VSE WFP_100608_PC Products" xfId="0"/>
    <cellStyle name="_LCD_VSE WFP_100608_PC Products 2" xfId="0"/>
    <cellStyle name="_LCD_VSE WFP_100608_PC Products 3" xfId="0"/>
    <cellStyle name="_LCD_VSE WFP_100608_PC Products 4" xfId="0"/>
    <cellStyle name="_LCD_VSE WFP_100608_PC Products 4 2" xfId="0"/>
    <cellStyle name="_LCD_VSE WFP_100608_PC Products_By Region" xfId="0"/>
    <cellStyle name="_LCD_VSE WFP_100608_PC Products_CORP SG&amp;A" xfId="0"/>
    <cellStyle name="_LCD_VSE WFP_100608_PC Products_LCD" xfId="0"/>
    <cellStyle name="_LCD_VSE WFP_100608_PC Products_PJ" xfId="0"/>
    <cellStyle name="_LCD_VSE WFP_100608_VSA 111014" xfId="0"/>
    <cellStyle name="_LCD_VSE WFP_100608_VSA 111014 2" xfId="0"/>
    <cellStyle name="_LCD_VSE WFP_100608_VSA 111014 3" xfId="0"/>
    <cellStyle name="_LCD_VSE WFP_100608_VSA 111014 4" xfId="0"/>
    <cellStyle name="_LCD_VSE WFP_100608_VSA 111014 4 2" xfId="0"/>
    <cellStyle name="_LCD_VSE WFP_100608_VSA 111014_By Region" xfId="0"/>
    <cellStyle name="_LCD_VSE WFP_100608_VSA 111014_CORP SG&amp;A" xfId="0"/>
    <cellStyle name="_LCD_VSE WFP_100608_VSA 111014_LCD" xfId="0"/>
    <cellStyle name="_LCD_VSE WFP_100608_VSA 111014_PJ" xfId="0"/>
    <cellStyle name="_LCD_VSE WFP_100608_VSA Roll-Up (LW)" xfId="0"/>
    <cellStyle name="_LCD_VSE WFP_100608_VSA Roll-Up (LW) 2" xfId="0"/>
    <cellStyle name="_LCD_VSE WFP_100608_VSA Roll-Up (LW) 3" xfId="0"/>
    <cellStyle name="_LCD_VSE WFP_100608_VSA Roll-Up (LW) 4" xfId="0"/>
    <cellStyle name="_LCD_VSE WFP_100608_VSA Roll-Up (LW) 4 2" xfId="0"/>
    <cellStyle name="_LCD_VSE WFP_100608_VSA Roll-Up (LW)_By Region" xfId="0"/>
    <cellStyle name="_LCD_VSE WFP_100608_VSA Roll-Up (LW)_CORP SG&amp;A" xfId="0"/>
    <cellStyle name="_LCD_VSE WFP_100608_VSA Roll-Up (LW)_LCD" xfId="0"/>
    <cellStyle name="_LCD_VSE WFP_100608_VSA Roll-Up (LW)_PJ" xfId="0"/>
    <cellStyle name="_LCD_VSE WFP_100625" xfId="0"/>
    <cellStyle name="_LCD_VSE WFP_100625 2" xfId="0"/>
    <cellStyle name="_LCD_VSE WFP_100625 3" xfId="0"/>
    <cellStyle name="_LCD_VSE WFP_100625 4" xfId="0"/>
    <cellStyle name="_LCD_VSE WFP_100625_By Region" xfId="0"/>
    <cellStyle name="_LCD_VSE WFP_100625_CORP SG&amp;A" xfId="0"/>
    <cellStyle name="_LCD_VSE WFP_100625_Digitizer" xfId="0"/>
    <cellStyle name="_LCD_VSE WFP_100625_GPS OTHER" xfId="0"/>
    <cellStyle name="_LCD_VSE WFP_100625_GPS OTHER 2" xfId="0"/>
    <cellStyle name="_LCD_VSE WFP_100625_GPS OTHER 3" xfId="0"/>
    <cellStyle name="_LCD_VSE WFP_100625_GPS OTHER 4" xfId="0"/>
    <cellStyle name="_LCD_VSE WFP_100625_GPS OTHER 4 2" xfId="0"/>
    <cellStyle name="_LCD_VSE WFP_100625_GPS OTHER_By Region" xfId="0"/>
    <cellStyle name="_LCD_VSE WFP_100625_GPS OTHER_CORP SG&amp;A" xfId="0"/>
    <cellStyle name="_LCD_VSE WFP_100625_GPS OTHER_LCD" xfId="0"/>
    <cellStyle name="_LCD_VSE WFP_100625_GPS OTHER_PJ" xfId="0"/>
    <cellStyle name="_LCD_VSE WFP_100625_LCD" xfId="0"/>
    <cellStyle name="_LCD_VSE WFP_100625_LCD 2" xfId="0"/>
    <cellStyle name="_LCD_VSE WFP_100625_LCD 3" xfId="0"/>
    <cellStyle name="_LCD_VSE WFP_100625_LCD 4" xfId="0"/>
    <cellStyle name="_LCD_VSE WFP_100625_LCD_By Region" xfId="0"/>
    <cellStyle name="_LCD_VSE WFP_100625_LCD_CORP SG&amp;A" xfId="0"/>
    <cellStyle name="_LCD_VSE WFP_100625_LCD_LCD" xfId="0"/>
    <cellStyle name="_LCD_VSE WFP_100625_LCD_PJ" xfId="0"/>
    <cellStyle name="_LCD_VSE WFP_100625_PC Products" xfId="0"/>
    <cellStyle name="_LCD_VSE WFP_100625_PC Products 2" xfId="0"/>
    <cellStyle name="_LCD_VSE WFP_100625_PC Products 3" xfId="0"/>
    <cellStyle name="_LCD_VSE WFP_100625_PC Products 4" xfId="0"/>
    <cellStyle name="_LCD_VSE WFP_100625_PC Products 4 2" xfId="0"/>
    <cellStyle name="_LCD_VSE WFP_100625_PC Products_By Region" xfId="0"/>
    <cellStyle name="_LCD_VSE WFP_100625_PC Products_CORP SG&amp;A" xfId="0"/>
    <cellStyle name="_LCD_VSE WFP_100625_PC Products_LCD" xfId="0"/>
    <cellStyle name="_LCD_VSE WFP_100625_PC Products_PJ" xfId="0"/>
    <cellStyle name="_LCD_VSE WFP_100625_VSA 111014" xfId="0"/>
    <cellStyle name="_LCD_VSE WFP_100625_VSA 111014 2" xfId="0"/>
    <cellStyle name="_LCD_VSE WFP_100625_VSA 111014 3" xfId="0"/>
    <cellStyle name="_LCD_VSE WFP_100625_VSA 111014 4" xfId="0"/>
    <cellStyle name="_LCD_VSE WFP_100625_VSA 111014 4 2" xfId="0"/>
    <cellStyle name="_LCD_VSE WFP_100625_VSA 111014_By Region" xfId="0"/>
    <cellStyle name="_LCD_VSE WFP_100625_VSA 111014_CORP SG&amp;A" xfId="0"/>
    <cellStyle name="_LCD_VSE WFP_100625_VSA 111014_LCD" xfId="0"/>
    <cellStyle name="_LCD_VSE WFP_100625_VSA 111014_PJ" xfId="0"/>
    <cellStyle name="_LCD_VSE WFP_100625_VSA Roll-Up (LW)" xfId="0"/>
    <cellStyle name="_LCD_VSE WFP_100625_VSA Roll-Up (LW) 2" xfId="0"/>
    <cellStyle name="_LCD_VSE WFP_100625_VSA Roll-Up (LW) 3" xfId="0"/>
    <cellStyle name="_LCD_VSE WFP_100625_VSA Roll-Up (LW) 4" xfId="0"/>
    <cellStyle name="_LCD_VSE WFP_100625_VSA Roll-Up (LW) 4 2" xfId="0"/>
    <cellStyle name="_LCD_VSE WFP_100625_VSA Roll-Up (LW)_By Region" xfId="0"/>
    <cellStyle name="_LCD_VSE WFP_100625_VSA Roll-Up (LW)_CORP SG&amp;A" xfId="0"/>
    <cellStyle name="_LCD_VSE WFP_100625_VSA Roll-Up (LW)_LCD" xfId="0"/>
    <cellStyle name="_LCD_VSE WFP_100625_VSA Roll-Up (LW)_PJ" xfId="0"/>
    <cellStyle name="_LCD_VSE WFP_100708_3rd" xfId="0"/>
    <cellStyle name="_LCD_VSE WFP_100708_3rd 2" xfId="0"/>
    <cellStyle name="_LCD_VSE WFP_100708_3rd 3" xfId="0"/>
    <cellStyle name="_LCD_VSE WFP_100708_3rd 4" xfId="0"/>
    <cellStyle name="_LCD_VSE WFP_100708_3rd_By Region" xfId="0"/>
    <cellStyle name="_LCD_VSE WFP_100708_3rd_CORP SG&amp;A" xfId="0"/>
    <cellStyle name="_LCD_VSE WFP_100708_3rd_Digitizer" xfId="0"/>
    <cellStyle name="_LCD_VSE WFP_100708_3rd_GPS OTHER" xfId="0"/>
    <cellStyle name="_LCD_VSE WFP_100708_3rd_GPS OTHER 2" xfId="0"/>
    <cellStyle name="_LCD_VSE WFP_100708_3rd_GPS OTHER 3" xfId="0"/>
    <cellStyle name="_LCD_VSE WFP_100708_3rd_GPS OTHER 4" xfId="0"/>
    <cellStyle name="_LCD_VSE WFP_100708_3rd_GPS OTHER 4 2" xfId="0"/>
    <cellStyle name="_LCD_VSE WFP_100708_3rd_GPS OTHER_By Region" xfId="0"/>
    <cellStyle name="_LCD_VSE WFP_100708_3rd_GPS OTHER_CORP SG&amp;A" xfId="0"/>
    <cellStyle name="_LCD_VSE WFP_100708_3rd_GPS OTHER_LCD" xfId="0"/>
    <cellStyle name="_LCD_VSE WFP_100708_3rd_GPS OTHER_PJ" xfId="0"/>
    <cellStyle name="_LCD_VSE WFP_100708_3rd_LCD" xfId="0"/>
    <cellStyle name="_LCD_VSE WFP_100708_3rd_LCD 2" xfId="0"/>
    <cellStyle name="_LCD_VSE WFP_100708_3rd_LCD 3" xfId="0"/>
    <cellStyle name="_LCD_VSE WFP_100708_3rd_LCD 4" xfId="0"/>
    <cellStyle name="_LCD_VSE WFP_100708_3rd_LCD_By Region" xfId="0"/>
    <cellStyle name="_LCD_VSE WFP_100708_3rd_LCD_CORP SG&amp;A" xfId="0"/>
    <cellStyle name="_LCD_VSE WFP_100708_3rd_LCD_LCD" xfId="0"/>
    <cellStyle name="_LCD_VSE WFP_100708_3rd_LCD_PJ" xfId="0"/>
    <cellStyle name="_LCD_VSE WFP_100708_3rd_PC Products" xfId="0"/>
    <cellStyle name="_LCD_VSE WFP_100708_3rd_PC Products 2" xfId="0"/>
    <cellStyle name="_LCD_VSE WFP_100708_3rd_PC Products 3" xfId="0"/>
    <cellStyle name="_LCD_VSE WFP_100708_3rd_PC Products 4" xfId="0"/>
    <cellStyle name="_LCD_VSE WFP_100708_3rd_PC Products 4 2" xfId="0"/>
    <cellStyle name="_LCD_VSE WFP_100708_3rd_PC Products_By Region" xfId="0"/>
    <cellStyle name="_LCD_VSE WFP_100708_3rd_PC Products_CORP SG&amp;A" xfId="0"/>
    <cellStyle name="_LCD_VSE WFP_100708_3rd_PC Products_LCD" xfId="0"/>
    <cellStyle name="_LCD_VSE WFP_100708_3rd_PC Products_PJ" xfId="0"/>
    <cellStyle name="_LCD_VSE WFP_100708_3rd_VSA 111014" xfId="0"/>
    <cellStyle name="_LCD_VSE WFP_100708_3rd_VSA 111014 2" xfId="0"/>
    <cellStyle name="_LCD_VSE WFP_100708_3rd_VSA 111014 3" xfId="0"/>
    <cellStyle name="_LCD_VSE WFP_100708_3rd_VSA 111014 4" xfId="0"/>
    <cellStyle name="_LCD_VSE WFP_100708_3rd_VSA 111014 4 2" xfId="0"/>
    <cellStyle name="_LCD_VSE WFP_100708_3rd_VSA 111014_By Region" xfId="0"/>
    <cellStyle name="_LCD_VSE WFP_100708_3rd_VSA 111014_CORP SG&amp;A" xfId="0"/>
    <cellStyle name="_LCD_VSE WFP_100708_3rd_VSA 111014_LCD" xfId="0"/>
    <cellStyle name="_LCD_VSE WFP_100708_3rd_VSA 111014_PJ" xfId="0"/>
    <cellStyle name="_LCD_VSE WFP_100708_3rd_VSA Roll-Up (LW)" xfId="0"/>
    <cellStyle name="_LCD_VSE WFP_100708_3rd_VSA Roll-Up (LW) 2" xfId="0"/>
    <cellStyle name="_LCD_VSE WFP_100708_3rd_VSA Roll-Up (LW) 3" xfId="0"/>
    <cellStyle name="_LCD_VSE WFP_100708_3rd_VSA Roll-Up (LW) 4" xfId="0"/>
    <cellStyle name="_LCD_VSE WFP_100708_3rd_VSA Roll-Up (LW) 4 2" xfId="0"/>
    <cellStyle name="_LCD_VSE WFP_100708_3rd_VSA Roll-Up (LW)_By Region" xfId="0"/>
    <cellStyle name="_LCD_VSE WFP_100708_3rd_VSA Roll-Up (LW)_CORP SG&amp;A" xfId="0"/>
    <cellStyle name="_LCD_VSE WFP_100708_3rd_VSA Roll-Up (LW)_LCD" xfId="0"/>
    <cellStyle name="_LCD_VSE WFP_100708_3rd_VSA Roll-Up (LW)_PJ" xfId="0"/>
    <cellStyle name="_LCD_VSE WFP_100726" xfId="0"/>
    <cellStyle name="_LCD_VSE WFP_100726 2" xfId="0"/>
    <cellStyle name="_LCD_VSE WFP_100726 3" xfId="0"/>
    <cellStyle name="_LCD_VSE WFP_100726 4" xfId="0"/>
    <cellStyle name="_LCD_VSE WFP_100726-1" xfId="0"/>
    <cellStyle name="_LCD_VSE WFP_100726-1 2" xfId="0"/>
    <cellStyle name="_LCD_VSE WFP_100726-1 3" xfId="0"/>
    <cellStyle name="_LCD_VSE WFP_100726-1 4" xfId="0"/>
    <cellStyle name="_LCD_VSE WFP_100726-1_By Region" xfId="0"/>
    <cellStyle name="_LCD_VSE WFP_100726-1_CORP SG&amp;A" xfId="0"/>
    <cellStyle name="_LCD_VSE WFP_100726-1_Digitizer" xfId="0"/>
    <cellStyle name="_LCD_VSE WFP_100726-1_GPS OTHER" xfId="0"/>
    <cellStyle name="_LCD_VSE WFP_100726-1_GPS OTHER 2" xfId="0"/>
    <cellStyle name="_LCD_VSE WFP_100726-1_GPS OTHER 3" xfId="0"/>
    <cellStyle name="_LCD_VSE WFP_100726-1_GPS OTHER 4" xfId="0"/>
    <cellStyle name="_LCD_VSE WFP_100726-1_GPS OTHER 4 2" xfId="0"/>
    <cellStyle name="_LCD_VSE WFP_100726-1_GPS OTHER_By Region" xfId="0"/>
    <cellStyle name="_LCD_VSE WFP_100726-1_GPS OTHER_CORP SG&amp;A" xfId="0"/>
    <cellStyle name="_LCD_VSE WFP_100726-1_GPS OTHER_LCD" xfId="0"/>
    <cellStyle name="_LCD_VSE WFP_100726-1_GPS OTHER_PJ" xfId="0"/>
    <cellStyle name="_LCD_VSE WFP_100726-1_LCD" xfId="0"/>
    <cellStyle name="_LCD_VSE WFP_100726-1_LCD 2" xfId="0"/>
    <cellStyle name="_LCD_VSE WFP_100726-1_LCD 3" xfId="0"/>
    <cellStyle name="_LCD_VSE WFP_100726-1_LCD 4" xfId="0"/>
    <cellStyle name="_LCD_VSE WFP_100726-1_LCD_By Region" xfId="0"/>
    <cellStyle name="_LCD_VSE WFP_100726-1_LCD_CORP SG&amp;A" xfId="0"/>
    <cellStyle name="_LCD_VSE WFP_100726-1_LCD_LCD" xfId="0"/>
    <cellStyle name="_LCD_VSE WFP_100726-1_LCD_PJ" xfId="0"/>
    <cellStyle name="_LCD_VSE WFP_100726-1_PC Products" xfId="0"/>
    <cellStyle name="_LCD_VSE WFP_100726-1_PC Products 2" xfId="0"/>
    <cellStyle name="_LCD_VSE WFP_100726-1_PC Products 3" xfId="0"/>
    <cellStyle name="_LCD_VSE WFP_100726-1_PC Products 4" xfId="0"/>
    <cellStyle name="_LCD_VSE WFP_100726-1_PC Products 4 2" xfId="0"/>
    <cellStyle name="_LCD_VSE WFP_100726-1_PC Products_By Region" xfId="0"/>
    <cellStyle name="_LCD_VSE WFP_100726-1_PC Products_CORP SG&amp;A" xfId="0"/>
    <cellStyle name="_LCD_VSE WFP_100726-1_PC Products_LCD" xfId="0"/>
    <cellStyle name="_LCD_VSE WFP_100726-1_PC Products_PJ" xfId="0"/>
    <cellStyle name="_LCD_VSE WFP_100726-1_VSA 111014" xfId="0"/>
    <cellStyle name="_LCD_VSE WFP_100726-1_VSA 111014 2" xfId="0"/>
    <cellStyle name="_LCD_VSE WFP_100726-1_VSA 111014 3" xfId="0"/>
    <cellStyle name="_LCD_VSE WFP_100726-1_VSA 111014 4" xfId="0"/>
    <cellStyle name="_LCD_VSE WFP_100726-1_VSA 111014 4 2" xfId="0"/>
    <cellStyle name="_LCD_VSE WFP_100726-1_VSA 111014_By Region" xfId="0"/>
    <cellStyle name="_LCD_VSE WFP_100726-1_VSA 111014_CORP SG&amp;A" xfId="0"/>
    <cellStyle name="_LCD_VSE WFP_100726-1_VSA 111014_LCD" xfId="0"/>
    <cellStyle name="_LCD_VSE WFP_100726-1_VSA 111014_PJ" xfId="0"/>
    <cellStyle name="_LCD_VSE WFP_100726-1_VSA Roll-Up (LW)" xfId="0"/>
    <cellStyle name="_LCD_VSE WFP_100726-1_VSA Roll-Up (LW) 2" xfId="0"/>
    <cellStyle name="_LCD_VSE WFP_100726-1_VSA Roll-Up (LW) 3" xfId="0"/>
    <cellStyle name="_LCD_VSE WFP_100726-1_VSA Roll-Up (LW) 4" xfId="0"/>
    <cellStyle name="_LCD_VSE WFP_100726-1_VSA Roll-Up (LW) 4 2" xfId="0"/>
    <cellStyle name="_LCD_VSE WFP_100726-1_VSA Roll-Up (LW)_By Region" xfId="0"/>
    <cellStyle name="_LCD_VSE WFP_100726-1_VSA Roll-Up (LW)_CORP SG&amp;A" xfId="0"/>
    <cellStyle name="_LCD_VSE WFP_100726-1_VSA Roll-Up (LW)_LCD" xfId="0"/>
    <cellStyle name="_LCD_VSE WFP_100726-1_VSA Roll-Up (LW)_PJ" xfId="0"/>
    <cellStyle name="_LCD_VSE WFP_100726-2-yc" xfId="0"/>
    <cellStyle name="_LCD_VSE WFP_100726-2-yc 2" xfId="0"/>
    <cellStyle name="_LCD_VSE WFP_100726-2-yc 3" xfId="0"/>
    <cellStyle name="_LCD_VSE WFP_100726-2-yc 4" xfId="0"/>
    <cellStyle name="_LCD_VSE WFP_100726-2-yc_By Region" xfId="0"/>
    <cellStyle name="_LCD_VSE WFP_100726-2-yc_CORP SG&amp;A" xfId="0"/>
    <cellStyle name="_LCD_VSE WFP_100726-2-yc_Digitizer" xfId="0"/>
    <cellStyle name="_LCD_VSE WFP_100726-2-yc_GPS OTHER" xfId="0"/>
    <cellStyle name="_LCD_VSE WFP_100726-2-yc_GPS OTHER 2" xfId="0"/>
    <cellStyle name="_LCD_VSE WFP_100726-2-yc_GPS OTHER 3" xfId="0"/>
    <cellStyle name="_LCD_VSE WFP_100726-2-yc_GPS OTHER 4" xfId="0"/>
    <cellStyle name="_LCD_VSE WFP_100726-2-yc_GPS OTHER 4 2" xfId="0"/>
    <cellStyle name="_LCD_VSE WFP_100726-2-yc_GPS OTHER_By Region" xfId="0"/>
    <cellStyle name="_LCD_VSE WFP_100726-2-yc_GPS OTHER_CORP SG&amp;A" xfId="0"/>
    <cellStyle name="_LCD_VSE WFP_100726-2-yc_GPS OTHER_LCD" xfId="0"/>
    <cellStyle name="_LCD_VSE WFP_100726-2-yc_GPS OTHER_PJ" xfId="0"/>
    <cellStyle name="_LCD_VSE WFP_100726-2-yc_LCD" xfId="0"/>
    <cellStyle name="_LCD_VSE WFP_100726-2-yc_LCD 2" xfId="0"/>
    <cellStyle name="_LCD_VSE WFP_100726-2-yc_LCD 3" xfId="0"/>
    <cellStyle name="_LCD_VSE WFP_100726-2-yc_LCD 4" xfId="0"/>
    <cellStyle name="_LCD_VSE WFP_100726-2-yc_LCD_By Region" xfId="0"/>
    <cellStyle name="_LCD_VSE WFP_100726-2-yc_LCD_CORP SG&amp;A" xfId="0"/>
    <cellStyle name="_LCD_VSE WFP_100726-2-yc_LCD_LCD" xfId="0"/>
    <cellStyle name="_LCD_VSE WFP_100726-2-yc_LCD_PJ" xfId="0"/>
    <cellStyle name="_LCD_VSE WFP_100726-2-yc_PC Products" xfId="0"/>
    <cellStyle name="_LCD_VSE WFP_100726-2-yc_PC Products 2" xfId="0"/>
    <cellStyle name="_LCD_VSE WFP_100726-2-yc_PC Products 3" xfId="0"/>
    <cellStyle name="_LCD_VSE WFP_100726-2-yc_PC Products 4" xfId="0"/>
    <cellStyle name="_LCD_VSE WFP_100726-2-yc_PC Products 4 2" xfId="0"/>
    <cellStyle name="_LCD_VSE WFP_100726-2-yc_PC Products_By Region" xfId="0"/>
    <cellStyle name="_LCD_VSE WFP_100726-2-yc_PC Products_CORP SG&amp;A" xfId="0"/>
    <cellStyle name="_LCD_VSE WFP_100726-2-yc_PC Products_LCD" xfId="0"/>
    <cellStyle name="_LCD_VSE WFP_100726-2-yc_PC Products_PJ" xfId="0"/>
    <cellStyle name="_LCD_VSE WFP_100726-2-yc_VSA 111014" xfId="0"/>
    <cellStyle name="_LCD_VSE WFP_100726-2-yc_VSA 111014 2" xfId="0"/>
    <cellStyle name="_LCD_VSE WFP_100726-2-yc_VSA 111014 3" xfId="0"/>
    <cellStyle name="_LCD_VSE WFP_100726-2-yc_VSA 111014 4" xfId="0"/>
    <cellStyle name="_LCD_VSE WFP_100726-2-yc_VSA 111014 4 2" xfId="0"/>
    <cellStyle name="_LCD_VSE WFP_100726-2-yc_VSA 111014_By Region" xfId="0"/>
    <cellStyle name="_LCD_VSE WFP_100726-2-yc_VSA 111014_CORP SG&amp;A" xfId="0"/>
    <cellStyle name="_LCD_VSE WFP_100726-2-yc_VSA 111014_LCD" xfId="0"/>
    <cellStyle name="_LCD_VSE WFP_100726-2-yc_VSA 111014_PJ" xfId="0"/>
    <cellStyle name="_LCD_VSE WFP_100726-2-yc_VSA Roll-Up (LW)" xfId="0"/>
    <cellStyle name="_LCD_VSE WFP_100726-2-yc_VSA Roll-Up (LW) 2" xfId="0"/>
    <cellStyle name="_LCD_VSE WFP_100726-2-yc_VSA Roll-Up (LW) 3" xfId="0"/>
    <cellStyle name="_LCD_VSE WFP_100726-2-yc_VSA Roll-Up (LW) 4" xfId="0"/>
    <cellStyle name="_LCD_VSE WFP_100726-2-yc_VSA Roll-Up (LW) 4 2" xfId="0"/>
    <cellStyle name="_LCD_VSE WFP_100726-2-yc_VSA Roll-Up (LW)_By Region" xfId="0"/>
    <cellStyle name="_LCD_VSE WFP_100726-2-yc_VSA Roll-Up (LW)_CORP SG&amp;A" xfId="0"/>
    <cellStyle name="_LCD_VSE WFP_100726-2-yc_VSA Roll-Up (LW)_LCD" xfId="0"/>
    <cellStyle name="_LCD_VSE WFP_100726-2-yc_VSA Roll-Up (LW)_PJ" xfId="0"/>
    <cellStyle name="_LCD_VSE WFP_100726_By Region" xfId="0"/>
    <cellStyle name="_LCD_VSE WFP_100726_CORP SG&amp;A" xfId="0"/>
    <cellStyle name="_LCD_VSE WFP_100726_Digitizer" xfId="0"/>
    <cellStyle name="_LCD_VSE WFP_100726_GPS OTHER" xfId="0"/>
    <cellStyle name="_LCD_VSE WFP_100726_GPS OTHER 2" xfId="0"/>
    <cellStyle name="_LCD_VSE WFP_100726_GPS OTHER 3" xfId="0"/>
    <cellStyle name="_LCD_VSE WFP_100726_GPS OTHER 4" xfId="0"/>
    <cellStyle name="_LCD_VSE WFP_100726_GPS OTHER 4 2" xfId="0"/>
    <cellStyle name="_LCD_VSE WFP_100726_GPS OTHER_By Region" xfId="0"/>
    <cellStyle name="_LCD_VSE WFP_100726_GPS OTHER_CORP SG&amp;A" xfId="0"/>
    <cellStyle name="_LCD_VSE WFP_100726_GPS OTHER_LCD" xfId="0"/>
    <cellStyle name="_LCD_VSE WFP_100726_GPS OTHER_PJ" xfId="0"/>
    <cellStyle name="_LCD_VSE WFP_100726_LCD" xfId="0"/>
    <cellStyle name="_LCD_VSE WFP_100726_LCD 2" xfId="0"/>
    <cellStyle name="_LCD_VSE WFP_100726_LCD 3" xfId="0"/>
    <cellStyle name="_LCD_VSE WFP_100726_LCD 4" xfId="0"/>
    <cellStyle name="_LCD_VSE WFP_100726_LCD_By Region" xfId="0"/>
    <cellStyle name="_LCD_VSE WFP_100726_LCD_CORP SG&amp;A" xfId="0"/>
    <cellStyle name="_LCD_VSE WFP_100726_LCD_LCD" xfId="0"/>
    <cellStyle name="_LCD_VSE WFP_100726_LCD_PJ" xfId="0"/>
    <cellStyle name="_LCD_VSE WFP_100726_PC Products" xfId="0"/>
    <cellStyle name="_LCD_VSE WFP_100726_PC Products 2" xfId="0"/>
    <cellStyle name="_LCD_VSE WFP_100726_PC Products 3" xfId="0"/>
    <cellStyle name="_LCD_VSE WFP_100726_PC Products 4" xfId="0"/>
    <cellStyle name="_LCD_VSE WFP_100726_PC Products 4 2" xfId="0"/>
    <cellStyle name="_LCD_VSE WFP_100726_PC Products_By Region" xfId="0"/>
    <cellStyle name="_LCD_VSE WFP_100726_PC Products_CORP SG&amp;A" xfId="0"/>
    <cellStyle name="_LCD_VSE WFP_100726_PC Products_LCD" xfId="0"/>
    <cellStyle name="_LCD_VSE WFP_100726_PC Products_PJ" xfId="0"/>
    <cellStyle name="_LCD_VSE WFP_100726_VSA 111014" xfId="0"/>
    <cellStyle name="_LCD_VSE WFP_100726_VSA 111014 2" xfId="0"/>
    <cellStyle name="_LCD_VSE WFP_100726_VSA 111014 3" xfId="0"/>
    <cellStyle name="_LCD_VSE WFP_100726_VSA 111014 4" xfId="0"/>
    <cellStyle name="_LCD_VSE WFP_100726_VSA 111014 4 2" xfId="0"/>
    <cellStyle name="_LCD_VSE WFP_100726_VSA 111014_By Region" xfId="0"/>
    <cellStyle name="_LCD_VSE WFP_100726_VSA 111014_CORP SG&amp;A" xfId="0"/>
    <cellStyle name="_LCD_VSE WFP_100726_VSA 111014_LCD" xfId="0"/>
    <cellStyle name="_LCD_VSE WFP_100726_VSA 111014_PJ" xfId="0"/>
    <cellStyle name="_LCD_VSE WFP_100726_VSA Roll-Up (LW)" xfId="0"/>
    <cellStyle name="_LCD_VSE WFP_100726_VSA Roll-Up (LW) 2" xfId="0"/>
    <cellStyle name="_LCD_VSE WFP_100726_VSA Roll-Up (LW) 3" xfId="0"/>
    <cellStyle name="_LCD_VSE WFP_100726_VSA Roll-Up (LW) 4" xfId="0"/>
    <cellStyle name="_LCD_VSE WFP_100726_VSA Roll-Up (LW) 4 2" xfId="0"/>
    <cellStyle name="_LCD_VSE WFP_100726_VSA Roll-Up (LW)_By Region" xfId="0"/>
    <cellStyle name="_LCD_VSE WFP_100726_VSA Roll-Up (LW)_CORP SG&amp;A" xfId="0"/>
    <cellStyle name="_LCD_VSE WFP_100726_VSA Roll-Up (LW)_LCD" xfId="0"/>
    <cellStyle name="_LCD_VSE WFP_100726_VSA Roll-Up (LW)_PJ" xfId="0"/>
    <cellStyle name="_LCD_VSE WFP_100827-1" xfId="0"/>
    <cellStyle name="_LCD_VSE WFP_100827-1 2" xfId="0"/>
    <cellStyle name="_LCD_VSE WFP_100827-1 3" xfId="0"/>
    <cellStyle name="_LCD_VSE WFP_100827-1 4" xfId="0"/>
    <cellStyle name="_LCD_VSE WFP_100827-1_By Region" xfId="0"/>
    <cellStyle name="_LCD_VSE WFP_100827-1_CORP SG&amp;A" xfId="0"/>
    <cellStyle name="_LCD_VSE WFP_100827-1_Digitizer" xfId="0"/>
    <cellStyle name="_LCD_VSE WFP_100827-1_GPS OTHER" xfId="0"/>
    <cellStyle name="_LCD_VSE WFP_100827-1_GPS OTHER 2" xfId="0"/>
    <cellStyle name="_LCD_VSE WFP_100827-1_GPS OTHER 3" xfId="0"/>
    <cellStyle name="_LCD_VSE WFP_100827-1_GPS OTHER 4" xfId="0"/>
    <cellStyle name="_LCD_VSE WFP_100827-1_GPS OTHER 4 2" xfId="0"/>
    <cellStyle name="_LCD_VSE WFP_100827-1_GPS OTHER_By Region" xfId="0"/>
    <cellStyle name="_LCD_VSE WFP_100827-1_GPS OTHER_CORP SG&amp;A" xfId="0"/>
    <cellStyle name="_LCD_VSE WFP_100827-1_GPS OTHER_LCD" xfId="0"/>
    <cellStyle name="_LCD_VSE WFP_100827-1_GPS OTHER_PJ" xfId="0"/>
    <cellStyle name="_LCD_VSE WFP_100827-1_LCD" xfId="0"/>
    <cellStyle name="_LCD_VSE WFP_100827-1_LCD 2" xfId="0"/>
    <cellStyle name="_LCD_VSE WFP_100827-1_LCD 3" xfId="0"/>
    <cellStyle name="_LCD_VSE WFP_100827-1_LCD 4" xfId="0"/>
    <cellStyle name="_LCD_VSE WFP_100827-1_LCD_By Region" xfId="0"/>
    <cellStyle name="_LCD_VSE WFP_100827-1_LCD_CORP SG&amp;A" xfId="0"/>
    <cellStyle name="_LCD_VSE WFP_100827-1_LCD_LCD" xfId="0"/>
    <cellStyle name="_LCD_VSE WFP_100827-1_LCD_PJ" xfId="0"/>
    <cellStyle name="_LCD_VSE WFP_100827-1_PC Products" xfId="0"/>
    <cellStyle name="_LCD_VSE WFP_100827-1_PC Products 2" xfId="0"/>
    <cellStyle name="_LCD_VSE WFP_100827-1_PC Products 3" xfId="0"/>
    <cellStyle name="_LCD_VSE WFP_100827-1_PC Products 4" xfId="0"/>
    <cellStyle name="_LCD_VSE WFP_100827-1_PC Products 4 2" xfId="0"/>
    <cellStyle name="_LCD_VSE WFP_100827-1_PC Products_By Region" xfId="0"/>
    <cellStyle name="_LCD_VSE WFP_100827-1_PC Products_CORP SG&amp;A" xfId="0"/>
    <cellStyle name="_LCD_VSE WFP_100827-1_PC Products_LCD" xfId="0"/>
    <cellStyle name="_LCD_VSE WFP_100827-1_PC Products_PJ" xfId="0"/>
    <cellStyle name="_LCD_VSE WFP_100827-1_VSA 111014" xfId="0"/>
    <cellStyle name="_LCD_VSE WFP_100827-1_VSA 111014 2" xfId="0"/>
    <cellStyle name="_LCD_VSE WFP_100827-1_VSA 111014 3" xfId="0"/>
    <cellStyle name="_LCD_VSE WFP_100827-1_VSA 111014 4" xfId="0"/>
    <cellStyle name="_LCD_VSE WFP_100827-1_VSA 111014 4 2" xfId="0"/>
    <cellStyle name="_LCD_VSE WFP_100827-1_VSA 111014_By Region" xfId="0"/>
    <cellStyle name="_LCD_VSE WFP_100827-1_VSA 111014_CORP SG&amp;A" xfId="0"/>
    <cellStyle name="_LCD_VSE WFP_100827-1_VSA 111014_LCD" xfId="0"/>
    <cellStyle name="_LCD_VSE WFP_100827-1_VSA 111014_PJ" xfId="0"/>
    <cellStyle name="_LCD_VSE WFP_100827-1_VSA Roll-Up (LW)" xfId="0"/>
    <cellStyle name="_LCD_VSE WFP_100827-1_VSA Roll-Up (LW) 2" xfId="0"/>
    <cellStyle name="_LCD_VSE WFP_100827-1_VSA Roll-Up (LW) 3" xfId="0"/>
    <cellStyle name="_LCD_VSE WFP_100827-1_VSA Roll-Up (LW) 4" xfId="0"/>
    <cellStyle name="_LCD_VSE WFP_100827-1_VSA Roll-Up (LW) 4 2" xfId="0"/>
    <cellStyle name="_LCD_VSE WFP_100827-1_VSA Roll-Up (LW)_By Region" xfId="0"/>
    <cellStyle name="_LCD_VSE WFP_100827-1_VSA Roll-Up (LW)_CORP SG&amp;A" xfId="0"/>
    <cellStyle name="_LCD_VSE WFP_100827-1_VSA Roll-Up (LW)_LCD" xfId="0"/>
    <cellStyle name="_LCD_VSE WFP_100827-1_VSA Roll-Up (LW)_PJ" xfId="0"/>
    <cellStyle name="_LCD_VSE WFP_101001" xfId="0"/>
    <cellStyle name="_LCD_VSE WFP_101001 2" xfId="0"/>
    <cellStyle name="_LCD_VSE WFP_101001 3" xfId="0"/>
    <cellStyle name="_LCD_VSE WFP_101001 4" xfId="0"/>
    <cellStyle name="_LCD_VSE WFP_101001_By Region" xfId="0"/>
    <cellStyle name="_LCD_VSE WFP_101001_CORP SG&amp;A" xfId="0"/>
    <cellStyle name="_LCD_VSE WFP_101001_Digitizer" xfId="0"/>
    <cellStyle name="_LCD_VSE WFP_101001_GPS OTHER" xfId="0"/>
    <cellStyle name="_LCD_VSE WFP_101001_GPS OTHER 2" xfId="0"/>
    <cellStyle name="_LCD_VSE WFP_101001_GPS OTHER 3" xfId="0"/>
    <cellStyle name="_LCD_VSE WFP_101001_GPS OTHER 4" xfId="0"/>
    <cellStyle name="_LCD_VSE WFP_101001_GPS OTHER 4 2" xfId="0"/>
    <cellStyle name="_LCD_VSE WFP_101001_GPS OTHER_By Region" xfId="0"/>
    <cellStyle name="_LCD_VSE WFP_101001_GPS OTHER_CORP SG&amp;A" xfId="0"/>
    <cellStyle name="_LCD_VSE WFP_101001_GPS OTHER_LCD" xfId="0"/>
    <cellStyle name="_LCD_VSE WFP_101001_GPS OTHER_PJ" xfId="0"/>
    <cellStyle name="_LCD_VSE WFP_101001_LCD" xfId="0"/>
    <cellStyle name="_LCD_VSE WFP_101001_LCD 2" xfId="0"/>
    <cellStyle name="_LCD_VSE WFP_101001_LCD 3" xfId="0"/>
    <cellStyle name="_LCD_VSE WFP_101001_LCD 4" xfId="0"/>
    <cellStyle name="_LCD_VSE WFP_101001_LCD_By Region" xfId="0"/>
    <cellStyle name="_LCD_VSE WFP_101001_LCD_CORP SG&amp;A" xfId="0"/>
    <cellStyle name="_LCD_VSE WFP_101001_LCD_LCD" xfId="0"/>
    <cellStyle name="_LCD_VSE WFP_101001_LCD_PJ" xfId="0"/>
    <cellStyle name="_LCD_VSE WFP_101001_PC Products" xfId="0"/>
    <cellStyle name="_LCD_VSE WFP_101001_PC Products 2" xfId="0"/>
    <cellStyle name="_LCD_VSE WFP_101001_PC Products 3" xfId="0"/>
    <cellStyle name="_LCD_VSE WFP_101001_PC Products 4" xfId="0"/>
    <cellStyle name="_LCD_VSE WFP_101001_PC Products 4 2" xfId="0"/>
    <cellStyle name="_LCD_VSE WFP_101001_PC Products_By Region" xfId="0"/>
    <cellStyle name="_LCD_VSE WFP_101001_PC Products_CORP SG&amp;A" xfId="0"/>
    <cellStyle name="_LCD_VSE WFP_101001_PC Products_LCD" xfId="0"/>
    <cellStyle name="_LCD_VSE WFP_101001_PC Products_PJ" xfId="0"/>
    <cellStyle name="_LCD_VSE WFP_101001_VSA 111014" xfId="0"/>
    <cellStyle name="_LCD_VSE WFP_101001_VSA 111014 2" xfId="0"/>
    <cellStyle name="_LCD_VSE WFP_101001_VSA 111014 3" xfId="0"/>
    <cellStyle name="_LCD_VSE WFP_101001_VSA 111014 4" xfId="0"/>
    <cellStyle name="_LCD_VSE WFP_101001_VSA 111014 4 2" xfId="0"/>
    <cellStyle name="_LCD_VSE WFP_101001_VSA 111014_By Region" xfId="0"/>
    <cellStyle name="_LCD_VSE WFP_101001_VSA 111014_CORP SG&amp;A" xfId="0"/>
    <cellStyle name="_LCD_VSE WFP_101001_VSA 111014_LCD" xfId="0"/>
    <cellStyle name="_LCD_VSE WFP_101001_VSA 111014_PJ" xfId="0"/>
    <cellStyle name="_LCD_VSE WFP_101001_VSA Roll-Up (LW)" xfId="0"/>
    <cellStyle name="_LCD_VSE WFP_101001_VSA Roll-Up (LW) 2" xfId="0"/>
    <cellStyle name="_LCD_VSE WFP_101001_VSA Roll-Up (LW) 3" xfId="0"/>
    <cellStyle name="_LCD_VSE WFP_101001_VSA Roll-Up (LW) 4" xfId="0"/>
    <cellStyle name="_LCD_VSE WFP_101001_VSA Roll-Up (LW) 4 2" xfId="0"/>
    <cellStyle name="_LCD_VSE WFP_101001_VSA Roll-Up (LW)_By Region" xfId="0"/>
    <cellStyle name="_LCD_VSE WFP_101001_VSA Roll-Up (LW)_CORP SG&amp;A" xfId="0"/>
    <cellStyle name="_LCD_VSE WFP_101001_VSA Roll-Up (LW)_LCD" xfId="0"/>
    <cellStyle name="_LCD_VSE WFP_101001_VSA Roll-Up (LW)_PJ" xfId="0"/>
    <cellStyle name="_LCD_VSE WFP_101029-with more ViewPad 7" xfId="0"/>
    <cellStyle name="_LCD_VSE WFP_101029-with more ViewPad 7 2" xfId="0"/>
    <cellStyle name="_LCD_VSE WFP_101029-with more ViewPad 7 3" xfId="0"/>
    <cellStyle name="_LCD_VSE WFP_101029-with more ViewPad 7 4" xfId="0"/>
    <cellStyle name="_LCD_VSE WFP_101029-with more ViewPad 7_By Region" xfId="0"/>
    <cellStyle name="_LCD_VSE WFP_101029-with more ViewPad 7_CORP SG&amp;A" xfId="0"/>
    <cellStyle name="_LCD_VSE WFP_101029-with more ViewPad 7_Digitizer" xfId="0"/>
    <cellStyle name="_LCD_VSE WFP_101029-with more ViewPad 7_GPS OTHER" xfId="0"/>
    <cellStyle name="_LCD_VSE WFP_101029-with more ViewPad 7_GPS OTHER 2" xfId="0"/>
    <cellStyle name="_LCD_VSE WFP_101029-with more ViewPad 7_GPS OTHER 3" xfId="0"/>
    <cellStyle name="_LCD_VSE WFP_101029-with more ViewPad 7_GPS OTHER 4" xfId="0"/>
    <cellStyle name="_LCD_VSE WFP_101029-with more ViewPad 7_GPS OTHER 4 2" xfId="0"/>
    <cellStyle name="_LCD_VSE WFP_101029-with more ViewPad 7_GPS OTHER_By Region" xfId="0"/>
    <cellStyle name="_LCD_VSE WFP_101029-with more ViewPad 7_GPS OTHER_CORP SG&amp;A" xfId="0"/>
    <cellStyle name="_LCD_VSE WFP_101029-with more ViewPad 7_GPS OTHER_LCD" xfId="0"/>
    <cellStyle name="_LCD_VSE WFP_101029-with more ViewPad 7_GPS OTHER_PJ" xfId="0"/>
    <cellStyle name="_LCD_VSE WFP_101029-with more ViewPad 7_LCD" xfId="0"/>
    <cellStyle name="_LCD_VSE WFP_101029-with more ViewPad 7_LCD 2" xfId="0"/>
    <cellStyle name="_LCD_VSE WFP_101029-with more ViewPad 7_LCD 3" xfId="0"/>
    <cellStyle name="_LCD_VSE WFP_101029-with more ViewPad 7_LCD 4" xfId="0"/>
    <cellStyle name="_LCD_VSE WFP_101029-with more ViewPad 7_LCD_By Region" xfId="0"/>
    <cellStyle name="_LCD_VSE WFP_101029-with more ViewPad 7_LCD_CORP SG&amp;A" xfId="0"/>
    <cellStyle name="_LCD_VSE WFP_101029-with more ViewPad 7_LCD_LCD" xfId="0"/>
    <cellStyle name="_LCD_VSE WFP_101029-with more ViewPad 7_LCD_PJ" xfId="0"/>
    <cellStyle name="_LCD_VSE WFP_101029-with more ViewPad 7_PC Products" xfId="0"/>
    <cellStyle name="_LCD_VSE WFP_101029-with more ViewPad 7_PC Products 2" xfId="0"/>
    <cellStyle name="_LCD_VSE WFP_101029-with more ViewPad 7_PC Products 3" xfId="0"/>
    <cellStyle name="_LCD_VSE WFP_101029-with more ViewPad 7_PC Products 4" xfId="0"/>
    <cellStyle name="_LCD_VSE WFP_101029-with more ViewPad 7_PC Products 4 2" xfId="0"/>
    <cellStyle name="_LCD_VSE WFP_101029-with more ViewPad 7_PC Products_By Region" xfId="0"/>
    <cellStyle name="_LCD_VSE WFP_101029-with more ViewPad 7_PC Products_CORP SG&amp;A" xfId="0"/>
    <cellStyle name="_LCD_VSE WFP_101029-with more ViewPad 7_PC Products_LCD" xfId="0"/>
    <cellStyle name="_LCD_VSE WFP_101029-with more ViewPad 7_PC Products_PJ" xfId="0"/>
    <cellStyle name="_LCD_VSE WFP_101029-with more ViewPad 7_VSA 111014" xfId="0"/>
    <cellStyle name="_LCD_VSE WFP_101029-with more ViewPad 7_VSA 111014 2" xfId="0"/>
    <cellStyle name="_LCD_VSE WFP_101029-with more ViewPad 7_VSA 111014 3" xfId="0"/>
    <cellStyle name="_LCD_VSE WFP_101029-with more ViewPad 7_VSA 111014 4" xfId="0"/>
    <cellStyle name="_LCD_VSE WFP_101029-with more ViewPad 7_VSA 111014 4 2" xfId="0"/>
    <cellStyle name="_LCD_VSE WFP_101029-with more ViewPad 7_VSA 111014_By Region" xfId="0"/>
    <cellStyle name="_LCD_VSE WFP_101029-with more ViewPad 7_VSA 111014_CORP SG&amp;A" xfId="0"/>
    <cellStyle name="_LCD_VSE WFP_101029-with more ViewPad 7_VSA 111014_LCD" xfId="0"/>
    <cellStyle name="_LCD_VSE WFP_101029-with more ViewPad 7_VSA 111014_PJ" xfId="0"/>
    <cellStyle name="_LCD_VSE WFP_101029-with more ViewPad 7_VSA Roll-Up (LW)" xfId="0"/>
    <cellStyle name="_LCD_VSE WFP_101029-with more ViewPad 7_VSA Roll-Up (LW) 2" xfId="0"/>
    <cellStyle name="_LCD_VSE WFP_101029-with more ViewPad 7_VSA Roll-Up (LW) 3" xfId="0"/>
    <cellStyle name="_LCD_VSE WFP_101029-with more ViewPad 7_VSA Roll-Up (LW) 4" xfId="0"/>
    <cellStyle name="_LCD_VSE WFP_101029-with more ViewPad 7_VSA Roll-Up (LW) 4 2" xfId="0"/>
    <cellStyle name="_LCD_VSE WFP_101029-with more ViewPad 7_VSA Roll-Up (LW)_By Region" xfId="0"/>
    <cellStyle name="_LCD_VSE WFP_101029-with more ViewPad 7_VSA Roll-Up (LW)_CORP SG&amp;A" xfId="0"/>
    <cellStyle name="_LCD_VSE WFP_101029-with more ViewPad 7_VSA Roll-Up (LW)_LCD" xfId="0"/>
    <cellStyle name="_LCD_VSE WFP_101029-with more ViewPad 7_VSA Roll-Up (LW)_PJ" xfId="0"/>
    <cellStyle name="_LCDTV" xfId="0"/>
    <cellStyle name="_LCDTV 2" xfId="0"/>
    <cellStyle name="_LCDTV 3" xfId="0"/>
    <cellStyle name="_LCDTV 4" xfId="0"/>
    <cellStyle name="_LCDTV 5" xfId="0"/>
    <cellStyle name="_LCDTV DCR" xfId="0"/>
    <cellStyle name="_LCDTV DCR 2" xfId="0"/>
    <cellStyle name="_LCDTV DCR_13-wk VSI_Revised" xfId="0"/>
    <cellStyle name="_LCDTV DCR_13-wk VSI_Revised 2" xfId="0"/>
    <cellStyle name="_LCDTV DCR_DCR" xfId="0"/>
    <cellStyle name="_LCDTV DCR_DCR 2" xfId="0"/>
    <cellStyle name="_LCDTV DCR_VSE DCR Planning Model and Trend Charts 20100118" xfId="0"/>
    <cellStyle name="_LCDTV DCR_VSE DCR Planning Model and Trend Charts 20100118 2" xfId="0"/>
    <cellStyle name="_LCDTV DCR_VSE DCR Planning Model and Trend Charts 20100315" xfId="0"/>
    <cellStyle name="_LCDTV DCR_VSE DCR Planning Model and Trend Charts 20100315 2" xfId="0"/>
    <cellStyle name="_LCDTV DCR_WMR VSI" xfId="0"/>
    <cellStyle name="_LCDTV DCR_WMR VSI 2" xfId="0"/>
    <cellStyle name="_LCDTV_By Region" xfId="0"/>
    <cellStyle name="_LCDTV_CIS" xfId="0"/>
    <cellStyle name="_LCDTV_CIS 2" xfId="0"/>
    <cellStyle name="_LCDTV_CIS 3" xfId="0"/>
    <cellStyle name="_LCDTV_CIS 4" xfId="0"/>
    <cellStyle name="_LCDTV_CIS_By Region" xfId="0"/>
    <cellStyle name="_LCDTV_CIS_CORP SG&amp;A" xfId="0"/>
    <cellStyle name="_LCDTV_CIS_Digitizer" xfId="0"/>
    <cellStyle name="_LCDTV_CIS_GPS OTHER" xfId="0"/>
    <cellStyle name="_LCDTV_CIS_GPS OTHER 2" xfId="0"/>
    <cellStyle name="_LCDTV_CIS_GPS OTHER 3" xfId="0"/>
    <cellStyle name="_LCDTV_CIS_GPS OTHER 4" xfId="0"/>
    <cellStyle name="_LCDTV_CIS_GPS OTHER 4 2" xfId="0"/>
    <cellStyle name="_LCDTV_CIS_GPS OTHER_By Region" xfId="0"/>
    <cellStyle name="_LCDTV_CIS_GPS OTHER_CORP SG&amp;A" xfId="0"/>
    <cellStyle name="_LCDTV_CIS_GPS OTHER_LCD" xfId="0"/>
    <cellStyle name="_LCDTV_CIS_GPS OTHER_PJ" xfId="0"/>
    <cellStyle name="_LCDTV_CIS_LCD" xfId="0"/>
    <cellStyle name="_LCDTV_CIS_LCD 2" xfId="0"/>
    <cellStyle name="_LCDTV_CIS_LCD 3" xfId="0"/>
    <cellStyle name="_LCDTV_CIS_LCD 4" xfId="0"/>
    <cellStyle name="_LCDTV_CIS_LCD_By Region" xfId="0"/>
    <cellStyle name="_LCDTV_CIS_LCD_CORP SG&amp;A" xfId="0"/>
    <cellStyle name="_LCDTV_CIS_LCD_LCD" xfId="0"/>
    <cellStyle name="_LCDTV_CIS_LCD_PJ" xfId="0"/>
    <cellStyle name="_LCDTV_CIS_PC Products" xfId="0"/>
    <cellStyle name="_LCDTV_CIS_PC Products 2" xfId="0"/>
    <cellStyle name="_LCDTV_CIS_PC Products 3" xfId="0"/>
    <cellStyle name="_LCDTV_CIS_PC Products 4" xfId="0"/>
    <cellStyle name="_LCDTV_CIS_PC Products 4 2" xfId="0"/>
    <cellStyle name="_LCDTV_CIS_PC Products_By Region" xfId="0"/>
    <cellStyle name="_LCDTV_CIS_PC Products_CORP SG&amp;A" xfId="0"/>
    <cellStyle name="_LCDTV_CIS_PC Products_LCD" xfId="0"/>
    <cellStyle name="_LCDTV_CIS_PC Products_PJ" xfId="0"/>
    <cellStyle name="_LCDTV_CIS_VSA 111014" xfId="0"/>
    <cellStyle name="_LCDTV_CIS_VSA 111014 2" xfId="0"/>
    <cellStyle name="_LCDTV_CIS_VSA 111014 3" xfId="0"/>
    <cellStyle name="_LCDTV_CIS_VSA 111014 4" xfId="0"/>
    <cellStyle name="_LCDTV_CIS_VSA 111014 4 2" xfId="0"/>
    <cellStyle name="_LCDTV_CIS_VSA 111014_By Region" xfId="0"/>
    <cellStyle name="_LCDTV_CIS_VSA 111014_CORP SG&amp;A" xfId="0"/>
    <cellStyle name="_LCDTV_CIS_VSA 111014_LCD" xfId="0"/>
    <cellStyle name="_LCDTV_CIS_VSA 111014_PJ" xfId="0"/>
    <cellStyle name="_LCDTV_CIS_VSA Roll-Up (LW)" xfId="0"/>
    <cellStyle name="_LCDTV_CIS_VSA Roll-Up (LW) 2" xfId="0"/>
    <cellStyle name="_LCDTV_CIS_VSA Roll-Up (LW) 3" xfId="0"/>
    <cellStyle name="_LCDTV_CIS_VSA Roll-Up (LW) 4" xfId="0"/>
    <cellStyle name="_LCDTV_CIS_VSA Roll-Up (LW) 4 2" xfId="0"/>
    <cellStyle name="_LCDTV_CIS_VSA Roll-Up (LW)_By Region" xfId="0"/>
    <cellStyle name="_LCDTV_CIS_VSA Roll-Up (LW)_CORP SG&amp;A" xfId="0"/>
    <cellStyle name="_LCDTV_CIS_VSA Roll-Up (LW)_LCD" xfId="0"/>
    <cellStyle name="_LCDTV_CIS_VSA Roll-Up (LW)_PJ" xfId="0"/>
    <cellStyle name="_LCDTV_CORP SG&amp;A" xfId="0"/>
    <cellStyle name="_LCDTV_CRT" xfId="0"/>
    <cellStyle name="_LCDTV_CRT 2" xfId="0"/>
    <cellStyle name="_LCDTV_CRT 3" xfId="0"/>
    <cellStyle name="_LCDTV_CRT 4" xfId="0"/>
    <cellStyle name="_LCDTV_CRT_By Region" xfId="0"/>
    <cellStyle name="_LCDTV_CRT_CORP SG&amp;A" xfId="0"/>
    <cellStyle name="_LCDTV_CRT_Digitizer" xfId="0"/>
    <cellStyle name="_LCDTV_CRT_GPS OTHER" xfId="0"/>
    <cellStyle name="_LCDTV_CRT_GPS OTHER 2" xfId="0"/>
    <cellStyle name="_LCDTV_CRT_GPS OTHER 3" xfId="0"/>
    <cellStyle name="_LCDTV_CRT_GPS OTHER 4" xfId="0"/>
    <cellStyle name="_LCDTV_CRT_GPS OTHER 4 2" xfId="0"/>
    <cellStyle name="_LCDTV_CRT_GPS OTHER_By Region" xfId="0"/>
    <cellStyle name="_LCDTV_CRT_GPS OTHER_CORP SG&amp;A" xfId="0"/>
    <cellStyle name="_LCDTV_CRT_GPS OTHER_LCD" xfId="0"/>
    <cellStyle name="_LCDTV_CRT_GPS OTHER_PJ" xfId="0"/>
    <cellStyle name="_LCDTV_CRT_LCD" xfId="0"/>
    <cellStyle name="_LCDTV_CRT_LCD 2" xfId="0"/>
    <cellStyle name="_LCDTV_CRT_LCD 3" xfId="0"/>
    <cellStyle name="_LCDTV_CRT_LCD 4" xfId="0"/>
    <cellStyle name="_LCDTV_CRT_LCD_By Region" xfId="0"/>
    <cellStyle name="_LCDTV_CRT_LCD_CORP SG&amp;A" xfId="0"/>
    <cellStyle name="_LCDTV_CRT_LCD_LCD" xfId="0"/>
    <cellStyle name="_LCDTV_CRT_LCD_PJ" xfId="0"/>
    <cellStyle name="_LCDTV_CRT_PC Products" xfId="0"/>
    <cellStyle name="_LCDTV_CRT_PC Products 2" xfId="0"/>
    <cellStyle name="_LCDTV_CRT_PC Products 3" xfId="0"/>
    <cellStyle name="_LCDTV_CRT_PC Products 4" xfId="0"/>
    <cellStyle name="_LCDTV_CRT_PC Products 4 2" xfId="0"/>
    <cellStyle name="_LCDTV_CRT_PC Products_By Region" xfId="0"/>
    <cellStyle name="_LCDTV_CRT_PC Products_CORP SG&amp;A" xfId="0"/>
    <cellStyle name="_LCDTV_CRT_PC Products_LCD" xfId="0"/>
    <cellStyle name="_LCDTV_CRT_PC Products_PJ" xfId="0"/>
    <cellStyle name="_LCDTV_CRT_VSA 111014" xfId="0"/>
    <cellStyle name="_LCDTV_CRT_VSA 111014 2" xfId="0"/>
    <cellStyle name="_LCDTV_CRT_VSA 111014 3" xfId="0"/>
    <cellStyle name="_LCDTV_CRT_VSA 111014 4" xfId="0"/>
    <cellStyle name="_LCDTV_CRT_VSA 111014 4 2" xfId="0"/>
    <cellStyle name="_LCDTV_CRT_VSA 111014_By Region" xfId="0"/>
    <cellStyle name="_LCDTV_CRT_VSA 111014_CORP SG&amp;A" xfId="0"/>
    <cellStyle name="_LCDTV_CRT_VSA 111014_LCD" xfId="0"/>
    <cellStyle name="_LCDTV_CRT_VSA 111014_PJ" xfId="0"/>
    <cellStyle name="_LCDTV_CRT_VSA Roll-Up (LW)" xfId="0"/>
    <cellStyle name="_LCDTV_CRT_VSA Roll-Up (LW) 2" xfId="0"/>
    <cellStyle name="_LCDTV_CRT_VSA Roll-Up (LW) 3" xfId="0"/>
    <cellStyle name="_LCDTV_CRT_VSA Roll-Up (LW) 4" xfId="0"/>
    <cellStyle name="_LCDTV_CRT_VSA Roll-Up (LW) 4 2" xfId="0"/>
    <cellStyle name="_LCDTV_CRT_VSA Roll-Up (LW)_By Region" xfId="0"/>
    <cellStyle name="_LCDTV_CRT_VSA Roll-Up (LW)_CORP SG&amp;A" xfId="0"/>
    <cellStyle name="_LCDTV_CRT_VSA Roll-Up (LW)_LCD" xfId="0"/>
    <cellStyle name="_LCDTV_CRT_VSA Roll-Up (LW)_PJ" xfId="0"/>
    <cellStyle name="_LCDTV_Diff" xfId="0"/>
    <cellStyle name="_LCDTV_Diff 2" xfId="0"/>
    <cellStyle name="_LCDTV_Diff 3" xfId="0"/>
    <cellStyle name="_LCDTV_Diff 4" xfId="0"/>
    <cellStyle name="_LCDTV_Diff_By Region" xfId="0"/>
    <cellStyle name="_LCDTV_Diff_CORP SG&amp;A" xfId="0"/>
    <cellStyle name="_LCDTV_Diff_Digitizer" xfId="0"/>
    <cellStyle name="_LCDTV_Diff_GPS OTHER" xfId="0"/>
    <cellStyle name="_LCDTV_Diff_GPS OTHER 2" xfId="0"/>
    <cellStyle name="_LCDTV_Diff_GPS OTHER 3" xfId="0"/>
    <cellStyle name="_LCDTV_Diff_GPS OTHER 4" xfId="0"/>
    <cellStyle name="_LCDTV_Diff_GPS OTHER 4 2" xfId="0"/>
    <cellStyle name="_LCDTV_Diff_GPS OTHER_By Region" xfId="0"/>
    <cellStyle name="_LCDTV_Diff_GPS OTHER_CORP SG&amp;A" xfId="0"/>
    <cellStyle name="_LCDTV_Diff_GPS OTHER_LCD" xfId="0"/>
    <cellStyle name="_LCDTV_Diff_GPS OTHER_PJ" xfId="0"/>
    <cellStyle name="_LCDTV_Diff_LCD" xfId="0"/>
    <cellStyle name="_LCDTV_Diff_LCD 2" xfId="0"/>
    <cellStyle name="_LCDTV_Diff_LCD 3" xfId="0"/>
    <cellStyle name="_LCDTV_Diff_LCD 4" xfId="0"/>
    <cellStyle name="_LCDTV_Diff_LCD_By Region" xfId="0"/>
    <cellStyle name="_LCDTV_Diff_LCD_CORP SG&amp;A" xfId="0"/>
    <cellStyle name="_LCDTV_Diff_LCD_LCD" xfId="0"/>
    <cellStyle name="_LCDTV_Diff_LCD_PJ" xfId="0"/>
    <cellStyle name="_LCDTV_Diff_PC Products" xfId="0"/>
    <cellStyle name="_LCDTV_Diff_PC Products 2" xfId="0"/>
    <cellStyle name="_LCDTV_Diff_PC Products 3" xfId="0"/>
    <cellStyle name="_LCDTV_Diff_PC Products 4" xfId="0"/>
    <cellStyle name="_LCDTV_Diff_PC Products 4 2" xfId="0"/>
    <cellStyle name="_LCDTV_Diff_PC Products_By Region" xfId="0"/>
    <cellStyle name="_LCDTV_Diff_PC Products_CORP SG&amp;A" xfId="0"/>
    <cellStyle name="_LCDTV_Diff_PC Products_LCD" xfId="0"/>
    <cellStyle name="_LCDTV_Diff_PC Products_PJ" xfId="0"/>
    <cellStyle name="_LCDTV_Diff_VSA 111014" xfId="0"/>
    <cellStyle name="_LCDTV_Diff_VSA 111014 2" xfId="0"/>
    <cellStyle name="_LCDTV_Diff_VSA 111014 3" xfId="0"/>
    <cellStyle name="_LCDTV_Diff_VSA 111014 4" xfId="0"/>
    <cellStyle name="_LCDTV_Diff_VSA 111014 4 2" xfId="0"/>
    <cellStyle name="_LCDTV_Diff_VSA 111014_By Region" xfId="0"/>
    <cellStyle name="_LCDTV_Diff_VSA 111014_CORP SG&amp;A" xfId="0"/>
    <cellStyle name="_LCDTV_Diff_VSA 111014_LCD" xfId="0"/>
    <cellStyle name="_LCDTV_Diff_VSA 111014_PJ" xfId="0"/>
    <cellStyle name="_LCDTV_Diff_VSA Roll-Up (LW)" xfId="0"/>
    <cellStyle name="_LCDTV_Diff_VSA Roll-Up (LW) 2" xfId="0"/>
    <cellStyle name="_LCDTV_Diff_VSA Roll-Up (LW) 3" xfId="0"/>
    <cellStyle name="_LCDTV_Diff_VSA Roll-Up (LW) 4" xfId="0"/>
    <cellStyle name="_LCDTV_Diff_VSA Roll-Up (LW) 4 2" xfId="0"/>
    <cellStyle name="_LCDTV_Diff_VSA Roll-Up (LW)_By Region" xfId="0"/>
    <cellStyle name="_LCDTV_Diff_VSA Roll-Up (LW)_CORP SG&amp;A" xfId="0"/>
    <cellStyle name="_LCDTV_Diff_VSA Roll-Up (LW)_LCD" xfId="0"/>
    <cellStyle name="_LCDTV_Diff_VSA Roll-Up (LW)_PJ" xfId="0"/>
    <cellStyle name="_LCDTV_Digital Product" xfId="0"/>
    <cellStyle name="_LCDTV_Digital Product 2" xfId="0"/>
    <cellStyle name="_LCDTV_Digital Product 3" xfId="0"/>
    <cellStyle name="_LCDTV_Digital Product 4" xfId="0"/>
    <cellStyle name="_LCDTV_Digital Product_By Region" xfId="0"/>
    <cellStyle name="_LCDTV_Digital Product_CORP SG&amp;A" xfId="0"/>
    <cellStyle name="_LCDTV_Digital Product_Digitizer" xfId="0"/>
    <cellStyle name="_LCDTV_Digital Product_GPS OTHER" xfId="0"/>
    <cellStyle name="_LCDTV_Digital Product_GPS OTHER 2" xfId="0"/>
    <cellStyle name="_LCDTV_Digital Product_GPS OTHER 3" xfId="0"/>
    <cellStyle name="_LCDTV_Digital Product_GPS OTHER 4" xfId="0"/>
    <cellStyle name="_LCDTV_Digital Product_GPS OTHER 4 2" xfId="0"/>
    <cellStyle name="_LCDTV_Digital Product_GPS OTHER_By Region" xfId="0"/>
    <cellStyle name="_LCDTV_Digital Product_GPS OTHER_CORP SG&amp;A" xfId="0"/>
    <cellStyle name="_LCDTV_Digital Product_GPS OTHER_LCD" xfId="0"/>
    <cellStyle name="_LCDTV_Digital Product_GPS OTHER_PJ" xfId="0"/>
    <cellStyle name="_LCDTV_Digital Product_LCD" xfId="0"/>
    <cellStyle name="_LCDTV_Digital Product_LCD 2" xfId="0"/>
    <cellStyle name="_LCDTV_Digital Product_LCD 3" xfId="0"/>
    <cellStyle name="_LCDTV_Digital Product_LCD 4" xfId="0"/>
    <cellStyle name="_LCDTV_Digital Product_LCD_By Region" xfId="0"/>
    <cellStyle name="_LCDTV_Digital Product_LCD_CORP SG&amp;A" xfId="0"/>
    <cellStyle name="_LCDTV_Digital Product_LCD_LCD" xfId="0"/>
    <cellStyle name="_LCDTV_Digital Product_LCD_PJ" xfId="0"/>
    <cellStyle name="_LCDTV_Digital Product_PC Products" xfId="0"/>
    <cellStyle name="_LCDTV_Digital Product_PC Products 2" xfId="0"/>
    <cellStyle name="_LCDTV_Digital Product_PC Products 3" xfId="0"/>
    <cellStyle name="_LCDTV_Digital Product_PC Products 4" xfId="0"/>
    <cellStyle name="_LCDTV_Digital Product_PC Products 4 2" xfId="0"/>
    <cellStyle name="_LCDTV_Digital Product_PC Products_By Region" xfId="0"/>
    <cellStyle name="_LCDTV_Digital Product_PC Products_CORP SG&amp;A" xfId="0"/>
    <cellStyle name="_LCDTV_Digital Product_PC Products_LCD" xfId="0"/>
    <cellStyle name="_LCDTV_Digital Product_PC Products_PJ" xfId="0"/>
    <cellStyle name="_LCDTV_Digital Product_VSA 111014" xfId="0"/>
    <cellStyle name="_LCDTV_Digital Product_VSA 111014 2" xfId="0"/>
    <cellStyle name="_LCDTV_Digital Product_VSA 111014 3" xfId="0"/>
    <cellStyle name="_LCDTV_Digital Product_VSA 111014 4" xfId="0"/>
    <cellStyle name="_LCDTV_Digital Product_VSA 111014 4 2" xfId="0"/>
    <cellStyle name="_LCDTV_Digital Product_VSA 111014_By Region" xfId="0"/>
    <cellStyle name="_LCDTV_Digital Product_VSA 111014_CORP SG&amp;A" xfId="0"/>
    <cellStyle name="_LCDTV_Digital Product_VSA 111014_LCD" xfId="0"/>
    <cellStyle name="_LCDTV_Digital Product_VSA 111014_PJ" xfId="0"/>
    <cellStyle name="_LCDTV_Digital Product_VSA Roll-Up (LW)" xfId="0"/>
    <cellStyle name="_LCDTV_Digital Product_VSA Roll-Up (LW) 2" xfId="0"/>
    <cellStyle name="_LCDTV_Digital Product_VSA Roll-Up (LW) 3" xfId="0"/>
    <cellStyle name="_LCDTV_Digital Product_VSA Roll-Up (LW) 4" xfId="0"/>
    <cellStyle name="_LCDTV_Digital Product_VSA Roll-Up (LW) 4 2" xfId="0"/>
    <cellStyle name="_LCDTV_Digital Product_VSA Roll-Up (LW)_By Region" xfId="0"/>
    <cellStyle name="_LCDTV_Digital Product_VSA Roll-Up (LW)_CORP SG&amp;A" xfId="0"/>
    <cellStyle name="_LCDTV_Digital Product_VSA Roll-Up (LW)_LCD" xfId="0"/>
    <cellStyle name="_LCDTV_Digital Product_VSA Roll-Up (LW)_PJ" xfId="0"/>
    <cellStyle name="_LCDTV_Digital Signage" xfId="0"/>
    <cellStyle name="_LCDTV_Digital Signage 2" xfId="0"/>
    <cellStyle name="_LCDTV_Digital Signage 3" xfId="0"/>
    <cellStyle name="_LCDTV_Digital Signage 4" xfId="0"/>
    <cellStyle name="_LCDTV_Digital Signage_By Region" xfId="0"/>
    <cellStyle name="_LCDTV_Digital Signage_CORP SG&amp;A" xfId="0"/>
    <cellStyle name="_LCDTV_Digital Signage_Digitizer" xfId="0"/>
    <cellStyle name="_LCDTV_Digital Signage_GPS OTHER" xfId="0"/>
    <cellStyle name="_LCDTV_Digital Signage_GPS OTHER 2" xfId="0"/>
    <cellStyle name="_LCDTV_Digital Signage_GPS OTHER 3" xfId="0"/>
    <cellStyle name="_LCDTV_Digital Signage_GPS OTHER 4" xfId="0"/>
    <cellStyle name="_LCDTV_Digital Signage_GPS OTHER 4 2" xfId="0"/>
    <cellStyle name="_LCDTV_Digital Signage_GPS OTHER_By Region" xfId="0"/>
    <cellStyle name="_LCDTV_Digital Signage_GPS OTHER_CORP SG&amp;A" xfId="0"/>
    <cellStyle name="_LCDTV_Digital Signage_GPS OTHER_LCD" xfId="0"/>
    <cellStyle name="_LCDTV_Digital Signage_GPS OTHER_PJ" xfId="0"/>
    <cellStyle name="_LCDTV_Digital Signage_LCD" xfId="0"/>
    <cellStyle name="_LCDTV_Digital Signage_LCD 2" xfId="0"/>
    <cellStyle name="_LCDTV_Digital Signage_LCD 3" xfId="0"/>
    <cellStyle name="_LCDTV_Digital Signage_LCD 4" xfId="0"/>
    <cellStyle name="_LCDTV_Digital Signage_LCD_By Region" xfId="0"/>
    <cellStyle name="_LCDTV_Digital Signage_LCD_CORP SG&amp;A" xfId="0"/>
    <cellStyle name="_LCDTV_Digital Signage_LCD_LCD" xfId="0"/>
    <cellStyle name="_LCDTV_Digital Signage_LCD_PJ" xfId="0"/>
    <cellStyle name="_LCDTV_Digital Signage_PC Products" xfId="0"/>
    <cellStyle name="_LCDTV_Digital Signage_PC Products 2" xfId="0"/>
    <cellStyle name="_LCDTV_Digital Signage_PC Products 3" xfId="0"/>
    <cellStyle name="_LCDTV_Digital Signage_PC Products 4" xfId="0"/>
    <cellStyle name="_LCDTV_Digital Signage_PC Products 4 2" xfId="0"/>
    <cellStyle name="_LCDTV_Digital Signage_PC Products_By Region" xfId="0"/>
    <cellStyle name="_LCDTV_Digital Signage_PC Products_CORP SG&amp;A" xfId="0"/>
    <cellStyle name="_LCDTV_Digital Signage_PC Products_LCD" xfId="0"/>
    <cellStyle name="_LCDTV_Digital Signage_PC Products_PJ" xfId="0"/>
    <cellStyle name="_LCDTV_Digital Signage_VSA 111014" xfId="0"/>
    <cellStyle name="_LCDTV_Digital Signage_VSA 111014 2" xfId="0"/>
    <cellStyle name="_LCDTV_Digital Signage_VSA 111014 3" xfId="0"/>
    <cellStyle name="_LCDTV_Digital Signage_VSA 111014 4" xfId="0"/>
    <cellStyle name="_LCDTV_Digital Signage_VSA 111014 4 2" xfId="0"/>
    <cellStyle name="_LCDTV_Digital Signage_VSA 111014_By Region" xfId="0"/>
    <cellStyle name="_LCDTV_Digital Signage_VSA 111014_CORP SG&amp;A" xfId="0"/>
    <cellStyle name="_LCDTV_Digital Signage_VSA 111014_LCD" xfId="0"/>
    <cellStyle name="_LCDTV_Digital Signage_VSA 111014_PJ" xfId="0"/>
    <cellStyle name="_LCDTV_Digital Signage_VSA Roll-Up (LW)" xfId="0"/>
    <cellStyle name="_LCDTV_Digital Signage_VSA Roll-Up (LW) 2" xfId="0"/>
    <cellStyle name="_LCDTV_Digital Signage_VSA Roll-Up (LW) 3" xfId="0"/>
    <cellStyle name="_LCDTV_Digital Signage_VSA Roll-Up (LW) 4" xfId="0"/>
    <cellStyle name="_LCDTV_Digital Signage_VSA Roll-Up (LW) 4 2" xfId="0"/>
    <cellStyle name="_LCDTV_Digital Signage_VSA Roll-Up (LW)_By Region" xfId="0"/>
    <cellStyle name="_LCDTV_Digital Signage_VSA Roll-Up (LW)_CORP SG&amp;A" xfId="0"/>
    <cellStyle name="_LCDTV_Digital Signage_VSA Roll-Up (LW)_LCD" xfId="0"/>
    <cellStyle name="_LCDTV_Digital Signage_VSA Roll-Up (LW)_PJ" xfId="0"/>
    <cellStyle name="_LCDTV_Digitizer" xfId="0"/>
    <cellStyle name="_LCDTV_DMA(VMP)" xfId="0"/>
    <cellStyle name="_LCDTV_DMA(VMP) 2" xfId="0"/>
    <cellStyle name="_LCDTV_DMA(VMP) 3" xfId="0"/>
    <cellStyle name="_LCDTV_DMA(VMP) 4" xfId="0"/>
    <cellStyle name="_LCDTV_DMA(VMP)_By Region" xfId="0"/>
    <cellStyle name="_LCDTV_DMA(VMP)_CORP SG&amp;A" xfId="0"/>
    <cellStyle name="_LCDTV_DMA(VMP)_Digitizer" xfId="0"/>
    <cellStyle name="_LCDTV_DMA(VMP)_GPS OTHER" xfId="0"/>
    <cellStyle name="_LCDTV_DMA(VMP)_GPS OTHER 2" xfId="0"/>
    <cellStyle name="_LCDTV_DMA(VMP)_GPS OTHER 3" xfId="0"/>
    <cellStyle name="_LCDTV_DMA(VMP)_GPS OTHER 4" xfId="0"/>
    <cellStyle name="_LCDTV_DMA(VMP)_GPS OTHER 4 2" xfId="0"/>
    <cellStyle name="_LCDTV_DMA(VMP)_GPS OTHER_By Region" xfId="0"/>
    <cellStyle name="_LCDTV_DMA(VMP)_GPS OTHER_CORP SG&amp;A" xfId="0"/>
    <cellStyle name="_LCDTV_DMA(VMP)_GPS OTHER_LCD" xfId="0"/>
    <cellStyle name="_LCDTV_DMA(VMP)_GPS OTHER_PJ" xfId="0"/>
    <cellStyle name="_LCDTV_DMA(VMP)_LCD" xfId="0"/>
    <cellStyle name="_LCDTV_DMA(VMP)_LCD 2" xfId="0"/>
    <cellStyle name="_LCDTV_DMA(VMP)_LCD 3" xfId="0"/>
    <cellStyle name="_LCDTV_DMA(VMP)_LCD 4" xfId="0"/>
    <cellStyle name="_LCDTV_DMA(VMP)_LCD_By Region" xfId="0"/>
    <cellStyle name="_LCDTV_DMA(VMP)_LCD_CORP SG&amp;A" xfId="0"/>
    <cellStyle name="_LCDTV_DMA(VMP)_LCD_LCD" xfId="0"/>
    <cellStyle name="_LCDTV_DMA(VMP)_LCD_PJ" xfId="0"/>
    <cellStyle name="_LCDTV_DMA(VMP)_PC Products" xfId="0"/>
    <cellStyle name="_LCDTV_DMA(VMP)_PC Products 2" xfId="0"/>
    <cellStyle name="_LCDTV_DMA(VMP)_PC Products 3" xfId="0"/>
    <cellStyle name="_LCDTV_DMA(VMP)_PC Products 4" xfId="0"/>
    <cellStyle name="_LCDTV_DMA(VMP)_PC Products 4 2" xfId="0"/>
    <cellStyle name="_LCDTV_DMA(VMP)_PC Products_By Region" xfId="0"/>
    <cellStyle name="_LCDTV_DMA(VMP)_PC Products_CORP SG&amp;A" xfId="0"/>
    <cellStyle name="_LCDTV_DMA(VMP)_PC Products_LCD" xfId="0"/>
    <cellStyle name="_LCDTV_DMA(VMP)_PC Products_PJ" xfId="0"/>
    <cellStyle name="_LCDTV_DMA(VMP)_VSA 111014" xfId="0"/>
    <cellStyle name="_LCDTV_DMA(VMP)_VSA 111014 2" xfId="0"/>
    <cellStyle name="_LCDTV_DMA(VMP)_VSA 111014 3" xfId="0"/>
    <cellStyle name="_LCDTV_DMA(VMP)_VSA 111014 4" xfId="0"/>
    <cellStyle name="_LCDTV_DMA(VMP)_VSA 111014 4 2" xfId="0"/>
    <cellStyle name="_LCDTV_DMA(VMP)_VSA 111014_By Region" xfId="0"/>
    <cellStyle name="_LCDTV_DMA(VMP)_VSA 111014_CORP SG&amp;A" xfId="0"/>
    <cellStyle name="_LCDTV_DMA(VMP)_VSA 111014_LCD" xfId="0"/>
    <cellStyle name="_LCDTV_DMA(VMP)_VSA 111014_PJ" xfId="0"/>
    <cellStyle name="_LCDTV_DMA(VMP)_VSA Roll-Up (LW)" xfId="0"/>
    <cellStyle name="_LCDTV_DMA(VMP)_VSA Roll-Up (LW) 2" xfId="0"/>
    <cellStyle name="_LCDTV_DMA(VMP)_VSA Roll-Up (LW) 3" xfId="0"/>
    <cellStyle name="_LCDTV_DMA(VMP)_VSA Roll-Up (LW) 4" xfId="0"/>
    <cellStyle name="_LCDTV_DMA(VMP)_VSA Roll-Up (LW) 4 2" xfId="0"/>
    <cellStyle name="_LCDTV_DMA(VMP)_VSA Roll-Up (LW)_By Region" xfId="0"/>
    <cellStyle name="_LCDTV_DMA(VMP)_VSA Roll-Up (LW)_CORP SG&amp;A" xfId="0"/>
    <cellStyle name="_LCDTV_DMA(VMP)_VSA Roll-Up (LW)_LCD" xfId="0"/>
    <cellStyle name="_LCDTV_DMA(VMP)_VSA Roll-Up (LW)_PJ" xfId="0"/>
    <cellStyle name="_LCDTV_DPF" xfId="0"/>
    <cellStyle name="_LCDTV_DPF 2" xfId="0"/>
    <cellStyle name="_LCDTV_DPF 3" xfId="0"/>
    <cellStyle name="_LCDTV_DPF 4" xfId="0"/>
    <cellStyle name="_LCDTV_DPF_By Region" xfId="0"/>
    <cellStyle name="_LCDTV_DPF_CORP SG&amp;A" xfId="0"/>
    <cellStyle name="_LCDTV_DPF_Digitizer" xfId="0"/>
    <cellStyle name="_LCDTV_DPF_GPS OTHER" xfId="0"/>
    <cellStyle name="_LCDTV_DPF_GPS OTHER 2" xfId="0"/>
    <cellStyle name="_LCDTV_DPF_GPS OTHER 3" xfId="0"/>
    <cellStyle name="_LCDTV_DPF_GPS OTHER 4" xfId="0"/>
    <cellStyle name="_LCDTV_DPF_GPS OTHER 4 2" xfId="0"/>
    <cellStyle name="_LCDTV_DPF_GPS OTHER_By Region" xfId="0"/>
    <cellStyle name="_LCDTV_DPF_GPS OTHER_CORP SG&amp;A" xfId="0"/>
    <cellStyle name="_LCDTV_DPF_GPS OTHER_LCD" xfId="0"/>
    <cellStyle name="_LCDTV_DPF_GPS OTHER_PJ" xfId="0"/>
    <cellStyle name="_LCDTV_DPF_LCD" xfId="0"/>
    <cellStyle name="_LCDTV_DPF_LCD 2" xfId="0"/>
    <cellStyle name="_LCDTV_DPF_LCD 3" xfId="0"/>
    <cellStyle name="_LCDTV_DPF_LCD 4" xfId="0"/>
    <cellStyle name="_LCDTV_DPF_LCD_By Region" xfId="0"/>
    <cellStyle name="_LCDTV_DPF_LCD_CORP SG&amp;A" xfId="0"/>
    <cellStyle name="_LCDTV_DPF_LCD_LCD" xfId="0"/>
    <cellStyle name="_LCDTV_DPF_LCD_PJ" xfId="0"/>
    <cellStyle name="_LCDTV_DPF_PC Products" xfId="0"/>
    <cellStyle name="_LCDTV_DPF_PC Products 2" xfId="0"/>
    <cellStyle name="_LCDTV_DPF_PC Products 3" xfId="0"/>
    <cellStyle name="_LCDTV_DPF_PC Products 4" xfId="0"/>
    <cellStyle name="_LCDTV_DPF_PC Products 4 2" xfId="0"/>
    <cellStyle name="_LCDTV_DPF_PC Products_By Region" xfId="0"/>
    <cellStyle name="_LCDTV_DPF_PC Products_CORP SG&amp;A" xfId="0"/>
    <cellStyle name="_LCDTV_DPF_PC Products_LCD" xfId="0"/>
    <cellStyle name="_LCDTV_DPF_PC Products_PJ" xfId="0"/>
    <cellStyle name="_LCDTV_DPF_VSA 111014" xfId="0"/>
    <cellStyle name="_LCDTV_DPF_VSA 111014 2" xfId="0"/>
    <cellStyle name="_LCDTV_DPF_VSA 111014 3" xfId="0"/>
    <cellStyle name="_LCDTV_DPF_VSA 111014 4" xfId="0"/>
    <cellStyle name="_LCDTV_DPF_VSA 111014 4 2" xfId="0"/>
    <cellStyle name="_LCDTV_DPF_VSA 111014_By Region" xfId="0"/>
    <cellStyle name="_LCDTV_DPF_VSA 111014_CORP SG&amp;A" xfId="0"/>
    <cellStyle name="_LCDTV_DPF_VSA 111014_LCD" xfId="0"/>
    <cellStyle name="_LCDTV_DPF_VSA 111014_PJ" xfId="0"/>
    <cellStyle name="_LCDTV_DPF_VSA Roll-Up (LW)" xfId="0"/>
    <cellStyle name="_LCDTV_DPF_VSA Roll-Up (LW) 2" xfId="0"/>
    <cellStyle name="_LCDTV_DPF_VSA Roll-Up (LW) 3" xfId="0"/>
    <cellStyle name="_LCDTV_DPF_VSA Roll-Up (LW) 4" xfId="0"/>
    <cellStyle name="_LCDTV_DPF_VSA Roll-Up (LW) 4 2" xfId="0"/>
    <cellStyle name="_LCDTV_DPF_VSA Roll-Up (LW)_By Region" xfId="0"/>
    <cellStyle name="_LCDTV_DPF_VSA Roll-Up (LW)_CORP SG&amp;A" xfId="0"/>
    <cellStyle name="_LCDTV_DPF_VSA Roll-Up (LW)_LCD" xfId="0"/>
    <cellStyle name="_LCDTV_DPF_VSA Roll-Up (LW)_PJ" xfId="0"/>
    <cellStyle name="_LCDTV_DS" xfId="0"/>
    <cellStyle name="_LCDTV_DS 2" xfId="0"/>
    <cellStyle name="_LCDTV_DS 3" xfId="0"/>
    <cellStyle name="_LCDTV_DS 4" xfId="0"/>
    <cellStyle name="_LCDTV_DS_By Region" xfId="0"/>
    <cellStyle name="_LCDTV_DS_CORP SG&amp;A" xfId="0"/>
    <cellStyle name="_LCDTV_DS_Digitizer" xfId="0"/>
    <cellStyle name="_LCDTV_DS_GPS OTHER" xfId="0"/>
    <cellStyle name="_LCDTV_DS_GPS OTHER 2" xfId="0"/>
    <cellStyle name="_LCDTV_DS_GPS OTHER 3" xfId="0"/>
    <cellStyle name="_LCDTV_DS_GPS OTHER 4" xfId="0"/>
    <cellStyle name="_LCDTV_DS_GPS OTHER 4 2" xfId="0"/>
    <cellStyle name="_LCDTV_DS_GPS OTHER_By Region" xfId="0"/>
    <cellStyle name="_LCDTV_DS_GPS OTHER_CORP SG&amp;A" xfId="0"/>
    <cellStyle name="_LCDTV_DS_GPS OTHER_LCD" xfId="0"/>
    <cellStyle name="_LCDTV_DS_GPS OTHER_PJ" xfId="0"/>
    <cellStyle name="_LCDTV_DS_LCD" xfId="0"/>
    <cellStyle name="_LCDTV_DS_LCD 2" xfId="0"/>
    <cellStyle name="_LCDTV_DS_LCD 3" xfId="0"/>
    <cellStyle name="_LCDTV_DS_LCD 4" xfId="0"/>
    <cellStyle name="_LCDTV_DS_LCD_By Region" xfId="0"/>
    <cellStyle name="_LCDTV_DS_LCD_CORP SG&amp;A" xfId="0"/>
    <cellStyle name="_LCDTV_DS_LCD_LCD" xfId="0"/>
    <cellStyle name="_LCDTV_DS_LCD_PJ" xfId="0"/>
    <cellStyle name="_LCDTV_DS_PC Products" xfId="0"/>
    <cellStyle name="_LCDTV_DS_PC Products 2" xfId="0"/>
    <cellStyle name="_LCDTV_DS_PC Products 3" xfId="0"/>
    <cellStyle name="_LCDTV_DS_PC Products 4" xfId="0"/>
    <cellStyle name="_LCDTV_DS_PC Products 4 2" xfId="0"/>
    <cellStyle name="_LCDTV_DS_PC Products_By Region" xfId="0"/>
    <cellStyle name="_LCDTV_DS_PC Products_CORP SG&amp;A" xfId="0"/>
    <cellStyle name="_LCDTV_DS_PC Products_LCD" xfId="0"/>
    <cellStyle name="_LCDTV_DS_PC Products_PJ" xfId="0"/>
    <cellStyle name="_LCDTV_DS_VSA 111014" xfId="0"/>
    <cellStyle name="_LCDTV_DS_VSA 111014 2" xfId="0"/>
    <cellStyle name="_LCDTV_DS_VSA 111014 3" xfId="0"/>
    <cellStyle name="_LCDTV_DS_VSA 111014 4" xfId="0"/>
    <cellStyle name="_LCDTV_DS_VSA 111014 4 2" xfId="0"/>
    <cellStyle name="_LCDTV_DS_VSA 111014_By Region" xfId="0"/>
    <cellStyle name="_LCDTV_DS_VSA 111014_CORP SG&amp;A" xfId="0"/>
    <cellStyle name="_LCDTV_DS_VSA 111014_LCD" xfId="0"/>
    <cellStyle name="_LCDTV_DS_VSA 111014_PJ" xfId="0"/>
    <cellStyle name="_LCDTV_DS_VSA Roll-Up (LW)" xfId="0"/>
    <cellStyle name="_LCDTV_DS_VSA Roll-Up (LW) 2" xfId="0"/>
    <cellStyle name="_LCDTV_DS_VSA Roll-Up (LW) 3" xfId="0"/>
    <cellStyle name="_LCDTV_DS_VSA Roll-Up (LW) 4" xfId="0"/>
    <cellStyle name="_LCDTV_DS_VSA Roll-Up (LW) 4 2" xfId="0"/>
    <cellStyle name="_LCDTV_DS_VSA Roll-Up (LW)_By Region" xfId="0"/>
    <cellStyle name="_LCDTV_DS_VSA Roll-Up (LW)_CORP SG&amp;A" xfId="0"/>
    <cellStyle name="_LCDTV_DS_VSA Roll-Up (LW)_LCD" xfId="0"/>
    <cellStyle name="_LCDTV_DS_VSA Roll-Up (LW)_PJ" xfId="0"/>
    <cellStyle name="_LCDTV_DVD_TV" xfId="0"/>
    <cellStyle name="_LCDTV_DVD_TV 2" xfId="0"/>
    <cellStyle name="_LCDTV_DVD_TV 3" xfId="0"/>
    <cellStyle name="_LCDTV_DVD_TV 4" xfId="0"/>
    <cellStyle name="_LCDTV_DVD_TV_By Region" xfId="0"/>
    <cellStyle name="_LCDTV_DVD_TV_CORP SG&amp;A" xfId="0"/>
    <cellStyle name="_LCDTV_DVD_TV_Digitizer" xfId="0"/>
    <cellStyle name="_LCDTV_DVD_TV_GPS OTHER" xfId="0"/>
    <cellStyle name="_LCDTV_DVD_TV_GPS OTHER 2" xfId="0"/>
    <cellStyle name="_LCDTV_DVD_TV_GPS OTHER 3" xfId="0"/>
    <cellStyle name="_LCDTV_DVD_TV_GPS OTHER 4" xfId="0"/>
    <cellStyle name="_LCDTV_DVD_TV_GPS OTHER 4 2" xfId="0"/>
    <cellStyle name="_LCDTV_DVD_TV_GPS OTHER_By Region" xfId="0"/>
    <cellStyle name="_LCDTV_DVD_TV_GPS OTHER_CORP SG&amp;A" xfId="0"/>
    <cellStyle name="_LCDTV_DVD_TV_GPS OTHER_LCD" xfId="0"/>
    <cellStyle name="_LCDTV_DVD_TV_GPS OTHER_PJ" xfId="0"/>
    <cellStyle name="_LCDTV_DVD_TV_LCD" xfId="0"/>
    <cellStyle name="_LCDTV_DVD_TV_LCD 2" xfId="0"/>
    <cellStyle name="_LCDTV_DVD_TV_LCD 3" xfId="0"/>
    <cellStyle name="_LCDTV_DVD_TV_LCD 4" xfId="0"/>
    <cellStyle name="_LCDTV_DVD_TV_LCD_By Region" xfId="0"/>
    <cellStyle name="_LCDTV_DVD_TV_LCD_CORP SG&amp;A" xfId="0"/>
    <cellStyle name="_LCDTV_DVD_TV_LCD_LCD" xfId="0"/>
    <cellStyle name="_LCDTV_DVD_TV_LCD_PJ" xfId="0"/>
    <cellStyle name="_LCDTV_DVD_TV_PC Products" xfId="0"/>
    <cellStyle name="_LCDTV_DVD_TV_PC Products 2" xfId="0"/>
    <cellStyle name="_LCDTV_DVD_TV_PC Products 3" xfId="0"/>
    <cellStyle name="_LCDTV_DVD_TV_PC Products 4" xfId="0"/>
    <cellStyle name="_LCDTV_DVD_TV_PC Products 4 2" xfId="0"/>
    <cellStyle name="_LCDTV_DVD_TV_PC Products_By Region" xfId="0"/>
    <cellStyle name="_LCDTV_DVD_TV_PC Products_CORP SG&amp;A" xfId="0"/>
    <cellStyle name="_LCDTV_DVD_TV_PC Products_LCD" xfId="0"/>
    <cellStyle name="_LCDTV_DVD_TV_PC Products_PJ" xfId="0"/>
    <cellStyle name="_LCDTV_DVD_TV_VSA 111014" xfId="0"/>
    <cellStyle name="_LCDTV_DVD_TV_VSA 111014 2" xfId="0"/>
    <cellStyle name="_LCDTV_DVD_TV_VSA 111014 3" xfId="0"/>
    <cellStyle name="_LCDTV_DVD_TV_VSA 111014 4" xfId="0"/>
    <cellStyle name="_LCDTV_DVD_TV_VSA 111014 4 2" xfId="0"/>
    <cellStyle name="_LCDTV_DVD_TV_VSA 111014_By Region" xfId="0"/>
    <cellStyle name="_LCDTV_DVD_TV_VSA 111014_CORP SG&amp;A" xfId="0"/>
    <cellStyle name="_LCDTV_DVD_TV_VSA 111014_LCD" xfId="0"/>
    <cellStyle name="_LCDTV_DVD_TV_VSA 111014_PJ" xfId="0"/>
    <cellStyle name="_LCDTV_DVD_TV_VSA Roll-Up (LW)" xfId="0"/>
    <cellStyle name="_LCDTV_DVD_TV_VSA Roll-Up (LW) 2" xfId="0"/>
    <cellStyle name="_LCDTV_DVD_TV_VSA Roll-Up (LW) 3" xfId="0"/>
    <cellStyle name="_LCDTV_DVD_TV_VSA Roll-Up (LW) 4" xfId="0"/>
    <cellStyle name="_LCDTV_DVD_TV_VSA Roll-Up (LW) 4 2" xfId="0"/>
    <cellStyle name="_LCDTV_DVD_TV_VSA Roll-Up (LW)_By Region" xfId="0"/>
    <cellStyle name="_LCDTV_DVD_TV_VSA Roll-Up (LW)_CORP SG&amp;A" xfId="0"/>
    <cellStyle name="_LCDTV_DVD_TV_VSA Roll-Up (LW)_LCD" xfId="0"/>
    <cellStyle name="_LCDTV_DVD_TV_VSA Roll-Up (LW)_PJ" xfId="0"/>
    <cellStyle name="_LCDTV_GPS OTHER" xfId="0"/>
    <cellStyle name="_LCDTV_GPS OTHER 2" xfId="0"/>
    <cellStyle name="_LCDTV_GPS OTHER 3" xfId="0"/>
    <cellStyle name="_LCDTV_GPS OTHER 4" xfId="0"/>
    <cellStyle name="_LCDTV_GPS OTHER 4 2" xfId="0"/>
    <cellStyle name="_LCDTV_GPS OTHER_By Region" xfId="0"/>
    <cellStyle name="_LCDTV_GPS OTHER_CORP SG&amp;A" xfId="0"/>
    <cellStyle name="_LCDTV_GPS OTHER_LCD" xfId="0"/>
    <cellStyle name="_LCDTV_GPS OTHER_PJ" xfId="0"/>
    <cellStyle name="_LCDTV_LCD" xfId="0"/>
    <cellStyle name="_LCDTV_LCD 2" xfId="0"/>
    <cellStyle name="_LCDTV_LCD 3" xfId="0"/>
    <cellStyle name="_LCDTV_LCD 4" xfId="0"/>
    <cellStyle name="_LCDTV_LCD_1" xfId="0"/>
    <cellStyle name="_LCDTV_LCD_1 2" xfId="0"/>
    <cellStyle name="_LCDTV_LCD_1 3" xfId="0"/>
    <cellStyle name="_LCDTV_LCD_1 4" xfId="0"/>
    <cellStyle name="_LCDTV_LCD_1_By Region" xfId="0"/>
    <cellStyle name="_LCDTV_LCD_1_CORP SG&amp;A" xfId="0"/>
    <cellStyle name="_LCDTV_LCD_1_LCD" xfId="0"/>
    <cellStyle name="_LCDTV_LCD_1_PJ" xfId="0"/>
    <cellStyle name="_LCDTV_LCD_By Region" xfId="0"/>
    <cellStyle name="_LCDTV_LCD_CORP SG&amp;A" xfId="0"/>
    <cellStyle name="_LCDTV_LCD_Digitizer" xfId="0"/>
    <cellStyle name="_LCDTV_LCD_GPS OTHER" xfId="0"/>
    <cellStyle name="_LCDTV_LCD_GPS OTHER 2" xfId="0"/>
    <cellStyle name="_LCDTV_LCD_GPS OTHER 3" xfId="0"/>
    <cellStyle name="_LCDTV_LCD_GPS OTHER 4" xfId="0"/>
    <cellStyle name="_LCDTV_LCD_GPS OTHER 4 2" xfId="0"/>
    <cellStyle name="_LCDTV_LCD_GPS OTHER_By Region" xfId="0"/>
    <cellStyle name="_LCDTV_LCD_GPS OTHER_CORP SG&amp;A" xfId="0"/>
    <cellStyle name="_LCDTV_LCD_GPS OTHER_LCD" xfId="0"/>
    <cellStyle name="_LCDTV_LCD_GPS OTHER_PJ" xfId="0"/>
    <cellStyle name="_LCDTV_LCD_LCD" xfId="0"/>
    <cellStyle name="_LCDTV_LCD_LCD 2" xfId="0"/>
    <cellStyle name="_LCDTV_LCD_LCD 3" xfId="0"/>
    <cellStyle name="_LCDTV_LCD_LCD 4" xfId="0"/>
    <cellStyle name="_LCDTV_LCD_LCD_By Region" xfId="0"/>
    <cellStyle name="_LCDTV_LCD_LCD_CORP SG&amp;A" xfId="0"/>
    <cellStyle name="_LCDTV_LCD_LCD_LCD" xfId="0"/>
    <cellStyle name="_LCDTV_LCD_LCD_PJ" xfId="0"/>
    <cellStyle name="_LCDTV_LCD_PC Products" xfId="0"/>
    <cellStyle name="_LCDTV_LCD_PC Products 2" xfId="0"/>
    <cellStyle name="_LCDTV_LCD_PC Products 3" xfId="0"/>
    <cellStyle name="_LCDTV_LCD_PC Products 4" xfId="0"/>
    <cellStyle name="_LCDTV_LCD_PC Products 4 2" xfId="0"/>
    <cellStyle name="_LCDTV_LCD_PC Products_By Region" xfId="0"/>
    <cellStyle name="_LCDTV_LCD_PC Products_CORP SG&amp;A" xfId="0"/>
    <cellStyle name="_LCDTV_LCD_PC Products_LCD" xfId="0"/>
    <cellStyle name="_LCDTV_LCD_PC Products_PJ" xfId="0"/>
    <cellStyle name="_LCDTV_LCD_VSA 111014" xfId="0"/>
    <cellStyle name="_LCDTV_LCD_VSA 111014 2" xfId="0"/>
    <cellStyle name="_LCDTV_LCD_VSA 111014 3" xfId="0"/>
    <cellStyle name="_LCDTV_LCD_VSA 111014 4" xfId="0"/>
    <cellStyle name="_LCDTV_LCD_VSA 111014 4 2" xfId="0"/>
    <cellStyle name="_LCDTV_LCD_VSA 111014_By Region" xfId="0"/>
    <cellStyle name="_LCDTV_LCD_VSA 111014_CORP SG&amp;A" xfId="0"/>
    <cellStyle name="_LCDTV_LCD_VSA 111014_LCD" xfId="0"/>
    <cellStyle name="_LCDTV_LCD_VSA 111014_PJ" xfId="0"/>
    <cellStyle name="_LCDTV_LCD_VSA Roll-Up (LW)" xfId="0"/>
    <cellStyle name="_LCDTV_LCD_VSA Roll-Up (LW) 2" xfId="0"/>
    <cellStyle name="_LCDTV_LCD_VSA Roll-Up (LW) 3" xfId="0"/>
    <cellStyle name="_LCDTV_LCD_VSA Roll-Up (LW) 4" xfId="0"/>
    <cellStyle name="_LCDTV_LCD_VSA Roll-Up (LW) 4 2" xfId="0"/>
    <cellStyle name="_LCDTV_LCD_VSA Roll-Up (LW)_By Region" xfId="0"/>
    <cellStyle name="_LCDTV_LCD_VSA Roll-Up (LW)_CORP SG&amp;A" xfId="0"/>
    <cellStyle name="_LCDTV_LCD_VSA Roll-Up (LW)_LCD" xfId="0"/>
    <cellStyle name="_LCDTV_LCD_VSA Roll-Up (LW)_PJ" xfId="0"/>
    <cellStyle name="_LCDTV_LCDTV" xfId="0"/>
    <cellStyle name="_LCDTV_LCDTV 2" xfId="0"/>
    <cellStyle name="_LCDTV_LCDTV 3" xfId="0"/>
    <cellStyle name="_LCDTV_LCDTV 4" xfId="0"/>
    <cellStyle name="_LCDTV_LCDTV_By Region" xfId="0"/>
    <cellStyle name="_LCDTV_LCDTV_CORP SG&amp;A" xfId="0"/>
    <cellStyle name="_LCDTV_LCDTV_Digitizer" xfId="0"/>
    <cellStyle name="_LCDTV_LCDTV_GPS OTHER" xfId="0"/>
    <cellStyle name="_LCDTV_LCDTV_GPS OTHER 2" xfId="0"/>
    <cellStyle name="_LCDTV_LCDTV_GPS OTHER 3" xfId="0"/>
    <cellStyle name="_LCDTV_LCDTV_GPS OTHER 4" xfId="0"/>
    <cellStyle name="_LCDTV_LCDTV_GPS OTHER 4 2" xfId="0"/>
    <cellStyle name="_LCDTV_LCDTV_GPS OTHER_By Region" xfId="0"/>
    <cellStyle name="_LCDTV_LCDTV_GPS OTHER_CORP SG&amp;A" xfId="0"/>
    <cellStyle name="_LCDTV_LCDTV_GPS OTHER_LCD" xfId="0"/>
    <cellStyle name="_LCDTV_LCDTV_GPS OTHER_PJ" xfId="0"/>
    <cellStyle name="_LCDTV_LCDTV_LCD" xfId="0"/>
    <cellStyle name="_LCDTV_LCDTV_LCD 2" xfId="0"/>
    <cellStyle name="_LCDTV_LCDTV_LCD 3" xfId="0"/>
    <cellStyle name="_LCDTV_LCDTV_LCD 4" xfId="0"/>
    <cellStyle name="_LCDTV_LCDTV_LCD_By Region" xfId="0"/>
    <cellStyle name="_LCDTV_LCDTV_LCD_CORP SG&amp;A" xfId="0"/>
    <cellStyle name="_LCDTV_LCDTV_LCD_LCD" xfId="0"/>
    <cellStyle name="_LCDTV_LCDTV_LCD_PJ" xfId="0"/>
    <cellStyle name="_LCDTV_LCDTV_PC Products" xfId="0"/>
    <cellStyle name="_LCDTV_LCDTV_PC Products 2" xfId="0"/>
    <cellStyle name="_LCDTV_LCDTV_PC Products 3" xfId="0"/>
    <cellStyle name="_LCDTV_LCDTV_PC Products 4" xfId="0"/>
    <cellStyle name="_LCDTV_LCDTV_PC Products 4 2" xfId="0"/>
    <cellStyle name="_LCDTV_LCDTV_PC Products_By Region" xfId="0"/>
    <cellStyle name="_LCDTV_LCDTV_PC Products_CORP SG&amp;A" xfId="0"/>
    <cellStyle name="_LCDTV_LCDTV_PC Products_LCD" xfId="0"/>
    <cellStyle name="_LCDTV_LCDTV_PC Products_PJ" xfId="0"/>
    <cellStyle name="_LCDTV_LCDTV_VSA 111014" xfId="0"/>
    <cellStyle name="_LCDTV_LCDTV_VSA 111014 2" xfId="0"/>
    <cellStyle name="_LCDTV_LCDTV_VSA 111014 3" xfId="0"/>
    <cellStyle name="_LCDTV_LCDTV_VSA 111014 4" xfId="0"/>
    <cellStyle name="_LCDTV_LCDTV_VSA 111014 4 2" xfId="0"/>
    <cellStyle name="_LCDTV_LCDTV_VSA 111014_By Region" xfId="0"/>
    <cellStyle name="_LCDTV_LCDTV_VSA 111014_CORP SG&amp;A" xfId="0"/>
    <cellStyle name="_LCDTV_LCDTV_VSA 111014_LCD" xfId="0"/>
    <cellStyle name="_LCDTV_LCDTV_VSA 111014_PJ" xfId="0"/>
    <cellStyle name="_LCDTV_LCDTV_VSA Roll-Up (LW)" xfId="0"/>
    <cellStyle name="_LCDTV_LCDTV_VSA Roll-Up (LW) 2" xfId="0"/>
    <cellStyle name="_LCDTV_LCDTV_VSA Roll-Up (LW) 3" xfId="0"/>
    <cellStyle name="_LCDTV_LCDTV_VSA Roll-Up (LW) 4" xfId="0"/>
    <cellStyle name="_LCDTV_LCDTV_VSA Roll-Up (LW) 4 2" xfId="0"/>
    <cellStyle name="_LCDTV_LCDTV_VSA Roll-Up (LW)_By Region" xfId="0"/>
    <cellStyle name="_LCDTV_LCDTV_VSA Roll-Up (LW)_CORP SG&amp;A" xfId="0"/>
    <cellStyle name="_LCDTV_LCDTV_VSA Roll-Up (LW)_LCD" xfId="0"/>
    <cellStyle name="_LCDTV_LCDTV_VSA Roll-Up (LW)_PJ" xfId="0"/>
    <cellStyle name="_LCDTV_MNT" xfId="0"/>
    <cellStyle name="_LCDTV_MNT 2" xfId="0"/>
    <cellStyle name="_LCDTV_MNT 3" xfId="0"/>
    <cellStyle name="_LCDTV_MNT 4" xfId="0"/>
    <cellStyle name="_LCDTV_MNT_By Region" xfId="0"/>
    <cellStyle name="_LCDTV_MNT_CORP SG&amp;A" xfId="0"/>
    <cellStyle name="_LCDTV_MNT_Digitizer" xfId="0"/>
    <cellStyle name="_LCDTV_MNT_GPS OTHER" xfId="0"/>
    <cellStyle name="_LCDTV_MNT_GPS OTHER 2" xfId="0"/>
    <cellStyle name="_LCDTV_MNT_GPS OTHER 3" xfId="0"/>
    <cellStyle name="_LCDTV_MNT_GPS OTHER 4" xfId="0"/>
    <cellStyle name="_LCDTV_MNT_GPS OTHER 4 2" xfId="0"/>
    <cellStyle name="_LCDTV_MNT_GPS OTHER_By Region" xfId="0"/>
    <cellStyle name="_LCDTV_MNT_GPS OTHER_CORP SG&amp;A" xfId="0"/>
    <cellStyle name="_LCDTV_MNT_GPS OTHER_LCD" xfId="0"/>
    <cellStyle name="_LCDTV_MNT_GPS OTHER_PJ" xfId="0"/>
    <cellStyle name="_LCDTV_MNT_LCD" xfId="0"/>
    <cellStyle name="_LCDTV_MNT_LCD 2" xfId="0"/>
    <cellStyle name="_LCDTV_MNT_LCD 3" xfId="0"/>
    <cellStyle name="_LCDTV_MNT_LCD 4" xfId="0"/>
    <cellStyle name="_LCDTV_MNT_LCD_By Region" xfId="0"/>
    <cellStyle name="_LCDTV_MNT_LCD_CORP SG&amp;A" xfId="0"/>
    <cellStyle name="_LCDTV_MNT_LCD_LCD" xfId="0"/>
    <cellStyle name="_LCDTV_MNT_LCD_PJ" xfId="0"/>
    <cellStyle name="_LCDTV_MNT_PC Products" xfId="0"/>
    <cellStyle name="_LCDTV_MNT_PC Products 2" xfId="0"/>
    <cellStyle name="_LCDTV_MNT_PC Products 3" xfId="0"/>
    <cellStyle name="_LCDTV_MNT_PC Products 4" xfId="0"/>
    <cellStyle name="_LCDTV_MNT_PC Products 4 2" xfId="0"/>
    <cellStyle name="_LCDTV_MNT_PC Products_By Region" xfId="0"/>
    <cellStyle name="_LCDTV_MNT_PC Products_CORP SG&amp;A" xfId="0"/>
    <cellStyle name="_LCDTV_MNT_PC Products_LCD" xfId="0"/>
    <cellStyle name="_LCDTV_MNT_PC Products_PJ" xfId="0"/>
    <cellStyle name="_LCDTV_MNT_VSA 111014" xfId="0"/>
    <cellStyle name="_LCDTV_MNT_VSA 111014 2" xfId="0"/>
    <cellStyle name="_LCDTV_MNT_VSA 111014 3" xfId="0"/>
    <cellStyle name="_LCDTV_MNT_VSA 111014 4" xfId="0"/>
    <cellStyle name="_LCDTV_MNT_VSA 111014 4 2" xfId="0"/>
    <cellStyle name="_LCDTV_MNT_VSA 111014_By Region" xfId="0"/>
    <cellStyle name="_LCDTV_MNT_VSA 111014_CORP SG&amp;A" xfId="0"/>
    <cellStyle name="_LCDTV_MNT_VSA 111014_LCD" xfId="0"/>
    <cellStyle name="_LCDTV_MNT_VSA 111014_PJ" xfId="0"/>
    <cellStyle name="_LCDTV_MNT_VSA Roll-Up (LW)" xfId="0"/>
    <cellStyle name="_LCDTV_MNT_VSA Roll-Up (LW) 2" xfId="0"/>
    <cellStyle name="_LCDTV_MNT_VSA Roll-Up (LW) 3" xfId="0"/>
    <cellStyle name="_LCDTV_MNT_VSA Roll-Up (LW) 4" xfId="0"/>
    <cellStyle name="_LCDTV_MNT_VSA Roll-Up (LW) 4 2" xfId="0"/>
    <cellStyle name="_LCDTV_MNT_VSA Roll-Up (LW)_By Region" xfId="0"/>
    <cellStyle name="_LCDTV_MNT_VSA Roll-Up (LW)_CORP SG&amp;A" xfId="0"/>
    <cellStyle name="_LCDTV_MNT_VSA Roll-Up (LW)_LCD" xfId="0"/>
    <cellStyle name="_LCDTV_MNT_VSA Roll-Up (LW)_PJ" xfId="0"/>
    <cellStyle name="_LCDTV_Other" xfId="0"/>
    <cellStyle name="_LCDTV_Other 2" xfId="0"/>
    <cellStyle name="_LCDTV_Other 3" xfId="0"/>
    <cellStyle name="_LCDTV_Other 4" xfId="0"/>
    <cellStyle name="_LCDTV_Other_By Region" xfId="0"/>
    <cellStyle name="_LCDTV_Other_CORP SG&amp;A" xfId="0"/>
    <cellStyle name="_LCDTV_Other_Digitizer" xfId="0"/>
    <cellStyle name="_LCDTV_Other_GPS OTHER" xfId="0"/>
    <cellStyle name="_LCDTV_Other_GPS OTHER 2" xfId="0"/>
    <cellStyle name="_LCDTV_Other_GPS OTHER 3" xfId="0"/>
    <cellStyle name="_LCDTV_Other_GPS OTHER 4" xfId="0"/>
    <cellStyle name="_LCDTV_Other_GPS OTHER 4 2" xfId="0"/>
    <cellStyle name="_LCDTV_Other_GPS OTHER_By Region" xfId="0"/>
    <cellStyle name="_LCDTV_Other_GPS OTHER_CORP SG&amp;A" xfId="0"/>
    <cellStyle name="_LCDTV_Other_GPS OTHER_LCD" xfId="0"/>
    <cellStyle name="_LCDTV_Other_GPS OTHER_PJ" xfId="0"/>
    <cellStyle name="_LCDTV_Other_LCD" xfId="0"/>
    <cellStyle name="_LCDTV_Other_LCD 2" xfId="0"/>
    <cellStyle name="_LCDTV_Other_LCD 3" xfId="0"/>
    <cellStyle name="_LCDTV_Other_LCD 4" xfId="0"/>
    <cellStyle name="_LCDTV_Other_LCD_By Region" xfId="0"/>
    <cellStyle name="_LCDTV_Other_LCD_CORP SG&amp;A" xfId="0"/>
    <cellStyle name="_LCDTV_Other_LCD_LCD" xfId="0"/>
    <cellStyle name="_LCDTV_Other_LCD_PJ" xfId="0"/>
    <cellStyle name="_LCDTV_Other_PC Products" xfId="0"/>
    <cellStyle name="_LCDTV_Other_PC Products 2" xfId="0"/>
    <cellStyle name="_LCDTV_Other_PC Products 3" xfId="0"/>
    <cellStyle name="_LCDTV_Other_PC Products 4" xfId="0"/>
    <cellStyle name="_LCDTV_Other_PC Products 4 2" xfId="0"/>
    <cellStyle name="_LCDTV_Other_PC Products_By Region" xfId="0"/>
    <cellStyle name="_LCDTV_Other_PC Products_CORP SG&amp;A" xfId="0"/>
    <cellStyle name="_LCDTV_Other_PC Products_LCD" xfId="0"/>
    <cellStyle name="_LCDTV_Other_PC Products_PJ" xfId="0"/>
    <cellStyle name="_LCDTV_Other_VSA 111014" xfId="0"/>
    <cellStyle name="_LCDTV_Other_VSA 111014 2" xfId="0"/>
    <cellStyle name="_LCDTV_Other_VSA 111014 3" xfId="0"/>
    <cellStyle name="_LCDTV_Other_VSA 111014 4" xfId="0"/>
    <cellStyle name="_LCDTV_Other_VSA 111014 4 2" xfId="0"/>
    <cellStyle name="_LCDTV_Other_VSA 111014_By Region" xfId="0"/>
    <cellStyle name="_LCDTV_Other_VSA 111014_CORP SG&amp;A" xfId="0"/>
    <cellStyle name="_LCDTV_Other_VSA 111014_LCD" xfId="0"/>
    <cellStyle name="_LCDTV_Other_VSA 111014_PJ" xfId="0"/>
    <cellStyle name="_LCDTV_Other_VSA Roll-Up (LW)" xfId="0"/>
    <cellStyle name="_LCDTV_Other_VSA Roll-Up (LW) 2" xfId="0"/>
    <cellStyle name="_LCDTV_Other_VSA Roll-Up (LW) 3" xfId="0"/>
    <cellStyle name="_LCDTV_Other_VSA Roll-Up (LW) 4" xfId="0"/>
    <cellStyle name="_LCDTV_Other_VSA Roll-Up (LW) 4 2" xfId="0"/>
    <cellStyle name="_LCDTV_Other_VSA Roll-Up (LW)_By Region" xfId="0"/>
    <cellStyle name="_LCDTV_Other_VSA Roll-Up (LW)_CORP SG&amp;A" xfId="0"/>
    <cellStyle name="_LCDTV_Other_VSA Roll-Up (LW)_LCD" xfId="0"/>
    <cellStyle name="_LCDTV_Other_VSA Roll-Up (LW)_PJ" xfId="0"/>
    <cellStyle name="_LCDTV_PC" xfId="0"/>
    <cellStyle name="_LCDTV_PC 2" xfId="0"/>
    <cellStyle name="_LCDTV_PC 3" xfId="0"/>
    <cellStyle name="_LCDTV_PC 4" xfId="0"/>
    <cellStyle name="_LCDTV_PC Products" xfId="0"/>
    <cellStyle name="_LCDTV_PC Products 2" xfId="0"/>
    <cellStyle name="_LCDTV_PC Products 3" xfId="0"/>
    <cellStyle name="_LCDTV_PC Products 4" xfId="0"/>
    <cellStyle name="_LCDTV_PC Products 4 2" xfId="0"/>
    <cellStyle name="_LCDTV_PC Products_By Region" xfId="0"/>
    <cellStyle name="_LCDTV_PC Products_CORP SG&amp;A" xfId="0"/>
    <cellStyle name="_LCDTV_PC Products_LCD" xfId="0"/>
    <cellStyle name="_LCDTV_PC Products_PJ" xfId="0"/>
    <cellStyle name="_LCDTV_PC_By Region" xfId="0"/>
    <cellStyle name="_LCDTV_PC_CORP SG&amp;A" xfId="0"/>
    <cellStyle name="_LCDTV_PC_Digitizer" xfId="0"/>
    <cellStyle name="_LCDTV_PC_DT" xfId="0"/>
    <cellStyle name="_LCDTV_PC_DT 2" xfId="0"/>
    <cellStyle name="_LCDTV_PC_DT 3" xfId="0"/>
    <cellStyle name="_LCDTV_PC_DT_By Region" xfId="0"/>
    <cellStyle name="_LCDTV_PC_GPS OTHER" xfId="0"/>
    <cellStyle name="_LCDTV_PC_GPS OTHER 2" xfId="0"/>
    <cellStyle name="_LCDTV_PC_GPS OTHER 3" xfId="0"/>
    <cellStyle name="_LCDTV_PC_GPS OTHER 4" xfId="0"/>
    <cellStyle name="_LCDTV_PC_GPS OTHER 4 2" xfId="0"/>
    <cellStyle name="_LCDTV_PC_GPS OTHER_By Region" xfId="0"/>
    <cellStyle name="_LCDTV_PC_GPS OTHER_CORP SG&amp;A" xfId="0"/>
    <cellStyle name="_LCDTV_PC_GPS OTHER_LCD" xfId="0"/>
    <cellStyle name="_LCDTV_PC_GPS OTHER_PJ" xfId="0"/>
    <cellStyle name="_LCDTV_PC_LCD" xfId="0"/>
    <cellStyle name="_LCDTV_PC_LCD 2" xfId="0"/>
    <cellStyle name="_LCDTV_PC_LCD 3" xfId="0"/>
    <cellStyle name="_LCDTV_PC_LCD 4" xfId="0"/>
    <cellStyle name="_LCDTV_PC_LCD_By Region" xfId="0"/>
    <cellStyle name="_LCDTV_PC_LCD_CORP SG&amp;A" xfId="0"/>
    <cellStyle name="_LCDTV_PC_LCD_LCD" xfId="0"/>
    <cellStyle name="_LCDTV_PC_LCD_PJ" xfId="0"/>
    <cellStyle name="_LCDTV_PC_PC Products" xfId="0"/>
    <cellStyle name="_LCDTV_PC_PC Products 2" xfId="0"/>
    <cellStyle name="_LCDTV_PC_PC Products 3" xfId="0"/>
    <cellStyle name="_LCDTV_PC_PC Products 4" xfId="0"/>
    <cellStyle name="_LCDTV_PC_PC Products 4 2" xfId="0"/>
    <cellStyle name="_LCDTV_PC_PC Products_By Region" xfId="0"/>
    <cellStyle name="_LCDTV_PC_PC Products_CORP SG&amp;A" xfId="0"/>
    <cellStyle name="_LCDTV_PC_PC Products_LCD" xfId="0"/>
    <cellStyle name="_LCDTV_PC_PC Products_PJ" xfId="0"/>
    <cellStyle name="_LCDTV_PC_TV" xfId="0"/>
    <cellStyle name="_LCDTV_PC_TV 2" xfId="0"/>
    <cellStyle name="_LCDTV_PC_TV 3" xfId="0"/>
    <cellStyle name="_LCDTV_PC_TV 4" xfId="0"/>
    <cellStyle name="_LCDTV_PC_TV_By Region" xfId="0"/>
    <cellStyle name="_LCDTV_PC_TV_CORP SG&amp;A" xfId="0"/>
    <cellStyle name="_LCDTV_PC_TV_Digitizer" xfId="0"/>
    <cellStyle name="_LCDTV_PC_TV_GPS OTHER" xfId="0"/>
    <cellStyle name="_LCDTV_PC_TV_GPS OTHER 2" xfId="0"/>
    <cellStyle name="_LCDTV_PC_TV_GPS OTHER 3" xfId="0"/>
    <cellStyle name="_LCDTV_PC_TV_GPS OTHER 4" xfId="0"/>
    <cellStyle name="_LCDTV_PC_TV_GPS OTHER 4 2" xfId="0"/>
    <cellStyle name="_LCDTV_PC_TV_GPS OTHER_By Region" xfId="0"/>
    <cellStyle name="_LCDTV_PC_TV_GPS OTHER_CORP SG&amp;A" xfId="0"/>
    <cellStyle name="_LCDTV_PC_TV_GPS OTHER_LCD" xfId="0"/>
    <cellStyle name="_LCDTV_PC_TV_GPS OTHER_PJ" xfId="0"/>
    <cellStyle name="_LCDTV_PC_TV_LCD" xfId="0"/>
    <cellStyle name="_LCDTV_PC_TV_LCD 2" xfId="0"/>
    <cellStyle name="_LCDTV_PC_TV_LCD 3" xfId="0"/>
    <cellStyle name="_LCDTV_PC_TV_LCD 4" xfId="0"/>
    <cellStyle name="_LCDTV_PC_TV_LCD_By Region" xfId="0"/>
    <cellStyle name="_LCDTV_PC_TV_LCD_CORP SG&amp;A" xfId="0"/>
    <cellStyle name="_LCDTV_PC_TV_LCD_LCD" xfId="0"/>
    <cellStyle name="_LCDTV_PC_TV_LCD_PJ" xfId="0"/>
    <cellStyle name="_LCDTV_PC_TV_PC Products" xfId="0"/>
    <cellStyle name="_LCDTV_PC_TV_PC Products 2" xfId="0"/>
    <cellStyle name="_LCDTV_PC_TV_PC Products 3" xfId="0"/>
    <cellStyle name="_LCDTV_PC_TV_PC Products 4" xfId="0"/>
    <cellStyle name="_LCDTV_PC_TV_PC Products 4 2" xfId="0"/>
    <cellStyle name="_LCDTV_PC_TV_PC Products_By Region" xfId="0"/>
    <cellStyle name="_LCDTV_PC_TV_PC Products_CORP SG&amp;A" xfId="0"/>
    <cellStyle name="_LCDTV_PC_TV_PC Products_LCD" xfId="0"/>
    <cellStyle name="_LCDTV_PC_TV_PC Products_PJ" xfId="0"/>
    <cellStyle name="_LCDTV_PC_TV_VSA 111014" xfId="0"/>
    <cellStyle name="_LCDTV_PC_TV_VSA 111014 2" xfId="0"/>
    <cellStyle name="_LCDTV_PC_TV_VSA 111014 3" xfId="0"/>
    <cellStyle name="_LCDTV_PC_TV_VSA 111014 4" xfId="0"/>
    <cellStyle name="_LCDTV_PC_TV_VSA 111014 4 2" xfId="0"/>
    <cellStyle name="_LCDTV_PC_TV_VSA 111014_By Region" xfId="0"/>
    <cellStyle name="_LCDTV_PC_TV_VSA 111014_CORP SG&amp;A" xfId="0"/>
    <cellStyle name="_LCDTV_PC_TV_VSA 111014_LCD" xfId="0"/>
    <cellStyle name="_LCDTV_PC_TV_VSA 111014_PJ" xfId="0"/>
    <cellStyle name="_LCDTV_PC_TV_VSA Roll-Up (LW)" xfId="0"/>
    <cellStyle name="_LCDTV_PC_TV_VSA Roll-Up (LW) 2" xfId="0"/>
    <cellStyle name="_LCDTV_PC_TV_VSA Roll-Up (LW) 3" xfId="0"/>
    <cellStyle name="_LCDTV_PC_TV_VSA Roll-Up (LW) 4" xfId="0"/>
    <cellStyle name="_LCDTV_PC_TV_VSA Roll-Up (LW) 4 2" xfId="0"/>
    <cellStyle name="_LCDTV_PC_TV_VSA Roll-Up (LW)_By Region" xfId="0"/>
    <cellStyle name="_LCDTV_PC_TV_VSA Roll-Up (LW)_CORP SG&amp;A" xfId="0"/>
    <cellStyle name="_LCDTV_PC_TV_VSA Roll-Up (LW)_LCD" xfId="0"/>
    <cellStyle name="_LCDTV_PC_TV_VSA Roll-Up (LW)_PJ" xfId="0"/>
    <cellStyle name="_LCDTV_PC_VSA 111014" xfId="0"/>
    <cellStyle name="_LCDTV_PC_VSA 111014 2" xfId="0"/>
    <cellStyle name="_LCDTV_PC_VSA 111014 3" xfId="0"/>
    <cellStyle name="_LCDTV_PC_VSA 111014 4" xfId="0"/>
    <cellStyle name="_LCDTV_PC_VSA 111014 4 2" xfId="0"/>
    <cellStyle name="_LCDTV_PC_VSA 111014_By Region" xfId="0"/>
    <cellStyle name="_LCDTV_PC_VSA 111014_CORP SG&amp;A" xfId="0"/>
    <cellStyle name="_LCDTV_PC_VSA 111014_LCD" xfId="0"/>
    <cellStyle name="_LCDTV_PC_VSA 111014_PJ" xfId="0"/>
    <cellStyle name="_LCDTV_PC_VSA Roll-Up (LW)" xfId="0"/>
    <cellStyle name="_LCDTV_PC_VSA Roll-Up (LW) 2" xfId="0"/>
    <cellStyle name="_LCDTV_PC_VSA Roll-Up (LW) 3" xfId="0"/>
    <cellStyle name="_LCDTV_PC_VSA Roll-Up (LW) 4" xfId="0"/>
    <cellStyle name="_LCDTV_PC_VSA Roll-Up (LW) 4 2" xfId="0"/>
    <cellStyle name="_LCDTV_PC_VSA Roll-Up (LW)_By Region" xfId="0"/>
    <cellStyle name="_LCDTV_PC_VSA Roll-Up (LW)_CORP SG&amp;A" xfId="0"/>
    <cellStyle name="_LCDTV_PC_VSA Roll-Up (LW)_LCD" xfId="0"/>
    <cellStyle name="_LCDTV_PC_VSA Roll-Up (LW)_PJ" xfId="0"/>
    <cellStyle name="_LCDTV_PJ" xfId="0"/>
    <cellStyle name="_LCDTV_PJ 2" xfId="0"/>
    <cellStyle name="_LCDTV_PJ 3" xfId="0"/>
    <cellStyle name="_LCDTV_PJ 4" xfId="0"/>
    <cellStyle name="_LCDTV_PJ_By Region" xfId="0"/>
    <cellStyle name="_LCDTV_PJ_CORP SG&amp;A" xfId="0"/>
    <cellStyle name="_LCDTV_PJ_Digitizer" xfId="0"/>
    <cellStyle name="_LCDTV_PJ_GPS OTHER" xfId="0"/>
    <cellStyle name="_LCDTV_PJ_GPS OTHER 2" xfId="0"/>
    <cellStyle name="_LCDTV_PJ_GPS OTHER 3" xfId="0"/>
    <cellStyle name="_LCDTV_PJ_GPS OTHER 4" xfId="0"/>
    <cellStyle name="_LCDTV_PJ_GPS OTHER 4 2" xfId="0"/>
    <cellStyle name="_LCDTV_PJ_GPS OTHER_By Region" xfId="0"/>
    <cellStyle name="_LCDTV_PJ_GPS OTHER_CORP SG&amp;A" xfId="0"/>
    <cellStyle name="_LCDTV_PJ_GPS OTHER_LCD" xfId="0"/>
    <cellStyle name="_LCDTV_PJ_GPS OTHER_PJ" xfId="0"/>
    <cellStyle name="_LCDTV_PJ_LCD" xfId="0"/>
    <cellStyle name="_LCDTV_PJ_LCD 2" xfId="0"/>
    <cellStyle name="_LCDTV_PJ_LCD 3" xfId="0"/>
    <cellStyle name="_LCDTV_PJ_LCD 4" xfId="0"/>
    <cellStyle name="_LCDTV_PJ_LCD_By Region" xfId="0"/>
    <cellStyle name="_LCDTV_PJ_LCD_CORP SG&amp;A" xfId="0"/>
    <cellStyle name="_LCDTV_PJ_LCD_LCD" xfId="0"/>
    <cellStyle name="_LCDTV_PJ_LCD_PJ" xfId="0"/>
    <cellStyle name="_LCDTV_PJ_PC Products" xfId="0"/>
    <cellStyle name="_LCDTV_PJ_PC Products 2" xfId="0"/>
    <cellStyle name="_LCDTV_PJ_PC Products 3" xfId="0"/>
    <cellStyle name="_LCDTV_PJ_PC Products 4" xfId="0"/>
    <cellStyle name="_LCDTV_PJ_PC Products 4 2" xfId="0"/>
    <cellStyle name="_LCDTV_PJ_PC Products_By Region" xfId="0"/>
    <cellStyle name="_LCDTV_PJ_PC Products_CORP SG&amp;A" xfId="0"/>
    <cellStyle name="_LCDTV_PJ_PC Products_LCD" xfId="0"/>
    <cellStyle name="_LCDTV_PJ_PC Products_PJ" xfId="0"/>
    <cellStyle name="_LCDTV_PJ_VSA 111014" xfId="0"/>
    <cellStyle name="_LCDTV_PJ_VSA 111014 2" xfId="0"/>
    <cellStyle name="_LCDTV_PJ_VSA 111014 3" xfId="0"/>
    <cellStyle name="_LCDTV_PJ_VSA 111014 4" xfId="0"/>
    <cellStyle name="_LCDTV_PJ_VSA 111014 4 2" xfId="0"/>
    <cellStyle name="_LCDTV_PJ_VSA 111014_By Region" xfId="0"/>
    <cellStyle name="_LCDTV_PJ_VSA 111014_CORP SG&amp;A" xfId="0"/>
    <cellStyle name="_LCDTV_PJ_VSA 111014_LCD" xfId="0"/>
    <cellStyle name="_LCDTV_PJ_VSA 111014_PJ" xfId="0"/>
    <cellStyle name="_LCDTV_PJ_VSA Roll-Up (LW)" xfId="0"/>
    <cellStyle name="_LCDTV_PJ_VSA Roll-Up (LW) 2" xfId="0"/>
    <cellStyle name="_LCDTV_PJ_VSA Roll-Up (LW) 3" xfId="0"/>
    <cellStyle name="_LCDTV_PJ_VSA Roll-Up (LW) 4" xfId="0"/>
    <cellStyle name="_LCDTV_PJ_VSA Roll-Up (LW) 4 2" xfId="0"/>
    <cellStyle name="_LCDTV_PJ_VSA Roll-Up (LW)_By Region" xfId="0"/>
    <cellStyle name="_LCDTV_PJ_VSA Roll-Up (LW)_CORP SG&amp;A" xfId="0"/>
    <cellStyle name="_LCDTV_PJ_VSA Roll-Up (LW)_LCD" xfId="0"/>
    <cellStyle name="_LCDTV_PJ_VSA Roll-Up (LW)_PJ" xfId="0"/>
    <cellStyle name="_LCDTV_PMP(VPD)" xfId="0"/>
    <cellStyle name="_LCDTV_PMP(VPD) 2" xfId="0"/>
    <cellStyle name="_LCDTV_PMP(VPD) 3" xfId="0"/>
    <cellStyle name="_LCDTV_PMP(VPD) 4" xfId="0"/>
    <cellStyle name="_LCDTV_PMP(VPD)_By Region" xfId="0"/>
    <cellStyle name="_LCDTV_PMP(VPD)_CORP SG&amp;A" xfId="0"/>
    <cellStyle name="_LCDTV_PMP(VPD)_Digitizer" xfId="0"/>
    <cellStyle name="_LCDTV_PMP(VPD)_GPS OTHER" xfId="0"/>
    <cellStyle name="_LCDTV_PMP(VPD)_GPS OTHER 2" xfId="0"/>
    <cellStyle name="_LCDTV_PMP(VPD)_GPS OTHER 3" xfId="0"/>
    <cellStyle name="_LCDTV_PMP(VPD)_GPS OTHER 4" xfId="0"/>
    <cellStyle name="_LCDTV_PMP(VPD)_GPS OTHER 4 2" xfId="0"/>
    <cellStyle name="_LCDTV_PMP(VPD)_GPS OTHER_By Region" xfId="0"/>
    <cellStyle name="_LCDTV_PMP(VPD)_GPS OTHER_CORP SG&amp;A" xfId="0"/>
    <cellStyle name="_LCDTV_PMP(VPD)_GPS OTHER_LCD" xfId="0"/>
    <cellStyle name="_LCDTV_PMP(VPD)_GPS OTHER_PJ" xfId="0"/>
    <cellStyle name="_LCDTV_PMP(VPD)_LCD" xfId="0"/>
    <cellStyle name="_LCDTV_PMP(VPD)_LCD 2" xfId="0"/>
    <cellStyle name="_LCDTV_PMP(VPD)_LCD 3" xfId="0"/>
    <cellStyle name="_LCDTV_PMP(VPD)_LCD 4" xfId="0"/>
    <cellStyle name="_LCDTV_PMP(VPD)_LCD_By Region" xfId="0"/>
    <cellStyle name="_LCDTV_PMP(VPD)_LCD_CORP SG&amp;A" xfId="0"/>
    <cellStyle name="_LCDTV_PMP(VPD)_LCD_LCD" xfId="0"/>
    <cellStyle name="_LCDTV_PMP(VPD)_LCD_PJ" xfId="0"/>
    <cellStyle name="_LCDTV_PMP(VPD)_PC Products" xfId="0"/>
    <cellStyle name="_LCDTV_PMP(VPD)_PC Products 2" xfId="0"/>
    <cellStyle name="_LCDTV_PMP(VPD)_PC Products 3" xfId="0"/>
    <cellStyle name="_LCDTV_PMP(VPD)_PC Products 4" xfId="0"/>
    <cellStyle name="_LCDTV_PMP(VPD)_PC Products 4 2" xfId="0"/>
    <cellStyle name="_LCDTV_PMP(VPD)_PC Products_By Region" xfId="0"/>
    <cellStyle name="_LCDTV_PMP(VPD)_PC Products_CORP SG&amp;A" xfId="0"/>
    <cellStyle name="_LCDTV_PMP(VPD)_PC Products_LCD" xfId="0"/>
    <cellStyle name="_LCDTV_PMP(VPD)_PC Products_PJ" xfId="0"/>
    <cellStyle name="_LCDTV_PMP(VPD)_VSA 111014" xfId="0"/>
    <cellStyle name="_LCDTV_PMP(VPD)_VSA 111014 2" xfId="0"/>
    <cellStyle name="_LCDTV_PMP(VPD)_VSA 111014 3" xfId="0"/>
    <cellStyle name="_LCDTV_PMP(VPD)_VSA 111014 4" xfId="0"/>
    <cellStyle name="_LCDTV_PMP(VPD)_VSA 111014 4 2" xfId="0"/>
    <cellStyle name="_LCDTV_PMP(VPD)_VSA 111014_By Region" xfId="0"/>
    <cellStyle name="_LCDTV_PMP(VPD)_VSA 111014_CORP SG&amp;A" xfId="0"/>
    <cellStyle name="_LCDTV_PMP(VPD)_VSA 111014_LCD" xfId="0"/>
    <cellStyle name="_LCDTV_PMP(VPD)_VSA 111014_PJ" xfId="0"/>
    <cellStyle name="_LCDTV_PMP(VPD)_VSA Roll-Up (LW)" xfId="0"/>
    <cellStyle name="_LCDTV_PMP(VPD)_VSA Roll-Up (LW) 2" xfId="0"/>
    <cellStyle name="_LCDTV_PMP(VPD)_VSA Roll-Up (LW) 3" xfId="0"/>
    <cellStyle name="_LCDTV_PMP(VPD)_VSA Roll-Up (LW) 4" xfId="0"/>
    <cellStyle name="_LCDTV_PMP(VPD)_VSA Roll-Up (LW) 4 2" xfId="0"/>
    <cellStyle name="_LCDTV_PMP(VPD)_VSA Roll-Up (LW)_By Region" xfId="0"/>
    <cellStyle name="_LCDTV_PMP(VPD)_VSA Roll-Up (LW)_CORP SG&amp;A" xfId="0"/>
    <cellStyle name="_LCDTV_PMP(VPD)_VSA Roll-Up (LW)_LCD" xfId="0"/>
    <cellStyle name="_LCDTV_PMP(VPD)_VSA Roll-Up (LW)_PJ" xfId="0"/>
    <cellStyle name="_LCDTV_Pocket TV" xfId="0"/>
    <cellStyle name="_LCDTV_Pocket TV 2" xfId="0"/>
    <cellStyle name="_LCDTV_Pocket TV 3" xfId="0"/>
    <cellStyle name="_LCDTV_Pocket TV 4" xfId="0"/>
    <cellStyle name="_LCDTV_Pocket TV_By Region" xfId="0"/>
    <cellStyle name="_LCDTV_Pocket TV_CORP SG&amp;A" xfId="0"/>
    <cellStyle name="_LCDTV_Pocket TV_Digitizer" xfId="0"/>
    <cellStyle name="_LCDTV_Pocket TV_GPS OTHER" xfId="0"/>
    <cellStyle name="_LCDTV_Pocket TV_GPS OTHER 2" xfId="0"/>
    <cellStyle name="_LCDTV_Pocket TV_GPS OTHER 3" xfId="0"/>
    <cellStyle name="_LCDTV_Pocket TV_GPS OTHER 4" xfId="0"/>
    <cellStyle name="_LCDTV_Pocket TV_GPS OTHER 4 2" xfId="0"/>
    <cellStyle name="_LCDTV_Pocket TV_GPS OTHER_By Region" xfId="0"/>
    <cellStyle name="_LCDTV_Pocket TV_GPS OTHER_CORP SG&amp;A" xfId="0"/>
    <cellStyle name="_LCDTV_Pocket TV_GPS OTHER_LCD" xfId="0"/>
    <cellStyle name="_LCDTV_Pocket TV_GPS OTHER_PJ" xfId="0"/>
    <cellStyle name="_LCDTV_Pocket TV_LCD" xfId="0"/>
    <cellStyle name="_LCDTV_Pocket TV_LCD 2" xfId="0"/>
    <cellStyle name="_LCDTV_Pocket TV_LCD 3" xfId="0"/>
    <cellStyle name="_LCDTV_Pocket TV_LCD 4" xfId="0"/>
    <cellStyle name="_LCDTV_Pocket TV_LCD_By Region" xfId="0"/>
    <cellStyle name="_LCDTV_Pocket TV_LCD_CORP SG&amp;A" xfId="0"/>
    <cellStyle name="_LCDTV_Pocket TV_LCD_LCD" xfId="0"/>
    <cellStyle name="_LCDTV_Pocket TV_LCD_PJ" xfId="0"/>
    <cellStyle name="_LCDTV_Pocket TV_PC Products" xfId="0"/>
    <cellStyle name="_LCDTV_Pocket TV_PC Products 2" xfId="0"/>
    <cellStyle name="_LCDTV_Pocket TV_PC Products 3" xfId="0"/>
    <cellStyle name="_LCDTV_Pocket TV_PC Products 4" xfId="0"/>
    <cellStyle name="_LCDTV_Pocket TV_PC Products 4 2" xfId="0"/>
    <cellStyle name="_LCDTV_Pocket TV_PC Products_By Region" xfId="0"/>
    <cellStyle name="_LCDTV_Pocket TV_PC Products_CORP SG&amp;A" xfId="0"/>
    <cellStyle name="_LCDTV_Pocket TV_PC Products_LCD" xfId="0"/>
    <cellStyle name="_LCDTV_Pocket TV_PC Products_PJ" xfId="0"/>
    <cellStyle name="_LCDTV_Pocket TV_VSA 111014" xfId="0"/>
    <cellStyle name="_LCDTV_Pocket TV_VSA 111014 2" xfId="0"/>
    <cellStyle name="_LCDTV_Pocket TV_VSA 111014 3" xfId="0"/>
    <cellStyle name="_LCDTV_Pocket TV_VSA 111014 4" xfId="0"/>
    <cellStyle name="_LCDTV_Pocket TV_VSA 111014 4 2" xfId="0"/>
    <cellStyle name="_LCDTV_Pocket TV_VSA 111014_By Region" xfId="0"/>
    <cellStyle name="_LCDTV_Pocket TV_VSA 111014_CORP SG&amp;A" xfId="0"/>
    <cellStyle name="_LCDTV_Pocket TV_VSA 111014_LCD" xfId="0"/>
    <cellStyle name="_LCDTV_Pocket TV_VSA 111014_PJ" xfId="0"/>
    <cellStyle name="_LCDTV_Pocket TV_VSA Roll-Up (LW)" xfId="0"/>
    <cellStyle name="_LCDTV_Pocket TV_VSA Roll-Up (LW) 2" xfId="0"/>
    <cellStyle name="_LCDTV_Pocket TV_VSA Roll-Up (LW) 3" xfId="0"/>
    <cellStyle name="_LCDTV_Pocket TV_VSA Roll-Up (LW) 4" xfId="0"/>
    <cellStyle name="_LCDTV_Pocket TV_VSA Roll-Up (LW) 4 2" xfId="0"/>
    <cellStyle name="_LCDTV_Pocket TV_VSA Roll-Up (LW)_By Region" xfId="0"/>
    <cellStyle name="_LCDTV_Pocket TV_VSA Roll-Up (LW)_CORP SG&amp;A" xfId="0"/>
    <cellStyle name="_LCDTV_Pocket TV_VSA Roll-Up (LW)_LCD" xfId="0"/>
    <cellStyle name="_LCDTV_Pocket TV_VSA Roll-Up (LW)_PJ" xfId="0"/>
    <cellStyle name="_LCDTV_Pocket_TV" xfId="0"/>
    <cellStyle name="_LCDTV_Pocket_TV 2" xfId="0"/>
    <cellStyle name="_LCDTV_Pocket_TV 3" xfId="0"/>
    <cellStyle name="_LCDTV_Pocket_TV 4" xfId="0"/>
    <cellStyle name="_LCDTV_Pocket_TV_By Region" xfId="0"/>
    <cellStyle name="_LCDTV_Pocket_TV_CORP SG&amp;A" xfId="0"/>
    <cellStyle name="_LCDTV_Pocket_TV_Digitizer" xfId="0"/>
    <cellStyle name="_LCDTV_Pocket_TV_GPS OTHER" xfId="0"/>
    <cellStyle name="_LCDTV_Pocket_TV_GPS OTHER 2" xfId="0"/>
    <cellStyle name="_LCDTV_Pocket_TV_GPS OTHER 3" xfId="0"/>
    <cellStyle name="_LCDTV_Pocket_TV_GPS OTHER 4" xfId="0"/>
    <cellStyle name="_LCDTV_Pocket_TV_GPS OTHER 4 2" xfId="0"/>
    <cellStyle name="_LCDTV_Pocket_TV_GPS OTHER_By Region" xfId="0"/>
    <cellStyle name="_LCDTV_Pocket_TV_GPS OTHER_CORP SG&amp;A" xfId="0"/>
    <cellStyle name="_LCDTV_Pocket_TV_GPS OTHER_LCD" xfId="0"/>
    <cellStyle name="_LCDTV_Pocket_TV_GPS OTHER_PJ" xfId="0"/>
    <cellStyle name="_LCDTV_Pocket_TV_LCD" xfId="0"/>
    <cellStyle name="_LCDTV_Pocket_TV_LCD 2" xfId="0"/>
    <cellStyle name="_LCDTV_Pocket_TV_LCD 3" xfId="0"/>
    <cellStyle name="_LCDTV_Pocket_TV_LCD 4" xfId="0"/>
    <cellStyle name="_LCDTV_Pocket_TV_LCD_By Region" xfId="0"/>
    <cellStyle name="_LCDTV_Pocket_TV_LCD_CORP SG&amp;A" xfId="0"/>
    <cellStyle name="_LCDTV_Pocket_TV_LCD_LCD" xfId="0"/>
    <cellStyle name="_LCDTV_Pocket_TV_LCD_PJ" xfId="0"/>
    <cellStyle name="_LCDTV_Pocket_TV_PC Products" xfId="0"/>
    <cellStyle name="_LCDTV_Pocket_TV_PC Products 2" xfId="0"/>
    <cellStyle name="_LCDTV_Pocket_TV_PC Products 3" xfId="0"/>
    <cellStyle name="_LCDTV_Pocket_TV_PC Products 4" xfId="0"/>
    <cellStyle name="_LCDTV_Pocket_TV_PC Products 4 2" xfId="0"/>
    <cellStyle name="_LCDTV_Pocket_TV_PC Products_By Region" xfId="0"/>
    <cellStyle name="_LCDTV_Pocket_TV_PC Products_CORP SG&amp;A" xfId="0"/>
    <cellStyle name="_LCDTV_Pocket_TV_PC Products_LCD" xfId="0"/>
    <cellStyle name="_LCDTV_Pocket_TV_PC Products_PJ" xfId="0"/>
    <cellStyle name="_LCDTV_Pocket_TV_VSA 111014" xfId="0"/>
    <cellStyle name="_LCDTV_Pocket_TV_VSA 111014 2" xfId="0"/>
    <cellStyle name="_LCDTV_Pocket_TV_VSA 111014 3" xfId="0"/>
    <cellStyle name="_LCDTV_Pocket_TV_VSA 111014 4" xfId="0"/>
    <cellStyle name="_LCDTV_Pocket_TV_VSA 111014 4 2" xfId="0"/>
    <cellStyle name="_LCDTV_Pocket_TV_VSA 111014_By Region" xfId="0"/>
    <cellStyle name="_LCDTV_Pocket_TV_VSA 111014_CORP SG&amp;A" xfId="0"/>
    <cellStyle name="_LCDTV_Pocket_TV_VSA 111014_LCD" xfId="0"/>
    <cellStyle name="_LCDTV_Pocket_TV_VSA 111014_PJ" xfId="0"/>
    <cellStyle name="_LCDTV_Pocket_TV_VSA Roll-Up (LW)" xfId="0"/>
    <cellStyle name="_LCDTV_Pocket_TV_VSA Roll-Up (LW) 2" xfId="0"/>
    <cellStyle name="_LCDTV_Pocket_TV_VSA Roll-Up (LW) 3" xfId="0"/>
    <cellStyle name="_LCDTV_Pocket_TV_VSA Roll-Up (LW) 4" xfId="0"/>
    <cellStyle name="_LCDTV_Pocket_TV_VSA Roll-Up (LW) 4 2" xfId="0"/>
    <cellStyle name="_LCDTV_Pocket_TV_VSA Roll-Up (LW)_By Region" xfId="0"/>
    <cellStyle name="_LCDTV_Pocket_TV_VSA Roll-Up (LW)_CORP SG&amp;A" xfId="0"/>
    <cellStyle name="_LCDTV_Pocket_TV_VSA Roll-Up (LW)_LCD" xfId="0"/>
    <cellStyle name="_LCDTV_Pocket_TV_VSA Roll-Up (LW)_PJ" xfId="0"/>
    <cellStyle name="_LCDTV_TV" xfId="0"/>
    <cellStyle name="_LCDTV_TV 2" xfId="0"/>
    <cellStyle name="_LCDTV_TV 3" xfId="0"/>
    <cellStyle name="_LCDTV_TV 4" xfId="0"/>
    <cellStyle name="_LCDTV_TV_By Region" xfId="0"/>
    <cellStyle name="_LCDTV_TV_CORP SG&amp;A" xfId="0"/>
    <cellStyle name="_LCDTV_TV_Digitizer" xfId="0"/>
    <cellStyle name="_LCDTV_TV_GPS OTHER" xfId="0"/>
    <cellStyle name="_LCDTV_TV_GPS OTHER 2" xfId="0"/>
    <cellStyle name="_LCDTV_TV_GPS OTHER 3" xfId="0"/>
    <cellStyle name="_LCDTV_TV_GPS OTHER 4" xfId="0"/>
    <cellStyle name="_LCDTV_TV_GPS OTHER 4 2" xfId="0"/>
    <cellStyle name="_LCDTV_TV_GPS OTHER_By Region" xfId="0"/>
    <cellStyle name="_LCDTV_TV_GPS OTHER_CORP SG&amp;A" xfId="0"/>
    <cellStyle name="_LCDTV_TV_GPS OTHER_LCD" xfId="0"/>
    <cellStyle name="_LCDTV_TV_GPS OTHER_PJ" xfId="0"/>
    <cellStyle name="_LCDTV_TV_LCD" xfId="0"/>
    <cellStyle name="_LCDTV_TV_LCD 2" xfId="0"/>
    <cellStyle name="_LCDTV_TV_LCD 3" xfId="0"/>
    <cellStyle name="_LCDTV_TV_LCD 4" xfId="0"/>
    <cellStyle name="_LCDTV_TV_LCD_By Region" xfId="0"/>
    <cellStyle name="_LCDTV_TV_LCD_CORP SG&amp;A" xfId="0"/>
    <cellStyle name="_LCDTV_TV_LCD_LCD" xfId="0"/>
    <cellStyle name="_LCDTV_TV_LCD_PJ" xfId="0"/>
    <cellStyle name="_LCDTV_TV_PC Products" xfId="0"/>
    <cellStyle name="_LCDTV_TV_PC Products 2" xfId="0"/>
    <cellStyle name="_LCDTV_TV_PC Products 3" xfId="0"/>
    <cellStyle name="_LCDTV_TV_PC Products 4" xfId="0"/>
    <cellStyle name="_LCDTV_TV_PC Products 4 2" xfId="0"/>
    <cellStyle name="_LCDTV_TV_PC Products_By Region" xfId="0"/>
    <cellStyle name="_LCDTV_TV_PC Products_CORP SG&amp;A" xfId="0"/>
    <cellStyle name="_LCDTV_TV_PC Products_LCD" xfId="0"/>
    <cellStyle name="_LCDTV_TV_PC Products_PJ" xfId="0"/>
    <cellStyle name="_LCDTV_TV_VSA 111014" xfId="0"/>
    <cellStyle name="_LCDTV_TV_VSA 111014 2" xfId="0"/>
    <cellStyle name="_LCDTV_TV_VSA 111014 3" xfId="0"/>
    <cellStyle name="_LCDTV_TV_VSA 111014 4" xfId="0"/>
    <cellStyle name="_LCDTV_TV_VSA 111014 4 2" xfId="0"/>
    <cellStyle name="_LCDTV_TV_VSA 111014_By Region" xfId="0"/>
    <cellStyle name="_LCDTV_TV_VSA 111014_CORP SG&amp;A" xfId="0"/>
    <cellStyle name="_LCDTV_TV_VSA 111014_LCD" xfId="0"/>
    <cellStyle name="_LCDTV_TV_VSA 111014_PJ" xfId="0"/>
    <cellStyle name="_LCDTV_TV_VSA Roll-Up (LW)" xfId="0"/>
    <cellStyle name="_LCDTV_TV_VSA Roll-Up (LW) 2" xfId="0"/>
    <cellStyle name="_LCDTV_TV_VSA Roll-Up (LW) 3" xfId="0"/>
    <cellStyle name="_LCDTV_TV_VSA Roll-Up (LW) 4" xfId="0"/>
    <cellStyle name="_LCDTV_TV_VSA Roll-Up (LW) 4 2" xfId="0"/>
    <cellStyle name="_LCDTV_TV_VSA Roll-Up (LW)_By Region" xfId="0"/>
    <cellStyle name="_LCDTV_TV_VSA Roll-Up (LW)_CORP SG&amp;A" xfId="0"/>
    <cellStyle name="_LCDTV_TV_VSA Roll-Up (LW)_LCD" xfId="0"/>
    <cellStyle name="_LCDTV_TV_VSA Roll-Up (LW)_PJ" xfId="0"/>
    <cellStyle name="_LCDTV_VD" xfId="0"/>
    <cellStyle name="_LCDTV_VD 2" xfId="0"/>
    <cellStyle name="_LCDTV_VD 3" xfId="0"/>
    <cellStyle name="_LCDTV_VD 4" xfId="0"/>
    <cellStyle name="_LCDTV_VD_By Region" xfId="0"/>
    <cellStyle name="_LCDTV_VD_CORP SG&amp;A" xfId="0"/>
    <cellStyle name="_LCDTV_VD_Digitizer" xfId="0"/>
    <cellStyle name="_LCDTV_VD_GPS OTHER" xfId="0"/>
    <cellStyle name="_LCDTV_VD_GPS OTHER 2" xfId="0"/>
    <cellStyle name="_LCDTV_VD_GPS OTHER 3" xfId="0"/>
    <cellStyle name="_LCDTV_VD_GPS OTHER 4" xfId="0"/>
    <cellStyle name="_LCDTV_VD_GPS OTHER 4 2" xfId="0"/>
    <cellStyle name="_LCDTV_VD_GPS OTHER_By Region" xfId="0"/>
    <cellStyle name="_LCDTV_VD_GPS OTHER_CORP SG&amp;A" xfId="0"/>
    <cellStyle name="_LCDTV_VD_GPS OTHER_LCD" xfId="0"/>
    <cellStyle name="_LCDTV_VD_GPS OTHER_PJ" xfId="0"/>
    <cellStyle name="_LCDTV_VD_LCD" xfId="0"/>
    <cellStyle name="_LCDTV_VD_LCD 2" xfId="0"/>
    <cellStyle name="_LCDTV_VD_LCD 3" xfId="0"/>
    <cellStyle name="_LCDTV_VD_LCD 4" xfId="0"/>
    <cellStyle name="_LCDTV_VD_LCD_By Region" xfId="0"/>
    <cellStyle name="_LCDTV_VD_LCD_CORP SG&amp;A" xfId="0"/>
    <cellStyle name="_LCDTV_VD_LCD_LCD" xfId="0"/>
    <cellStyle name="_LCDTV_VD_LCD_PJ" xfId="0"/>
    <cellStyle name="_LCDTV_VD_PC Products" xfId="0"/>
    <cellStyle name="_LCDTV_VD_PC Products 2" xfId="0"/>
    <cellStyle name="_LCDTV_VD_PC Products 3" xfId="0"/>
    <cellStyle name="_LCDTV_VD_PC Products 4" xfId="0"/>
    <cellStyle name="_LCDTV_VD_PC Products 4 2" xfId="0"/>
    <cellStyle name="_LCDTV_VD_PC Products_By Region" xfId="0"/>
    <cellStyle name="_LCDTV_VD_PC Products_CORP SG&amp;A" xfId="0"/>
    <cellStyle name="_LCDTV_VD_PC Products_LCD" xfId="0"/>
    <cellStyle name="_LCDTV_VD_PC Products_PJ" xfId="0"/>
    <cellStyle name="_LCDTV_VD_VSA 111014" xfId="0"/>
    <cellStyle name="_LCDTV_VD_VSA 111014 2" xfId="0"/>
    <cellStyle name="_LCDTV_VD_VSA 111014 3" xfId="0"/>
    <cellStyle name="_LCDTV_VD_VSA 111014 4" xfId="0"/>
    <cellStyle name="_LCDTV_VD_VSA 111014 4 2" xfId="0"/>
    <cellStyle name="_LCDTV_VD_VSA 111014_By Region" xfId="0"/>
    <cellStyle name="_LCDTV_VD_VSA 111014_CORP SG&amp;A" xfId="0"/>
    <cellStyle name="_LCDTV_VD_VSA 111014_LCD" xfId="0"/>
    <cellStyle name="_LCDTV_VD_VSA 111014_PJ" xfId="0"/>
    <cellStyle name="_LCDTV_VD_VSA Roll-Up (LW)" xfId="0"/>
    <cellStyle name="_LCDTV_VD_VSA Roll-Up (LW) 2" xfId="0"/>
    <cellStyle name="_LCDTV_VD_VSA Roll-Up (LW) 3" xfId="0"/>
    <cellStyle name="_LCDTV_VD_VSA Roll-Up (LW) 4" xfId="0"/>
    <cellStyle name="_LCDTV_VD_VSA Roll-Up (LW) 4 2" xfId="0"/>
    <cellStyle name="_LCDTV_VD_VSA Roll-Up (LW)_By Region" xfId="0"/>
    <cellStyle name="_LCDTV_VD_VSA Roll-Up (LW)_CORP SG&amp;A" xfId="0"/>
    <cellStyle name="_LCDTV_VD_VSA Roll-Up (LW)_LCD" xfId="0"/>
    <cellStyle name="_LCDTV_VD_VSA Roll-Up (LW)_PJ" xfId="0"/>
    <cellStyle name="_LCDTV_VSA 111014" xfId="0"/>
    <cellStyle name="_LCDTV_VSA 111014 2" xfId="0"/>
    <cellStyle name="_LCDTV_VSA 111014 3" xfId="0"/>
    <cellStyle name="_LCDTV_VSA 111014 4" xfId="0"/>
    <cellStyle name="_LCDTV_VSA 111014 4 2" xfId="0"/>
    <cellStyle name="_LCDTV_VSA 111014_By Region" xfId="0"/>
    <cellStyle name="_LCDTV_VSA 111014_CORP SG&amp;A" xfId="0"/>
    <cellStyle name="_LCDTV_VSA 111014_LCD" xfId="0"/>
    <cellStyle name="_LCDTV_VSA 111014_PJ" xfId="0"/>
    <cellStyle name="_LCDTV_VSA Roll-Up (LW)" xfId="0"/>
    <cellStyle name="_LCDTV_VSA Roll-Up (LW) 2" xfId="0"/>
    <cellStyle name="_LCDTV_VSA Roll-Up (LW) 3" xfId="0"/>
    <cellStyle name="_LCDTV_VSA Roll-Up (LW) 4" xfId="0"/>
    <cellStyle name="_LCDTV_VSA Roll-Up (LW) 4 2" xfId="0"/>
    <cellStyle name="_LCDTV_VSA Roll-Up (LW)_By Region" xfId="0"/>
    <cellStyle name="_LCDTV_VSA Roll-Up (LW)_CORP SG&amp;A" xfId="0"/>
    <cellStyle name="_LCDTV_VSA Roll-Up (LW)_LCD" xfId="0"/>
    <cellStyle name="_LCDTV_VSA Roll-Up (LW)_PJ" xfId="0"/>
    <cellStyle name="_LCDTV_VSE 2011 Budget" xfId="0"/>
    <cellStyle name="_LCDTV_VSE 2011 Budget 2" xfId="0"/>
    <cellStyle name="_LCDTV_VSE 2011 Budget 3" xfId="0"/>
    <cellStyle name="_LCDTV_VSE 2011 Budget 4" xfId="0"/>
    <cellStyle name="_LCDTV_VSE 2011 Budget_By Region" xfId="0"/>
    <cellStyle name="_LCDTV_VSE 2011 Budget_CORP SG&amp;A" xfId="0"/>
    <cellStyle name="_LCDTV_VSE 2011 Budget_Digitizer" xfId="0"/>
    <cellStyle name="_LCDTV_VSE 2011 Budget_GPS OTHER" xfId="0"/>
    <cellStyle name="_LCDTV_VSE 2011 Budget_GPS OTHER 2" xfId="0"/>
    <cellStyle name="_LCDTV_VSE 2011 Budget_GPS OTHER 3" xfId="0"/>
    <cellStyle name="_LCDTV_VSE 2011 Budget_GPS OTHER 4" xfId="0"/>
    <cellStyle name="_LCDTV_VSE 2011 Budget_GPS OTHER 4 2" xfId="0"/>
    <cellStyle name="_LCDTV_VSE 2011 Budget_GPS OTHER_By Region" xfId="0"/>
    <cellStyle name="_LCDTV_VSE 2011 Budget_GPS OTHER_CORP SG&amp;A" xfId="0"/>
    <cellStyle name="_LCDTV_VSE 2011 Budget_GPS OTHER_LCD" xfId="0"/>
    <cellStyle name="_LCDTV_VSE 2011 Budget_GPS OTHER_PJ" xfId="0"/>
    <cellStyle name="_LCDTV_VSE 2011 Budget_LCD" xfId="0"/>
    <cellStyle name="_LCDTV_VSE 2011 Budget_LCD 2" xfId="0"/>
    <cellStyle name="_LCDTV_VSE 2011 Budget_LCD 3" xfId="0"/>
    <cellStyle name="_LCDTV_VSE 2011 Budget_LCD 4" xfId="0"/>
    <cellStyle name="_LCDTV_VSE 2011 Budget_LCD_By Region" xfId="0"/>
    <cellStyle name="_LCDTV_VSE 2011 Budget_LCD_CORP SG&amp;A" xfId="0"/>
    <cellStyle name="_LCDTV_VSE 2011 Budget_LCD_LCD" xfId="0"/>
    <cellStyle name="_LCDTV_VSE 2011 Budget_LCD_PJ" xfId="0"/>
    <cellStyle name="_LCDTV_VSE 2011 Budget_PC Products" xfId="0"/>
    <cellStyle name="_LCDTV_VSE 2011 Budget_PC Products 2" xfId="0"/>
    <cellStyle name="_LCDTV_VSE 2011 Budget_PC Products 3" xfId="0"/>
    <cellStyle name="_LCDTV_VSE 2011 Budget_PC Products 4" xfId="0"/>
    <cellStyle name="_LCDTV_VSE 2011 Budget_PC Products 4 2" xfId="0"/>
    <cellStyle name="_LCDTV_VSE 2011 Budget_PC Products_By Region" xfId="0"/>
    <cellStyle name="_LCDTV_VSE 2011 Budget_PC Products_CORP SG&amp;A" xfId="0"/>
    <cellStyle name="_LCDTV_VSE 2011 Budget_PC Products_LCD" xfId="0"/>
    <cellStyle name="_LCDTV_VSE 2011 Budget_PC Products_PJ" xfId="0"/>
    <cellStyle name="_LCDTV_VSE 2011 Budget_VSA 111014" xfId="0"/>
    <cellStyle name="_LCDTV_VSE 2011 Budget_VSA 111014 2" xfId="0"/>
    <cellStyle name="_LCDTV_VSE 2011 Budget_VSA 111014 3" xfId="0"/>
    <cellStyle name="_LCDTV_VSE 2011 Budget_VSA 111014 4" xfId="0"/>
    <cellStyle name="_LCDTV_VSE 2011 Budget_VSA 111014 4 2" xfId="0"/>
    <cellStyle name="_LCDTV_VSE 2011 Budget_VSA 111014_By Region" xfId="0"/>
    <cellStyle name="_LCDTV_VSE 2011 Budget_VSA 111014_CORP SG&amp;A" xfId="0"/>
    <cellStyle name="_LCDTV_VSE 2011 Budget_VSA 111014_LCD" xfId="0"/>
    <cellStyle name="_LCDTV_VSE 2011 Budget_VSA 111014_PJ" xfId="0"/>
    <cellStyle name="_LCDTV_VSE 2011 Budget_VSA Roll-Up (LW)" xfId="0"/>
    <cellStyle name="_LCDTV_VSE 2011 Budget_VSA Roll-Up (LW) 2" xfId="0"/>
    <cellStyle name="_LCDTV_VSE 2011 Budget_VSA Roll-Up (LW) 3" xfId="0"/>
    <cellStyle name="_LCDTV_VSE 2011 Budget_VSA Roll-Up (LW) 4" xfId="0"/>
    <cellStyle name="_LCDTV_VSE 2011 Budget_VSA Roll-Up (LW) 4 2" xfId="0"/>
    <cellStyle name="_LCDTV_VSE 2011 Budget_VSA Roll-Up (LW)_By Region" xfId="0"/>
    <cellStyle name="_LCDTV_VSE 2011 Budget_VSA Roll-Up (LW)_CORP SG&amp;A" xfId="0"/>
    <cellStyle name="_LCDTV_VSE 2011 Budget_VSA Roll-Up (LW)_LCD" xfId="0"/>
    <cellStyle name="_LCDTV_VSE 2011 Budget_VSA Roll-Up (LW)_PJ" xfId="0"/>
    <cellStyle name="_LCDTV_VSE 2H  WFP review (Spring Global meeting)-conservative Adam working v3" xfId="0"/>
    <cellStyle name="_LCDTV_VSE 2H  WFP review (Spring Global meeting)-conservative Adam working v3 2" xfId="0"/>
    <cellStyle name="_LCDTV_VSE 2H  WFP review (Spring Global meeting)-conservative Adam working v3 3" xfId="0"/>
    <cellStyle name="_LCDTV_VSE 2H Rebalance 110712" xfId="0"/>
    <cellStyle name="_LCDTV_VSE 2H Rebalance 110712 2" xfId="0"/>
    <cellStyle name="_LCDTV_VSE 2H Rebalance 110712 3" xfId="0"/>
    <cellStyle name="_LCDTV_VSE 2H Rebalance 110712 4" xfId="0"/>
    <cellStyle name="_LCDTV_VSE 2H Rebalance 110712_By Region" xfId="0"/>
    <cellStyle name="_LCDTV_VSE 2H Rebalance 110712_CORP SG&amp;A" xfId="0"/>
    <cellStyle name="_LCDTV_VSE WFP 101203" xfId="0"/>
    <cellStyle name="_LCDTV_VSE WFP 101203 2" xfId="0"/>
    <cellStyle name="_LCDTV_VSE WFP 101203 3" xfId="0"/>
    <cellStyle name="_LCDTV_VSE WFP 101203 4" xfId="0"/>
    <cellStyle name="_LCDTV_VSE WFP 101203_By Region" xfId="0"/>
    <cellStyle name="_LCDTV_VSE WFP 101203_CORP SG&amp;A" xfId="0"/>
    <cellStyle name="_LCDTV_VSE WFP 110311" xfId="0"/>
    <cellStyle name="_LCDTV_VSE WFP 110311 2" xfId="0"/>
    <cellStyle name="_LCDTV_VSE WFP 110311 3" xfId="0"/>
    <cellStyle name="_LCDTV_VSE WFP 110311 4" xfId="0"/>
    <cellStyle name="_LCDTV_VSE WFP 110311_By Region" xfId="0"/>
    <cellStyle name="_LCDTV_VSE WFP 110311_CORP SG&amp;A" xfId="0"/>
    <cellStyle name="_LCDTV_VSE WFP 110415" xfId="0"/>
    <cellStyle name="_LCDTV_VSE WFP 110415 2" xfId="0"/>
    <cellStyle name="_LCDTV_VSE WFP 110415 3" xfId="0"/>
    <cellStyle name="_LCDTV_VSE WFP 110415 4" xfId="0"/>
    <cellStyle name="_LCDTV_VSE WFP 110415_By Region" xfId="0"/>
    <cellStyle name="_LCDTV_VSE WFP 110415_CORP SG&amp;A" xfId="0"/>
    <cellStyle name="_LCDTV_VSE WFP_100409" xfId="0"/>
    <cellStyle name="_LCDTV_VSE WFP_100409 2" xfId="0"/>
    <cellStyle name="_LCDTV_VSE WFP_100409 3" xfId="0"/>
    <cellStyle name="_LCDTV_VSE WFP_100409 4" xfId="0"/>
    <cellStyle name="_LCDTV_VSE WFP_100409_By Region" xfId="0"/>
    <cellStyle name="_LCDTV_VSE WFP_100409_CORP SG&amp;A" xfId="0"/>
    <cellStyle name="_LCDTV_VSE WFP_100409_Digitizer" xfId="0"/>
    <cellStyle name="_LCDTV_VSE WFP_100409_GPS OTHER" xfId="0"/>
    <cellStyle name="_LCDTV_VSE WFP_100409_GPS OTHER 2" xfId="0"/>
    <cellStyle name="_LCDTV_VSE WFP_100409_GPS OTHER 3" xfId="0"/>
    <cellStyle name="_LCDTV_VSE WFP_100409_GPS OTHER 4" xfId="0"/>
    <cellStyle name="_LCDTV_VSE WFP_100409_GPS OTHER 4 2" xfId="0"/>
    <cellStyle name="_LCDTV_VSE WFP_100409_GPS OTHER_By Region" xfId="0"/>
    <cellStyle name="_LCDTV_VSE WFP_100409_GPS OTHER_CORP SG&amp;A" xfId="0"/>
    <cellStyle name="_LCDTV_VSE WFP_100409_GPS OTHER_LCD" xfId="0"/>
    <cellStyle name="_LCDTV_VSE WFP_100409_GPS OTHER_PJ" xfId="0"/>
    <cellStyle name="_LCDTV_VSE WFP_100409_LCD" xfId="0"/>
    <cellStyle name="_LCDTV_VSE WFP_100409_LCD 2" xfId="0"/>
    <cellStyle name="_LCDTV_VSE WFP_100409_LCD 3" xfId="0"/>
    <cellStyle name="_LCDTV_VSE WFP_100409_LCD 4" xfId="0"/>
    <cellStyle name="_LCDTV_VSE WFP_100409_LCD_By Region" xfId="0"/>
    <cellStyle name="_LCDTV_VSE WFP_100409_LCD_CORP SG&amp;A" xfId="0"/>
    <cellStyle name="_LCDTV_VSE WFP_100409_LCD_LCD" xfId="0"/>
    <cellStyle name="_LCDTV_VSE WFP_100409_LCD_PJ" xfId="0"/>
    <cellStyle name="_LCDTV_VSE WFP_100409_PC Products" xfId="0"/>
    <cellStyle name="_LCDTV_VSE WFP_100409_PC Products 2" xfId="0"/>
    <cellStyle name="_LCDTV_VSE WFP_100409_PC Products 3" xfId="0"/>
    <cellStyle name="_LCDTV_VSE WFP_100409_PC Products 4" xfId="0"/>
    <cellStyle name="_LCDTV_VSE WFP_100409_PC Products 4 2" xfId="0"/>
    <cellStyle name="_LCDTV_VSE WFP_100409_PC Products_By Region" xfId="0"/>
    <cellStyle name="_LCDTV_VSE WFP_100409_PC Products_CORP SG&amp;A" xfId="0"/>
    <cellStyle name="_LCDTV_VSE WFP_100409_PC Products_LCD" xfId="0"/>
    <cellStyle name="_LCDTV_VSE WFP_100409_PC Products_PJ" xfId="0"/>
    <cellStyle name="_LCDTV_VSE WFP_100409_VSA 111014" xfId="0"/>
    <cellStyle name="_LCDTV_VSE WFP_100409_VSA 111014 2" xfId="0"/>
    <cellStyle name="_LCDTV_VSE WFP_100409_VSA 111014 3" xfId="0"/>
    <cellStyle name="_LCDTV_VSE WFP_100409_VSA 111014 4" xfId="0"/>
    <cellStyle name="_LCDTV_VSE WFP_100409_VSA 111014 4 2" xfId="0"/>
    <cellStyle name="_LCDTV_VSE WFP_100409_VSA 111014_By Region" xfId="0"/>
    <cellStyle name="_LCDTV_VSE WFP_100409_VSA 111014_CORP SG&amp;A" xfId="0"/>
    <cellStyle name="_LCDTV_VSE WFP_100409_VSA 111014_LCD" xfId="0"/>
    <cellStyle name="_LCDTV_VSE WFP_100409_VSA 111014_PJ" xfId="0"/>
    <cellStyle name="_LCDTV_VSE WFP_100409_VSA Roll-Up (LW)" xfId="0"/>
    <cellStyle name="_LCDTV_VSE WFP_100409_VSA Roll-Up (LW) 2" xfId="0"/>
    <cellStyle name="_LCDTV_VSE WFP_100409_VSA Roll-Up (LW) 3" xfId="0"/>
    <cellStyle name="_LCDTV_VSE WFP_100409_VSA Roll-Up (LW) 4" xfId="0"/>
    <cellStyle name="_LCDTV_VSE WFP_100409_VSA Roll-Up (LW) 4 2" xfId="0"/>
    <cellStyle name="_LCDTV_VSE WFP_100409_VSA Roll-Up (LW)_By Region" xfId="0"/>
    <cellStyle name="_LCDTV_VSE WFP_100409_VSA Roll-Up (LW)_CORP SG&amp;A" xfId="0"/>
    <cellStyle name="_LCDTV_VSE WFP_100409_VSA Roll-Up (LW)_LCD" xfId="0"/>
    <cellStyle name="_LCDTV_VSE WFP_100409_VSA Roll-Up (LW)_PJ" xfId="0"/>
    <cellStyle name="_LCDTV_VSE WFP_100421 v2" xfId="0"/>
    <cellStyle name="_LCDTV_VSE WFP_100421 v2 2" xfId="0"/>
    <cellStyle name="_LCDTV_VSE WFP_100421 v2 3" xfId="0"/>
    <cellStyle name="_LCDTV_VSE WFP_100421 v2 4" xfId="0"/>
    <cellStyle name="_LCDTV_VSE WFP_100421 v2_By Region" xfId="0"/>
    <cellStyle name="_LCDTV_VSE WFP_100421 v2_CORP SG&amp;A" xfId="0"/>
    <cellStyle name="_LCDTV_VSE WFP_100421 v2_Digitizer" xfId="0"/>
    <cellStyle name="_LCDTV_VSE WFP_100421 v2_GPS OTHER" xfId="0"/>
    <cellStyle name="_LCDTV_VSE WFP_100421 v2_GPS OTHER 2" xfId="0"/>
    <cellStyle name="_LCDTV_VSE WFP_100421 v2_GPS OTHER 3" xfId="0"/>
    <cellStyle name="_LCDTV_VSE WFP_100421 v2_GPS OTHER 4" xfId="0"/>
    <cellStyle name="_LCDTV_VSE WFP_100421 v2_GPS OTHER 4 2" xfId="0"/>
    <cellStyle name="_LCDTV_VSE WFP_100421 v2_GPS OTHER_By Region" xfId="0"/>
    <cellStyle name="_LCDTV_VSE WFP_100421 v2_GPS OTHER_CORP SG&amp;A" xfId="0"/>
    <cellStyle name="_LCDTV_VSE WFP_100421 v2_GPS OTHER_LCD" xfId="0"/>
    <cellStyle name="_LCDTV_VSE WFP_100421 v2_GPS OTHER_PJ" xfId="0"/>
    <cellStyle name="_LCDTV_VSE WFP_100421 v2_LCD" xfId="0"/>
    <cellStyle name="_LCDTV_VSE WFP_100421 v2_LCD 2" xfId="0"/>
    <cellStyle name="_LCDTV_VSE WFP_100421 v2_LCD 3" xfId="0"/>
    <cellStyle name="_LCDTV_VSE WFP_100421 v2_LCD 4" xfId="0"/>
    <cellStyle name="_LCDTV_VSE WFP_100421 v2_LCD_By Region" xfId="0"/>
    <cellStyle name="_LCDTV_VSE WFP_100421 v2_LCD_CORP SG&amp;A" xfId="0"/>
    <cellStyle name="_LCDTV_VSE WFP_100421 v2_LCD_LCD" xfId="0"/>
    <cellStyle name="_LCDTV_VSE WFP_100421 v2_LCD_PJ" xfId="0"/>
    <cellStyle name="_LCDTV_VSE WFP_100421 v2_PC Products" xfId="0"/>
    <cellStyle name="_LCDTV_VSE WFP_100421 v2_PC Products 2" xfId="0"/>
    <cellStyle name="_LCDTV_VSE WFP_100421 v2_PC Products 3" xfId="0"/>
    <cellStyle name="_LCDTV_VSE WFP_100421 v2_PC Products 4" xfId="0"/>
    <cellStyle name="_LCDTV_VSE WFP_100421 v2_PC Products 4 2" xfId="0"/>
    <cellStyle name="_LCDTV_VSE WFP_100421 v2_PC Products_By Region" xfId="0"/>
    <cellStyle name="_LCDTV_VSE WFP_100421 v2_PC Products_CORP SG&amp;A" xfId="0"/>
    <cellStyle name="_LCDTV_VSE WFP_100421 v2_PC Products_LCD" xfId="0"/>
    <cellStyle name="_LCDTV_VSE WFP_100421 v2_PC Products_PJ" xfId="0"/>
    <cellStyle name="_LCDTV_VSE WFP_100421 v2_VSA 111014" xfId="0"/>
    <cellStyle name="_LCDTV_VSE WFP_100421 v2_VSA 111014 2" xfId="0"/>
    <cellStyle name="_LCDTV_VSE WFP_100421 v2_VSA 111014 3" xfId="0"/>
    <cellStyle name="_LCDTV_VSE WFP_100421 v2_VSA 111014 4" xfId="0"/>
    <cellStyle name="_LCDTV_VSE WFP_100421 v2_VSA 111014 4 2" xfId="0"/>
    <cellStyle name="_LCDTV_VSE WFP_100421 v2_VSA 111014_By Region" xfId="0"/>
    <cellStyle name="_LCDTV_VSE WFP_100421 v2_VSA 111014_CORP SG&amp;A" xfId="0"/>
    <cellStyle name="_LCDTV_VSE WFP_100421 v2_VSA 111014_LCD" xfId="0"/>
    <cellStyle name="_LCDTV_VSE WFP_100421 v2_VSA 111014_PJ" xfId="0"/>
    <cellStyle name="_LCDTV_VSE WFP_100421 v2_VSA Roll-Up (LW)" xfId="0"/>
    <cellStyle name="_LCDTV_VSE WFP_100421 v2_VSA Roll-Up (LW) 2" xfId="0"/>
    <cellStyle name="_LCDTV_VSE WFP_100421 v2_VSA Roll-Up (LW) 3" xfId="0"/>
    <cellStyle name="_LCDTV_VSE WFP_100421 v2_VSA Roll-Up (LW) 4" xfId="0"/>
    <cellStyle name="_LCDTV_VSE WFP_100421 v2_VSA Roll-Up (LW) 4 2" xfId="0"/>
    <cellStyle name="_LCDTV_VSE WFP_100421 v2_VSA Roll-Up (LW)_By Region" xfId="0"/>
    <cellStyle name="_LCDTV_VSE WFP_100421 v2_VSA Roll-Up (LW)_CORP SG&amp;A" xfId="0"/>
    <cellStyle name="_LCDTV_VSE WFP_100421 v2_VSA Roll-Up (LW)_LCD" xfId="0"/>
    <cellStyle name="_LCDTV_VSE WFP_100421 v2_VSA Roll-Up (LW)_PJ" xfId="0"/>
    <cellStyle name="_LCDTV_VSE WFP_100507" xfId="0"/>
    <cellStyle name="_LCDTV_VSE WFP_100507 2" xfId="0"/>
    <cellStyle name="_LCDTV_VSE WFP_100507 3" xfId="0"/>
    <cellStyle name="_LCDTV_VSE WFP_100507 4" xfId="0"/>
    <cellStyle name="_LCDTV_VSE WFP_100507_By Region" xfId="0"/>
    <cellStyle name="_LCDTV_VSE WFP_100507_CORP SG&amp;A" xfId="0"/>
    <cellStyle name="_LCDTV_VSE WFP_100507_Digitizer" xfId="0"/>
    <cellStyle name="_LCDTV_VSE WFP_100507_GPS OTHER" xfId="0"/>
    <cellStyle name="_LCDTV_VSE WFP_100507_GPS OTHER 2" xfId="0"/>
    <cellStyle name="_LCDTV_VSE WFP_100507_GPS OTHER 3" xfId="0"/>
    <cellStyle name="_LCDTV_VSE WFP_100507_GPS OTHER 4" xfId="0"/>
    <cellStyle name="_LCDTV_VSE WFP_100507_GPS OTHER 4 2" xfId="0"/>
    <cellStyle name="_LCDTV_VSE WFP_100507_GPS OTHER_By Region" xfId="0"/>
    <cellStyle name="_LCDTV_VSE WFP_100507_GPS OTHER_CORP SG&amp;A" xfId="0"/>
    <cellStyle name="_LCDTV_VSE WFP_100507_GPS OTHER_LCD" xfId="0"/>
    <cellStyle name="_LCDTV_VSE WFP_100507_GPS OTHER_PJ" xfId="0"/>
    <cellStyle name="_LCDTV_VSE WFP_100507_LCD" xfId="0"/>
    <cellStyle name="_LCDTV_VSE WFP_100507_LCD 2" xfId="0"/>
    <cellStyle name="_LCDTV_VSE WFP_100507_LCD 3" xfId="0"/>
    <cellStyle name="_LCDTV_VSE WFP_100507_LCD 4" xfId="0"/>
    <cellStyle name="_LCDTV_VSE WFP_100507_LCD_By Region" xfId="0"/>
    <cellStyle name="_LCDTV_VSE WFP_100507_LCD_CORP SG&amp;A" xfId="0"/>
    <cellStyle name="_LCDTV_VSE WFP_100507_LCD_LCD" xfId="0"/>
    <cellStyle name="_LCDTV_VSE WFP_100507_LCD_PJ" xfId="0"/>
    <cellStyle name="_LCDTV_VSE WFP_100507_PC Products" xfId="0"/>
    <cellStyle name="_LCDTV_VSE WFP_100507_PC Products 2" xfId="0"/>
    <cellStyle name="_LCDTV_VSE WFP_100507_PC Products 3" xfId="0"/>
    <cellStyle name="_LCDTV_VSE WFP_100507_PC Products 4" xfId="0"/>
    <cellStyle name="_LCDTV_VSE WFP_100507_PC Products 4 2" xfId="0"/>
    <cellStyle name="_LCDTV_VSE WFP_100507_PC Products_By Region" xfId="0"/>
    <cellStyle name="_LCDTV_VSE WFP_100507_PC Products_CORP SG&amp;A" xfId="0"/>
    <cellStyle name="_LCDTV_VSE WFP_100507_PC Products_LCD" xfId="0"/>
    <cellStyle name="_LCDTV_VSE WFP_100507_PC Products_PJ" xfId="0"/>
    <cellStyle name="_LCDTV_VSE WFP_100507_VSA 111014" xfId="0"/>
    <cellStyle name="_LCDTV_VSE WFP_100507_VSA 111014 2" xfId="0"/>
    <cellStyle name="_LCDTV_VSE WFP_100507_VSA 111014 3" xfId="0"/>
    <cellStyle name="_LCDTV_VSE WFP_100507_VSA 111014 4" xfId="0"/>
    <cellStyle name="_LCDTV_VSE WFP_100507_VSA 111014 4 2" xfId="0"/>
    <cellStyle name="_LCDTV_VSE WFP_100507_VSA 111014_By Region" xfId="0"/>
    <cellStyle name="_LCDTV_VSE WFP_100507_VSA 111014_CORP SG&amp;A" xfId="0"/>
    <cellStyle name="_LCDTV_VSE WFP_100507_VSA 111014_LCD" xfId="0"/>
    <cellStyle name="_LCDTV_VSE WFP_100507_VSA 111014_PJ" xfId="0"/>
    <cellStyle name="_LCDTV_VSE WFP_100507_VSA Roll-Up (LW)" xfId="0"/>
    <cellStyle name="_LCDTV_VSE WFP_100507_VSA Roll-Up (LW) 2" xfId="0"/>
    <cellStyle name="_LCDTV_VSE WFP_100507_VSA Roll-Up (LW) 3" xfId="0"/>
    <cellStyle name="_LCDTV_VSE WFP_100507_VSA Roll-Up (LW) 4" xfId="0"/>
    <cellStyle name="_LCDTV_VSE WFP_100507_VSA Roll-Up (LW) 4 2" xfId="0"/>
    <cellStyle name="_LCDTV_VSE WFP_100507_VSA Roll-Up (LW)_By Region" xfId="0"/>
    <cellStyle name="_LCDTV_VSE WFP_100507_VSA Roll-Up (LW)_CORP SG&amp;A" xfId="0"/>
    <cellStyle name="_LCDTV_VSE WFP_100507_VSA Roll-Up (LW)_LCD" xfId="0"/>
    <cellStyle name="_LCDTV_VSE WFP_100507_VSA Roll-Up (LW)_PJ" xfId="0"/>
    <cellStyle name="_LCDTV_VSE WFP_100608" xfId="0"/>
    <cellStyle name="_LCDTV_VSE WFP_100608 2" xfId="0"/>
    <cellStyle name="_LCDTV_VSE WFP_100608 3" xfId="0"/>
    <cellStyle name="_LCDTV_VSE WFP_100608 4" xfId="0"/>
    <cellStyle name="_LCDTV_VSE WFP_100608_By Region" xfId="0"/>
    <cellStyle name="_LCDTV_VSE WFP_100608_CORP SG&amp;A" xfId="0"/>
    <cellStyle name="_LCDTV_VSE WFP_100608_Digitizer" xfId="0"/>
    <cellStyle name="_LCDTV_VSE WFP_100608_GPS OTHER" xfId="0"/>
    <cellStyle name="_LCDTV_VSE WFP_100608_GPS OTHER 2" xfId="0"/>
    <cellStyle name="_LCDTV_VSE WFP_100608_GPS OTHER 3" xfId="0"/>
    <cellStyle name="_LCDTV_VSE WFP_100608_GPS OTHER 4" xfId="0"/>
    <cellStyle name="_LCDTV_VSE WFP_100608_GPS OTHER 4 2" xfId="0"/>
    <cellStyle name="_LCDTV_VSE WFP_100608_GPS OTHER_By Region" xfId="0"/>
    <cellStyle name="_LCDTV_VSE WFP_100608_GPS OTHER_CORP SG&amp;A" xfId="0"/>
    <cellStyle name="_LCDTV_VSE WFP_100608_GPS OTHER_LCD" xfId="0"/>
    <cellStyle name="_LCDTV_VSE WFP_100608_GPS OTHER_PJ" xfId="0"/>
    <cellStyle name="_LCDTV_VSE WFP_100608_LCD" xfId="0"/>
    <cellStyle name="_LCDTV_VSE WFP_100608_LCD 2" xfId="0"/>
    <cellStyle name="_LCDTV_VSE WFP_100608_LCD 3" xfId="0"/>
    <cellStyle name="_LCDTV_VSE WFP_100608_LCD 4" xfId="0"/>
    <cellStyle name="_LCDTV_VSE WFP_100608_LCD_By Region" xfId="0"/>
    <cellStyle name="_LCDTV_VSE WFP_100608_LCD_CORP SG&amp;A" xfId="0"/>
    <cellStyle name="_LCDTV_VSE WFP_100608_LCD_LCD" xfId="0"/>
    <cellStyle name="_LCDTV_VSE WFP_100608_LCD_PJ" xfId="0"/>
    <cellStyle name="_LCDTV_VSE WFP_100608_PC Products" xfId="0"/>
    <cellStyle name="_LCDTV_VSE WFP_100608_PC Products 2" xfId="0"/>
    <cellStyle name="_LCDTV_VSE WFP_100608_PC Products 3" xfId="0"/>
    <cellStyle name="_LCDTV_VSE WFP_100608_PC Products 4" xfId="0"/>
    <cellStyle name="_LCDTV_VSE WFP_100608_PC Products 4 2" xfId="0"/>
    <cellStyle name="_LCDTV_VSE WFP_100608_PC Products_By Region" xfId="0"/>
    <cellStyle name="_LCDTV_VSE WFP_100608_PC Products_CORP SG&amp;A" xfId="0"/>
    <cellStyle name="_LCDTV_VSE WFP_100608_PC Products_LCD" xfId="0"/>
    <cellStyle name="_LCDTV_VSE WFP_100608_PC Products_PJ" xfId="0"/>
    <cellStyle name="_LCDTV_VSE WFP_100608_VSA 111014" xfId="0"/>
    <cellStyle name="_LCDTV_VSE WFP_100608_VSA 111014 2" xfId="0"/>
    <cellStyle name="_LCDTV_VSE WFP_100608_VSA 111014 3" xfId="0"/>
    <cellStyle name="_LCDTV_VSE WFP_100608_VSA 111014 4" xfId="0"/>
    <cellStyle name="_LCDTV_VSE WFP_100608_VSA 111014 4 2" xfId="0"/>
    <cellStyle name="_LCDTV_VSE WFP_100608_VSA 111014_By Region" xfId="0"/>
    <cellStyle name="_LCDTV_VSE WFP_100608_VSA 111014_CORP SG&amp;A" xfId="0"/>
    <cellStyle name="_LCDTV_VSE WFP_100608_VSA 111014_LCD" xfId="0"/>
    <cellStyle name="_LCDTV_VSE WFP_100608_VSA 111014_PJ" xfId="0"/>
    <cellStyle name="_LCDTV_VSE WFP_100608_VSA Roll-Up (LW)" xfId="0"/>
    <cellStyle name="_LCDTV_VSE WFP_100608_VSA Roll-Up (LW) 2" xfId="0"/>
    <cellStyle name="_LCDTV_VSE WFP_100608_VSA Roll-Up (LW) 3" xfId="0"/>
    <cellStyle name="_LCDTV_VSE WFP_100608_VSA Roll-Up (LW) 4" xfId="0"/>
    <cellStyle name="_LCDTV_VSE WFP_100608_VSA Roll-Up (LW) 4 2" xfId="0"/>
    <cellStyle name="_LCDTV_VSE WFP_100608_VSA Roll-Up (LW)_By Region" xfId="0"/>
    <cellStyle name="_LCDTV_VSE WFP_100608_VSA Roll-Up (LW)_CORP SG&amp;A" xfId="0"/>
    <cellStyle name="_LCDTV_VSE WFP_100608_VSA Roll-Up (LW)_LCD" xfId="0"/>
    <cellStyle name="_LCDTV_VSE WFP_100608_VSA Roll-Up (LW)_PJ" xfId="0"/>
    <cellStyle name="_LCDTV_VSE WFP_100625" xfId="0"/>
    <cellStyle name="_LCDTV_VSE WFP_100625 2" xfId="0"/>
    <cellStyle name="_LCDTV_VSE WFP_100625 3" xfId="0"/>
    <cellStyle name="_LCDTV_VSE WFP_100625 4" xfId="0"/>
    <cellStyle name="_LCDTV_VSE WFP_100625_By Region" xfId="0"/>
    <cellStyle name="_LCDTV_VSE WFP_100625_CORP SG&amp;A" xfId="0"/>
    <cellStyle name="_LCDTV_VSE WFP_100625_Digitizer" xfId="0"/>
    <cellStyle name="_LCDTV_VSE WFP_100625_GPS OTHER" xfId="0"/>
    <cellStyle name="_LCDTV_VSE WFP_100625_GPS OTHER 2" xfId="0"/>
    <cellStyle name="_LCDTV_VSE WFP_100625_GPS OTHER 3" xfId="0"/>
    <cellStyle name="_LCDTV_VSE WFP_100625_GPS OTHER 4" xfId="0"/>
    <cellStyle name="_LCDTV_VSE WFP_100625_GPS OTHER 4 2" xfId="0"/>
    <cellStyle name="_LCDTV_VSE WFP_100625_GPS OTHER_By Region" xfId="0"/>
    <cellStyle name="_LCDTV_VSE WFP_100625_GPS OTHER_CORP SG&amp;A" xfId="0"/>
    <cellStyle name="_LCDTV_VSE WFP_100625_GPS OTHER_LCD" xfId="0"/>
    <cellStyle name="_LCDTV_VSE WFP_100625_GPS OTHER_PJ" xfId="0"/>
    <cellStyle name="_LCDTV_VSE WFP_100625_LCD" xfId="0"/>
    <cellStyle name="_LCDTV_VSE WFP_100625_LCD 2" xfId="0"/>
    <cellStyle name="_LCDTV_VSE WFP_100625_LCD 3" xfId="0"/>
    <cellStyle name="_LCDTV_VSE WFP_100625_LCD 4" xfId="0"/>
    <cellStyle name="_LCDTV_VSE WFP_100625_LCD_By Region" xfId="0"/>
    <cellStyle name="_LCDTV_VSE WFP_100625_LCD_CORP SG&amp;A" xfId="0"/>
    <cellStyle name="_LCDTV_VSE WFP_100625_LCD_LCD" xfId="0"/>
    <cellStyle name="_LCDTV_VSE WFP_100625_LCD_PJ" xfId="0"/>
    <cellStyle name="_LCDTV_VSE WFP_100625_PC Products" xfId="0"/>
    <cellStyle name="_LCDTV_VSE WFP_100625_PC Products 2" xfId="0"/>
    <cellStyle name="_LCDTV_VSE WFP_100625_PC Products 3" xfId="0"/>
    <cellStyle name="_LCDTV_VSE WFP_100625_PC Products 4" xfId="0"/>
    <cellStyle name="_LCDTV_VSE WFP_100625_PC Products 4 2" xfId="0"/>
    <cellStyle name="_LCDTV_VSE WFP_100625_PC Products_By Region" xfId="0"/>
    <cellStyle name="_LCDTV_VSE WFP_100625_PC Products_CORP SG&amp;A" xfId="0"/>
    <cellStyle name="_LCDTV_VSE WFP_100625_PC Products_LCD" xfId="0"/>
    <cellStyle name="_LCDTV_VSE WFP_100625_PC Products_PJ" xfId="0"/>
    <cellStyle name="_LCDTV_VSE WFP_100625_VSA 111014" xfId="0"/>
    <cellStyle name="_LCDTV_VSE WFP_100625_VSA 111014 2" xfId="0"/>
    <cellStyle name="_LCDTV_VSE WFP_100625_VSA 111014 3" xfId="0"/>
    <cellStyle name="_LCDTV_VSE WFP_100625_VSA 111014 4" xfId="0"/>
    <cellStyle name="_LCDTV_VSE WFP_100625_VSA 111014 4 2" xfId="0"/>
    <cellStyle name="_LCDTV_VSE WFP_100625_VSA 111014_By Region" xfId="0"/>
    <cellStyle name="_LCDTV_VSE WFP_100625_VSA 111014_CORP SG&amp;A" xfId="0"/>
    <cellStyle name="_LCDTV_VSE WFP_100625_VSA 111014_LCD" xfId="0"/>
    <cellStyle name="_LCDTV_VSE WFP_100625_VSA 111014_PJ" xfId="0"/>
    <cellStyle name="_LCDTV_VSE WFP_100625_VSA Roll-Up (LW)" xfId="0"/>
    <cellStyle name="_LCDTV_VSE WFP_100625_VSA Roll-Up (LW) 2" xfId="0"/>
    <cellStyle name="_LCDTV_VSE WFP_100625_VSA Roll-Up (LW) 3" xfId="0"/>
    <cellStyle name="_LCDTV_VSE WFP_100625_VSA Roll-Up (LW) 4" xfId="0"/>
    <cellStyle name="_LCDTV_VSE WFP_100625_VSA Roll-Up (LW) 4 2" xfId="0"/>
    <cellStyle name="_LCDTV_VSE WFP_100625_VSA Roll-Up (LW)_By Region" xfId="0"/>
    <cellStyle name="_LCDTV_VSE WFP_100625_VSA Roll-Up (LW)_CORP SG&amp;A" xfId="0"/>
    <cellStyle name="_LCDTV_VSE WFP_100625_VSA Roll-Up (LW)_LCD" xfId="0"/>
    <cellStyle name="_LCDTV_VSE WFP_100625_VSA Roll-Up (LW)_PJ" xfId="0"/>
    <cellStyle name="_LCDTV_VSE WFP_100708_3rd" xfId="0"/>
    <cellStyle name="_LCDTV_VSE WFP_100708_3rd 2" xfId="0"/>
    <cellStyle name="_LCDTV_VSE WFP_100708_3rd 3" xfId="0"/>
    <cellStyle name="_LCDTV_VSE WFP_100708_3rd 4" xfId="0"/>
    <cellStyle name="_LCDTV_VSE WFP_100708_3rd_By Region" xfId="0"/>
    <cellStyle name="_LCDTV_VSE WFP_100708_3rd_CORP SG&amp;A" xfId="0"/>
    <cellStyle name="_LCDTV_VSE WFP_100708_3rd_Digitizer" xfId="0"/>
    <cellStyle name="_LCDTV_VSE WFP_100708_3rd_GPS OTHER" xfId="0"/>
    <cellStyle name="_LCDTV_VSE WFP_100708_3rd_GPS OTHER 2" xfId="0"/>
    <cellStyle name="_LCDTV_VSE WFP_100708_3rd_GPS OTHER 3" xfId="0"/>
    <cellStyle name="_LCDTV_VSE WFP_100708_3rd_GPS OTHER 4" xfId="0"/>
    <cellStyle name="_LCDTV_VSE WFP_100708_3rd_GPS OTHER 4 2" xfId="0"/>
    <cellStyle name="_LCDTV_VSE WFP_100708_3rd_GPS OTHER_By Region" xfId="0"/>
    <cellStyle name="_LCDTV_VSE WFP_100708_3rd_GPS OTHER_CORP SG&amp;A" xfId="0"/>
    <cellStyle name="_LCDTV_VSE WFP_100708_3rd_GPS OTHER_LCD" xfId="0"/>
    <cellStyle name="_LCDTV_VSE WFP_100708_3rd_GPS OTHER_PJ" xfId="0"/>
    <cellStyle name="_LCDTV_VSE WFP_100708_3rd_LCD" xfId="0"/>
    <cellStyle name="_LCDTV_VSE WFP_100708_3rd_LCD 2" xfId="0"/>
    <cellStyle name="_LCDTV_VSE WFP_100708_3rd_LCD 3" xfId="0"/>
    <cellStyle name="_LCDTV_VSE WFP_100708_3rd_LCD 4" xfId="0"/>
    <cellStyle name="_LCDTV_VSE WFP_100708_3rd_LCD_By Region" xfId="0"/>
    <cellStyle name="_LCDTV_VSE WFP_100708_3rd_LCD_CORP SG&amp;A" xfId="0"/>
    <cellStyle name="_LCDTV_VSE WFP_100708_3rd_LCD_LCD" xfId="0"/>
    <cellStyle name="_LCDTV_VSE WFP_100708_3rd_LCD_PJ" xfId="0"/>
    <cellStyle name="_LCDTV_VSE WFP_100708_3rd_PC Products" xfId="0"/>
    <cellStyle name="_LCDTV_VSE WFP_100708_3rd_PC Products 2" xfId="0"/>
    <cellStyle name="_LCDTV_VSE WFP_100708_3rd_PC Products 3" xfId="0"/>
    <cellStyle name="_LCDTV_VSE WFP_100708_3rd_PC Products 4" xfId="0"/>
    <cellStyle name="_LCDTV_VSE WFP_100708_3rd_PC Products 4 2" xfId="0"/>
    <cellStyle name="_LCDTV_VSE WFP_100708_3rd_PC Products_By Region" xfId="0"/>
    <cellStyle name="_LCDTV_VSE WFP_100708_3rd_PC Products_CORP SG&amp;A" xfId="0"/>
    <cellStyle name="_LCDTV_VSE WFP_100708_3rd_PC Products_LCD" xfId="0"/>
    <cellStyle name="_LCDTV_VSE WFP_100708_3rd_PC Products_PJ" xfId="0"/>
    <cellStyle name="_LCDTV_VSE WFP_100708_3rd_VSA 111014" xfId="0"/>
    <cellStyle name="_LCDTV_VSE WFP_100708_3rd_VSA 111014 2" xfId="0"/>
    <cellStyle name="_LCDTV_VSE WFP_100708_3rd_VSA 111014 3" xfId="0"/>
    <cellStyle name="_LCDTV_VSE WFP_100708_3rd_VSA 111014 4" xfId="0"/>
    <cellStyle name="_LCDTV_VSE WFP_100708_3rd_VSA 111014 4 2" xfId="0"/>
    <cellStyle name="_LCDTV_VSE WFP_100708_3rd_VSA 111014_By Region" xfId="0"/>
    <cellStyle name="_LCDTV_VSE WFP_100708_3rd_VSA 111014_CORP SG&amp;A" xfId="0"/>
    <cellStyle name="_LCDTV_VSE WFP_100708_3rd_VSA 111014_LCD" xfId="0"/>
    <cellStyle name="_LCDTV_VSE WFP_100708_3rd_VSA 111014_PJ" xfId="0"/>
    <cellStyle name="_LCDTV_VSE WFP_100708_3rd_VSA Roll-Up (LW)" xfId="0"/>
    <cellStyle name="_LCDTV_VSE WFP_100708_3rd_VSA Roll-Up (LW) 2" xfId="0"/>
    <cellStyle name="_LCDTV_VSE WFP_100708_3rd_VSA Roll-Up (LW) 3" xfId="0"/>
    <cellStyle name="_LCDTV_VSE WFP_100708_3rd_VSA Roll-Up (LW) 4" xfId="0"/>
    <cellStyle name="_LCDTV_VSE WFP_100708_3rd_VSA Roll-Up (LW) 4 2" xfId="0"/>
    <cellStyle name="_LCDTV_VSE WFP_100708_3rd_VSA Roll-Up (LW)_By Region" xfId="0"/>
    <cellStyle name="_LCDTV_VSE WFP_100708_3rd_VSA Roll-Up (LW)_CORP SG&amp;A" xfId="0"/>
    <cellStyle name="_LCDTV_VSE WFP_100708_3rd_VSA Roll-Up (LW)_LCD" xfId="0"/>
    <cellStyle name="_LCDTV_VSE WFP_100708_3rd_VSA Roll-Up (LW)_PJ" xfId="0"/>
    <cellStyle name="_LCDTV_VSE WFP_100726" xfId="0"/>
    <cellStyle name="_LCDTV_VSE WFP_100726 2" xfId="0"/>
    <cellStyle name="_LCDTV_VSE WFP_100726 3" xfId="0"/>
    <cellStyle name="_LCDTV_VSE WFP_100726 4" xfId="0"/>
    <cellStyle name="_LCDTV_VSE WFP_100726-1" xfId="0"/>
    <cellStyle name="_LCDTV_VSE WFP_100726-1 2" xfId="0"/>
    <cellStyle name="_LCDTV_VSE WFP_100726-1 3" xfId="0"/>
    <cellStyle name="_LCDTV_VSE WFP_100726-1 4" xfId="0"/>
    <cellStyle name="_LCDTV_VSE WFP_100726-1_By Region" xfId="0"/>
    <cellStyle name="_LCDTV_VSE WFP_100726-1_CORP SG&amp;A" xfId="0"/>
    <cellStyle name="_LCDTV_VSE WFP_100726-1_Digitizer" xfId="0"/>
    <cellStyle name="_LCDTV_VSE WFP_100726-1_GPS OTHER" xfId="0"/>
    <cellStyle name="_LCDTV_VSE WFP_100726-1_GPS OTHER 2" xfId="0"/>
    <cellStyle name="_LCDTV_VSE WFP_100726-1_GPS OTHER 3" xfId="0"/>
    <cellStyle name="_LCDTV_VSE WFP_100726-1_GPS OTHER 4" xfId="0"/>
    <cellStyle name="_LCDTV_VSE WFP_100726-1_GPS OTHER 4 2" xfId="0"/>
    <cellStyle name="_LCDTV_VSE WFP_100726-1_GPS OTHER_By Region" xfId="0"/>
    <cellStyle name="_LCDTV_VSE WFP_100726-1_GPS OTHER_CORP SG&amp;A" xfId="0"/>
    <cellStyle name="_LCDTV_VSE WFP_100726-1_GPS OTHER_LCD" xfId="0"/>
    <cellStyle name="_LCDTV_VSE WFP_100726-1_GPS OTHER_PJ" xfId="0"/>
    <cellStyle name="_LCDTV_VSE WFP_100726-1_LCD" xfId="0"/>
    <cellStyle name="_LCDTV_VSE WFP_100726-1_LCD 2" xfId="0"/>
    <cellStyle name="_LCDTV_VSE WFP_100726-1_LCD 3" xfId="0"/>
    <cellStyle name="_LCDTV_VSE WFP_100726-1_LCD 4" xfId="0"/>
    <cellStyle name="_LCDTV_VSE WFP_100726-1_LCD_By Region" xfId="0"/>
    <cellStyle name="_LCDTV_VSE WFP_100726-1_LCD_CORP SG&amp;A" xfId="0"/>
    <cellStyle name="_LCDTV_VSE WFP_100726-1_LCD_LCD" xfId="0"/>
    <cellStyle name="_LCDTV_VSE WFP_100726-1_LCD_PJ" xfId="0"/>
    <cellStyle name="_LCDTV_VSE WFP_100726-1_PC Products" xfId="0"/>
    <cellStyle name="_LCDTV_VSE WFP_100726-1_PC Products 2" xfId="0"/>
    <cellStyle name="_LCDTV_VSE WFP_100726-1_PC Products 3" xfId="0"/>
    <cellStyle name="_LCDTV_VSE WFP_100726-1_PC Products 4" xfId="0"/>
    <cellStyle name="_LCDTV_VSE WFP_100726-1_PC Products 4 2" xfId="0"/>
    <cellStyle name="_LCDTV_VSE WFP_100726-1_PC Products_By Region" xfId="0"/>
    <cellStyle name="_LCDTV_VSE WFP_100726-1_PC Products_CORP SG&amp;A" xfId="0"/>
    <cellStyle name="_LCDTV_VSE WFP_100726-1_PC Products_LCD" xfId="0"/>
    <cellStyle name="_LCDTV_VSE WFP_100726-1_PC Products_PJ" xfId="0"/>
    <cellStyle name="_LCDTV_VSE WFP_100726-1_VSA 111014" xfId="0"/>
    <cellStyle name="_LCDTV_VSE WFP_100726-1_VSA 111014 2" xfId="0"/>
    <cellStyle name="_LCDTV_VSE WFP_100726-1_VSA 111014 3" xfId="0"/>
    <cellStyle name="_LCDTV_VSE WFP_100726-1_VSA 111014 4" xfId="0"/>
    <cellStyle name="_LCDTV_VSE WFP_100726-1_VSA 111014 4 2" xfId="0"/>
    <cellStyle name="_LCDTV_VSE WFP_100726-1_VSA 111014_By Region" xfId="0"/>
    <cellStyle name="_LCDTV_VSE WFP_100726-1_VSA 111014_CORP SG&amp;A" xfId="0"/>
    <cellStyle name="_LCDTV_VSE WFP_100726-1_VSA 111014_LCD" xfId="0"/>
    <cellStyle name="_LCDTV_VSE WFP_100726-1_VSA 111014_PJ" xfId="0"/>
    <cellStyle name="_LCDTV_VSE WFP_100726-1_VSA Roll-Up (LW)" xfId="0"/>
    <cellStyle name="_LCDTV_VSE WFP_100726-1_VSA Roll-Up (LW) 2" xfId="0"/>
    <cellStyle name="_LCDTV_VSE WFP_100726-1_VSA Roll-Up (LW) 3" xfId="0"/>
    <cellStyle name="_LCDTV_VSE WFP_100726-1_VSA Roll-Up (LW) 4" xfId="0"/>
    <cellStyle name="_LCDTV_VSE WFP_100726-1_VSA Roll-Up (LW) 4 2" xfId="0"/>
    <cellStyle name="_LCDTV_VSE WFP_100726-1_VSA Roll-Up (LW)_By Region" xfId="0"/>
    <cellStyle name="_LCDTV_VSE WFP_100726-1_VSA Roll-Up (LW)_CORP SG&amp;A" xfId="0"/>
    <cellStyle name="_LCDTV_VSE WFP_100726-1_VSA Roll-Up (LW)_LCD" xfId="0"/>
    <cellStyle name="_LCDTV_VSE WFP_100726-1_VSA Roll-Up (LW)_PJ" xfId="0"/>
    <cellStyle name="_LCDTV_VSE WFP_100726-2-yc" xfId="0"/>
    <cellStyle name="_LCDTV_VSE WFP_100726-2-yc 2" xfId="0"/>
    <cellStyle name="_LCDTV_VSE WFP_100726-2-yc 3" xfId="0"/>
    <cellStyle name="_LCDTV_VSE WFP_100726-2-yc 4" xfId="0"/>
    <cellStyle name="_LCDTV_VSE WFP_100726-2-yc_By Region" xfId="0"/>
    <cellStyle name="_LCDTV_VSE WFP_100726-2-yc_CORP SG&amp;A" xfId="0"/>
    <cellStyle name="_LCDTV_VSE WFP_100726-2-yc_Digitizer" xfId="0"/>
    <cellStyle name="_LCDTV_VSE WFP_100726-2-yc_GPS OTHER" xfId="0"/>
    <cellStyle name="_LCDTV_VSE WFP_100726-2-yc_GPS OTHER 2" xfId="0"/>
    <cellStyle name="_LCDTV_VSE WFP_100726-2-yc_GPS OTHER 3" xfId="0"/>
    <cellStyle name="_LCDTV_VSE WFP_100726-2-yc_GPS OTHER 4" xfId="0"/>
    <cellStyle name="_LCDTV_VSE WFP_100726-2-yc_GPS OTHER 4 2" xfId="0"/>
    <cellStyle name="_LCDTV_VSE WFP_100726-2-yc_GPS OTHER_By Region" xfId="0"/>
    <cellStyle name="_LCDTV_VSE WFP_100726-2-yc_GPS OTHER_CORP SG&amp;A" xfId="0"/>
    <cellStyle name="_LCDTV_VSE WFP_100726-2-yc_GPS OTHER_LCD" xfId="0"/>
    <cellStyle name="_LCDTV_VSE WFP_100726-2-yc_GPS OTHER_PJ" xfId="0"/>
    <cellStyle name="_LCDTV_VSE WFP_100726-2-yc_LCD" xfId="0"/>
    <cellStyle name="_LCDTV_VSE WFP_100726-2-yc_LCD 2" xfId="0"/>
    <cellStyle name="_LCDTV_VSE WFP_100726-2-yc_LCD 3" xfId="0"/>
    <cellStyle name="_LCDTV_VSE WFP_100726-2-yc_LCD 4" xfId="0"/>
    <cellStyle name="_LCDTV_VSE WFP_100726-2-yc_LCD_By Region" xfId="0"/>
    <cellStyle name="_LCDTV_VSE WFP_100726-2-yc_LCD_CORP SG&amp;A" xfId="0"/>
    <cellStyle name="_LCDTV_VSE WFP_100726-2-yc_LCD_LCD" xfId="0"/>
    <cellStyle name="_LCDTV_VSE WFP_100726-2-yc_LCD_PJ" xfId="0"/>
    <cellStyle name="_LCDTV_VSE WFP_100726-2-yc_PC Products" xfId="0"/>
    <cellStyle name="_LCDTV_VSE WFP_100726-2-yc_PC Products 2" xfId="0"/>
    <cellStyle name="_LCDTV_VSE WFP_100726-2-yc_PC Products 3" xfId="0"/>
    <cellStyle name="_LCDTV_VSE WFP_100726-2-yc_PC Products 4" xfId="0"/>
    <cellStyle name="_LCDTV_VSE WFP_100726-2-yc_PC Products 4 2" xfId="0"/>
    <cellStyle name="_LCDTV_VSE WFP_100726-2-yc_PC Products_By Region" xfId="0"/>
    <cellStyle name="_LCDTV_VSE WFP_100726-2-yc_PC Products_CORP SG&amp;A" xfId="0"/>
    <cellStyle name="_LCDTV_VSE WFP_100726-2-yc_PC Products_LCD" xfId="0"/>
    <cellStyle name="_LCDTV_VSE WFP_100726-2-yc_PC Products_PJ" xfId="0"/>
    <cellStyle name="_LCDTV_VSE WFP_100726-2-yc_VSA 111014" xfId="0"/>
    <cellStyle name="_LCDTV_VSE WFP_100726-2-yc_VSA 111014 2" xfId="0"/>
    <cellStyle name="_LCDTV_VSE WFP_100726-2-yc_VSA 111014 3" xfId="0"/>
    <cellStyle name="_LCDTV_VSE WFP_100726-2-yc_VSA 111014 4" xfId="0"/>
    <cellStyle name="_LCDTV_VSE WFP_100726-2-yc_VSA 111014 4 2" xfId="0"/>
    <cellStyle name="_LCDTV_VSE WFP_100726-2-yc_VSA 111014_By Region" xfId="0"/>
    <cellStyle name="_LCDTV_VSE WFP_100726-2-yc_VSA 111014_CORP SG&amp;A" xfId="0"/>
    <cellStyle name="_LCDTV_VSE WFP_100726-2-yc_VSA 111014_LCD" xfId="0"/>
    <cellStyle name="_LCDTV_VSE WFP_100726-2-yc_VSA 111014_PJ" xfId="0"/>
    <cellStyle name="_LCDTV_VSE WFP_100726-2-yc_VSA Roll-Up (LW)" xfId="0"/>
    <cellStyle name="_LCDTV_VSE WFP_100726-2-yc_VSA Roll-Up (LW) 2" xfId="0"/>
    <cellStyle name="_LCDTV_VSE WFP_100726-2-yc_VSA Roll-Up (LW) 3" xfId="0"/>
    <cellStyle name="_LCDTV_VSE WFP_100726-2-yc_VSA Roll-Up (LW) 4" xfId="0"/>
    <cellStyle name="_LCDTV_VSE WFP_100726-2-yc_VSA Roll-Up (LW) 4 2" xfId="0"/>
    <cellStyle name="_LCDTV_VSE WFP_100726-2-yc_VSA Roll-Up (LW)_By Region" xfId="0"/>
    <cellStyle name="_LCDTV_VSE WFP_100726-2-yc_VSA Roll-Up (LW)_CORP SG&amp;A" xfId="0"/>
    <cellStyle name="_LCDTV_VSE WFP_100726-2-yc_VSA Roll-Up (LW)_LCD" xfId="0"/>
    <cellStyle name="_LCDTV_VSE WFP_100726-2-yc_VSA Roll-Up (LW)_PJ" xfId="0"/>
    <cellStyle name="_LCDTV_VSE WFP_100726_By Region" xfId="0"/>
    <cellStyle name="_LCDTV_VSE WFP_100726_CORP SG&amp;A" xfId="0"/>
    <cellStyle name="_LCDTV_VSE WFP_100726_Digitizer" xfId="0"/>
    <cellStyle name="_LCDTV_VSE WFP_100726_GPS OTHER" xfId="0"/>
    <cellStyle name="_LCDTV_VSE WFP_100726_GPS OTHER 2" xfId="0"/>
    <cellStyle name="_LCDTV_VSE WFP_100726_GPS OTHER 3" xfId="0"/>
    <cellStyle name="_LCDTV_VSE WFP_100726_GPS OTHER 4" xfId="0"/>
    <cellStyle name="_LCDTV_VSE WFP_100726_GPS OTHER 4 2" xfId="0"/>
    <cellStyle name="_LCDTV_VSE WFP_100726_GPS OTHER_By Region" xfId="0"/>
    <cellStyle name="_LCDTV_VSE WFP_100726_GPS OTHER_CORP SG&amp;A" xfId="0"/>
    <cellStyle name="_LCDTV_VSE WFP_100726_GPS OTHER_LCD" xfId="0"/>
    <cellStyle name="_LCDTV_VSE WFP_100726_GPS OTHER_PJ" xfId="0"/>
    <cellStyle name="_LCDTV_VSE WFP_100726_LCD" xfId="0"/>
    <cellStyle name="_LCDTV_VSE WFP_100726_LCD 2" xfId="0"/>
    <cellStyle name="_LCDTV_VSE WFP_100726_LCD 3" xfId="0"/>
    <cellStyle name="_LCDTV_VSE WFP_100726_LCD 4" xfId="0"/>
    <cellStyle name="_LCDTV_VSE WFP_100726_LCD_By Region" xfId="0"/>
    <cellStyle name="_LCDTV_VSE WFP_100726_LCD_CORP SG&amp;A" xfId="0"/>
    <cellStyle name="_LCDTV_VSE WFP_100726_LCD_LCD" xfId="0"/>
    <cellStyle name="_LCDTV_VSE WFP_100726_LCD_PJ" xfId="0"/>
    <cellStyle name="_LCDTV_VSE WFP_100726_PC Products" xfId="0"/>
    <cellStyle name="_LCDTV_VSE WFP_100726_PC Products 2" xfId="0"/>
    <cellStyle name="_LCDTV_VSE WFP_100726_PC Products 3" xfId="0"/>
    <cellStyle name="_LCDTV_VSE WFP_100726_PC Products 4" xfId="0"/>
    <cellStyle name="_LCDTV_VSE WFP_100726_PC Products 4 2" xfId="0"/>
    <cellStyle name="_LCDTV_VSE WFP_100726_PC Products_By Region" xfId="0"/>
    <cellStyle name="_LCDTV_VSE WFP_100726_PC Products_CORP SG&amp;A" xfId="0"/>
    <cellStyle name="_LCDTV_VSE WFP_100726_PC Products_LCD" xfId="0"/>
    <cellStyle name="_LCDTV_VSE WFP_100726_PC Products_PJ" xfId="0"/>
    <cellStyle name="_LCDTV_VSE WFP_100726_VSA 111014" xfId="0"/>
    <cellStyle name="_LCDTV_VSE WFP_100726_VSA 111014 2" xfId="0"/>
    <cellStyle name="_LCDTV_VSE WFP_100726_VSA 111014 3" xfId="0"/>
    <cellStyle name="_LCDTV_VSE WFP_100726_VSA 111014 4" xfId="0"/>
    <cellStyle name="_LCDTV_VSE WFP_100726_VSA 111014 4 2" xfId="0"/>
    <cellStyle name="_LCDTV_VSE WFP_100726_VSA 111014_By Region" xfId="0"/>
    <cellStyle name="_LCDTV_VSE WFP_100726_VSA 111014_CORP SG&amp;A" xfId="0"/>
    <cellStyle name="_LCDTV_VSE WFP_100726_VSA 111014_LCD" xfId="0"/>
    <cellStyle name="_LCDTV_VSE WFP_100726_VSA 111014_PJ" xfId="0"/>
    <cellStyle name="_LCDTV_VSE WFP_100726_VSA Roll-Up (LW)" xfId="0"/>
    <cellStyle name="_LCDTV_VSE WFP_100726_VSA Roll-Up (LW) 2" xfId="0"/>
    <cellStyle name="_LCDTV_VSE WFP_100726_VSA Roll-Up (LW) 3" xfId="0"/>
    <cellStyle name="_LCDTV_VSE WFP_100726_VSA Roll-Up (LW) 4" xfId="0"/>
    <cellStyle name="_LCDTV_VSE WFP_100726_VSA Roll-Up (LW) 4 2" xfId="0"/>
    <cellStyle name="_LCDTV_VSE WFP_100726_VSA Roll-Up (LW)_By Region" xfId="0"/>
    <cellStyle name="_LCDTV_VSE WFP_100726_VSA Roll-Up (LW)_CORP SG&amp;A" xfId="0"/>
    <cellStyle name="_LCDTV_VSE WFP_100726_VSA Roll-Up (LW)_LCD" xfId="0"/>
    <cellStyle name="_LCDTV_VSE WFP_100726_VSA Roll-Up (LW)_PJ" xfId="0"/>
    <cellStyle name="_LCDTV_VSE WFP_100827-1" xfId="0"/>
    <cellStyle name="_LCDTV_VSE WFP_100827-1 2" xfId="0"/>
    <cellStyle name="_LCDTV_VSE WFP_100827-1 3" xfId="0"/>
    <cellStyle name="_LCDTV_VSE WFP_100827-1 4" xfId="0"/>
    <cellStyle name="_LCDTV_VSE WFP_100827-1_By Region" xfId="0"/>
    <cellStyle name="_LCDTV_VSE WFP_100827-1_CORP SG&amp;A" xfId="0"/>
    <cellStyle name="_LCDTV_VSE WFP_100827-1_Digitizer" xfId="0"/>
    <cellStyle name="_LCDTV_VSE WFP_100827-1_GPS OTHER" xfId="0"/>
    <cellStyle name="_LCDTV_VSE WFP_100827-1_GPS OTHER 2" xfId="0"/>
    <cellStyle name="_LCDTV_VSE WFP_100827-1_GPS OTHER 3" xfId="0"/>
    <cellStyle name="_LCDTV_VSE WFP_100827-1_GPS OTHER 4" xfId="0"/>
    <cellStyle name="_LCDTV_VSE WFP_100827-1_GPS OTHER 4 2" xfId="0"/>
    <cellStyle name="_LCDTV_VSE WFP_100827-1_GPS OTHER_By Region" xfId="0"/>
    <cellStyle name="_LCDTV_VSE WFP_100827-1_GPS OTHER_CORP SG&amp;A" xfId="0"/>
    <cellStyle name="_LCDTV_VSE WFP_100827-1_GPS OTHER_LCD" xfId="0"/>
    <cellStyle name="_LCDTV_VSE WFP_100827-1_GPS OTHER_PJ" xfId="0"/>
    <cellStyle name="_LCDTV_VSE WFP_100827-1_LCD" xfId="0"/>
    <cellStyle name="_LCDTV_VSE WFP_100827-1_LCD 2" xfId="0"/>
    <cellStyle name="_LCDTV_VSE WFP_100827-1_LCD 3" xfId="0"/>
    <cellStyle name="_LCDTV_VSE WFP_100827-1_LCD 4" xfId="0"/>
    <cellStyle name="_LCDTV_VSE WFP_100827-1_LCD_By Region" xfId="0"/>
    <cellStyle name="_LCDTV_VSE WFP_100827-1_LCD_CORP SG&amp;A" xfId="0"/>
    <cellStyle name="_LCDTV_VSE WFP_100827-1_LCD_LCD" xfId="0"/>
    <cellStyle name="_LCDTV_VSE WFP_100827-1_LCD_PJ" xfId="0"/>
    <cellStyle name="_LCDTV_VSE WFP_100827-1_PC Products" xfId="0"/>
    <cellStyle name="_LCDTV_VSE WFP_100827-1_PC Products 2" xfId="0"/>
    <cellStyle name="_LCDTV_VSE WFP_100827-1_PC Products 3" xfId="0"/>
    <cellStyle name="_LCDTV_VSE WFP_100827-1_PC Products 4" xfId="0"/>
    <cellStyle name="_LCDTV_VSE WFP_100827-1_PC Products 4 2" xfId="0"/>
    <cellStyle name="_LCDTV_VSE WFP_100827-1_PC Products_By Region" xfId="0"/>
    <cellStyle name="_LCDTV_VSE WFP_100827-1_PC Products_CORP SG&amp;A" xfId="0"/>
    <cellStyle name="_LCDTV_VSE WFP_100827-1_PC Products_LCD" xfId="0"/>
    <cellStyle name="_LCDTV_VSE WFP_100827-1_PC Products_PJ" xfId="0"/>
    <cellStyle name="_LCDTV_VSE WFP_100827-1_VSA 111014" xfId="0"/>
    <cellStyle name="_LCDTV_VSE WFP_100827-1_VSA 111014 2" xfId="0"/>
    <cellStyle name="_LCDTV_VSE WFP_100827-1_VSA 111014 3" xfId="0"/>
    <cellStyle name="_LCDTV_VSE WFP_100827-1_VSA 111014 4" xfId="0"/>
    <cellStyle name="_LCDTV_VSE WFP_100827-1_VSA 111014 4 2" xfId="0"/>
    <cellStyle name="_LCDTV_VSE WFP_100827-1_VSA 111014_By Region" xfId="0"/>
    <cellStyle name="_LCDTV_VSE WFP_100827-1_VSA 111014_CORP SG&amp;A" xfId="0"/>
    <cellStyle name="_LCDTV_VSE WFP_100827-1_VSA 111014_LCD" xfId="0"/>
    <cellStyle name="_LCDTV_VSE WFP_100827-1_VSA 111014_PJ" xfId="0"/>
    <cellStyle name="_LCDTV_VSE WFP_100827-1_VSA Roll-Up (LW)" xfId="0"/>
    <cellStyle name="_LCDTV_VSE WFP_100827-1_VSA Roll-Up (LW) 2" xfId="0"/>
    <cellStyle name="_LCDTV_VSE WFP_100827-1_VSA Roll-Up (LW) 3" xfId="0"/>
    <cellStyle name="_LCDTV_VSE WFP_100827-1_VSA Roll-Up (LW) 4" xfId="0"/>
    <cellStyle name="_LCDTV_VSE WFP_100827-1_VSA Roll-Up (LW) 4 2" xfId="0"/>
    <cellStyle name="_LCDTV_VSE WFP_100827-1_VSA Roll-Up (LW)_By Region" xfId="0"/>
    <cellStyle name="_LCDTV_VSE WFP_100827-1_VSA Roll-Up (LW)_CORP SG&amp;A" xfId="0"/>
    <cellStyle name="_LCDTV_VSE WFP_100827-1_VSA Roll-Up (LW)_LCD" xfId="0"/>
    <cellStyle name="_LCDTV_VSE WFP_100827-1_VSA Roll-Up (LW)_PJ" xfId="0"/>
    <cellStyle name="_LCDTV_VSE WFP_101001" xfId="0"/>
    <cellStyle name="_LCDTV_VSE WFP_101001 2" xfId="0"/>
    <cellStyle name="_LCDTV_VSE WFP_101001 3" xfId="0"/>
    <cellStyle name="_LCDTV_VSE WFP_101001 4" xfId="0"/>
    <cellStyle name="_LCDTV_VSE WFP_101001_By Region" xfId="0"/>
    <cellStyle name="_LCDTV_VSE WFP_101001_CORP SG&amp;A" xfId="0"/>
    <cellStyle name="_LCDTV_VSE WFP_101001_Digitizer" xfId="0"/>
    <cellStyle name="_LCDTV_VSE WFP_101001_GPS OTHER" xfId="0"/>
    <cellStyle name="_LCDTV_VSE WFP_101001_GPS OTHER 2" xfId="0"/>
    <cellStyle name="_LCDTV_VSE WFP_101001_GPS OTHER 3" xfId="0"/>
    <cellStyle name="_LCDTV_VSE WFP_101001_GPS OTHER 4" xfId="0"/>
    <cellStyle name="_LCDTV_VSE WFP_101001_GPS OTHER 4 2" xfId="0"/>
    <cellStyle name="_LCDTV_VSE WFP_101001_GPS OTHER_By Region" xfId="0"/>
    <cellStyle name="_LCDTV_VSE WFP_101001_GPS OTHER_CORP SG&amp;A" xfId="0"/>
    <cellStyle name="_LCDTV_VSE WFP_101001_GPS OTHER_LCD" xfId="0"/>
    <cellStyle name="_LCDTV_VSE WFP_101001_GPS OTHER_PJ" xfId="0"/>
    <cellStyle name="_LCDTV_VSE WFP_101001_LCD" xfId="0"/>
    <cellStyle name="_LCDTV_VSE WFP_101001_LCD 2" xfId="0"/>
    <cellStyle name="_LCDTV_VSE WFP_101001_LCD 3" xfId="0"/>
    <cellStyle name="_LCDTV_VSE WFP_101001_LCD 4" xfId="0"/>
    <cellStyle name="_LCDTV_VSE WFP_101001_LCD_By Region" xfId="0"/>
    <cellStyle name="_LCDTV_VSE WFP_101001_LCD_CORP SG&amp;A" xfId="0"/>
    <cellStyle name="_LCDTV_VSE WFP_101001_LCD_LCD" xfId="0"/>
    <cellStyle name="_LCDTV_VSE WFP_101001_LCD_PJ" xfId="0"/>
    <cellStyle name="_LCDTV_VSE WFP_101001_PC Products" xfId="0"/>
    <cellStyle name="_LCDTV_VSE WFP_101001_PC Products 2" xfId="0"/>
    <cellStyle name="_LCDTV_VSE WFP_101001_PC Products 3" xfId="0"/>
    <cellStyle name="_LCDTV_VSE WFP_101001_PC Products 4" xfId="0"/>
    <cellStyle name="_LCDTV_VSE WFP_101001_PC Products 4 2" xfId="0"/>
    <cellStyle name="_LCDTV_VSE WFP_101001_PC Products_By Region" xfId="0"/>
    <cellStyle name="_LCDTV_VSE WFP_101001_PC Products_CORP SG&amp;A" xfId="0"/>
    <cellStyle name="_LCDTV_VSE WFP_101001_PC Products_LCD" xfId="0"/>
    <cellStyle name="_LCDTV_VSE WFP_101001_PC Products_PJ" xfId="0"/>
    <cellStyle name="_LCDTV_VSE WFP_101001_VSA 111014" xfId="0"/>
    <cellStyle name="_LCDTV_VSE WFP_101001_VSA 111014 2" xfId="0"/>
    <cellStyle name="_LCDTV_VSE WFP_101001_VSA 111014 3" xfId="0"/>
    <cellStyle name="_LCDTV_VSE WFP_101001_VSA 111014 4" xfId="0"/>
    <cellStyle name="_LCDTV_VSE WFP_101001_VSA 111014 4 2" xfId="0"/>
    <cellStyle name="_LCDTV_VSE WFP_101001_VSA 111014_By Region" xfId="0"/>
    <cellStyle name="_LCDTV_VSE WFP_101001_VSA 111014_CORP SG&amp;A" xfId="0"/>
    <cellStyle name="_LCDTV_VSE WFP_101001_VSA 111014_LCD" xfId="0"/>
    <cellStyle name="_LCDTV_VSE WFP_101001_VSA 111014_PJ" xfId="0"/>
    <cellStyle name="_LCDTV_VSE WFP_101001_VSA Roll-Up (LW)" xfId="0"/>
    <cellStyle name="_LCDTV_VSE WFP_101001_VSA Roll-Up (LW) 2" xfId="0"/>
    <cellStyle name="_LCDTV_VSE WFP_101001_VSA Roll-Up (LW) 3" xfId="0"/>
    <cellStyle name="_LCDTV_VSE WFP_101001_VSA Roll-Up (LW) 4" xfId="0"/>
    <cellStyle name="_LCDTV_VSE WFP_101001_VSA Roll-Up (LW) 4 2" xfId="0"/>
    <cellStyle name="_LCDTV_VSE WFP_101001_VSA Roll-Up (LW)_By Region" xfId="0"/>
    <cellStyle name="_LCDTV_VSE WFP_101001_VSA Roll-Up (LW)_CORP SG&amp;A" xfId="0"/>
    <cellStyle name="_LCDTV_VSE WFP_101001_VSA Roll-Up (LW)_LCD" xfId="0"/>
    <cellStyle name="_LCDTV_VSE WFP_101001_VSA Roll-Up (LW)_PJ" xfId="0"/>
    <cellStyle name="_LCDTV_VSE WFP_101029-with more ViewPad 7" xfId="0"/>
    <cellStyle name="_LCDTV_VSE WFP_101029-with more ViewPad 7 2" xfId="0"/>
    <cellStyle name="_LCDTV_VSE WFP_101029-with more ViewPad 7 3" xfId="0"/>
    <cellStyle name="_LCDTV_VSE WFP_101029-with more ViewPad 7 4" xfId="0"/>
    <cellStyle name="_LCDTV_VSE WFP_101029-with more ViewPad 7_By Region" xfId="0"/>
    <cellStyle name="_LCDTV_VSE WFP_101029-with more ViewPad 7_CORP SG&amp;A" xfId="0"/>
    <cellStyle name="_LCDTV_VSE WFP_101029-with more ViewPad 7_Digitizer" xfId="0"/>
    <cellStyle name="_LCDTV_VSE WFP_101029-with more ViewPad 7_GPS OTHER" xfId="0"/>
    <cellStyle name="_LCDTV_VSE WFP_101029-with more ViewPad 7_GPS OTHER 2" xfId="0"/>
    <cellStyle name="_LCDTV_VSE WFP_101029-with more ViewPad 7_GPS OTHER 3" xfId="0"/>
    <cellStyle name="_LCDTV_VSE WFP_101029-with more ViewPad 7_GPS OTHER 4" xfId="0"/>
    <cellStyle name="_LCDTV_VSE WFP_101029-with more ViewPad 7_GPS OTHER 4 2" xfId="0"/>
    <cellStyle name="_LCDTV_VSE WFP_101029-with more ViewPad 7_GPS OTHER_By Region" xfId="0"/>
    <cellStyle name="_LCDTV_VSE WFP_101029-with more ViewPad 7_GPS OTHER_CORP SG&amp;A" xfId="0"/>
    <cellStyle name="_LCDTV_VSE WFP_101029-with more ViewPad 7_GPS OTHER_LCD" xfId="0"/>
    <cellStyle name="_LCDTV_VSE WFP_101029-with more ViewPad 7_GPS OTHER_PJ" xfId="0"/>
    <cellStyle name="_LCDTV_VSE WFP_101029-with more ViewPad 7_LCD" xfId="0"/>
    <cellStyle name="_LCDTV_VSE WFP_101029-with more ViewPad 7_LCD 2" xfId="0"/>
    <cellStyle name="_LCDTV_VSE WFP_101029-with more ViewPad 7_LCD 3" xfId="0"/>
    <cellStyle name="_LCDTV_VSE WFP_101029-with more ViewPad 7_LCD 4" xfId="0"/>
    <cellStyle name="_LCDTV_VSE WFP_101029-with more ViewPad 7_LCD_By Region" xfId="0"/>
    <cellStyle name="_LCDTV_VSE WFP_101029-with more ViewPad 7_LCD_CORP SG&amp;A" xfId="0"/>
    <cellStyle name="_LCDTV_VSE WFP_101029-with more ViewPad 7_LCD_LCD" xfId="0"/>
    <cellStyle name="_LCDTV_VSE WFP_101029-with more ViewPad 7_LCD_PJ" xfId="0"/>
    <cellStyle name="_LCDTV_VSE WFP_101029-with more ViewPad 7_PC Products" xfId="0"/>
    <cellStyle name="_LCDTV_VSE WFP_101029-with more ViewPad 7_PC Products 2" xfId="0"/>
    <cellStyle name="_LCDTV_VSE WFP_101029-with more ViewPad 7_PC Products 3" xfId="0"/>
    <cellStyle name="_LCDTV_VSE WFP_101029-with more ViewPad 7_PC Products 4" xfId="0"/>
    <cellStyle name="_LCDTV_VSE WFP_101029-with more ViewPad 7_PC Products 4 2" xfId="0"/>
    <cellStyle name="_LCDTV_VSE WFP_101029-with more ViewPad 7_PC Products_By Region" xfId="0"/>
    <cellStyle name="_LCDTV_VSE WFP_101029-with more ViewPad 7_PC Products_CORP SG&amp;A" xfId="0"/>
    <cellStyle name="_LCDTV_VSE WFP_101029-with more ViewPad 7_PC Products_LCD" xfId="0"/>
    <cellStyle name="_LCDTV_VSE WFP_101029-with more ViewPad 7_PC Products_PJ" xfId="0"/>
    <cellStyle name="_LCDTV_VSE WFP_101029-with more ViewPad 7_VSA 111014" xfId="0"/>
    <cellStyle name="_LCDTV_VSE WFP_101029-with more ViewPad 7_VSA 111014 2" xfId="0"/>
    <cellStyle name="_LCDTV_VSE WFP_101029-with more ViewPad 7_VSA 111014 3" xfId="0"/>
    <cellStyle name="_LCDTV_VSE WFP_101029-with more ViewPad 7_VSA 111014 4" xfId="0"/>
    <cellStyle name="_LCDTV_VSE WFP_101029-with more ViewPad 7_VSA 111014 4 2" xfId="0"/>
    <cellStyle name="_LCDTV_VSE WFP_101029-with more ViewPad 7_VSA 111014_By Region" xfId="0"/>
    <cellStyle name="_LCDTV_VSE WFP_101029-with more ViewPad 7_VSA 111014_CORP SG&amp;A" xfId="0"/>
    <cellStyle name="_LCDTV_VSE WFP_101029-with more ViewPad 7_VSA 111014_LCD" xfId="0"/>
    <cellStyle name="_LCDTV_VSE WFP_101029-with more ViewPad 7_VSA 111014_PJ" xfId="0"/>
    <cellStyle name="_LCDTV_VSE WFP_101029-with more ViewPad 7_VSA Roll-Up (LW)" xfId="0"/>
    <cellStyle name="_LCDTV_VSE WFP_101029-with more ViewPad 7_VSA Roll-Up (LW) 2" xfId="0"/>
    <cellStyle name="_LCDTV_VSE WFP_101029-with more ViewPad 7_VSA Roll-Up (LW) 3" xfId="0"/>
    <cellStyle name="_LCDTV_VSE WFP_101029-with more ViewPad 7_VSA Roll-Up (LW) 4" xfId="0"/>
    <cellStyle name="_LCDTV_VSE WFP_101029-with more ViewPad 7_VSA Roll-Up (LW) 4 2" xfId="0"/>
    <cellStyle name="_LCDTV_VSE WFP_101029-with more ViewPad 7_VSA Roll-Up (LW)_By Region" xfId="0"/>
    <cellStyle name="_LCDTV_VSE WFP_101029-with more ViewPad 7_VSA Roll-Up (LW)_CORP SG&amp;A" xfId="0"/>
    <cellStyle name="_LCDTV_VSE WFP_101029-with more ViewPad 7_VSA Roll-Up (LW)_LCD" xfId="0"/>
    <cellStyle name="_LCDTV_VSE WFP_101029-with more ViewPad 7_VSA Roll-Up (LW)_PJ" xfId="0"/>
    <cellStyle name="_LCM analysis" xfId="0"/>
    <cellStyle name="_LCM analysis 2" xfId="0"/>
    <cellStyle name="_Lookup - Product Warranty VSE-1" xfId="0"/>
    <cellStyle name="_Lookup - Product Warranty VSE-1 2" xfId="0"/>
    <cellStyle name="_Lookup - Product Warranty VSI" xfId="0"/>
    <cellStyle name="_Lookup - Product Warranty VSI 2" xfId="0"/>
    <cellStyle name="_Mar" xfId="0"/>
    <cellStyle name="_Mar 2" xfId="0"/>
    <cellStyle name="_margin-10" xfId="0"/>
    <cellStyle name="_margin-10 2" xfId="0"/>
    <cellStyle name="_margin-10_CORP SG&amp;A" xfId="0"/>
    <cellStyle name="_master" xfId="0"/>
    <cellStyle name="_master 2" xfId="0"/>
    <cellStyle name="_May 08 Margin" xfId="0"/>
    <cellStyle name="_May 08 Margin 2" xfId="0"/>
    <cellStyle name="_May-10" xfId="0"/>
    <cellStyle name="_May-10 2" xfId="0"/>
    <cellStyle name="_MNT" xfId="0"/>
    <cellStyle name="_MNT 2" xfId="0"/>
    <cellStyle name="_MNT 3" xfId="0"/>
    <cellStyle name="_MNT 4" xfId="0"/>
    <cellStyle name="_MNT 5" xfId="0"/>
    <cellStyle name="_MNT_By Region" xfId="0"/>
    <cellStyle name="_MNT_CIS" xfId="0"/>
    <cellStyle name="_MNT_CIS 2" xfId="0"/>
    <cellStyle name="_MNT_CIS 3" xfId="0"/>
    <cellStyle name="_MNT_CIS 4" xfId="0"/>
    <cellStyle name="_MNT_CIS_By Region" xfId="0"/>
    <cellStyle name="_MNT_CIS_CORP SG&amp;A" xfId="0"/>
    <cellStyle name="_MNT_CIS_Digitizer" xfId="0"/>
    <cellStyle name="_MNT_CIS_GPS OTHER" xfId="0"/>
    <cellStyle name="_MNT_CIS_GPS OTHER 2" xfId="0"/>
    <cellStyle name="_MNT_CIS_GPS OTHER 3" xfId="0"/>
    <cellStyle name="_MNT_CIS_GPS OTHER 4" xfId="0"/>
    <cellStyle name="_MNT_CIS_GPS OTHER 4 2" xfId="0"/>
    <cellStyle name="_MNT_CIS_GPS OTHER_By Region" xfId="0"/>
    <cellStyle name="_MNT_CIS_GPS OTHER_CORP SG&amp;A" xfId="0"/>
    <cellStyle name="_MNT_CIS_GPS OTHER_LCD" xfId="0"/>
    <cellStyle name="_MNT_CIS_GPS OTHER_PJ" xfId="0"/>
    <cellStyle name="_MNT_CIS_LCD" xfId="0"/>
    <cellStyle name="_MNT_CIS_LCD 2" xfId="0"/>
    <cellStyle name="_MNT_CIS_LCD 3" xfId="0"/>
    <cellStyle name="_MNT_CIS_LCD 4" xfId="0"/>
    <cellStyle name="_MNT_CIS_LCD_By Region" xfId="0"/>
    <cellStyle name="_MNT_CIS_LCD_CORP SG&amp;A" xfId="0"/>
    <cellStyle name="_MNT_CIS_LCD_LCD" xfId="0"/>
    <cellStyle name="_MNT_CIS_LCD_PJ" xfId="0"/>
    <cellStyle name="_MNT_CIS_PC Products" xfId="0"/>
    <cellStyle name="_MNT_CIS_PC Products 2" xfId="0"/>
    <cellStyle name="_MNT_CIS_PC Products 3" xfId="0"/>
    <cellStyle name="_MNT_CIS_PC Products 4" xfId="0"/>
    <cellStyle name="_MNT_CIS_PC Products 4 2" xfId="0"/>
    <cellStyle name="_MNT_CIS_PC Products_By Region" xfId="0"/>
    <cellStyle name="_MNT_CIS_PC Products_CORP SG&amp;A" xfId="0"/>
    <cellStyle name="_MNT_CIS_PC Products_LCD" xfId="0"/>
    <cellStyle name="_MNT_CIS_PC Products_PJ" xfId="0"/>
    <cellStyle name="_MNT_CIS_VSA 111014" xfId="0"/>
    <cellStyle name="_MNT_CIS_VSA 111014 2" xfId="0"/>
    <cellStyle name="_MNT_CIS_VSA 111014 3" xfId="0"/>
    <cellStyle name="_MNT_CIS_VSA 111014 4" xfId="0"/>
    <cellStyle name="_MNT_CIS_VSA 111014 4 2" xfId="0"/>
    <cellStyle name="_MNT_CIS_VSA 111014_By Region" xfId="0"/>
    <cellStyle name="_MNT_CIS_VSA 111014_CORP SG&amp;A" xfId="0"/>
    <cellStyle name="_MNT_CIS_VSA 111014_LCD" xfId="0"/>
    <cellStyle name="_MNT_CIS_VSA 111014_PJ" xfId="0"/>
    <cellStyle name="_MNT_CIS_VSA Roll-Up (LW)" xfId="0"/>
    <cellStyle name="_MNT_CIS_VSA Roll-Up (LW) 2" xfId="0"/>
    <cellStyle name="_MNT_CIS_VSA Roll-Up (LW) 3" xfId="0"/>
    <cellStyle name="_MNT_CIS_VSA Roll-Up (LW) 4" xfId="0"/>
    <cellStyle name="_MNT_CIS_VSA Roll-Up (LW) 4 2" xfId="0"/>
    <cellStyle name="_MNT_CIS_VSA Roll-Up (LW)_By Region" xfId="0"/>
    <cellStyle name="_MNT_CIS_VSA Roll-Up (LW)_CORP SG&amp;A" xfId="0"/>
    <cellStyle name="_MNT_CIS_VSA Roll-Up (LW)_LCD" xfId="0"/>
    <cellStyle name="_MNT_CIS_VSA Roll-Up (LW)_PJ" xfId="0"/>
    <cellStyle name="_MNT_CORP SG&amp;A" xfId="0"/>
    <cellStyle name="_MNT_CRT" xfId="0"/>
    <cellStyle name="_MNT_CRT 2" xfId="0"/>
    <cellStyle name="_MNT_CRT 3" xfId="0"/>
    <cellStyle name="_MNT_CRT 4" xfId="0"/>
    <cellStyle name="_MNT_CRT_By Region" xfId="0"/>
    <cellStyle name="_MNT_CRT_CORP SG&amp;A" xfId="0"/>
    <cellStyle name="_MNT_CRT_Digitizer" xfId="0"/>
    <cellStyle name="_MNT_CRT_GPS OTHER" xfId="0"/>
    <cellStyle name="_MNT_CRT_GPS OTHER 2" xfId="0"/>
    <cellStyle name="_MNT_CRT_GPS OTHER 3" xfId="0"/>
    <cellStyle name="_MNT_CRT_GPS OTHER 4" xfId="0"/>
    <cellStyle name="_MNT_CRT_GPS OTHER 4 2" xfId="0"/>
    <cellStyle name="_MNT_CRT_GPS OTHER_By Region" xfId="0"/>
    <cellStyle name="_MNT_CRT_GPS OTHER_CORP SG&amp;A" xfId="0"/>
    <cellStyle name="_MNT_CRT_GPS OTHER_LCD" xfId="0"/>
    <cellStyle name="_MNT_CRT_GPS OTHER_PJ" xfId="0"/>
    <cellStyle name="_MNT_CRT_LCD" xfId="0"/>
    <cellStyle name="_MNT_CRT_LCD 2" xfId="0"/>
    <cellStyle name="_MNT_CRT_LCD 3" xfId="0"/>
    <cellStyle name="_MNT_CRT_LCD 4" xfId="0"/>
    <cellStyle name="_MNT_CRT_LCD_By Region" xfId="0"/>
    <cellStyle name="_MNT_CRT_LCD_CORP SG&amp;A" xfId="0"/>
    <cellStyle name="_MNT_CRT_LCD_LCD" xfId="0"/>
    <cellStyle name="_MNT_CRT_LCD_PJ" xfId="0"/>
    <cellStyle name="_MNT_CRT_PC Products" xfId="0"/>
    <cellStyle name="_MNT_CRT_PC Products 2" xfId="0"/>
    <cellStyle name="_MNT_CRT_PC Products 3" xfId="0"/>
    <cellStyle name="_MNT_CRT_PC Products 4" xfId="0"/>
    <cellStyle name="_MNT_CRT_PC Products 4 2" xfId="0"/>
    <cellStyle name="_MNT_CRT_PC Products_By Region" xfId="0"/>
    <cellStyle name="_MNT_CRT_PC Products_CORP SG&amp;A" xfId="0"/>
    <cellStyle name="_MNT_CRT_PC Products_LCD" xfId="0"/>
    <cellStyle name="_MNT_CRT_PC Products_PJ" xfId="0"/>
    <cellStyle name="_MNT_CRT_VSA 111014" xfId="0"/>
    <cellStyle name="_MNT_CRT_VSA 111014 2" xfId="0"/>
    <cellStyle name="_MNT_CRT_VSA 111014 3" xfId="0"/>
    <cellStyle name="_MNT_CRT_VSA 111014 4" xfId="0"/>
    <cellStyle name="_MNT_CRT_VSA 111014 4 2" xfId="0"/>
    <cellStyle name="_MNT_CRT_VSA 111014_By Region" xfId="0"/>
    <cellStyle name="_MNT_CRT_VSA 111014_CORP SG&amp;A" xfId="0"/>
    <cellStyle name="_MNT_CRT_VSA 111014_LCD" xfId="0"/>
    <cellStyle name="_MNT_CRT_VSA 111014_PJ" xfId="0"/>
    <cellStyle name="_MNT_CRT_VSA Roll-Up (LW)" xfId="0"/>
    <cellStyle name="_MNT_CRT_VSA Roll-Up (LW) 2" xfId="0"/>
    <cellStyle name="_MNT_CRT_VSA Roll-Up (LW) 3" xfId="0"/>
    <cellStyle name="_MNT_CRT_VSA Roll-Up (LW) 4" xfId="0"/>
    <cellStyle name="_MNT_CRT_VSA Roll-Up (LW) 4 2" xfId="0"/>
    <cellStyle name="_MNT_CRT_VSA Roll-Up (LW)_By Region" xfId="0"/>
    <cellStyle name="_MNT_CRT_VSA Roll-Up (LW)_CORP SG&amp;A" xfId="0"/>
    <cellStyle name="_MNT_CRT_VSA Roll-Up (LW)_LCD" xfId="0"/>
    <cellStyle name="_MNT_CRT_VSA Roll-Up (LW)_PJ" xfId="0"/>
    <cellStyle name="_MNT_Diff" xfId="0"/>
    <cellStyle name="_MNT_Diff 2" xfId="0"/>
    <cellStyle name="_MNT_Diff 3" xfId="0"/>
    <cellStyle name="_MNT_Diff 4" xfId="0"/>
    <cellStyle name="_MNT_Diff_By Region" xfId="0"/>
    <cellStyle name="_MNT_Diff_CORP SG&amp;A" xfId="0"/>
    <cellStyle name="_MNT_Diff_Digitizer" xfId="0"/>
    <cellStyle name="_MNT_Diff_GPS OTHER" xfId="0"/>
    <cellStyle name="_MNT_Diff_GPS OTHER 2" xfId="0"/>
    <cellStyle name="_MNT_Diff_GPS OTHER 3" xfId="0"/>
    <cellStyle name="_MNT_Diff_GPS OTHER 4" xfId="0"/>
    <cellStyle name="_MNT_Diff_GPS OTHER 4 2" xfId="0"/>
    <cellStyle name="_MNT_Diff_GPS OTHER_By Region" xfId="0"/>
    <cellStyle name="_MNT_Diff_GPS OTHER_CORP SG&amp;A" xfId="0"/>
    <cellStyle name="_MNT_Diff_GPS OTHER_LCD" xfId="0"/>
    <cellStyle name="_MNT_Diff_GPS OTHER_PJ" xfId="0"/>
    <cellStyle name="_MNT_Diff_LCD" xfId="0"/>
    <cellStyle name="_MNT_Diff_LCD 2" xfId="0"/>
    <cellStyle name="_MNT_Diff_LCD 3" xfId="0"/>
    <cellStyle name="_MNT_Diff_LCD 4" xfId="0"/>
    <cellStyle name="_MNT_Diff_LCD_By Region" xfId="0"/>
    <cellStyle name="_MNT_Diff_LCD_CORP SG&amp;A" xfId="0"/>
    <cellStyle name="_MNT_Diff_LCD_LCD" xfId="0"/>
    <cellStyle name="_MNT_Diff_LCD_PJ" xfId="0"/>
    <cellStyle name="_MNT_Diff_PC Products" xfId="0"/>
    <cellStyle name="_MNT_Diff_PC Products 2" xfId="0"/>
    <cellStyle name="_MNT_Diff_PC Products 3" xfId="0"/>
    <cellStyle name="_MNT_Diff_PC Products 4" xfId="0"/>
    <cellStyle name="_MNT_Diff_PC Products 4 2" xfId="0"/>
    <cellStyle name="_MNT_Diff_PC Products_By Region" xfId="0"/>
    <cellStyle name="_MNT_Diff_PC Products_CORP SG&amp;A" xfId="0"/>
    <cellStyle name="_MNT_Diff_PC Products_LCD" xfId="0"/>
    <cellStyle name="_MNT_Diff_PC Products_PJ" xfId="0"/>
    <cellStyle name="_MNT_Diff_VSA 111014" xfId="0"/>
    <cellStyle name="_MNT_Diff_VSA 111014 2" xfId="0"/>
    <cellStyle name="_MNT_Diff_VSA 111014 3" xfId="0"/>
    <cellStyle name="_MNT_Diff_VSA 111014 4" xfId="0"/>
    <cellStyle name="_MNT_Diff_VSA 111014 4 2" xfId="0"/>
    <cellStyle name="_MNT_Diff_VSA 111014_By Region" xfId="0"/>
    <cellStyle name="_MNT_Diff_VSA 111014_CORP SG&amp;A" xfId="0"/>
    <cellStyle name="_MNT_Diff_VSA 111014_LCD" xfId="0"/>
    <cellStyle name="_MNT_Diff_VSA 111014_PJ" xfId="0"/>
    <cellStyle name="_MNT_Diff_VSA Roll-Up (LW)" xfId="0"/>
    <cellStyle name="_MNT_Diff_VSA Roll-Up (LW) 2" xfId="0"/>
    <cellStyle name="_MNT_Diff_VSA Roll-Up (LW) 3" xfId="0"/>
    <cellStyle name="_MNT_Diff_VSA Roll-Up (LW) 4" xfId="0"/>
    <cellStyle name="_MNT_Diff_VSA Roll-Up (LW) 4 2" xfId="0"/>
    <cellStyle name="_MNT_Diff_VSA Roll-Up (LW)_By Region" xfId="0"/>
    <cellStyle name="_MNT_Diff_VSA Roll-Up (LW)_CORP SG&amp;A" xfId="0"/>
    <cellStyle name="_MNT_Diff_VSA Roll-Up (LW)_LCD" xfId="0"/>
    <cellStyle name="_MNT_Diff_VSA Roll-Up (LW)_PJ" xfId="0"/>
    <cellStyle name="_MNT_Digital Product" xfId="0"/>
    <cellStyle name="_MNT_Digital Product 2" xfId="0"/>
    <cellStyle name="_MNT_Digital Product 3" xfId="0"/>
    <cellStyle name="_MNT_Digital Product 4" xfId="0"/>
    <cellStyle name="_MNT_Digital Product_By Region" xfId="0"/>
    <cellStyle name="_MNT_Digital Product_CORP SG&amp;A" xfId="0"/>
    <cellStyle name="_MNT_Digital Product_Digitizer" xfId="0"/>
    <cellStyle name="_MNT_Digital Product_GPS OTHER" xfId="0"/>
    <cellStyle name="_MNT_Digital Product_GPS OTHER 2" xfId="0"/>
    <cellStyle name="_MNT_Digital Product_GPS OTHER 3" xfId="0"/>
    <cellStyle name="_MNT_Digital Product_GPS OTHER 4" xfId="0"/>
    <cellStyle name="_MNT_Digital Product_GPS OTHER 4 2" xfId="0"/>
    <cellStyle name="_MNT_Digital Product_GPS OTHER_By Region" xfId="0"/>
    <cellStyle name="_MNT_Digital Product_GPS OTHER_CORP SG&amp;A" xfId="0"/>
    <cellStyle name="_MNT_Digital Product_GPS OTHER_LCD" xfId="0"/>
    <cellStyle name="_MNT_Digital Product_GPS OTHER_PJ" xfId="0"/>
    <cellStyle name="_MNT_Digital Product_LCD" xfId="0"/>
    <cellStyle name="_MNT_Digital Product_LCD 2" xfId="0"/>
    <cellStyle name="_MNT_Digital Product_LCD 3" xfId="0"/>
    <cellStyle name="_MNT_Digital Product_LCD 4" xfId="0"/>
    <cellStyle name="_MNT_Digital Product_LCD_By Region" xfId="0"/>
    <cellStyle name="_MNT_Digital Product_LCD_CORP SG&amp;A" xfId="0"/>
    <cellStyle name="_MNT_Digital Product_LCD_LCD" xfId="0"/>
    <cellStyle name="_MNT_Digital Product_LCD_PJ" xfId="0"/>
    <cellStyle name="_MNT_Digital Product_PC Products" xfId="0"/>
    <cellStyle name="_MNT_Digital Product_PC Products 2" xfId="0"/>
    <cellStyle name="_MNT_Digital Product_PC Products 3" xfId="0"/>
    <cellStyle name="_MNT_Digital Product_PC Products 4" xfId="0"/>
    <cellStyle name="_MNT_Digital Product_PC Products 4 2" xfId="0"/>
    <cellStyle name="_MNT_Digital Product_PC Products_By Region" xfId="0"/>
    <cellStyle name="_MNT_Digital Product_PC Products_CORP SG&amp;A" xfId="0"/>
    <cellStyle name="_MNT_Digital Product_PC Products_LCD" xfId="0"/>
    <cellStyle name="_MNT_Digital Product_PC Products_PJ" xfId="0"/>
    <cellStyle name="_MNT_Digital Product_VSA 111014" xfId="0"/>
    <cellStyle name="_MNT_Digital Product_VSA 111014 2" xfId="0"/>
    <cellStyle name="_MNT_Digital Product_VSA 111014 3" xfId="0"/>
    <cellStyle name="_MNT_Digital Product_VSA 111014 4" xfId="0"/>
    <cellStyle name="_MNT_Digital Product_VSA 111014 4 2" xfId="0"/>
    <cellStyle name="_MNT_Digital Product_VSA 111014_By Region" xfId="0"/>
    <cellStyle name="_MNT_Digital Product_VSA 111014_CORP SG&amp;A" xfId="0"/>
    <cellStyle name="_MNT_Digital Product_VSA 111014_LCD" xfId="0"/>
    <cellStyle name="_MNT_Digital Product_VSA 111014_PJ" xfId="0"/>
    <cellStyle name="_MNT_Digital Product_VSA Roll-Up (LW)" xfId="0"/>
    <cellStyle name="_MNT_Digital Product_VSA Roll-Up (LW) 2" xfId="0"/>
    <cellStyle name="_MNT_Digital Product_VSA Roll-Up (LW) 3" xfId="0"/>
    <cellStyle name="_MNT_Digital Product_VSA Roll-Up (LW) 4" xfId="0"/>
    <cellStyle name="_MNT_Digital Product_VSA Roll-Up (LW) 4 2" xfId="0"/>
    <cellStyle name="_MNT_Digital Product_VSA Roll-Up (LW)_By Region" xfId="0"/>
    <cellStyle name="_MNT_Digital Product_VSA Roll-Up (LW)_CORP SG&amp;A" xfId="0"/>
    <cellStyle name="_MNT_Digital Product_VSA Roll-Up (LW)_LCD" xfId="0"/>
    <cellStyle name="_MNT_Digital Product_VSA Roll-Up (LW)_PJ" xfId="0"/>
    <cellStyle name="_MNT_Digital Signage" xfId="0"/>
    <cellStyle name="_MNT_Digital Signage 2" xfId="0"/>
    <cellStyle name="_MNT_Digital Signage 3" xfId="0"/>
    <cellStyle name="_MNT_Digital Signage 4" xfId="0"/>
    <cellStyle name="_MNT_Digital Signage_By Region" xfId="0"/>
    <cellStyle name="_MNT_Digital Signage_CORP SG&amp;A" xfId="0"/>
    <cellStyle name="_MNT_Digital Signage_Digitizer" xfId="0"/>
    <cellStyle name="_MNT_Digital Signage_GPS OTHER" xfId="0"/>
    <cellStyle name="_MNT_Digital Signage_GPS OTHER 2" xfId="0"/>
    <cellStyle name="_MNT_Digital Signage_GPS OTHER 3" xfId="0"/>
    <cellStyle name="_MNT_Digital Signage_GPS OTHER 4" xfId="0"/>
    <cellStyle name="_MNT_Digital Signage_GPS OTHER 4 2" xfId="0"/>
    <cellStyle name="_MNT_Digital Signage_GPS OTHER_By Region" xfId="0"/>
    <cellStyle name="_MNT_Digital Signage_GPS OTHER_CORP SG&amp;A" xfId="0"/>
    <cellStyle name="_MNT_Digital Signage_GPS OTHER_LCD" xfId="0"/>
    <cellStyle name="_MNT_Digital Signage_GPS OTHER_PJ" xfId="0"/>
    <cellStyle name="_MNT_Digital Signage_LCD" xfId="0"/>
    <cellStyle name="_MNT_Digital Signage_LCD 2" xfId="0"/>
    <cellStyle name="_MNT_Digital Signage_LCD 3" xfId="0"/>
    <cellStyle name="_MNT_Digital Signage_LCD 4" xfId="0"/>
    <cellStyle name="_MNT_Digital Signage_LCD_By Region" xfId="0"/>
    <cellStyle name="_MNT_Digital Signage_LCD_CORP SG&amp;A" xfId="0"/>
    <cellStyle name="_MNT_Digital Signage_LCD_LCD" xfId="0"/>
    <cellStyle name="_MNT_Digital Signage_LCD_PJ" xfId="0"/>
    <cellStyle name="_MNT_Digital Signage_PC Products" xfId="0"/>
    <cellStyle name="_MNT_Digital Signage_PC Products 2" xfId="0"/>
    <cellStyle name="_MNT_Digital Signage_PC Products 3" xfId="0"/>
    <cellStyle name="_MNT_Digital Signage_PC Products 4" xfId="0"/>
    <cellStyle name="_MNT_Digital Signage_PC Products 4 2" xfId="0"/>
    <cellStyle name="_MNT_Digital Signage_PC Products_By Region" xfId="0"/>
    <cellStyle name="_MNT_Digital Signage_PC Products_CORP SG&amp;A" xfId="0"/>
    <cellStyle name="_MNT_Digital Signage_PC Products_LCD" xfId="0"/>
    <cellStyle name="_MNT_Digital Signage_PC Products_PJ" xfId="0"/>
    <cellStyle name="_MNT_Digital Signage_VSA 111014" xfId="0"/>
    <cellStyle name="_MNT_Digital Signage_VSA 111014 2" xfId="0"/>
    <cellStyle name="_MNT_Digital Signage_VSA 111014 3" xfId="0"/>
    <cellStyle name="_MNT_Digital Signage_VSA 111014 4" xfId="0"/>
    <cellStyle name="_MNT_Digital Signage_VSA 111014 4 2" xfId="0"/>
    <cellStyle name="_MNT_Digital Signage_VSA 111014_By Region" xfId="0"/>
    <cellStyle name="_MNT_Digital Signage_VSA 111014_CORP SG&amp;A" xfId="0"/>
    <cellStyle name="_MNT_Digital Signage_VSA 111014_LCD" xfId="0"/>
    <cellStyle name="_MNT_Digital Signage_VSA 111014_PJ" xfId="0"/>
    <cellStyle name="_MNT_Digital Signage_VSA Roll-Up (LW)" xfId="0"/>
    <cellStyle name="_MNT_Digital Signage_VSA Roll-Up (LW) 2" xfId="0"/>
    <cellStyle name="_MNT_Digital Signage_VSA Roll-Up (LW) 3" xfId="0"/>
    <cellStyle name="_MNT_Digital Signage_VSA Roll-Up (LW) 4" xfId="0"/>
    <cellStyle name="_MNT_Digital Signage_VSA Roll-Up (LW) 4 2" xfId="0"/>
    <cellStyle name="_MNT_Digital Signage_VSA Roll-Up (LW)_By Region" xfId="0"/>
    <cellStyle name="_MNT_Digital Signage_VSA Roll-Up (LW)_CORP SG&amp;A" xfId="0"/>
    <cellStyle name="_MNT_Digital Signage_VSA Roll-Up (LW)_LCD" xfId="0"/>
    <cellStyle name="_MNT_Digital Signage_VSA Roll-Up (LW)_PJ" xfId="0"/>
    <cellStyle name="_MNT_Digitizer" xfId="0"/>
    <cellStyle name="_MNT_DMA(VMP)" xfId="0"/>
    <cellStyle name="_MNT_DMA(VMP) 2" xfId="0"/>
    <cellStyle name="_MNT_DMA(VMP) 3" xfId="0"/>
    <cellStyle name="_MNT_DMA(VMP) 4" xfId="0"/>
    <cellStyle name="_MNT_DMA(VMP)_By Region" xfId="0"/>
    <cellStyle name="_MNT_DMA(VMP)_CORP SG&amp;A" xfId="0"/>
    <cellStyle name="_MNT_DMA(VMP)_Digitizer" xfId="0"/>
    <cellStyle name="_MNT_DMA(VMP)_GPS OTHER" xfId="0"/>
    <cellStyle name="_MNT_DMA(VMP)_GPS OTHER 2" xfId="0"/>
    <cellStyle name="_MNT_DMA(VMP)_GPS OTHER 3" xfId="0"/>
    <cellStyle name="_MNT_DMA(VMP)_GPS OTHER 4" xfId="0"/>
    <cellStyle name="_MNT_DMA(VMP)_GPS OTHER 4 2" xfId="0"/>
    <cellStyle name="_MNT_DMA(VMP)_GPS OTHER_By Region" xfId="0"/>
    <cellStyle name="_MNT_DMA(VMP)_GPS OTHER_CORP SG&amp;A" xfId="0"/>
    <cellStyle name="_MNT_DMA(VMP)_GPS OTHER_LCD" xfId="0"/>
    <cellStyle name="_MNT_DMA(VMP)_GPS OTHER_PJ" xfId="0"/>
    <cellStyle name="_MNT_DMA(VMP)_LCD" xfId="0"/>
    <cellStyle name="_MNT_DMA(VMP)_LCD 2" xfId="0"/>
    <cellStyle name="_MNT_DMA(VMP)_LCD 3" xfId="0"/>
    <cellStyle name="_MNT_DMA(VMP)_LCD 4" xfId="0"/>
    <cellStyle name="_MNT_DMA(VMP)_LCD_By Region" xfId="0"/>
    <cellStyle name="_MNT_DMA(VMP)_LCD_CORP SG&amp;A" xfId="0"/>
    <cellStyle name="_MNT_DMA(VMP)_LCD_LCD" xfId="0"/>
    <cellStyle name="_MNT_DMA(VMP)_LCD_PJ" xfId="0"/>
    <cellStyle name="_MNT_DMA(VMP)_PC Products" xfId="0"/>
    <cellStyle name="_MNT_DMA(VMP)_PC Products 2" xfId="0"/>
    <cellStyle name="_MNT_DMA(VMP)_PC Products 3" xfId="0"/>
    <cellStyle name="_MNT_DMA(VMP)_PC Products 4" xfId="0"/>
    <cellStyle name="_MNT_DMA(VMP)_PC Products 4 2" xfId="0"/>
    <cellStyle name="_MNT_DMA(VMP)_PC Products_By Region" xfId="0"/>
    <cellStyle name="_MNT_DMA(VMP)_PC Products_CORP SG&amp;A" xfId="0"/>
    <cellStyle name="_MNT_DMA(VMP)_PC Products_LCD" xfId="0"/>
    <cellStyle name="_MNT_DMA(VMP)_PC Products_PJ" xfId="0"/>
    <cellStyle name="_MNT_DMA(VMP)_VSA 111014" xfId="0"/>
    <cellStyle name="_MNT_DMA(VMP)_VSA 111014 2" xfId="0"/>
    <cellStyle name="_MNT_DMA(VMP)_VSA 111014 3" xfId="0"/>
    <cellStyle name="_MNT_DMA(VMP)_VSA 111014 4" xfId="0"/>
    <cellStyle name="_MNT_DMA(VMP)_VSA 111014 4 2" xfId="0"/>
    <cellStyle name="_MNT_DMA(VMP)_VSA 111014_By Region" xfId="0"/>
    <cellStyle name="_MNT_DMA(VMP)_VSA 111014_CORP SG&amp;A" xfId="0"/>
    <cellStyle name="_MNT_DMA(VMP)_VSA 111014_LCD" xfId="0"/>
    <cellStyle name="_MNT_DMA(VMP)_VSA 111014_PJ" xfId="0"/>
    <cellStyle name="_MNT_DMA(VMP)_VSA Roll-Up (LW)" xfId="0"/>
    <cellStyle name="_MNT_DMA(VMP)_VSA Roll-Up (LW) 2" xfId="0"/>
    <cellStyle name="_MNT_DMA(VMP)_VSA Roll-Up (LW) 3" xfId="0"/>
    <cellStyle name="_MNT_DMA(VMP)_VSA Roll-Up (LW) 4" xfId="0"/>
    <cellStyle name="_MNT_DMA(VMP)_VSA Roll-Up (LW) 4 2" xfId="0"/>
    <cellStyle name="_MNT_DMA(VMP)_VSA Roll-Up (LW)_By Region" xfId="0"/>
    <cellStyle name="_MNT_DMA(VMP)_VSA Roll-Up (LW)_CORP SG&amp;A" xfId="0"/>
    <cellStyle name="_MNT_DMA(VMP)_VSA Roll-Up (LW)_LCD" xfId="0"/>
    <cellStyle name="_MNT_DMA(VMP)_VSA Roll-Up (LW)_PJ" xfId="0"/>
    <cellStyle name="_MNT_DPF" xfId="0"/>
    <cellStyle name="_MNT_DPF 2" xfId="0"/>
    <cellStyle name="_MNT_DPF 3" xfId="0"/>
    <cellStyle name="_MNT_DPF 4" xfId="0"/>
    <cellStyle name="_MNT_DPF_By Region" xfId="0"/>
    <cellStyle name="_MNT_DPF_CORP SG&amp;A" xfId="0"/>
    <cellStyle name="_MNT_DPF_Digitizer" xfId="0"/>
    <cellStyle name="_MNT_DPF_GPS OTHER" xfId="0"/>
    <cellStyle name="_MNT_DPF_GPS OTHER 2" xfId="0"/>
    <cellStyle name="_MNT_DPF_GPS OTHER 3" xfId="0"/>
    <cellStyle name="_MNT_DPF_GPS OTHER 4" xfId="0"/>
    <cellStyle name="_MNT_DPF_GPS OTHER 4 2" xfId="0"/>
    <cellStyle name="_MNT_DPF_GPS OTHER_By Region" xfId="0"/>
    <cellStyle name="_MNT_DPF_GPS OTHER_CORP SG&amp;A" xfId="0"/>
    <cellStyle name="_MNT_DPF_GPS OTHER_LCD" xfId="0"/>
    <cellStyle name="_MNT_DPF_GPS OTHER_PJ" xfId="0"/>
    <cellStyle name="_MNT_DPF_LCD" xfId="0"/>
    <cellStyle name="_MNT_DPF_LCD 2" xfId="0"/>
    <cellStyle name="_MNT_DPF_LCD 3" xfId="0"/>
    <cellStyle name="_MNT_DPF_LCD 4" xfId="0"/>
    <cellStyle name="_MNT_DPF_LCD_By Region" xfId="0"/>
    <cellStyle name="_MNT_DPF_LCD_CORP SG&amp;A" xfId="0"/>
    <cellStyle name="_MNT_DPF_LCD_LCD" xfId="0"/>
    <cellStyle name="_MNT_DPF_LCD_PJ" xfId="0"/>
    <cellStyle name="_MNT_DPF_PC Products" xfId="0"/>
    <cellStyle name="_MNT_DPF_PC Products 2" xfId="0"/>
    <cellStyle name="_MNT_DPF_PC Products 3" xfId="0"/>
    <cellStyle name="_MNT_DPF_PC Products 4" xfId="0"/>
    <cellStyle name="_MNT_DPF_PC Products 4 2" xfId="0"/>
    <cellStyle name="_MNT_DPF_PC Products_By Region" xfId="0"/>
    <cellStyle name="_MNT_DPF_PC Products_CORP SG&amp;A" xfId="0"/>
    <cellStyle name="_MNT_DPF_PC Products_LCD" xfId="0"/>
    <cellStyle name="_MNT_DPF_PC Products_PJ" xfId="0"/>
    <cellStyle name="_MNT_DPF_VSA 111014" xfId="0"/>
    <cellStyle name="_MNT_DPF_VSA 111014 2" xfId="0"/>
    <cellStyle name="_MNT_DPF_VSA 111014 3" xfId="0"/>
    <cellStyle name="_MNT_DPF_VSA 111014 4" xfId="0"/>
    <cellStyle name="_MNT_DPF_VSA 111014 4 2" xfId="0"/>
    <cellStyle name="_MNT_DPF_VSA 111014_By Region" xfId="0"/>
    <cellStyle name="_MNT_DPF_VSA 111014_CORP SG&amp;A" xfId="0"/>
    <cellStyle name="_MNT_DPF_VSA 111014_LCD" xfId="0"/>
    <cellStyle name="_MNT_DPF_VSA 111014_PJ" xfId="0"/>
    <cellStyle name="_MNT_DPF_VSA Roll-Up (LW)" xfId="0"/>
    <cellStyle name="_MNT_DPF_VSA Roll-Up (LW) 2" xfId="0"/>
    <cellStyle name="_MNT_DPF_VSA Roll-Up (LW) 3" xfId="0"/>
    <cellStyle name="_MNT_DPF_VSA Roll-Up (LW) 4" xfId="0"/>
    <cellStyle name="_MNT_DPF_VSA Roll-Up (LW) 4 2" xfId="0"/>
    <cellStyle name="_MNT_DPF_VSA Roll-Up (LW)_By Region" xfId="0"/>
    <cellStyle name="_MNT_DPF_VSA Roll-Up (LW)_CORP SG&amp;A" xfId="0"/>
    <cellStyle name="_MNT_DPF_VSA Roll-Up (LW)_LCD" xfId="0"/>
    <cellStyle name="_MNT_DPF_VSA Roll-Up (LW)_PJ" xfId="0"/>
    <cellStyle name="_MNT_DS" xfId="0"/>
    <cellStyle name="_MNT_DS 2" xfId="0"/>
    <cellStyle name="_MNT_DS 3" xfId="0"/>
    <cellStyle name="_MNT_DS 4" xfId="0"/>
    <cellStyle name="_MNT_DS_By Region" xfId="0"/>
    <cellStyle name="_MNT_DS_CORP SG&amp;A" xfId="0"/>
    <cellStyle name="_MNT_DS_Digitizer" xfId="0"/>
    <cellStyle name="_MNT_DS_GPS OTHER" xfId="0"/>
    <cellStyle name="_MNT_DS_GPS OTHER 2" xfId="0"/>
    <cellStyle name="_MNT_DS_GPS OTHER 3" xfId="0"/>
    <cellStyle name="_MNT_DS_GPS OTHER 4" xfId="0"/>
    <cellStyle name="_MNT_DS_GPS OTHER 4 2" xfId="0"/>
    <cellStyle name="_MNT_DS_GPS OTHER_By Region" xfId="0"/>
    <cellStyle name="_MNT_DS_GPS OTHER_CORP SG&amp;A" xfId="0"/>
    <cellStyle name="_MNT_DS_GPS OTHER_LCD" xfId="0"/>
    <cellStyle name="_MNT_DS_GPS OTHER_PJ" xfId="0"/>
    <cellStyle name="_MNT_DS_LCD" xfId="0"/>
    <cellStyle name="_MNT_DS_LCD 2" xfId="0"/>
    <cellStyle name="_MNT_DS_LCD 3" xfId="0"/>
    <cellStyle name="_MNT_DS_LCD 4" xfId="0"/>
    <cellStyle name="_MNT_DS_LCD_By Region" xfId="0"/>
    <cellStyle name="_MNT_DS_LCD_CORP SG&amp;A" xfId="0"/>
    <cellStyle name="_MNT_DS_LCD_LCD" xfId="0"/>
    <cellStyle name="_MNT_DS_LCD_PJ" xfId="0"/>
    <cellStyle name="_MNT_DS_PC Products" xfId="0"/>
    <cellStyle name="_MNT_DS_PC Products 2" xfId="0"/>
    <cellStyle name="_MNT_DS_PC Products 3" xfId="0"/>
    <cellStyle name="_MNT_DS_PC Products 4" xfId="0"/>
    <cellStyle name="_MNT_DS_PC Products 4 2" xfId="0"/>
    <cellStyle name="_MNT_DS_PC Products_By Region" xfId="0"/>
    <cellStyle name="_MNT_DS_PC Products_CORP SG&amp;A" xfId="0"/>
    <cellStyle name="_MNT_DS_PC Products_LCD" xfId="0"/>
    <cellStyle name="_MNT_DS_PC Products_PJ" xfId="0"/>
    <cellStyle name="_MNT_DS_VSA 111014" xfId="0"/>
    <cellStyle name="_MNT_DS_VSA 111014 2" xfId="0"/>
    <cellStyle name="_MNT_DS_VSA 111014 3" xfId="0"/>
    <cellStyle name="_MNT_DS_VSA 111014 4" xfId="0"/>
    <cellStyle name="_MNT_DS_VSA 111014 4 2" xfId="0"/>
    <cellStyle name="_MNT_DS_VSA 111014_By Region" xfId="0"/>
    <cellStyle name="_MNT_DS_VSA 111014_CORP SG&amp;A" xfId="0"/>
    <cellStyle name="_MNT_DS_VSA 111014_LCD" xfId="0"/>
    <cellStyle name="_MNT_DS_VSA 111014_PJ" xfId="0"/>
    <cellStyle name="_MNT_DS_VSA Roll-Up (LW)" xfId="0"/>
    <cellStyle name="_MNT_DS_VSA Roll-Up (LW) 2" xfId="0"/>
    <cellStyle name="_MNT_DS_VSA Roll-Up (LW) 3" xfId="0"/>
    <cellStyle name="_MNT_DS_VSA Roll-Up (LW) 4" xfId="0"/>
    <cellStyle name="_MNT_DS_VSA Roll-Up (LW) 4 2" xfId="0"/>
    <cellStyle name="_MNT_DS_VSA Roll-Up (LW)_By Region" xfId="0"/>
    <cellStyle name="_MNT_DS_VSA Roll-Up (LW)_CORP SG&amp;A" xfId="0"/>
    <cellStyle name="_MNT_DS_VSA Roll-Up (LW)_LCD" xfId="0"/>
    <cellStyle name="_MNT_DS_VSA Roll-Up (LW)_PJ" xfId="0"/>
    <cellStyle name="_MNT_DVD_TV" xfId="0"/>
    <cellStyle name="_MNT_DVD_TV 2" xfId="0"/>
    <cellStyle name="_MNT_DVD_TV 3" xfId="0"/>
    <cellStyle name="_MNT_DVD_TV 4" xfId="0"/>
    <cellStyle name="_MNT_DVD_TV_By Region" xfId="0"/>
    <cellStyle name="_MNT_DVD_TV_CORP SG&amp;A" xfId="0"/>
    <cellStyle name="_MNT_DVD_TV_Digitizer" xfId="0"/>
    <cellStyle name="_MNT_DVD_TV_GPS OTHER" xfId="0"/>
    <cellStyle name="_MNT_DVD_TV_GPS OTHER 2" xfId="0"/>
    <cellStyle name="_MNT_DVD_TV_GPS OTHER 3" xfId="0"/>
    <cellStyle name="_MNT_DVD_TV_GPS OTHER 4" xfId="0"/>
    <cellStyle name="_MNT_DVD_TV_GPS OTHER 4 2" xfId="0"/>
    <cellStyle name="_MNT_DVD_TV_GPS OTHER_By Region" xfId="0"/>
    <cellStyle name="_MNT_DVD_TV_GPS OTHER_CORP SG&amp;A" xfId="0"/>
    <cellStyle name="_MNT_DVD_TV_GPS OTHER_LCD" xfId="0"/>
    <cellStyle name="_MNT_DVD_TV_GPS OTHER_PJ" xfId="0"/>
    <cellStyle name="_MNT_DVD_TV_LCD" xfId="0"/>
    <cellStyle name="_MNT_DVD_TV_LCD 2" xfId="0"/>
    <cellStyle name="_MNT_DVD_TV_LCD 3" xfId="0"/>
    <cellStyle name="_MNT_DVD_TV_LCD 4" xfId="0"/>
    <cellStyle name="_MNT_DVD_TV_LCD_By Region" xfId="0"/>
    <cellStyle name="_MNT_DVD_TV_LCD_CORP SG&amp;A" xfId="0"/>
    <cellStyle name="_MNT_DVD_TV_LCD_LCD" xfId="0"/>
    <cellStyle name="_MNT_DVD_TV_LCD_PJ" xfId="0"/>
    <cellStyle name="_MNT_DVD_TV_PC Products" xfId="0"/>
    <cellStyle name="_MNT_DVD_TV_PC Products 2" xfId="0"/>
    <cellStyle name="_MNT_DVD_TV_PC Products 3" xfId="0"/>
    <cellStyle name="_MNT_DVD_TV_PC Products 4" xfId="0"/>
    <cellStyle name="_MNT_DVD_TV_PC Products 4 2" xfId="0"/>
    <cellStyle name="_MNT_DVD_TV_PC Products_By Region" xfId="0"/>
    <cellStyle name="_MNT_DVD_TV_PC Products_CORP SG&amp;A" xfId="0"/>
    <cellStyle name="_MNT_DVD_TV_PC Products_LCD" xfId="0"/>
    <cellStyle name="_MNT_DVD_TV_PC Products_PJ" xfId="0"/>
    <cellStyle name="_MNT_DVD_TV_VSA 111014" xfId="0"/>
    <cellStyle name="_MNT_DVD_TV_VSA 111014 2" xfId="0"/>
    <cellStyle name="_MNT_DVD_TV_VSA 111014 3" xfId="0"/>
    <cellStyle name="_MNT_DVD_TV_VSA 111014 4" xfId="0"/>
    <cellStyle name="_MNT_DVD_TV_VSA 111014 4 2" xfId="0"/>
    <cellStyle name="_MNT_DVD_TV_VSA 111014_By Region" xfId="0"/>
    <cellStyle name="_MNT_DVD_TV_VSA 111014_CORP SG&amp;A" xfId="0"/>
    <cellStyle name="_MNT_DVD_TV_VSA 111014_LCD" xfId="0"/>
    <cellStyle name="_MNT_DVD_TV_VSA 111014_PJ" xfId="0"/>
    <cellStyle name="_MNT_DVD_TV_VSA Roll-Up (LW)" xfId="0"/>
    <cellStyle name="_MNT_DVD_TV_VSA Roll-Up (LW) 2" xfId="0"/>
    <cellStyle name="_MNT_DVD_TV_VSA Roll-Up (LW) 3" xfId="0"/>
    <cellStyle name="_MNT_DVD_TV_VSA Roll-Up (LW) 4" xfId="0"/>
    <cellStyle name="_MNT_DVD_TV_VSA Roll-Up (LW) 4 2" xfId="0"/>
    <cellStyle name="_MNT_DVD_TV_VSA Roll-Up (LW)_By Region" xfId="0"/>
    <cellStyle name="_MNT_DVD_TV_VSA Roll-Up (LW)_CORP SG&amp;A" xfId="0"/>
    <cellStyle name="_MNT_DVD_TV_VSA Roll-Up (LW)_LCD" xfId="0"/>
    <cellStyle name="_MNT_DVD_TV_VSA Roll-Up (LW)_PJ" xfId="0"/>
    <cellStyle name="_MNT_GPS OTHER" xfId="0"/>
    <cellStyle name="_MNT_GPS OTHER 2" xfId="0"/>
    <cellStyle name="_MNT_GPS OTHER 3" xfId="0"/>
    <cellStyle name="_MNT_GPS OTHER 4" xfId="0"/>
    <cellStyle name="_MNT_GPS OTHER 4 2" xfId="0"/>
    <cellStyle name="_MNT_GPS OTHER_By Region" xfId="0"/>
    <cellStyle name="_MNT_GPS OTHER_CORP SG&amp;A" xfId="0"/>
    <cellStyle name="_MNT_GPS OTHER_LCD" xfId="0"/>
    <cellStyle name="_MNT_GPS OTHER_PJ" xfId="0"/>
    <cellStyle name="_MNT_LCD" xfId="0"/>
    <cellStyle name="_MNT_LCD 2" xfId="0"/>
    <cellStyle name="_MNT_LCD 3" xfId="0"/>
    <cellStyle name="_MNT_LCD 4" xfId="0"/>
    <cellStyle name="_MNT_LCD_1" xfId="0"/>
    <cellStyle name="_MNT_LCD_1 2" xfId="0"/>
    <cellStyle name="_MNT_LCD_1 3" xfId="0"/>
    <cellStyle name="_MNT_LCD_1 4" xfId="0"/>
    <cellStyle name="_MNT_LCD_1_By Region" xfId="0"/>
    <cellStyle name="_MNT_LCD_1_CORP SG&amp;A" xfId="0"/>
    <cellStyle name="_MNT_LCD_1_LCD" xfId="0"/>
    <cellStyle name="_MNT_LCD_1_PJ" xfId="0"/>
    <cellStyle name="_MNT_LCD_By Region" xfId="0"/>
    <cellStyle name="_MNT_LCD_CORP SG&amp;A" xfId="0"/>
    <cellStyle name="_MNT_LCD_Digitizer" xfId="0"/>
    <cellStyle name="_MNT_LCD_GPS OTHER" xfId="0"/>
    <cellStyle name="_MNT_LCD_GPS OTHER 2" xfId="0"/>
    <cellStyle name="_MNT_LCD_GPS OTHER 3" xfId="0"/>
    <cellStyle name="_MNT_LCD_GPS OTHER 4" xfId="0"/>
    <cellStyle name="_MNT_LCD_GPS OTHER 4 2" xfId="0"/>
    <cellStyle name="_MNT_LCD_GPS OTHER_By Region" xfId="0"/>
    <cellStyle name="_MNT_LCD_GPS OTHER_CORP SG&amp;A" xfId="0"/>
    <cellStyle name="_MNT_LCD_GPS OTHER_LCD" xfId="0"/>
    <cellStyle name="_MNT_LCD_GPS OTHER_PJ" xfId="0"/>
    <cellStyle name="_MNT_LCD_LCD" xfId="0"/>
    <cellStyle name="_MNT_LCD_LCD 2" xfId="0"/>
    <cellStyle name="_MNT_LCD_LCD 3" xfId="0"/>
    <cellStyle name="_MNT_LCD_LCD 4" xfId="0"/>
    <cellStyle name="_MNT_LCD_LCD_By Region" xfId="0"/>
    <cellStyle name="_MNT_LCD_LCD_CORP SG&amp;A" xfId="0"/>
    <cellStyle name="_MNT_LCD_LCD_LCD" xfId="0"/>
    <cellStyle name="_MNT_LCD_LCD_PJ" xfId="0"/>
    <cellStyle name="_MNT_LCD_PC Products" xfId="0"/>
    <cellStyle name="_MNT_LCD_PC Products 2" xfId="0"/>
    <cellStyle name="_MNT_LCD_PC Products 3" xfId="0"/>
    <cellStyle name="_MNT_LCD_PC Products 4" xfId="0"/>
    <cellStyle name="_MNT_LCD_PC Products 4 2" xfId="0"/>
    <cellStyle name="_MNT_LCD_PC Products_By Region" xfId="0"/>
    <cellStyle name="_MNT_LCD_PC Products_CORP SG&amp;A" xfId="0"/>
    <cellStyle name="_MNT_LCD_PC Products_LCD" xfId="0"/>
    <cellStyle name="_MNT_LCD_PC Products_PJ" xfId="0"/>
    <cellStyle name="_MNT_LCD_VSA 111014" xfId="0"/>
    <cellStyle name="_MNT_LCD_VSA 111014 2" xfId="0"/>
    <cellStyle name="_MNT_LCD_VSA 111014 3" xfId="0"/>
    <cellStyle name="_MNT_LCD_VSA 111014 4" xfId="0"/>
    <cellStyle name="_MNT_LCD_VSA 111014 4 2" xfId="0"/>
    <cellStyle name="_MNT_LCD_VSA 111014_By Region" xfId="0"/>
    <cellStyle name="_MNT_LCD_VSA 111014_CORP SG&amp;A" xfId="0"/>
    <cellStyle name="_MNT_LCD_VSA 111014_LCD" xfId="0"/>
    <cellStyle name="_MNT_LCD_VSA 111014_PJ" xfId="0"/>
    <cellStyle name="_MNT_LCD_VSA Roll-Up (LW)" xfId="0"/>
    <cellStyle name="_MNT_LCD_VSA Roll-Up (LW) 2" xfId="0"/>
    <cellStyle name="_MNT_LCD_VSA Roll-Up (LW) 3" xfId="0"/>
    <cellStyle name="_MNT_LCD_VSA Roll-Up (LW) 4" xfId="0"/>
    <cellStyle name="_MNT_LCD_VSA Roll-Up (LW) 4 2" xfId="0"/>
    <cellStyle name="_MNT_LCD_VSA Roll-Up (LW)_By Region" xfId="0"/>
    <cellStyle name="_MNT_LCD_VSA Roll-Up (LW)_CORP SG&amp;A" xfId="0"/>
    <cellStyle name="_MNT_LCD_VSA Roll-Up (LW)_LCD" xfId="0"/>
    <cellStyle name="_MNT_LCD_VSA Roll-Up (LW)_PJ" xfId="0"/>
    <cellStyle name="_MNT_LCDTV" xfId="0"/>
    <cellStyle name="_MNT_LCDTV 2" xfId="0"/>
    <cellStyle name="_MNT_LCDTV 3" xfId="0"/>
    <cellStyle name="_MNT_LCDTV 4" xfId="0"/>
    <cellStyle name="_MNT_LCDTV_By Region" xfId="0"/>
    <cellStyle name="_MNT_LCDTV_CORP SG&amp;A" xfId="0"/>
    <cellStyle name="_MNT_LCDTV_Digitizer" xfId="0"/>
    <cellStyle name="_MNT_LCDTV_GPS OTHER" xfId="0"/>
    <cellStyle name="_MNT_LCDTV_GPS OTHER 2" xfId="0"/>
    <cellStyle name="_MNT_LCDTV_GPS OTHER 3" xfId="0"/>
    <cellStyle name="_MNT_LCDTV_GPS OTHER 4" xfId="0"/>
    <cellStyle name="_MNT_LCDTV_GPS OTHER 4 2" xfId="0"/>
    <cellStyle name="_MNT_LCDTV_GPS OTHER_By Region" xfId="0"/>
    <cellStyle name="_MNT_LCDTV_GPS OTHER_CORP SG&amp;A" xfId="0"/>
    <cellStyle name="_MNT_LCDTV_GPS OTHER_LCD" xfId="0"/>
    <cellStyle name="_MNT_LCDTV_GPS OTHER_PJ" xfId="0"/>
    <cellStyle name="_MNT_LCDTV_LCD" xfId="0"/>
    <cellStyle name="_MNT_LCDTV_LCD 2" xfId="0"/>
    <cellStyle name="_MNT_LCDTV_LCD 3" xfId="0"/>
    <cellStyle name="_MNT_LCDTV_LCD 4" xfId="0"/>
    <cellStyle name="_MNT_LCDTV_LCD_By Region" xfId="0"/>
    <cellStyle name="_MNT_LCDTV_LCD_CORP SG&amp;A" xfId="0"/>
    <cellStyle name="_MNT_LCDTV_LCD_LCD" xfId="0"/>
    <cellStyle name="_MNT_LCDTV_LCD_PJ" xfId="0"/>
    <cellStyle name="_MNT_LCDTV_PC Products" xfId="0"/>
    <cellStyle name="_MNT_LCDTV_PC Products 2" xfId="0"/>
    <cellStyle name="_MNT_LCDTV_PC Products 3" xfId="0"/>
    <cellStyle name="_MNT_LCDTV_PC Products 4" xfId="0"/>
    <cellStyle name="_MNT_LCDTV_PC Products 4 2" xfId="0"/>
    <cellStyle name="_MNT_LCDTV_PC Products_By Region" xfId="0"/>
    <cellStyle name="_MNT_LCDTV_PC Products_CORP SG&amp;A" xfId="0"/>
    <cellStyle name="_MNT_LCDTV_PC Products_LCD" xfId="0"/>
    <cellStyle name="_MNT_LCDTV_PC Products_PJ" xfId="0"/>
    <cellStyle name="_MNT_LCDTV_VSA 111014" xfId="0"/>
    <cellStyle name="_MNT_LCDTV_VSA 111014 2" xfId="0"/>
    <cellStyle name="_MNT_LCDTV_VSA 111014 3" xfId="0"/>
    <cellStyle name="_MNT_LCDTV_VSA 111014 4" xfId="0"/>
    <cellStyle name="_MNT_LCDTV_VSA 111014 4 2" xfId="0"/>
    <cellStyle name="_MNT_LCDTV_VSA 111014_By Region" xfId="0"/>
    <cellStyle name="_MNT_LCDTV_VSA 111014_CORP SG&amp;A" xfId="0"/>
    <cellStyle name="_MNT_LCDTV_VSA 111014_LCD" xfId="0"/>
    <cellStyle name="_MNT_LCDTV_VSA 111014_PJ" xfId="0"/>
    <cellStyle name="_MNT_LCDTV_VSA Roll-Up (LW)" xfId="0"/>
    <cellStyle name="_MNT_LCDTV_VSA Roll-Up (LW) 2" xfId="0"/>
    <cellStyle name="_MNT_LCDTV_VSA Roll-Up (LW) 3" xfId="0"/>
    <cellStyle name="_MNT_LCDTV_VSA Roll-Up (LW) 4" xfId="0"/>
    <cellStyle name="_MNT_LCDTV_VSA Roll-Up (LW) 4 2" xfId="0"/>
    <cellStyle name="_MNT_LCDTV_VSA Roll-Up (LW)_By Region" xfId="0"/>
    <cellStyle name="_MNT_LCDTV_VSA Roll-Up (LW)_CORP SG&amp;A" xfId="0"/>
    <cellStyle name="_MNT_LCDTV_VSA Roll-Up (LW)_LCD" xfId="0"/>
    <cellStyle name="_MNT_LCDTV_VSA Roll-Up (LW)_PJ" xfId="0"/>
    <cellStyle name="_MNT_MNT" xfId="0"/>
    <cellStyle name="_MNT_MNT 2" xfId="0"/>
    <cellStyle name="_MNT_MNT 3" xfId="0"/>
    <cellStyle name="_MNT_MNT 4" xfId="0"/>
    <cellStyle name="_MNT_MNT_By Region" xfId="0"/>
    <cellStyle name="_MNT_MNT_CORP SG&amp;A" xfId="0"/>
    <cellStyle name="_MNT_MNT_Digitizer" xfId="0"/>
    <cellStyle name="_MNT_MNT_GPS OTHER" xfId="0"/>
    <cellStyle name="_MNT_MNT_GPS OTHER 2" xfId="0"/>
    <cellStyle name="_MNT_MNT_GPS OTHER 3" xfId="0"/>
    <cellStyle name="_MNT_MNT_GPS OTHER 4" xfId="0"/>
    <cellStyle name="_MNT_MNT_GPS OTHER 4 2" xfId="0"/>
    <cellStyle name="_MNT_MNT_GPS OTHER_By Region" xfId="0"/>
    <cellStyle name="_MNT_MNT_GPS OTHER_CORP SG&amp;A" xfId="0"/>
    <cellStyle name="_MNT_MNT_GPS OTHER_LCD" xfId="0"/>
    <cellStyle name="_MNT_MNT_GPS OTHER_PJ" xfId="0"/>
    <cellStyle name="_MNT_MNT_LCD" xfId="0"/>
    <cellStyle name="_MNT_MNT_LCD 2" xfId="0"/>
    <cellStyle name="_MNT_MNT_LCD 3" xfId="0"/>
    <cellStyle name="_MNT_MNT_LCD 4" xfId="0"/>
    <cellStyle name="_MNT_MNT_LCD_By Region" xfId="0"/>
    <cellStyle name="_MNT_MNT_LCD_CORP SG&amp;A" xfId="0"/>
    <cellStyle name="_MNT_MNT_LCD_LCD" xfId="0"/>
    <cellStyle name="_MNT_MNT_LCD_PJ" xfId="0"/>
    <cellStyle name="_MNT_MNT_PC Products" xfId="0"/>
    <cellStyle name="_MNT_MNT_PC Products 2" xfId="0"/>
    <cellStyle name="_MNT_MNT_PC Products 3" xfId="0"/>
    <cellStyle name="_MNT_MNT_PC Products 4" xfId="0"/>
    <cellStyle name="_MNT_MNT_PC Products 4 2" xfId="0"/>
    <cellStyle name="_MNT_MNT_PC Products_By Region" xfId="0"/>
    <cellStyle name="_MNT_MNT_PC Products_CORP SG&amp;A" xfId="0"/>
    <cellStyle name="_MNT_MNT_PC Products_LCD" xfId="0"/>
    <cellStyle name="_MNT_MNT_PC Products_PJ" xfId="0"/>
    <cellStyle name="_MNT_MNT_VSA 111014" xfId="0"/>
    <cellStyle name="_MNT_MNT_VSA 111014 2" xfId="0"/>
    <cellStyle name="_MNT_MNT_VSA 111014 3" xfId="0"/>
    <cellStyle name="_MNT_MNT_VSA 111014 4" xfId="0"/>
    <cellStyle name="_MNT_MNT_VSA 111014 4 2" xfId="0"/>
    <cellStyle name="_MNT_MNT_VSA 111014_By Region" xfId="0"/>
    <cellStyle name="_MNT_MNT_VSA 111014_CORP SG&amp;A" xfId="0"/>
    <cellStyle name="_MNT_MNT_VSA 111014_LCD" xfId="0"/>
    <cellStyle name="_MNT_MNT_VSA 111014_PJ" xfId="0"/>
    <cellStyle name="_MNT_MNT_VSA Roll-Up (LW)" xfId="0"/>
    <cellStyle name="_MNT_MNT_VSA Roll-Up (LW) 2" xfId="0"/>
    <cellStyle name="_MNT_MNT_VSA Roll-Up (LW) 3" xfId="0"/>
    <cellStyle name="_MNT_MNT_VSA Roll-Up (LW) 4" xfId="0"/>
    <cellStyle name="_MNT_MNT_VSA Roll-Up (LW) 4 2" xfId="0"/>
    <cellStyle name="_MNT_MNT_VSA Roll-Up (LW)_By Region" xfId="0"/>
    <cellStyle name="_MNT_MNT_VSA Roll-Up (LW)_CORP SG&amp;A" xfId="0"/>
    <cellStyle name="_MNT_MNT_VSA Roll-Up (LW)_LCD" xfId="0"/>
    <cellStyle name="_MNT_MNT_VSA Roll-Up (LW)_PJ" xfId="0"/>
    <cellStyle name="_MNT_Other" xfId="0"/>
    <cellStyle name="_MNT_Other 2" xfId="0"/>
    <cellStyle name="_MNT_Other 3" xfId="0"/>
    <cellStyle name="_MNT_Other 4" xfId="0"/>
    <cellStyle name="_MNT_Other_By Region" xfId="0"/>
    <cellStyle name="_MNT_Other_CORP SG&amp;A" xfId="0"/>
    <cellStyle name="_MNT_Other_Digitizer" xfId="0"/>
    <cellStyle name="_MNT_Other_GPS OTHER" xfId="0"/>
    <cellStyle name="_MNT_Other_GPS OTHER 2" xfId="0"/>
    <cellStyle name="_MNT_Other_GPS OTHER 3" xfId="0"/>
    <cellStyle name="_MNT_Other_GPS OTHER 4" xfId="0"/>
    <cellStyle name="_MNT_Other_GPS OTHER 4 2" xfId="0"/>
    <cellStyle name="_MNT_Other_GPS OTHER_By Region" xfId="0"/>
    <cellStyle name="_MNT_Other_GPS OTHER_CORP SG&amp;A" xfId="0"/>
    <cellStyle name="_MNT_Other_GPS OTHER_LCD" xfId="0"/>
    <cellStyle name="_MNT_Other_GPS OTHER_PJ" xfId="0"/>
    <cellStyle name="_MNT_Other_LCD" xfId="0"/>
    <cellStyle name="_MNT_Other_LCD 2" xfId="0"/>
    <cellStyle name="_MNT_Other_LCD 3" xfId="0"/>
    <cellStyle name="_MNT_Other_LCD 4" xfId="0"/>
    <cellStyle name="_MNT_Other_LCD_By Region" xfId="0"/>
    <cellStyle name="_MNT_Other_LCD_CORP SG&amp;A" xfId="0"/>
    <cellStyle name="_MNT_Other_LCD_LCD" xfId="0"/>
    <cellStyle name="_MNT_Other_LCD_PJ" xfId="0"/>
    <cellStyle name="_MNT_Other_PC Products" xfId="0"/>
    <cellStyle name="_MNT_Other_PC Products 2" xfId="0"/>
    <cellStyle name="_MNT_Other_PC Products 3" xfId="0"/>
    <cellStyle name="_MNT_Other_PC Products 4" xfId="0"/>
    <cellStyle name="_MNT_Other_PC Products 4 2" xfId="0"/>
    <cellStyle name="_MNT_Other_PC Products_By Region" xfId="0"/>
    <cellStyle name="_MNT_Other_PC Products_CORP SG&amp;A" xfId="0"/>
    <cellStyle name="_MNT_Other_PC Products_LCD" xfId="0"/>
    <cellStyle name="_MNT_Other_PC Products_PJ" xfId="0"/>
    <cellStyle name="_MNT_Other_VSA 111014" xfId="0"/>
    <cellStyle name="_MNT_Other_VSA 111014 2" xfId="0"/>
    <cellStyle name="_MNT_Other_VSA 111014 3" xfId="0"/>
    <cellStyle name="_MNT_Other_VSA 111014 4" xfId="0"/>
    <cellStyle name="_MNT_Other_VSA 111014 4 2" xfId="0"/>
    <cellStyle name="_MNT_Other_VSA 111014_By Region" xfId="0"/>
    <cellStyle name="_MNT_Other_VSA 111014_CORP SG&amp;A" xfId="0"/>
    <cellStyle name="_MNT_Other_VSA 111014_LCD" xfId="0"/>
    <cellStyle name="_MNT_Other_VSA 111014_PJ" xfId="0"/>
    <cellStyle name="_MNT_Other_VSA Roll-Up (LW)" xfId="0"/>
    <cellStyle name="_MNT_Other_VSA Roll-Up (LW) 2" xfId="0"/>
    <cellStyle name="_MNT_Other_VSA Roll-Up (LW) 3" xfId="0"/>
    <cellStyle name="_MNT_Other_VSA Roll-Up (LW) 4" xfId="0"/>
    <cellStyle name="_MNT_Other_VSA Roll-Up (LW) 4 2" xfId="0"/>
    <cellStyle name="_MNT_Other_VSA Roll-Up (LW)_By Region" xfId="0"/>
    <cellStyle name="_MNT_Other_VSA Roll-Up (LW)_CORP SG&amp;A" xfId="0"/>
    <cellStyle name="_MNT_Other_VSA Roll-Up (LW)_LCD" xfId="0"/>
    <cellStyle name="_MNT_Other_VSA Roll-Up (LW)_PJ" xfId="0"/>
    <cellStyle name="_MNT_PC" xfId="0"/>
    <cellStyle name="_MNT_PC 2" xfId="0"/>
    <cellStyle name="_MNT_PC 3" xfId="0"/>
    <cellStyle name="_MNT_PC 4" xfId="0"/>
    <cellStyle name="_MNT_PC Products" xfId="0"/>
    <cellStyle name="_MNT_PC Products 2" xfId="0"/>
    <cellStyle name="_MNT_PC Products 3" xfId="0"/>
    <cellStyle name="_MNT_PC Products 4" xfId="0"/>
    <cellStyle name="_MNT_PC Products 4 2" xfId="0"/>
    <cellStyle name="_MNT_PC Products_By Region" xfId="0"/>
    <cellStyle name="_MNT_PC Products_CORP SG&amp;A" xfId="0"/>
    <cellStyle name="_MNT_PC Products_LCD" xfId="0"/>
    <cellStyle name="_MNT_PC Products_PJ" xfId="0"/>
    <cellStyle name="_MNT_PC_By Region" xfId="0"/>
    <cellStyle name="_MNT_PC_CORP SG&amp;A" xfId="0"/>
    <cellStyle name="_MNT_PC_Digitizer" xfId="0"/>
    <cellStyle name="_MNT_PC_DT" xfId="0"/>
    <cellStyle name="_MNT_PC_DT 2" xfId="0"/>
    <cellStyle name="_MNT_PC_DT 3" xfId="0"/>
    <cellStyle name="_MNT_PC_DT_By Region" xfId="0"/>
    <cellStyle name="_MNT_PC_GPS OTHER" xfId="0"/>
    <cellStyle name="_MNT_PC_GPS OTHER 2" xfId="0"/>
    <cellStyle name="_MNT_PC_GPS OTHER 3" xfId="0"/>
    <cellStyle name="_MNT_PC_GPS OTHER 4" xfId="0"/>
    <cellStyle name="_MNT_PC_GPS OTHER 4 2" xfId="0"/>
    <cellStyle name="_MNT_PC_GPS OTHER_By Region" xfId="0"/>
    <cellStyle name="_MNT_PC_GPS OTHER_CORP SG&amp;A" xfId="0"/>
    <cellStyle name="_MNT_PC_GPS OTHER_LCD" xfId="0"/>
    <cellStyle name="_MNT_PC_GPS OTHER_PJ" xfId="0"/>
    <cellStyle name="_MNT_PC_LCD" xfId="0"/>
    <cellStyle name="_MNT_PC_LCD 2" xfId="0"/>
    <cellStyle name="_MNT_PC_LCD 3" xfId="0"/>
    <cellStyle name="_MNT_PC_LCD 4" xfId="0"/>
    <cellStyle name="_MNT_PC_LCD_By Region" xfId="0"/>
    <cellStyle name="_MNT_PC_LCD_CORP SG&amp;A" xfId="0"/>
    <cellStyle name="_MNT_PC_LCD_LCD" xfId="0"/>
    <cellStyle name="_MNT_PC_LCD_PJ" xfId="0"/>
    <cellStyle name="_MNT_PC_PC Products" xfId="0"/>
    <cellStyle name="_MNT_PC_PC Products 2" xfId="0"/>
    <cellStyle name="_MNT_PC_PC Products 3" xfId="0"/>
    <cellStyle name="_MNT_PC_PC Products 4" xfId="0"/>
    <cellStyle name="_MNT_PC_PC Products 4 2" xfId="0"/>
    <cellStyle name="_MNT_PC_PC Products_By Region" xfId="0"/>
    <cellStyle name="_MNT_PC_PC Products_CORP SG&amp;A" xfId="0"/>
    <cellStyle name="_MNT_PC_PC Products_LCD" xfId="0"/>
    <cellStyle name="_MNT_PC_PC Products_PJ" xfId="0"/>
    <cellStyle name="_MNT_PC_TV" xfId="0"/>
    <cellStyle name="_MNT_PC_TV 2" xfId="0"/>
    <cellStyle name="_MNT_PC_TV 3" xfId="0"/>
    <cellStyle name="_MNT_PC_TV 4" xfId="0"/>
    <cellStyle name="_MNT_PC_TV_By Region" xfId="0"/>
    <cellStyle name="_MNT_PC_TV_CORP SG&amp;A" xfId="0"/>
    <cellStyle name="_MNT_PC_TV_Digitizer" xfId="0"/>
    <cellStyle name="_MNT_PC_TV_GPS OTHER" xfId="0"/>
    <cellStyle name="_MNT_PC_TV_GPS OTHER 2" xfId="0"/>
    <cellStyle name="_MNT_PC_TV_GPS OTHER 3" xfId="0"/>
    <cellStyle name="_MNT_PC_TV_GPS OTHER 4" xfId="0"/>
    <cellStyle name="_MNT_PC_TV_GPS OTHER 4 2" xfId="0"/>
    <cellStyle name="_MNT_PC_TV_GPS OTHER_By Region" xfId="0"/>
    <cellStyle name="_MNT_PC_TV_GPS OTHER_CORP SG&amp;A" xfId="0"/>
    <cellStyle name="_MNT_PC_TV_GPS OTHER_LCD" xfId="0"/>
    <cellStyle name="_MNT_PC_TV_GPS OTHER_PJ" xfId="0"/>
    <cellStyle name="_MNT_PC_TV_LCD" xfId="0"/>
    <cellStyle name="_MNT_PC_TV_LCD 2" xfId="0"/>
    <cellStyle name="_MNT_PC_TV_LCD 3" xfId="0"/>
    <cellStyle name="_MNT_PC_TV_LCD 4" xfId="0"/>
    <cellStyle name="_MNT_PC_TV_LCD_By Region" xfId="0"/>
    <cellStyle name="_MNT_PC_TV_LCD_CORP SG&amp;A" xfId="0"/>
    <cellStyle name="_MNT_PC_TV_LCD_LCD" xfId="0"/>
    <cellStyle name="_MNT_PC_TV_LCD_PJ" xfId="0"/>
    <cellStyle name="_MNT_PC_TV_PC Products" xfId="0"/>
    <cellStyle name="_MNT_PC_TV_PC Products 2" xfId="0"/>
    <cellStyle name="_MNT_PC_TV_PC Products 3" xfId="0"/>
    <cellStyle name="_MNT_PC_TV_PC Products 4" xfId="0"/>
    <cellStyle name="_MNT_PC_TV_PC Products 4 2" xfId="0"/>
    <cellStyle name="_MNT_PC_TV_PC Products_By Region" xfId="0"/>
    <cellStyle name="_MNT_PC_TV_PC Products_CORP SG&amp;A" xfId="0"/>
    <cellStyle name="_MNT_PC_TV_PC Products_LCD" xfId="0"/>
    <cellStyle name="_MNT_PC_TV_PC Products_PJ" xfId="0"/>
    <cellStyle name="_MNT_PC_TV_VSA 111014" xfId="0"/>
    <cellStyle name="_MNT_PC_TV_VSA 111014 2" xfId="0"/>
    <cellStyle name="_MNT_PC_TV_VSA 111014 3" xfId="0"/>
    <cellStyle name="_MNT_PC_TV_VSA 111014 4" xfId="0"/>
    <cellStyle name="_MNT_PC_TV_VSA 111014 4 2" xfId="0"/>
    <cellStyle name="_MNT_PC_TV_VSA 111014_By Region" xfId="0"/>
    <cellStyle name="_MNT_PC_TV_VSA 111014_CORP SG&amp;A" xfId="0"/>
    <cellStyle name="_MNT_PC_TV_VSA 111014_LCD" xfId="0"/>
    <cellStyle name="_MNT_PC_TV_VSA 111014_PJ" xfId="0"/>
    <cellStyle name="_MNT_PC_TV_VSA Roll-Up (LW)" xfId="0"/>
    <cellStyle name="_MNT_PC_TV_VSA Roll-Up (LW) 2" xfId="0"/>
    <cellStyle name="_MNT_PC_TV_VSA Roll-Up (LW) 3" xfId="0"/>
    <cellStyle name="_MNT_PC_TV_VSA Roll-Up (LW) 4" xfId="0"/>
    <cellStyle name="_MNT_PC_TV_VSA Roll-Up (LW) 4 2" xfId="0"/>
    <cellStyle name="_MNT_PC_TV_VSA Roll-Up (LW)_By Region" xfId="0"/>
    <cellStyle name="_MNT_PC_TV_VSA Roll-Up (LW)_CORP SG&amp;A" xfId="0"/>
    <cellStyle name="_MNT_PC_TV_VSA Roll-Up (LW)_LCD" xfId="0"/>
    <cellStyle name="_MNT_PC_TV_VSA Roll-Up (LW)_PJ" xfId="0"/>
    <cellStyle name="_MNT_PC_VSA 111014" xfId="0"/>
    <cellStyle name="_MNT_PC_VSA 111014 2" xfId="0"/>
    <cellStyle name="_MNT_PC_VSA 111014 3" xfId="0"/>
    <cellStyle name="_MNT_PC_VSA 111014 4" xfId="0"/>
    <cellStyle name="_MNT_PC_VSA 111014 4 2" xfId="0"/>
    <cellStyle name="_MNT_PC_VSA 111014_By Region" xfId="0"/>
    <cellStyle name="_MNT_PC_VSA 111014_CORP SG&amp;A" xfId="0"/>
    <cellStyle name="_MNT_PC_VSA 111014_LCD" xfId="0"/>
    <cellStyle name="_MNT_PC_VSA 111014_PJ" xfId="0"/>
    <cellStyle name="_MNT_PC_VSA Roll-Up (LW)" xfId="0"/>
    <cellStyle name="_MNT_PC_VSA Roll-Up (LW) 2" xfId="0"/>
    <cellStyle name="_MNT_PC_VSA Roll-Up (LW) 3" xfId="0"/>
    <cellStyle name="_MNT_PC_VSA Roll-Up (LW) 4" xfId="0"/>
    <cellStyle name="_MNT_PC_VSA Roll-Up (LW) 4 2" xfId="0"/>
    <cellStyle name="_MNT_PC_VSA Roll-Up (LW)_By Region" xfId="0"/>
    <cellStyle name="_MNT_PC_VSA Roll-Up (LW)_CORP SG&amp;A" xfId="0"/>
    <cellStyle name="_MNT_PC_VSA Roll-Up (LW)_LCD" xfId="0"/>
    <cellStyle name="_MNT_PC_VSA Roll-Up (LW)_PJ" xfId="0"/>
    <cellStyle name="_MNT_PJ" xfId="0"/>
    <cellStyle name="_MNT_PJ 2" xfId="0"/>
    <cellStyle name="_MNT_PJ 3" xfId="0"/>
    <cellStyle name="_MNT_PJ 4" xfId="0"/>
    <cellStyle name="_MNT_PJ_By Region" xfId="0"/>
    <cellStyle name="_MNT_PJ_CORP SG&amp;A" xfId="0"/>
    <cellStyle name="_MNT_PJ_Digitizer" xfId="0"/>
    <cellStyle name="_MNT_PJ_GPS OTHER" xfId="0"/>
    <cellStyle name="_MNT_PJ_GPS OTHER 2" xfId="0"/>
    <cellStyle name="_MNT_PJ_GPS OTHER 3" xfId="0"/>
    <cellStyle name="_MNT_PJ_GPS OTHER 4" xfId="0"/>
    <cellStyle name="_MNT_PJ_GPS OTHER 4 2" xfId="0"/>
    <cellStyle name="_MNT_PJ_GPS OTHER_By Region" xfId="0"/>
    <cellStyle name="_MNT_PJ_GPS OTHER_CORP SG&amp;A" xfId="0"/>
    <cellStyle name="_MNT_PJ_GPS OTHER_LCD" xfId="0"/>
    <cellStyle name="_MNT_PJ_GPS OTHER_PJ" xfId="0"/>
    <cellStyle name="_MNT_PJ_LCD" xfId="0"/>
    <cellStyle name="_MNT_PJ_LCD 2" xfId="0"/>
    <cellStyle name="_MNT_PJ_LCD 3" xfId="0"/>
    <cellStyle name="_MNT_PJ_LCD 4" xfId="0"/>
    <cellStyle name="_MNT_PJ_LCD_By Region" xfId="0"/>
    <cellStyle name="_MNT_PJ_LCD_CORP SG&amp;A" xfId="0"/>
    <cellStyle name="_MNT_PJ_LCD_LCD" xfId="0"/>
    <cellStyle name="_MNT_PJ_LCD_PJ" xfId="0"/>
    <cellStyle name="_MNT_PJ_PC Products" xfId="0"/>
    <cellStyle name="_MNT_PJ_PC Products 2" xfId="0"/>
    <cellStyle name="_MNT_PJ_PC Products 3" xfId="0"/>
    <cellStyle name="_MNT_PJ_PC Products 4" xfId="0"/>
    <cellStyle name="_MNT_PJ_PC Products 4 2" xfId="0"/>
    <cellStyle name="_MNT_PJ_PC Products_By Region" xfId="0"/>
    <cellStyle name="_MNT_PJ_PC Products_CORP SG&amp;A" xfId="0"/>
    <cellStyle name="_MNT_PJ_PC Products_LCD" xfId="0"/>
    <cellStyle name="_MNT_PJ_PC Products_PJ" xfId="0"/>
    <cellStyle name="_MNT_PJ_VSA 111014" xfId="0"/>
    <cellStyle name="_MNT_PJ_VSA 111014 2" xfId="0"/>
    <cellStyle name="_MNT_PJ_VSA 111014 3" xfId="0"/>
    <cellStyle name="_MNT_PJ_VSA 111014 4" xfId="0"/>
    <cellStyle name="_MNT_PJ_VSA 111014 4 2" xfId="0"/>
    <cellStyle name="_MNT_PJ_VSA 111014_By Region" xfId="0"/>
    <cellStyle name="_MNT_PJ_VSA 111014_CORP SG&amp;A" xfId="0"/>
    <cellStyle name="_MNT_PJ_VSA 111014_LCD" xfId="0"/>
    <cellStyle name="_MNT_PJ_VSA 111014_PJ" xfId="0"/>
    <cellStyle name="_MNT_PJ_VSA Roll-Up (LW)" xfId="0"/>
    <cellStyle name="_MNT_PJ_VSA Roll-Up (LW) 2" xfId="0"/>
    <cellStyle name="_MNT_PJ_VSA Roll-Up (LW) 3" xfId="0"/>
    <cellStyle name="_MNT_PJ_VSA Roll-Up (LW) 4" xfId="0"/>
    <cellStyle name="_MNT_PJ_VSA Roll-Up (LW) 4 2" xfId="0"/>
    <cellStyle name="_MNT_PJ_VSA Roll-Up (LW)_By Region" xfId="0"/>
    <cellStyle name="_MNT_PJ_VSA Roll-Up (LW)_CORP SG&amp;A" xfId="0"/>
    <cellStyle name="_MNT_PJ_VSA Roll-Up (LW)_LCD" xfId="0"/>
    <cellStyle name="_MNT_PJ_VSA Roll-Up (LW)_PJ" xfId="0"/>
    <cellStyle name="_MNT_PMP(VPD)" xfId="0"/>
    <cellStyle name="_MNT_PMP(VPD) 2" xfId="0"/>
    <cellStyle name="_MNT_PMP(VPD) 3" xfId="0"/>
    <cellStyle name="_MNT_PMP(VPD) 4" xfId="0"/>
    <cellStyle name="_MNT_PMP(VPD)_By Region" xfId="0"/>
    <cellStyle name="_MNT_PMP(VPD)_CORP SG&amp;A" xfId="0"/>
    <cellStyle name="_MNT_PMP(VPD)_Digitizer" xfId="0"/>
    <cellStyle name="_MNT_PMP(VPD)_GPS OTHER" xfId="0"/>
    <cellStyle name="_MNT_PMP(VPD)_GPS OTHER 2" xfId="0"/>
    <cellStyle name="_MNT_PMP(VPD)_GPS OTHER 3" xfId="0"/>
    <cellStyle name="_MNT_PMP(VPD)_GPS OTHER 4" xfId="0"/>
    <cellStyle name="_MNT_PMP(VPD)_GPS OTHER 4 2" xfId="0"/>
    <cellStyle name="_MNT_PMP(VPD)_GPS OTHER_By Region" xfId="0"/>
    <cellStyle name="_MNT_PMP(VPD)_GPS OTHER_CORP SG&amp;A" xfId="0"/>
    <cellStyle name="_MNT_PMP(VPD)_GPS OTHER_LCD" xfId="0"/>
    <cellStyle name="_MNT_PMP(VPD)_GPS OTHER_PJ" xfId="0"/>
    <cellStyle name="_MNT_PMP(VPD)_LCD" xfId="0"/>
    <cellStyle name="_MNT_PMP(VPD)_LCD 2" xfId="0"/>
    <cellStyle name="_MNT_PMP(VPD)_LCD 3" xfId="0"/>
    <cellStyle name="_MNT_PMP(VPD)_LCD 4" xfId="0"/>
    <cellStyle name="_MNT_PMP(VPD)_LCD_By Region" xfId="0"/>
    <cellStyle name="_MNT_PMP(VPD)_LCD_CORP SG&amp;A" xfId="0"/>
    <cellStyle name="_MNT_PMP(VPD)_LCD_LCD" xfId="0"/>
    <cellStyle name="_MNT_PMP(VPD)_LCD_PJ" xfId="0"/>
    <cellStyle name="_MNT_PMP(VPD)_PC Products" xfId="0"/>
    <cellStyle name="_MNT_PMP(VPD)_PC Products 2" xfId="0"/>
    <cellStyle name="_MNT_PMP(VPD)_PC Products 3" xfId="0"/>
    <cellStyle name="_MNT_PMP(VPD)_PC Products 4" xfId="0"/>
    <cellStyle name="_MNT_PMP(VPD)_PC Products 4 2" xfId="0"/>
    <cellStyle name="_MNT_PMP(VPD)_PC Products_By Region" xfId="0"/>
    <cellStyle name="_MNT_PMP(VPD)_PC Products_CORP SG&amp;A" xfId="0"/>
    <cellStyle name="_MNT_PMP(VPD)_PC Products_LCD" xfId="0"/>
    <cellStyle name="_MNT_PMP(VPD)_PC Products_PJ" xfId="0"/>
    <cellStyle name="_MNT_PMP(VPD)_VSA 111014" xfId="0"/>
    <cellStyle name="_MNT_PMP(VPD)_VSA 111014 2" xfId="0"/>
    <cellStyle name="_MNT_PMP(VPD)_VSA 111014 3" xfId="0"/>
    <cellStyle name="_MNT_PMP(VPD)_VSA 111014 4" xfId="0"/>
    <cellStyle name="_MNT_PMP(VPD)_VSA 111014 4 2" xfId="0"/>
    <cellStyle name="_MNT_PMP(VPD)_VSA 111014_By Region" xfId="0"/>
    <cellStyle name="_MNT_PMP(VPD)_VSA 111014_CORP SG&amp;A" xfId="0"/>
    <cellStyle name="_MNT_PMP(VPD)_VSA 111014_LCD" xfId="0"/>
    <cellStyle name="_MNT_PMP(VPD)_VSA 111014_PJ" xfId="0"/>
    <cellStyle name="_MNT_PMP(VPD)_VSA Roll-Up (LW)" xfId="0"/>
    <cellStyle name="_MNT_PMP(VPD)_VSA Roll-Up (LW) 2" xfId="0"/>
    <cellStyle name="_MNT_PMP(VPD)_VSA Roll-Up (LW) 3" xfId="0"/>
    <cellStyle name="_MNT_PMP(VPD)_VSA Roll-Up (LW) 4" xfId="0"/>
    <cellStyle name="_MNT_PMP(VPD)_VSA Roll-Up (LW) 4 2" xfId="0"/>
    <cellStyle name="_MNT_PMP(VPD)_VSA Roll-Up (LW)_By Region" xfId="0"/>
    <cellStyle name="_MNT_PMP(VPD)_VSA Roll-Up (LW)_CORP SG&amp;A" xfId="0"/>
    <cellStyle name="_MNT_PMP(VPD)_VSA Roll-Up (LW)_LCD" xfId="0"/>
    <cellStyle name="_MNT_PMP(VPD)_VSA Roll-Up (LW)_PJ" xfId="0"/>
    <cellStyle name="_MNT_Pocket TV" xfId="0"/>
    <cellStyle name="_MNT_Pocket TV 2" xfId="0"/>
    <cellStyle name="_MNT_Pocket TV 3" xfId="0"/>
    <cellStyle name="_MNT_Pocket TV 4" xfId="0"/>
    <cellStyle name="_MNT_Pocket TV_By Region" xfId="0"/>
    <cellStyle name="_MNT_Pocket TV_CORP SG&amp;A" xfId="0"/>
    <cellStyle name="_MNT_Pocket TV_Digitizer" xfId="0"/>
    <cellStyle name="_MNT_Pocket TV_GPS OTHER" xfId="0"/>
    <cellStyle name="_MNT_Pocket TV_GPS OTHER 2" xfId="0"/>
    <cellStyle name="_MNT_Pocket TV_GPS OTHER 3" xfId="0"/>
    <cellStyle name="_MNT_Pocket TV_GPS OTHER 4" xfId="0"/>
    <cellStyle name="_MNT_Pocket TV_GPS OTHER 4 2" xfId="0"/>
    <cellStyle name="_MNT_Pocket TV_GPS OTHER_By Region" xfId="0"/>
    <cellStyle name="_MNT_Pocket TV_GPS OTHER_CORP SG&amp;A" xfId="0"/>
    <cellStyle name="_MNT_Pocket TV_GPS OTHER_LCD" xfId="0"/>
    <cellStyle name="_MNT_Pocket TV_GPS OTHER_PJ" xfId="0"/>
    <cellStyle name="_MNT_Pocket TV_LCD" xfId="0"/>
    <cellStyle name="_MNT_Pocket TV_LCD 2" xfId="0"/>
    <cellStyle name="_MNT_Pocket TV_LCD 3" xfId="0"/>
    <cellStyle name="_MNT_Pocket TV_LCD 4" xfId="0"/>
    <cellStyle name="_MNT_Pocket TV_LCD_By Region" xfId="0"/>
    <cellStyle name="_MNT_Pocket TV_LCD_CORP SG&amp;A" xfId="0"/>
    <cellStyle name="_MNT_Pocket TV_LCD_LCD" xfId="0"/>
    <cellStyle name="_MNT_Pocket TV_LCD_PJ" xfId="0"/>
    <cellStyle name="_MNT_Pocket TV_PC Products" xfId="0"/>
    <cellStyle name="_MNT_Pocket TV_PC Products 2" xfId="0"/>
    <cellStyle name="_MNT_Pocket TV_PC Products 3" xfId="0"/>
    <cellStyle name="_MNT_Pocket TV_PC Products 4" xfId="0"/>
    <cellStyle name="_MNT_Pocket TV_PC Products 4 2" xfId="0"/>
    <cellStyle name="_MNT_Pocket TV_PC Products_By Region" xfId="0"/>
    <cellStyle name="_MNT_Pocket TV_PC Products_CORP SG&amp;A" xfId="0"/>
    <cellStyle name="_MNT_Pocket TV_PC Products_LCD" xfId="0"/>
    <cellStyle name="_MNT_Pocket TV_PC Products_PJ" xfId="0"/>
    <cellStyle name="_MNT_Pocket TV_VSA 111014" xfId="0"/>
    <cellStyle name="_MNT_Pocket TV_VSA 111014 2" xfId="0"/>
    <cellStyle name="_MNT_Pocket TV_VSA 111014 3" xfId="0"/>
    <cellStyle name="_MNT_Pocket TV_VSA 111014 4" xfId="0"/>
    <cellStyle name="_MNT_Pocket TV_VSA 111014 4 2" xfId="0"/>
    <cellStyle name="_MNT_Pocket TV_VSA 111014_By Region" xfId="0"/>
    <cellStyle name="_MNT_Pocket TV_VSA 111014_CORP SG&amp;A" xfId="0"/>
    <cellStyle name="_MNT_Pocket TV_VSA 111014_LCD" xfId="0"/>
    <cellStyle name="_MNT_Pocket TV_VSA 111014_PJ" xfId="0"/>
    <cellStyle name="_MNT_Pocket TV_VSA Roll-Up (LW)" xfId="0"/>
    <cellStyle name="_MNT_Pocket TV_VSA Roll-Up (LW) 2" xfId="0"/>
    <cellStyle name="_MNT_Pocket TV_VSA Roll-Up (LW) 3" xfId="0"/>
    <cellStyle name="_MNT_Pocket TV_VSA Roll-Up (LW) 4" xfId="0"/>
    <cellStyle name="_MNT_Pocket TV_VSA Roll-Up (LW) 4 2" xfId="0"/>
    <cellStyle name="_MNT_Pocket TV_VSA Roll-Up (LW)_By Region" xfId="0"/>
    <cellStyle name="_MNT_Pocket TV_VSA Roll-Up (LW)_CORP SG&amp;A" xfId="0"/>
    <cellStyle name="_MNT_Pocket TV_VSA Roll-Up (LW)_LCD" xfId="0"/>
    <cellStyle name="_MNT_Pocket TV_VSA Roll-Up (LW)_PJ" xfId="0"/>
    <cellStyle name="_MNT_Pocket_TV" xfId="0"/>
    <cellStyle name="_MNT_Pocket_TV 2" xfId="0"/>
    <cellStyle name="_MNT_Pocket_TV 3" xfId="0"/>
    <cellStyle name="_MNT_Pocket_TV 4" xfId="0"/>
    <cellStyle name="_MNT_Pocket_TV_By Region" xfId="0"/>
    <cellStyle name="_MNT_Pocket_TV_CORP SG&amp;A" xfId="0"/>
    <cellStyle name="_MNT_Pocket_TV_Digitizer" xfId="0"/>
    <cellStyle name="_MNT_Pocket_TV_GPS OTHER" xfId="0"/>
    <cellStyle name="_MNT_Pocket_TV_GPS OTHER 2" xfId="0"/>
    <cellStyle name="_MNT_Pocket_TV_GPS OTHER 3" xfId="0"/>
    <cellStyle name="_MNT_Pocket_TV_GPS OTHER 4" xfId="0"/>
    <cellStyle name="_MNT_Pocket_TV_GPS OTHER 4 2" xfId="0"/>
    <cellStyle name="_MNT_Pocket_TV_GPS OTHER_By Region" xfId="0"/>
    <cellStyle name="_MNT_Pocket_TV_GPS OTHER_CORP SG&amp;A" xfId="0"/>
    <cellStyle name="_MNT_Pocket_TV_GPS OTHER_LCD" xfId="0"/>
    <cellStyle name="_MNT_Pocket_TV_GPS OTHER_PJ" xfId="0"/>
    <cellStyle name="_MNT_Pocket_TV_LCD" xfId="0"/>
    <cellStyle name="_MNT_Pocket_TV_LCD 2" xfId="0"/>
    <cellStyle name="_MNT_Pocket_TV_LCD 3" xfId="0"/>
    <cellStyle name="_MNT_Pocket_TV_LCD 4" xfId="0"/>
    <cellStyle name="_MNT_Pocket_TV_LCD_By Region" xfId="0"/>
    <cellStyle name="_MNT_Pocket_TV_LCD_CORP SG&amp;A" xfId="0"/>
    <cellStyle name="_MNT_Pocket_TV_LCD_LCD" xfId="0"/>
    <cellStyle name="_MNT_Pocket_TV_LCD_PJ" xfId="0"/>
    <cellStyle name="_MNT_Pocket_TV_PC Products" xfId="0"/>
    <cellStyle name="_MNT_Pocket_TV_PC Products 2" xfId="0"/>
    <cellStyle name="_MNT_Pocket_TV_PC Products 3" xfId="0"/>
    <cellStyle name="_MNT_Pocket_TV_PC Products 4" xfId="0"/>
    <cellStyle name="_MNT_Pocket_TV_PC Products 4 2" xfId="0"/>
    <cellStyle name="_MNT_Pocket_TV_PC Products_By Region" xfId="0"/>
    <cellStyle name="_MNT_Pocket_TV_PC Products_CORP SG&amp;A" xfId="0"/>
    <cellStyle name="_MNT_Pocket_TV_PC Products_LCD" xfId="0"/>
    <cellStyle name="_MNT_Pocket_TV_PC Products_PJ" xfId="0"/>
    <cellStyle name="_MNT_Pocket_TV_VSA 111014" xfId="0"/>
    <cellStyle name="_MNT_Pocket_TV_VSA 111014 2" xfId="0"/>
    <cellStyle name="_MNT_Pocket_TV_VSA 111014 3" xfId="0"/>
    <cellStyle name="_MNT_Pocket_TV_VSA 111014 4" xfId="0"/>
    <cellStyle name="_MNT_Pocket_TV_VSA 111014 4 2" xfId="0"/>
    <cellStyle name="_MNT_Pocket_TV_VSA 111014_By Region" xfId="0"/>
    <cellStyle name="_MNT_Pocket_TV_VSA 111014_CORP SG&amp;A" xfId="0"/>
    <cellStyle name="_MNT_Pocket_TV_VSA 111014_LCD" xfId="0"/>
    <cellStyle name="_MNT_Pocket_TV_VSA 111014_PJ" xfId="0"/>
    <cellStyle name="_MNT_Pocket_TV_VSA Roll-Up (LW)" xfId="0"/>
    <cellStyle name="_MNT_Pocket_TV_VSA Roll-Up (LW) 2" xfId="0"/>
    <cellStyle name="_MNT_Pocket_TV_VSA Roll-Up (LW) 3" xfId="0"/>
    <cellStyle name="_MNT_Pocket_TV_VSA Roll-Up (LW) 4" xfId="0"/>
    <cellStyle name="_MNT_Pocket_TV_VSA Roll-Up (LW) 4 2" xfId="0"/>
    <cellStyle name="_MNT_Pocket_TV_VSA Roll-Up (LW)_By Region" xfId="0"/>
    <cellStyle name="_MNT_Pocket_TV_VSA Roll-Up (LW)_CORP SG&amp;A" xfId="0"/>
    <cellStyle name="_MNT_Pocket_TV_VSA Roll-Up (LW)_LCD" xfId="0"/>
    <cellStyle name="_MNT_Pocket_TV_VSA Roll-Up (LW)_PJ" xfId="0"/>
    <cellStyle name="_MNT_TV" xfId="0"/>
    <cellStyle name="_MNT_TV 2" xfId="0"/>
    <cellStyle name="_MNT_TV 3" xfId="0"/>
    <cellStyle name="_MNT_TV 4" xfId="0"/>
    <cellStyle name="_MNT_TV_By Region" xfId="0"/>
    <cellStyle name="_MNT_TV_CORP SG&amp;A" xfId="0"/>
    <cellStyle name="_MNT_TV_Digitizer" xfId="0"/>
    <cellStyle name="_MNT_TV_GPS OTHER" xfId="0"/>
    <cellStyle name="_MNT_TV_GPS OTHER 2" xfId="0"/>
    <cellStyle name="_MNT_TV_GPS OTHER 3" xfId="0"/>
    <cellStyle name="_MNT_TV_GPS OTHER 4" xfId="0"/>
    <cellStyle name="_MNT_TV_GPS OTHER 4 2" xfId="0"/>
    <cellStyle name="_MNT_TV_GPS OTHER_By Region" xfId="0"/>
    <cellStyle name="_MNT_TV_GPS OTHER_CORP SG&amp;A" xfId="0"/>
    <cellStyle name="_MNT_TV_GPS OTHER_LCD" xfId="0"/>
    <cellStyle name="_MNT_TV_GPS OTHER_PJ" xfId="0"/>
    <cellStyle name="_MNT_TV_LCD" xfId="0"/>
    <cellStyle name="_MNT_TV_LCD 2" xfId="0"/>
    <cellStyle name="_MNT_TV_LCD 3" xfId="0"/>
    <cellStyle name="_MNT_TV_LCD 4" xfId="0"/>
    <cellStyle name="_MNT_TV_LCD_By Region" xfId="0"/>
    <cellStyle name="_MNT_TV_LCD_CORP SG&amp;A" xfId="0"/>
    <cellStyle name="_MNT_TV_LCD_LCD" xfId="0"/>
    <cellStyle name="_MNT_TV_LCD_PJ" xfId="0"/>
    <cellStyle name="_MNT_TV_PC Products" xfId="0"/>
    <cellStyle name="_MNT_TV_PC Products 2" xfId="0"/>
    <cellStyle name="_MNT_TV_PC Products 3" xfId="0"/>
    <cellStyle name="_MNT_TV_PC Products 4" xfId="0"/>
    <cellStyle name="_MNT_TV_PC Products 4 2" xfId="0"/>
    <cellStyle name="_MNT_TV_PC Products_By Region" xfId="0"/>
    <cellStyle name="_MNT_TV_PC Products_CORP SG&amp;A" xfId="0"/>
    <cellStyle name="_MNT_TV_PC Products_LCD" xfId="0"/>
    <cellStyle name="_MNT_TV_PC Products_PJ" xfId="0"/>
    <cellStyle name="_MNT_TV_VSA 111014" xfId="0"/>
    <cellStyle name="_MNT_TV_VSA 111014 2" xfId="0"/>
    <cellStyle name="_MNT_TV_VSA 111014 3" xfId="0"/>
    <cellStyle name="_MNT_TV_VSA 111014 4" xfId="0"/>
    <cellStyle name="_MNT_TV_VSA 111014 4 2" xfId="0"/>
    <cellStyle name="_MNT_TV_VSA 111014_By Region" xfId="0"/>
    <cellStyle name="_MNT_TV_VSA 111014_CORP SG&amp;A" xfId="0"/>
    <cellStyle name="_MNT_TV_VSA 111014_LCD" xfId="0"/>
    <cellStyle name="_MNT_TV_VSA 111014_PJ" xfId="0"/>
    <cellStyle name="_MNT_TV_VSA Roll-Up (LW)" xfId="0"/>
    <cellStyle name="_MNT_TV_VSA Roll-Up (LW) 2" xfId="0"/>
    <cellStyle name="_MNT_TV_VSA Roll-Up (LW) 3" xfId="0"/>
    <cellStyle name="_MNT_TV_VSA Roll-Up (LW) 4" xfId="0"/>
    <cellStyle name="_MNT_TV_VSA Roll-Up (LW) 4 2" xfId="0"/>
    <cellStyle name="_MNT_TV_VSA Roll-Up (LW)_By Region" xfId="0"/>
    <cellStyle name="_MNT_TV_VSA Roll-Up (LW)_CORP SG&amp;A" xfId="0"/>
    <cellStyle name="_MNT_TV_VSA Roll-Up (LW)_LCD" xfId="0"/>
    <cellStyle name="_MNT_TV_VSA Roll-Up (LW)_PJ" xfId="0"/>
    <cellStyle name="_MNT_VD" xfId="0"/>
    <cellStyle name="_MNT_VD 2" xfId="0"/>
    <cellStyle name="_MNT_VD 3" xfId="0"/>
    <cellStyle name="_MNT_VD 4" xfId="0"/>
    <cellStyle name="_MNT_VD_By Region" xfId="0"/>
    <cellStyle name="_MNT_VD_CORP SG&amp;A" xfId="0"/>
    <cellStyle name="_MNT_VD_Digitizer" xfId="0"/>
    <cellStyle name="_MNT_VD_GPS OTHER" xfId="0"/>
    <cellStyle name="_MNT_VD_GPS OTHER 2" xfId="0"/>
    <cellStyle name="_MNT_VD_GPS OTHER 3" xfId="0"/>
    <cellStyle name="_MNT_VD_GPS OTHER 4" xfId="0"/>
    <cellStyle name="_MNT_VD_GPS OTHER 4 2" xfId="0"/>
    <cellStyle name="_MNT_VD_GPS OTHER_By Region" xfId="0"/>
    <cellStyle name="_MNT_VD_GPS OTHER_CORP SG&amp;A" xfId="0"/>
    <cellStyle name="_MNT_VD_GPS OTHER_LCD" xfId="0"/>
    <cellStyle name="_MNT_VD_GPS OTHER_PJ" xfId="0"/>
    <cellStyle name="_MNT_VD_LCD" xfId="0"/>
    <cellStyle name="_MNT_VD_LCD 2" xfId="0"/>
    <cellStyle name="_MNT_VD_LCD 3" xfId="0"/>
    <cellStyle name="_MNT_VD_LCD 4" xfId="0"/>
    <cellStyle name="_MNT_VD_LCD_By Region" xfId="0"/>
    <cellStyle name="_MNT_VD_LCD_CORP SG&amp;A" xfId="0"/>
    <cellStyle name="_MNT_VD_LCD_LCD" xfId="0"/>
    <cellStyle name="_MNT_VD_LCD_PJ" xfId="0"/>
    <cellStyle name="_MNT_VD_PC Products" xfId="0"/>
    <cellStyle name="_MNT_VD_PC Products 2" xfId="0"/>
    <cellStyle name="_MNT_VD_PC Products 3" xfId="0"/>
    <cellStyle name="_MNT_VD_PC Products 4" xfId="0"/>
    <cellStyle name="_MNT_VD_PC Products 4 2" xfId="0"/>
    <cellStyle name="_MNT_VD_PC Products_By Region" xfId="0"/>
    <cellStyle name="_MNT_VD_PC Products_CORP SG&amp;A" xfId="0"/>
    <cellStyle name="_MNT_VD_PC Products_LCD" xfId="0"/>
    <cellStyle name="_MNT_VD_PC Products_PJ" xfId="0"/>
    <cellStyle name="_MNT_VD_VSA 111014" xfId="0"/>
    <cellStyle name="_MNT_VD_VSA 111014 2" xfId="0"/>
    <cellStyle name="_MNT_VD_VSA 111014 3" xfId="0"/>
    <cellStyle name="_MNT_VD_VSA 111014 4" xfId="0"/>
    <cellStyle name="_MNT_VD_VSA 111014 4 2" xfId="0"/>
    <cellStyle name="_MNT_VD_VSA 111014_By Region" xfId="0"/>
    <cellStyle name="_MNT_VD_VSA 111014_CORP SG&amp;A" xfId="0"/>
    <cellStyle name="_MNT_VD_VSA 111014_LCD" xfId="0"/>
    <cellStyle name="_MNT_VD_VSA 111014_PJ" xfId="0"/>
    <cellStyle name="_MNT_VD_VSA Roll-Up (LW)" xfId="0"/>
    <cellStyle name="_MNT_VD_VSA Roll-Up (LW) 2" xfId="0"/>
    <cellStyle name="_MNT_VD_VSA Roll-Up (LW) 3" xfId="0"/>
    <cellStyle name="_MNT_VD_VSA Roll-Up (LW) 4" xfId="0"/>
    <cellStyle name="_MNT_VD_VSA Roll-Up (LW) 4 2" xfId="0"/>
    <cellStyle name="_MNT_VD_VSA Roll-Up (LW)_By Region" xfId="0"/>
    <cellStyle name="_MNT_VD_VSA Roll-Up (LW)_CORP SG&amp;A" xfId="0"/>
    <cellStyle name="_MNT_VD_VSA Roll-Up (LW)_LCD" xfId="0"/>
    <cellStyle name="_MNT_VD_VSA Roll-Up (LW)_PJ" xfId="0"/>
    <cellStyle name="_MNT_VSA 111014" xfId="0"/>
    <cellStyle name="_MNT_VSA 111014 2" xfId="0"/>
    <cellStyle name="_MNT_VSA 111014 3" xfId="0"/>
    <cellStyle name="_MNT_VSA 111014 4" xfId="0"/>
    <cellStyle name="_MNT_VSA 111014 4 2" xfId="0"/>
    <cellStyle name="_MNT_VSA 111014_By Region" xfId="0"/>
    <cellStyle name="_MNT_VSA 111014_CORP SG&amp;A" xfId="0"/>
    <cellStyle name="_MNT_VSA 111014_LCD" xfId="0"/>
    <cellStyle name="_MNT_VSA 111014_PJ" xfId="0"/>
    <cellStyle name="_MNT_VSA Roll-Up (LW)" xfId="0"/>
    <cellStyle name="_MNT_VSA Roll-Up (LW) 2" xfId="0"/>
    <cellStyle name="_MNT_VSA Roll-Up (LW) 3" xfId="0"/>
    <cellStyle name="_MNT_VSA Roll-Up (LW) 4" xfId="0"/>
    <cellStyle name="_MNT_VSA Roll-Up (LW) 4 2" xfId="0"/>
    <cellStyle name="_MNT_VSA Roll-Up (LW)_By Region" xfId="0"/>
    <cellStyle name="_MNT_VSA Roll-Up (LW)_CORP SG&amp;A" xfId="0"/>
    <cellStyle name="_MNT_VSA Roll-Up (LW)_LCD" xfId="0"/>
    <cellStyle name="_MNT_VSA Roll-Up (LW)_PJ" xfId="0"/>
    <cellStyle name="_MNT_VSE 2011 Budget" xfId="0"/>
    <cellStyle name="_MNT_VSE 2011 Budget 2" xfId="0"/>
    <cellStyle name="_MNT_VSE 2011 Budget 3" xfId="0"/>
    <cellStyle name="_MNT_VSE 2011 Budget 4" xfId="0"/>
    <cellStyle name="_MNT_VSE 2011 Budget_By Region" xfId="0"/>
    <cellStyle name="_MNT_VSE 2011 Budget_CORP SG&amp;A" xfId="0"/>
    <cellStyle name="_MNT_VSE 2011 Budget_Digitizer" xfId="0"/>
    <cellStyle name="_MNT_VSE 2011 Budget_GPS OTHER" xfId="0"/>
    <cellStyle name="_MNT_VSE 2011 Budget_GPS OTHER 2" xfId="0"/>
    <cellStyle name="_MNT_VSE 2011 Budget_GPS OTHER 3" xfId="0"/>
    <cellStyle name="_MNT_VSE 2011 Budget_GPS OTHER 4" xfId="0"/>
    <cellStyle name="_MNT_VSE 2011 Budget_GPS OTHER 4 2" xfId="0"/>
    <cellStyle name="_MNT_VSE 2011 Budget_GPS OTHER_By Region" xfId="0"/>
    <cellStyle name="_MNT_VSE 2011 Budget_GPS OTHER_CORP SG&amp;A" xfId="0"/>
    <cellStyle name="_MNT_VSE 2011 Budget_GPS OTHER_LCD" xfId="0"/>
    <cellStyle name="_MNT_VSE 2011 Budget_GPS OTHER_PJ" xfId="0"/>
    <cellStyle name="_MNT_VSE 2011 Budget_LCD" xfId="0"/>
    <cellStyle name="_MNT_VSE 2011 Budget_LCD 2" xfId="0"/>
    <cellStyle name="_MNT_VSE 2011 Budget_LCD 3" xfId="0"/>
    <cellStyle name="_MNT_VSE 2011 Budget_LCD 4" xfId="0"/>
    <cellStyle name="_MNT_VSE 2011 Budget_LCD_By Region" xfId="0"/>
    <cellStyle name="_MNT_VSE 2011 Budget_LCD_CORP SG&amp;A" xfId="0"/>
    <cellStyle name="_MNT_VSE 2011 Budget_LCD_LCD" xfId="0"/>
    <cellStyle name="_MNT_VSE 2011 Budget_LCD_PJ" xfId="0"/>
    <cellStyle name="_MNT_VSE 2011 Budget_PC Products" xfId="0"/>
    <cellStyle name="_MNT_VSE 2011 Budget_PC Products 2" xfId="0"/>
    <cellStyle name="_MNT_VSE 2011 Budget_PC Products 3" xfId="0"/>
    <cellStyle name="_MNT_VSE 2011 Budget_PC Products 4" xfId="0"/>
    <cellStyle name="_MNT_VSE 2011 Budget_PC Products 4 2" xfId="0"/>
    <cellStyle name="_MNT_VSE 2011 Budget_PC Products_By Region" xfId="0"/>
    <cellStyle name="_MNT_VSE 2011 Budget_PC Products_CORP SG&amp;A" xfId="0"/>
    <cellStyle name="_MNT_VSE 2011 Budget_PC Products_LCD" xfId="0"/>
    <cellStyle name="_MNT_VSE 2011 Budget_PC Products_PJ" xfId="0"/>
    <cellStyle name="_MNT_VSE 2011 Budget_VSA 111014" xfId="0"/>
    <cellStyle name="_MNT_VSE 2011 Budget_VSA 111014 2" xfId="0"/>
    <cellStyle name="_MNT_VSE 2011 Budget_VSA 111014 3" xfId="0"/>
    <cellStyle name="_MNT_VSE 2011 Budget_VSA 111014 4" xfId="0"/>
    <cellStyle name="_MNT_VSE 2011 Budget_VSA 111014 4 2" xfId="0"/>
    <cellStyle name="_MNT_VSE 2011 Budget_VSA 111014_By Region" xfId="0"/>
    <cellStyle name="_MNT_VSE 2011 Budget_VSA 111014_CORP SG&amp;A" xfId="0"/>
    <cellStyle name="_MNT_VSE 2011 Budget_VSA 111014_LCD" xfId="0"/>
    <cellStyle name="_MNT_VSE 2011 Budget_VSA 111014_PJ" xfId="0"/>
    <cellStyle name="_MNT_VSE 2011 Budget_VSA Roll-Up (LW)" xfId="0"/>
    <cellStyle name="_MNT_VSE 2011 Budget_VSA Roll-Up (LW) 2" xfId="0"/>
    <cellStyle name="_MNT_VSE 2011 Budget_VSA Roll-Up (LW) 3" xfId="0"/>
    <cellStyle name="_MNT_VSE 2011 Budget_VSA Roll-Up (LW) 4" xfId="0"/>
    <cellStyle name="_MNT_VSE 2011 Budget_VSA Roll-Up (LW) 4 2" xfId="0"/>
    <cellStyle name="_MNT_VSE 2011 Budget_VSA Roll-Up (LW)_By Region" xfId="0"/>
    <cellStyle name="_MNT_VSE 2011 Budget_VSA Roll-Up (LW)_CORP SG&amp;A" xfId="0"/>
    <cellStyle name="_MNT_VSE 2011 Budget_VSA Roll-Up (LW)_LCD" xfId="0"/>
    <cellStyle name="_MNT_VSE 2011 Budget_VSA Roll-Up (LW)_PJ" xfId="0"/>
    <cellStyle name="_MNT_VSE 2H  WFP review (Spring Global meeting)-conservative Adam working v3" xfId="0"/>
    <cellStyle name="_MNT_VSE 2H  WFP review (Spring Global meeting)-conservative Adam working v3 2" xfId="0"/>
    <cellStyle name="_MNT_VSE 2H  WFP review (Spring Global meeting)-conservative Adam working v3 3" xfId="0"/>
    <cellStyle name="_MNT_VSE 2H Rebalance 110712" xfId="0"/>
    <cellStyle name="_MNT_VSE 2H Rebalance 110712 2" xfId="0"/>
    <cellStyle name="_MNT_VSE 2H Rebalance 110712 3" xfId="0"/>
    <cellStyle name="_MNT_VSE 2H Rebalance 110712 4" xfId="0"/>
    <cellStyle name="_MNT_VSE 2H Rebalance 110712_By Region" xfId="0"/>
    <cellStyle name="_MNT_VSE 2H Rebalance 110712_CORP SG&amp;A" xfId="0"/>
    <cellStyle name="_MNT_VSE WFP 101203" xfId="0"/>
    <cellStyle name="_MNT_VSE WFP 101203 2" xfId="0"/>
    <cellStyle name="_MNT_VSE WFP 101203 3" xfId="0"/>
    <cellStyle name="_MNT_VSE WFP 101203 4" xfId="0"/>
    <cellStyle name="_MNT_VSE WFP 101203_By Region" xfId="0"/>
    <cellStyle name="_MNT_VSE WFP 101203_CORP SG&amp;A" xfId="0"/>
    <cellStyle name="_MNT_VSE WFP 110311" xfId="0"/>
    <cellStyle name="_MNT_VSE WFP 110311 2" xfId="0"/>
    <cellStyle name="_MNT_VSE WFP 110311 3" xfId="0"/>
    <cellStyle name="_MNT_VSE WFP 110311 4" xfId="0"/>
    <cellStyle name="_MNT_VSE WFP 110311_By Region" xfId="0"/>
    <cellStyle name="_MNT_VSE WFP 110311_CORP SG&amp;A" xfId="0"/>
    <cellStyle name="_MNT_VSE WFP 110415" xfId="0"/>
    <cellStyle name="_MNT_VSE WFP 110415 2" xfId="0"/>
    <cellStyle name="_MNT_VSE WFP 110415 3" xfId="0"/>
    <cellStyle name="_MNT_VSE WFP 110415 4" xfId="0"/>
    <cellStyle name="_MNT_VSE WFP 110415_By Region" xfId="0"/>
    <cellStyle name="_MNT_VSE WFP 110415_CORP SG&amp;A" xfId="0"/>
    <cellStyle name="_MNT_VSE WFP_100409" xfId="0"/>
    <cellStyle name="_MNT_VSE WFP_100409 2" xfId="0"/>
    <cellStyle name="_MNT_VSE WFP_100409 3" xfId="0"/>
    <cellStyle name="_MNT_VSE WFP_100409 4" xfId="0"/>
    <cellStyle name="_MNT_VSE WFP_100409_By Region" xfId="0"/>
    <cellStyle name="_MNT_VSE WFP_100409_CORP SG&amp;A" xfId="0"/>
    <cellStyle name="_MNT_VSE WFP_100409_Digitizer" xfId="0"/>
    <cellStyle name="_MNT_VSE WFP_100409_GPS OTHER" xfId="0"/>
    <cellStyle name="_MNT_VSE WFP_100409_GPS OTHER 2" xfId="0"/>
    <cellStyle name="_MNT_VSE WFP_100409_GPS OTHER 3" xfId="0"/>
    <cellStyle name="_MNT_VSE WFP_100409_GPS OTHER 4" xfId="0"/>
    <cellStyle name="_MNT_VSE WFP_100409_GPS OTHER 4 2" xfId="0"/>
    <cellStyle name="_MNT_VSE WFP_100409_GPS OTHER_By Region" xfId="0"/>
    <cellStyle name="_MNT_VSE WFP_100409_GPS OTHER_CORP SG&amp;A" xfId="0"/>
    <cellStyle name="_MNT_VSE WFP_100409_GPS OTHER_LCD" xfId="0"/>
    <cellStyle name="_MNT_VSE WFP_100409_GPS OTHER_PJ" xfId="0"/>
    <cellStyle name="_MNT_VSE WFP_100409_LCD" xfId="0"/>
    <cellStyle name="_MNT_VSE WFP_100409_LCD 2" xfId="0"/>
    <cellStyle name="_MNT_VSE WFP_100409_LCD 3" xfId="0"/>
    <cellStyle name="_MNT_VSE WFP_100409_LCD 4" xfId="0"/>
    <cellStyle name="_MNT_VSE WFP_100409_LCD_By Region" xfId="0"/>
    <cellStyle name="_MNT_VSE WFP_100409_LCD_CORP SG&amp;A" xfId="0"/>
    <cellStyle name="_MNT_VSE WFP_100409_LCD_LCD" xfId="0"/>
    <cellStyle name="_MNT_VSE WFP_100409_LCD_PJ" xfId="0"/>
    <cellStyle name="_MNT_VSE WFP_100409_PC Products" xfId="0"/>
    <cellStyle name="_MNT_VSE WFP_100409_PC Products 2" xfId="0"/>
    <cellStyle name="_MNT_VSE WFP_100409_PC Products 3" xfId="0"/>
    <cellStyle name="_MNT_VSE WFP_100409_PC Products 4" xfId="0"/>
    <cellStyle name="_MNT_VSE WFP_100409_PC Products 4 2" xfId="0"/>
    <cellStyle name="_MNT_VSE WFP_100409_PC Products_By Region" xfId="0"/>
    <cellStyle name="_MNT_VSE WFP_100409_PC Products_CORP SG&amp;A" xfId="0"/>
    <cellStyle name="_MNT_VSE WFP_100409_PC Products_LCD" xfId="0"/>
    <cellStyle name="_MNT_VSE WFP_100409_PC Products_PJ" xfId="0"/>
    <cellStyle name="_MNT_VSE WFP_100409_VSA 111014" xfId="0"/>
    <cellStyle name="_MNT_VSE WFP_100409_VSA 111014 2" xfId="0"/>
    <cellStyle name="_MNT_VSE WFP_100409_VSA 111014 3" xfId="0"/>
    <cellStyle name="_MNT_VSE WFP_100409_VSA 111014 4" xfId="0"/>
    <cellStyle name="_MNT_VSE WFP_100409_VSA 111014 4 2" xfId="0"/>
    <cellStyle name="_MNT_VSE WFP_100409_VSA 111014_By Region" xfId="0"/>
    <cellStyle name="_MNT_VSE WFP_100409_VSA 111014_CORP SG&amp;A" xfId="0"/>
    <cellStyle name="_MNT_VSE WFP_100409_VSA 111014_LCD" xfId="0"/>
    <cellStyle name="_MNT_VSE WFP_100409_VSA 111014_PJ" xfId="0"/>
    <cellStyle name="_MNT_VSE WFP_100409_VSA Roll-Up (LW)" xfId="0"/>
    <cellStyle name="_MNT_VSE WFP_100409_VSA Roll-Up (LW) 2" xfId="0"/>
    <cellStyle name="_MNT_VSE WFP_100409_VSA Roll-Up (LW) 3" xfId="0"/>
    <cellStyle name="_MNT_VSE WFP_100409_VSA Roll-Up (LW) 4" xfId="0"/>
    <cellStyle name="_MNT_VSE WFP_100409_VSA Roll-Up (LW) 4 2" xfId="0"/>
    <cellStyle name="_MNT_VSE WFP_100409_VSA Roll-Up (LW)_By Region" xfId="0"/>
    <cellStyle name="_MNT_VSE WFP_100409_VSA Roll-Up (LW)_CORP SG&amp;A" xfId="0"/>
    <cellStyle name="_MNT_VSE WFP_100409_VSA Roll-Up (LW)_LCD" xfId="0"/>
    <cellStyle name="_MNT_VSE WFP_100409_VSA Roll-Up (LW)_PJ" xfId="0"/>
    <cellStyle name="_MNT_VSE WFP_100421 v2" xfId="0"/>
    <cellStyle name="_MNT_VSE WFP_100421 v2 2" xfId="0"/>
    <cellStyle name="_MNT_VSE WFP_100421 v2 3" xfId="0"/>
    <cellStyle name="_MNT_VSE WFP_100421 v2 4" xfId="0"/>
    <cellStyle name="_MNT_VSE WFP_100421 v2_By Region" xfId="0"/>
    <cellStyle name="_MNT_VSE WFP_100421 v2_CORP SG&amp;A" xfId="0"/>
    <cellStyle name="_MNT_VSE WFP_100421 v2_Digitizer" xfId="0"/>
    <cellStyle name="_MNT_VSE WFP_100421 v2_GPS OTHER" xfId="0"/>
    <cellStyle name="_MNT_VSE WFP_100421 v2_GPS OTHER 2" xfId="0"/>
    <cellStyle name="_MNT_VSE WFP_100421 v2_GPS OTHER 3" xfId="0"/>
    <cellStyle name="_MNT_VSE WFP_100421 v2_GPS OTHER 4" xfId="0"/>
    <cellStyle name="_MNT_VSE WFP_100421 v2_GPS OTHER 4 2" xfId="0"/>
    <cellStyle name="_MNT_VSE WFP_100421 v2_GPS OTHER_By Region" xfId="0"/>
    <cellStyle name="_MNT_VSE WFP_100421 v2_GPS OTHER_CORP SG&amp;A" xfId="0"/>
    <cellStyle name="_MNT_VSE WFP_100421 v2_GPS OTHER_LCD" xfId="0"/>
    <cellStyle name="_MNT_VSE WFP_100421 v2_GPS OTHER_PJ" xfId="0"/>
    <cellStyle name="_MNT_VSE WFP_100421 v2_LCD" xfId="0"/>
    <cellStyle name="_MNT_VSE WFP_100421 v2_LCD 2" xfId="0"/>
    <cellStyle name="_MNT_VSE WFP_100421 v2_LCD 3" xfId="0"/>
    <cellStyle name="_MNT_VSE WFP_100421 v2_LCD 4" xfId="0"/>
    <cellStyle name="_MNT_VSE WFP_100421 v2_LCD_By Region" xfId="0"/>
    <cellStyle name="_MNT_VSE WFP_100421 v2_LCD_CORP SG&amp;A" xfId="0"/>
    <cellStyle name="_MNT_VSE WFP_100421 v2_LCD_LCD" xfId="0"/>
    <cellStyle name="_MNT_VSE WFP_100421 v2_LCD_PJ" xfId="0"/>
    <cellStyle name="_MNT_VSE WFP_100421 v2_PC Products" xfId="0"/>
    <cellStyle name="_MNT_VSE WFP_100421 v2_PC Products 2" xfId="0"/>
    <cellStyle name="_MNT_VSE WFP_100421 v2_PC Products 3" xfId="0"/>
    <cellStyle name="_MNT_VSE WFP_100421 v2_PC Products 4" xfId="0"/>
    <cellStyle name="_MNT_VSE WFP_100421 v2_PC Products 4 2" xfId="0"/>
    <cellStyle name="_MNT_VSE WFP_100421 v2_PC Products_By Region" xfId="0"/>
    <cellStyle name="_MNT_VSE WFP_100421 v2_PC Products_CORP SG&amp;A" xfId="0"/>
    <cellStyle name="_MNT_VSE WFP_100421 v2_PC Products_LCD" xfId="0"/>
    <cellStyle name="_MNT_VSE WFP_100421 v2_PC Products_PJ" xfId="0"/>
    <cellStyle name="_MNT_VSE WFP_100421 v2_VSA 111014" xfId="0"/>
    <cellStyle name="_MNT_VSE WFP_100421 v2_VSA 111014 2" xfId="0"/>
    <cellStyle name="_MNT_VSE WFP_100421 v2_VSA 111014 3" xfId="0"/>
    <cellStyle name="_MNT_VSE WFP_100421 v2_VSA 111014 4" xfId="0"/>
    <cellStyle name="_MNT_VSE WFP_100421 v2_VSA 111014 4 2" xfId="0"/>
    <cellStyle name="_MNT_VSE WFP_100421 v2_VSA 111014_By Region" xfId="0"/>
    <cellStyle name="_MNT_VSE WFP_100421 v2_VSA 111014_CORP SG&amp;A" xfId="0"/>
    <cellStyle name="_MNT_VSE WFP_100421 v2_VSA 111014_LCD" xfId="0"/>
    <cellStyle name="_MNT_VSE WFP_100421 v2_VSA 111014_PJ" xfId="0"/>
    <cellStyle name="_MNT_VSE WFP_100421 v2_VSA Roll-Up (LW)" xfId="0"/>
    <cellStyle name="_MNT_VSE WFP_100421 v2_VSA Roll-Up (LW) 2" xfId="0"/>
    <cellStyle name="_MNT_VSE WFP_100421 v2_VSA Roll-Up (LW) 3" xfId="0"/>
    <cellStyle name="_MNT_VSE WFP_100421 v2_VSA Roll-Up (LW) 4" xfId="0"/>
    <cellStyle name="_MNT_VSE WFP_100421 v2_VSA Roll-Up (LW) 4 2" xfId="0"/>
    <cellStyle name="_MNT_VSE WFP_100421 v2_VSA Roll-Up (LW)_By Region" xfId="0"/>
    <cellStyle name="_MNT_VSE WFP_100421 v2_VSA Roll-Up (LW)_CORP SG&amp;A" xfId="0"/>
    <cellStyle name="_MNT_VSE WFP_100421 v2_VSA Roll-Up (LW)_LCD" xfId="0"/>
    <cellStyle name="_MNT_VSE WFP_100421 v2_VSA Roll-Up (LW)_PJ" xfId="0"/>
    <cellStyle name="_MNT_VSE WFP_100507" xfId="0"/>
    <cellStyle name="_MNT_VSE WFP_100507 2" xfId="0"/>
    <cellStyle name="_MNT_VSE WFP_100507 3" xfId="0"/>
    <cellStyle name="_MNT_VSE WFP_100507 4" xfId="0"/>
    <cellStyle name="_MNT_VSE WFP_100507_By Region" xfId="0"/>
    <cellStyle name="_MNT_VSE WFP_100507_CORP SG&amp;A" xfId="0"/>
    <cellStyle name="_MNT_VSE WFP_100507_Digitizer" xfId="0"/>
    <cellStyle name="_MNT_VSE WFP_100507_GPS OTHER" xfId="0"/>
    <cellStyle name="_MNT_VSE WFP_100507_GPS OTHER 2" xfId="0"/>
    <cellStyle name="_MNT_VSE WFP_100507_GPS OTHER 3" xfId="0"/>
    <cellStyle name="_MNT_VSE WFP_100507_GPS OTHER 4" xfId="0"/>
    <cellStyle name="_MNT_VSE WFP_100507_GPS OTHER 4 2" xfId="0"/>
    <cellStyle name="_MNT_VSE WFP_100507_GPS OTHER_By Region" xfId="0"/>
    <cellStyle name="_MNT_VSE WFP_100507_GPS OTHER_CORP SG&amp;A" xfId="0"/>
    <cellStyle name="_MNT_VSE WFP_100507_GPS OTHER_LCD" xfId="0"/>
    <cellStyle name="_MNT_VSE WFP_100507_GPS OTHER_PJ" xfId="0"/>
    <cellStyle name="_MNT_VSE WFP_100507_LCD" xfId="0"/>
    <cellStyle name="_MNT_VSE WFP_100507_LCD 2" xfId="0"/>
    <cellStyle name="_MNT_VSE WFP_100507_LCD 3" xfId="0"/>
    <cellStyle name="_MNT_VSE WFP_100507_LCD 4" xfId="0"/>
    <cellStyle name="_MNT_VSE WFP_100507_LCD_By Region" xfId="0"/>
    <cellStyle name="_MNT_VSE WFP_100507_LCD_CORP SG&amp;A" xfId="0"/>
    <cellStyle name="_MNT_VSE WFP_100507_LCD_LCD" xfId="0"/>
    <cellStyle name="_MNT_VSE WFP_100507_LCD_PJ" xfId="0"/>
    <cellStyle name="_MNT_VSE WFP_100507_PC Products" xfId="0"/>
    <cellStyle name="_MNT_VSE WFP_100507_PC Products 2" xfId="0"/>
    <cellStyle name="_MNT_VSE WFP_100507_PC Products 3" xfId="0"/>
    <cellStyle name="_MNT_VSE WFP_100507_PC Products 4" xfId="0"/>
    <cellStyle name="_MNT_VSE WFP_100507_PC Products 4 2" xfId="0"/>
    <cellStyle name="_MNT_VSE WFP_100507_PC Products_By Region" xfId="0"/>
    <cellStyle name="_MNT_VSE WFP_100507_PC Products_CORP SG&amp;A" xfId="0"/>
    <cellStyle name="_MNT_VSE WFP_100507_PC Products_LCD" xfId="0"/>
    <cellStyle name="_MNT_VSE WFP_100507_PC Products_PJ" xfId="0"/>
    <cellStyle name="_MNT_VSE WFP_100507_VSA 111014" xfId="0"/>
    <cellStyle name="_MNT_VSE WFP_100507_VSA 111014 2" xfId="0"/>
    <cellStyle name="_MNT_VSE WFP_100507_VSA 111014 3" xfId="0"/>
    <cellStyle name="_MNT_VSE WFP_100507_VSA 111014 4" xfId="0"/>
    <cellStyle name="_MNT_VSE WFP_100507_VSA 111014 4 2" xfId="0"/>
    <cellStyle name="_MNT_VSE WFP_100507_VSA 111014_By Region" xfId="0"/>
    <cellStyle name="_MNT_VSE WFP_100507_VSA 111014_CORP SG&amp;A" xfId="0"/>
    <cellStyle name="_MNT_VSE WFP_100507_VSA 111014_LCD" xfId="0"/>
    <cellStyle name="_MNT_VSE WFP_100507_VSA 111014_PJ" xfId="0"/>
    <cellStyle name="_MNT_VSE WFP_100507_VSA Roll-Up (LW)" xfId="0"/>
    <cellStyle name="_MNT_VSE WFP_100507_VSA Roll-Up (LW) 2" xfId="0"/>
    <cellStyle name="_MNT_VSE WFP_100507_VSA Roll-Up (LW) 3" xfId="0"/>
    <cellStyle name="_MNT_VSE WFP_100507_VSA Roll-Up (LW) 4" xfId="0"/>
    <cellStyle name="_MNT_VSE WFP_100507_VSA Roll-Up (LW) 4 2" xfId="0"/>
    <cellStyle name="_MNT_VSE WFP_100507_VSA Roll-Up (LW)_By Region" xfId="0"/>
    <cellStyle name="_MNT_VSE WFP_100507_VSA Roll-Up (LW)_CORP SG&amp;A" xfId="0"/>
    <cellStyle name="_MNT_VSE WFP_100507_VSA Roll-Up (LW)_LCD" xfId="0"/>
    <cellStyle name="_MNT_VSE WFP_100507_VSA Roll-Up (LW)_PJ" xfId="0"/>
    <cellStyle name="_MNT_VSE WFP_100608" xfId="0"/>
    <cellStyle name="_MNT_VSE WFP_100608 2" xfId="0"/>
    <cellStyle name="_MNT_VSE WFP_100608 3" xfId="0"/>
    <cellStyle name="_MNT_VSE WFP_100608 4" xfId="0"/>
    <cellStyle name="_MNT_VSE WFP_100608_By Region" xfId="0"/>
    <cellStyle name="_MNT_VSE WFP_100608_CORP SG&amp;A" xfId="0"/>
    <cellStyle name="_MNT_VSE WFP_100608_Digitizer" xfId="0"/>
    <cellStyle name="_MNT_VSE WFP_100608_GPS OTHER" xfId="0"/>
    <cellStyle name="_MNT_VSE WFP_100608_GPS OTHER 2" xfId="0"/>
    <cellStyle name="_MNT_VSE WFP_100608_GPS OTHER 3" xfId="0"/>
    <cellStyle name="_MNT_VSE WFP_100608_GPS OTHER 4" xfId="0"/>
    <cellStyle name="_MNT_VSE WFP_100608_GPS OTHER 4 2" xfId="0"/>
    <cellStyle name="_MNT_VSE WFP_100608_GPS OTHER_By Region" xfId="0"/>
    <cellStyle name="_MNT_VSE WFP_100608_GPS OTHER_CORP SG&amp;A" xfId="0"/>
    <cellStyle name="_MNT_VSE WFP_100608_GPS OTHER_LCD" xfId="0"/>
    <cellStyle name="_MNT_VSE WFP_100608_GPS OTHER_PJ" xfId="0"/>
    <cellStyle name="_MNT_VSE WFP_100608_LCD" xfId="0"/>
    <cellStyle name="_MNT_VSE WFP_100608_LCD 2" xfId="0"/>
    <cellStyle name="_MNT_VSE WFP_100608_LCD 3" xfId="0"/>
    <cellStyle name="_MNT_VSE WFP_100608_LCD 4" xfId="0"/>
    <cellStyle name="_MNT_VSE WFP_100608_LCD_By Region" xfId="0"/>
    <cellStyle name="_MNT_VSE WFP_100608_LCD_CORP SG&amp;A" xfId="0"/>
    <cellStyle name="_MNT_VSE WFP_100608_LCD_LCD" xfId="0"/>
    <cellStyle name="_MNT_VSE WFP_100608_LCD_PJ" xfId="0"/>
    <cellStyle name="_MNT_VSE WFP_100608_PC Products" xfId="0"/>
    <cellStyle name="_MNT_VSE WFP_100608_PC Products 2" xfId="0"/>
    <cellStyle name="_MNT_VSE WFP_100608_PC Products 3" xfId="0"/>
    <cellStyle name="_MNT_VSE WFP_100608_PC Products 4" xfId="0"/>
    <cellStyle name="_MNT_VSE WFP_100608_PC Products 4 2" xfId="0"/>
    <cellStyle name="_MNT_VSE WFP_100608_PC Products_By Region" xfId="0"/>
    <cellStyle name="_MNT_VSE WFP_100608_PC Products_CORP SG&amp;A" xfId="0"/>
    <cellStyle name="_MNT_VSE WFP_100608_PC Products_LCD" xfId="0"/>
    <cellStyle name="_MNT_VSE WFP_100608_PC Products_PJ" xfId="0"/>
    <cellStyle name="_MNT_VSE WFP_100608_VSA 111014" xfId="0"/>
    <cellStyle name="_MNT_VSE WFP_100608_VSA 111014 2" xfId="0"/>
    <cellStyle name="_MNT_VSE WFP_100608_VSA 111014 3" xfId="0"/>
    <cellStyle name="_MNT_VSE WFP_100608_VSA 111014 4" xfId="0"/>
    <cellStyle name="_MNT_VSE WFP_100608_VSA 111014 4 2" xfId="0"/>
    <cellStyle name="_MNT_VSE WFP_100608_VSA 111014_By Region" xfId="0"/>
    <cellStyle name="_MNT_VSE WFP_100608_VSA 111014_CORP SG&amp;A" xfId="0"/>
    <cellStyle name="_MNT_VSE WFP_100608_VSA 111014_LCD" xfId="0"/>
    <cellStyle name="_MNT_VSE WFP_100608_VSA 111014_PJ" xfId="0"/>
    <cellStyle name="_MNT_VSE WFP_100608_VSA Roll-Up (LW)" xfId="0"/>
    <cellStyle name="_MNT_VSE WFP_100608_VSA Roll-Up (LW) 2" xfId="0"/>
    <cellStyle name="_MNT_VSE WFP_100608_VSA Roll-Up (LW) 3" xfId="0"/>
    <cellStyle name="_MNT_VSE WFP_100608_VSA Roll-Up (LW) 4" xfId="0"/>
    <cellStyle name="_MNT_VSE WFP_100608_VSA Roll-Up (LW) 4 2" xfId="0"/>
    <cellStyle name="_MNT_VSE WFP_100608_VSA Roll-Up (LW)_By Region" xfId="0"/>
    <cellStyle name="_MNT_VSE WFP_100608_VSA Roll-Up (LW)_CORP SG&amp;A" xfId="0"/>
    <cellStyle name="_MNT_VSE WFP_100608_VSA Roll-Up (LW)_LCD" xfId="0"/>
    <cellStyle name="_MNT_VSE WFP_100608_VSA Roll-Up (LW)_PJ" xfId="0"/>
    <cellStyle name="_MNT_VSE WFP_100625" xfId="0"/>
    <cellStyle name="_MNT_VSE WFP_100625 2" xfId="0"/>
    <cellStyle name="_MNT_VSE WFP_100625 3" xfId="0"/>
    <cellStyle name="_MNT_VSE WFP_100625 4" xfId="0"/>
    <cellStyle name="_MNT_VSE WFP_100625_By Region" xfId="0"/>
    <cellStyle name="_MNT_VSE WFP_100625_CORP SG&amp;A" xfId="0"/>
    <cellStyle name="_MNT_VSE WFP_100625_Digitizer" xfId="0"/>
    <cellStyle name="_MNT_VSE WFP_100625_GPS OTHER" xfId="0"/>
    <cellStyle name="_MNT_VSE WFP_100625_GPS OTHER 2" xfId="0"/>
    <cellStyle name="_MNT_VSE WFP_100625_GPS OTHER 3" xfId="0"/>
    <cellStyle name="_MNT_VSE WFP_100625_GPS OTHER 4" xfId="0"/>
    <cellStyle name="_MNT_VSE WFP_100625_GPS OTHER 4 2" xfId="0"/>
    <cellStyle name="_MNT_VSE WFP_100625_GPS OTHER_By Region" xfId="0"/>
    <cellStyle name="_MNT_VSE WFP_100625_GPS OTHER_CORP SG&amp;A" xfId="0"/>
    <cellStyle name="_MNT_VSE WFP_100625_GPS OTHER_LCD" xfId="0"/>
    <cellStyle name="_MNT_VSE WFP_100625_GPS OTHER_PJ" xfId="0"/>
    <cellStyle name="_MNT_VSE WFP_100625_LCD" xfId="0"/>
    <cellStyle name="_MNT_VSE WFP_100625_LCD 2" xfId="0"/>
    <cellStyle name="_MNT_VSE WFP_100625_LCD 3" xfId="0"/>
    <cellStyle name="_MNT_VSE WFP_100625_LCD 4" xfId="0"/>
    <cellStyle name="_MNT_VSE WFP_100625_LCD_By Region" xfId="0"/>
    <cellStyle name="_MNT_VSE WFP_100625_LCD_CORP SG&amp;A" xfId="0"/>
    <cellStyle name="_MNT_VSE WFP_100625_LCD_LCD" xfId="0"/>
    <cellStyle name="_MNT_VSE WFP_100625_LCD_PJ" xfId="0"/>
    <cellStyle name="_MNT_VSE WFP_100625_PC Products" xfId="0"/>
    <cellStyle name="_MNT_VSE WFP_100625_PC Products 2" xfId="0"/>
    <cellStyle name="_MNT_VSE WFP_100625_PC Products 3" xfId="0"/>
    <cellStyle name="_MNT_VSE WFP_100625_PC Products 4" xfId="0"/>
    <cellStyle name="_MNT_VSE WFP_100625_PC Products 4 2" xfId="0"/>
    <cellStyle name="_MNT_VSE WFP_100625_PC Products_By Region" xfId="0"/>
    <cellStyle name="_MNT_VSE WFP_100625_PC Products_CORP SG&amp;A" xfId="0"/>
    <cellStyle name="_MNT_VSE WFP_100625_PC Products_LCD" xfId="0"/>
    <cellStyle name="_MNT_VSE WFP_100625_PC Products_PJ" xfId="0"/>
    <cellStyle name="_MNT_VSE WFP_100625_VSA 111014" xfId="0"/>
    <cellStyle name="_MNT_VSE WFP_100625_VSA 111014 2" xfId="0"/>
    <cellStyle name="_MNT_VSE WFP_100625_VSA 111014 3" xfId="0"/>
    <cellStyle name="_MNT_VSE WFP_100625_VSA 111014 4" xfId="0"/>
    <cellStyle name="_MNT_VSE WFP_100625_VSA 111014 4 2" xfId="0"/>
    <cellStyle name="_MNT_VSE WFP_100625_VSA 111014_By Region" xfId="0"/>
    <cellStyle name="_MNT_VSE WFP_100625_VSA 111014_CORP SG&amp;A" xfId="0"/>
    <cellStyle name="_MNT_VSE WFP_100625_VSA 111014_LCD" xfId="0"/>
    <cellStyle name="_MNT_VSE WFP_100625_VSA 111014_PJ" xfId="0"/>
    <cellStyle name="_MNT_VSE WFP_100625_VSA Roll-Up (LW)" xfId="0"/>
    <cellStyle name="_MNT_VSE WFP_100625_VSA Roll-Up (LW) 2" xfId="0"/>
    <cellStyle name="_MNT_VSE WFP_100625_VSA Roll-Up (LW) 3" xfId="0"/>
    <cellStyle name="_MNT_VSE WFP_100625_VSA Roll-Up (LW) 4" xfId="0"/>
    <cellStyle name="_MNT_VSE WFP_100625_VSA Roll-Up (LW) 4 2" xfId="0"/>
    <cellStyle name="_MNT_VSE WFP_100625_VSA Roll-Up (LW)_By Region" xfId="0"/>
    <cellStyle name="_MNT_VSE WFP_100625_VSA Roll-Up (LW)_CORP SG&amp;A" xfId="0"/>
    <cellStyle name="_MNT_VSE WFP_100625_VSA Roll-Up (LW)_LCD" xfId="0"/>
    <cellStyle name="_MNT_VSE WFP_100625_VSA Roll-Up (LW)_PJ" xfId="0"/>
    <cellStyle name="_MNT_VSE WFP_100708_3rd" xfId="0"/>
    <cellStyle name="_MNT_VSE WFP_100708_3rd 2" xfId="0"/>
    <cellStyle name="_MNT_VSE WFP_100708_3rd 3" xfId="0"/>
    <cellStyle name="_MNT_VSE WFP_100708_3rd 4" xfId="0"/>
    <cellStyle name="_MNT_VSE WFP_100708_3rd_By Region" xfId="0"/>
    <cellStyle name="_MNT_VSE WFP_100708_3rd_CORP SG&amp;A" xfId="0"/>
    <cellStyle name="_MNT_VSE WFP_100708_3rd_Digitizer" xfId="0"/>
    <cellStyle name="_MNT_VSE WFP_100708_3rd_GPS OTHER" xfId="0"/>
    <cellStyle name="_MNT_VSE WFP_100708_3rd_GPS OTHER 2" xfId="0"/>
    <cellStyle name="_MNT_VSE WFP_100708_3rd_GPS OTHER 3" xfId="0"/>
    <cellStyle name="_MNT_VSE WFP_100708_3rd_GPS OTHER 4" xfId="0"/>
    <cellStyle name="_MNT_VSE WFP_100708_3rd_GPS OTHER 4 2" xfId="0"/>
    <cellStyle name="_MNT_VSE WFP_100708_3rd_GPS OTHER_By Region" xfId="0"/>
    <cellStyle name="_MNT_VSE WFP_100708_3rd_GPS OTHER_CORP SG&amp;A" xfId="0"/>
    <cellStyle name="_MNT_VSE WFP_100708_3rd_GPS OTHER_LCD" xfId="0"/>
    <cellStyle name="_MNT_VSE WFP_100708_3rd_GPS OTHER_PJ" xfId="0"/>
    <cellStyle name="_MNT_VSE WFP_100708_3rd_LCD" xfId="0"/>
    <cellStyle name="_MNT_VSE WFP_100708_3rd_LCD 2" xfId="0"/>
    <cellStyle name="_MNT_VSE WFP_100708_3rd_LCD 3" xfId="0"/>
    <cellStyle name="_MNT_VSE WFP_100708_3rd_LCD 4" xfId="0"/>
    <cellStyle name="_MNT_VSE WFP_100708_3rd_LCD_By Region" xfId="0"/>
    <cellStyle name="_MNT_VSE WFP_100708_3rd_LCD_CORP SG&amp;A" xfId="0"/>
    <cellStyle name="_MNT_VSE WFP_100708_3rd_LCD_LCD" xfId="0"/>
    <cellStyle name="_MNT_VSE WFP_100708_3rd_LCD_PJ" xfId="0"/>
    <cellStyle name="_MNT_VSE WFP_100708_3rd_PC Products" xfId="0"/>
    <cellStyle name="_MNT_VSE WFP_100708_3rd_PC Products 2" xfId="0"/>
    <cellStyle name="_MNT_VSE WFP_100708_3rd_PC Products 3" xfId="0"/>
    <cellStyle name="_MNT_VSE WFP_100708_3rd_PC Products 4" xfId="0"/>
    <cellStyle name="_MNT_VSE WFP_100708_3rd_PC Products 4 2" xfId="0"/>
    <cellStyle name="_MNT_VSE WFP_100708_3rd_PC Products_By Region" xfId="0"/>
    <cellStyle name="_MNT_VSE WFP_100708_3rd_PC Products_CORP SG&amp;A" xfId="0"/>
    <cellStyle name="_MNT_VSE WFP_100708_3rd_PC Products_LCD" xfId="0"/>
    <cellStyle name="_MNT_VSE WFP_100708_3rd_PC Products_PJ" xfId="0"/>
    <cellStyle name="_MNT_VSE WFP_100708_3rd_VSA 111014" xfId="0"/>
    <cellStyle name="_MNT_VSE WFP_100708_3rd_VSA 111014 2" xfId="0"/>
    <cellStyle name="_MNT_VSE WFP_100708_3rd_VSA 111014 3" xfId="0"/>
    <cellStyle name="_MNT_VSE WFP_100708_3rd_VSA 111014 4" xfId="0"/>
    <cellStyle name="_MNT_VSE WFP_100708_3rd_VSA 111014 4 2" xfId="0"/>
    <cellStyle name="_MNT_VSE WFP_100708_3rd_VSA 111014_By Region" xfId="0"/>
    <cellStyle name="_MNT_VSE WFP_100708_3rd_VSA 111014_CORP SG&amp;A" xfId="0"/>
    <cellStyle name="_MNT_VSE WFP_100708_3rd_VSA 111014_LCD" xfId="0"/>
    <cellStyle name="_MNT_VSE WFP_100708_3rd_VSA 111014_PJ" xfId="0"/>
    <cellStyle name="_MNT_VSE WFP_100708_3rd_VSA Roll-Up (LW)" xfId="0"/>
    <cellStyle name="_MNT_VSE WFP_100708_3rd_VSA Roll-Up (LW) 2" xfId="0"/>
    <cellStyle name="_MNT_VSE WFP_100708_3rd_VSA Roll-Up (LW) 3" xfId="0"/>
    <cellStyle name="_MNT_VSE WFP_100708_3rd_VSA Roll-Up (LW) 4" xfId="0"/>
    <cellStyle name="_MNT_VSE WFP_100708_3rd_VSA Roll-Up (LW) 4 2" xfId="0"/>
    <cellStyle name="_MNT_VSE WFP_100708_3rd_VSA Roll-Up (LW)_By Region" xfId="0"/>
    <cellStyle name="_MNT_VSE WFP_100708_3rd_VSA Roll-Up (LW)_CORP SG&amp;A" xfId="0"/>
    <cellStyle name="_MNT_VSE WFP_100708_3rd_VSA Roll-Up (LW)_LCD" xfId="0"/>
    <cellStyle name="_MNT_VSE WFP_100708_3rd_VSA Roll-Up (LW)_PJ" xfId="0"/>
    <cellStyle name="_MNT_VSE WFP_100726" xfId="0"/>
    <cellStyle name="_MNT_VSE WFP_100726 2" xfId="0"/>
    <cellStyle name="_MNT_VSE WFP_100726 3" xfId="0"/>
    <cellStyle name="_MNT_VSE WFP_100726 4" xfId="0"/>
    <cellStyle name="_MNT_VSE WFP_100726-1" xfId="0"/>
    <cellStyle name="_MNT_VSE WFP_100726-1 2" xfId="0"/>
    <cellStyle name="_MNT_VSE WFP_100726-1 3" xfId="0"/>
    <cellStyle name="_MNT_VSE WFP_100726-1 4" xfId="0"/>
    <cellStyle name="_MNT_VSE WFP_100726-1_By Region" xfId="0"/>
    <cellStyle name="_MNT_VSE WFP_100726-1_CORP SG&amp;A" xfId="0"/>
    <cellStyle name="_MNT_VSE WFP_100726-1_Digitizer" xfId="0"/>
    <cellStyle name="_MNT_VSE WFP_100726-1_GPS OTHER" xfId="0"/>
    <cellStyle name="_MNT_VSE WFP_100726-1_GPS OTHER 2" xfId="0"/>
    <cellStyle name="_MNT_VSE WFP_100726-1_GPS OTHER 3" xfId="0"/>
    <cellStyle name="_MNT_VSE WFP_100726-1_GPS OTHER 4" xfId="0"/>
    <cellStyle name="_MNT_VSE WFP_100726-1_GPS OTHER 4 2" xfId="0"/>
    <cellStyle name="_MNT_VSE WFP_100726-1_GPS OTHER_By Region" xfId="0"/>
    <cellStyle name="_MNT_VSE WFP_100726-1_GPS OTHER_CORP SG&amp;A" xfId="0"/>
    <cellStyle name="_MNT_VSE WFP_100726-1_GPS OTHER_LCD" xfId="0"/>
    <cellStyle name="_MNT_VSE WFP_100726-1_GPS OTHER_PJ" xfId="0"/>
    <cellStyle name="_MNT_VSE WFP_100726-1_LCD" xfId="0"/>
    <cellStyle name="_MNT_VSE WFP_100726-1_LCD 2" xfId="0"/>
    <cellStyle name="_MNT_VSE WFP_100726-1_LCD 3" xfId="0"/>
    <cellStyle name="_MNT_VSE WFP_100726-1_LCD 4" xfId="0"/>
    <cellStyle name="_MNT_VSE WFP_100726-1_LCD_By Region" xfId="0"/>
    <cellStyle name="_MNT_VSE WFP_100726-1_LCD_CORP SG&amp;A" xfId="0"/>
    <cellStyle name="_MNT_VSE WFP_100726-1_LCD_LCD" xfId="0"/>
    <cellStyle name="_MNT_VSE WFP_100726-1_LCD_PJ" xfId="0"/>
    <cellStyle name="_MNT_VSE WFP_100726-1_PC Products" xfId="0"/>
    <cellStyle name="_MNT_VSE WFP_100726-1_PC Products 2" xfId="0"/>
    <cellStyle name="_MNT_VSE WFP_100726-1_PC Products 3" xfId="0"/>
    <cellStyle name="_MNT_VSE WFP_100726-1_PC Products 4" xfId="0"/>
    <cellStyle name="_MNT_VSE WFP_100726-1_PC Products 4 2" xfId="0"/>
    <cellStyle name="_MNT_VSE WFP_100726-1_PC Products_By Region" xfId="0"/>
    <cellStyle name="_MNT_VSE WFP_100726-1_PC Products_CORP SG&amp;A" xfId="0"/>
    <cellStyle name="_MNT_VSE WFP_100726-1_PC Products_LCD" xfId="0"/>
    <cellStyle name="_MNT_VSE WFP_100726-1_PC Products_PJ" xfId="0"/>
    <cellStyle name="_MNT_VSE WFP_100726-1_VSA 111014" xfId="0"/>
    <cellStyle name="_MNT_VSE WFP_100726-1_VSA 111014 2" xfId="0"/>
    <cellStyle name="_MNT_VSE WFP_100726-1_VSA 111014 3" xfId="0"/>
    <cellStyle name="_MNT_VSE WFP_100726-1_VSA 111014 4" xfId="0"/>
    <cellStyle name="_MNT_VSE WFP_100726-1_VSA 111014 4 2" xfId="0"/>
    <cellStyle name="_MNT_VSE WFP_100726-1_VSA 111014_By Region" xfId="0"/>
    <cellStyle name="_MNT_VSE WFP_100726-1_VSA 111014_CORP SG&amp;A" xfId="0"/>
    <cellStyle name="_MNT_VSE WFP_100726-1_VSA 111014_LCD" xfId="0"/>
    <cellStyle name="_MNT_VSE WFP_100726-1_VSA 111014_PJ" xfId="0"/>
    <cellStyle name="_MNT_VSE WFP_100726-1_VSA Roll-Up (LW)" xfId="0"/>
    <cellStyle name="_MNT_VSE WFP_100726-1_VSA Roll-Up (LW) 2" xfId="0"/>
    <cellStyle name="_MNT_VSE WFP_100726-1_VSA Roll-Up (LW) 3" xfId="0"/>
    <cellStyle name="_MNT_VSE WFP_100726-1_VSA Roll-Up (LW) 4" xfId="0"/>
    <cellStyle name="_MNT_VSE WFP_100726-1_VSA Roll-Up (LW) 4 2" xfId="0"/>
    <cellStyle name="_MNT_VSE WFP_100726-1_VSA Roll-Up (LW)_By Region" xfId="0"/>
    <cellStyle name="_MNT_VSE WFP_100726-1_VSA Roll-Up (LW)_CORP SG&amp;A" xfId="0"/>
    <cellStyle name="_MNT_VSE WFP_100726-1_VSA Roll-Up (LW)_LCD" xfId="0"/>
    <cellStyle name="_MNT_VSE WFP_100726-1_VSA Roll-Up (LW)_PJ" xfId="0"/>
    <cellStyle name="_MNT_VSE WFP_100726-2-yc" xfId="0"/>
    <cellStyle name="_MNT_VSE WFP_100726-2-yc 2" xfId="0"/>
    <cellStyle name="_MNT_VSE WFP_100726-2-yc 3" xfId="0"/>
    <cellStyle name="_MNT_VSE WFP_100726-2-yc 4" xfId="0"/>
    <cellStyle name="_MNT_VSE WFP_100726-2-yc_By Region" xfId="0"/>
    <cellStyle name="_MNT_VSE WFP_100726-2-yc_CORP SG&amp;A" xfId="0"/>
    <cellStyle name="_MNT_VSE WFP_100726-2-yc_Digitizer" xfId="0"/>
    <cellStyle name="_MNT_VSE WFP_100726-2-yc_GPS OTHER" xfId="0"/>
    <cellStyle name="_MNT_VSE WFP_100726-2-yc_GPS OTHER 2" xfId="0"/>
    <cellStyle name="_MNT_VSE WFP_100726-2-yc_GPS OTHER 3" xfId="0"/>
    <cellStyle name="_MNT_VSE WFP_100726-2-yc_GPS OTHER 4" xfId="0"/>
    <cellStyle name="_MNT_VSE WFP_100726-2-yc_GPS OTHER 4 2" xfId="0"/>
    <cellStyle name="_MNT_VSE WFP_100726-2-yc_GPS OTHER_By Region" xfId="0"/>
    <cellStyle name="_MNT_VSE WFP_100726-2-yc_GPS OTHER_CORP SG&amp;A" xfId="0"/>
    <cellStyle name="_MNT_VSE WFP_100726-2-yc_GPS OTHER_LCD" xfId="0"/>
    <cellStyle name="_MNT_VSE WFP_100726-2-yc_GPS OTHER_PJ" xfId="0"/>
    <cellStyle name="_MNT_VSE WFP_100726-2-yc_LCD" xfId="0"/>
    <cellStyle name="_MNT_VSE WFP_100726-2-yc_LCD 2" xfId="0"/>
    <cellStyle name="_MNT_VSE WFP_100726-2-yc_LCD 3" xfId="0"/>
    <cellStyle name="_MNT_VSE WFP_100726-2-yc_LCD 4" xfId="0"/>
    <cellStyle name="_MNT_VSE WFP_100726-2-yc_LCD_By Region" xfId="0"/>
    <cellStyle name="_MNT_VSE WFP_100726-2-yc_LCD_CORP SG&amp;A" xfId="0"/>
    <cellStyle name="_MNT_VSE WFP_100726-2-yc_LCD_LCD" xfId="0"/>
    <cellStyle name="_MNT_VSE WFP_100726-2-yc_LCD_PJ" xfId="0"/>
    <cellStyle name="_MNT_VSE WFP_100726-2-yc_PC Products" xfId="0"/>
    <cellStyle name="_MNT_VSE WFP_100726-2-yc_PC Products 2" xfId="0"/>
    <cellStyle name="_MNT_VSE WFP_100726-2-yc_PC Products 3" xfId="0"/>
    <cellStyle name="_MNT_VSE WFP_100726-2-yc_PC Products 4" xfId="0"/>
    <cellStyle name="_MNT_VSE WFP_100726-2-yc_PC Products 4 2" xfId="0"/>
    <cellStyle name="_MNT_VSE WFP_100726-2-yc_PC Products_By Region" xfId="0"/>
    <cellStyle name="_MNT_VSE WFP_100726-2-yc_PC Products_CORP SG&amp;A" xfId="0"/>
    <cellStyle name="_MNT_VSE WFP_100726-2-yc_PC Products_LCD" xfId="0"/>
    <cellStyle name="_MNT_VSE WFP_100726-2-yc_PC Products_PJ" xfId="0"/>
    <cellStyle name="_MNT_VSE WFP_100726-2-yc_VSA 111014" xfId="0"/>
    <cellStyle name="_MNT_VSE WFP_100726-2-yc_VSA 111014 2" xfId="0"/>
    <cellStyle name="_MNT_VSE WFP_100726-2-yc_VSA 111014 3" xfId="0"/>
    <cellStyle name="_MNT_VSE WFP_100726-2-yc_VSA 111014 4" xfId="0"/>
    <cellStyle name="_MNT_VSE WFP_100726-2-yc_VSA 111014 4 2" xfId="0"/>
    <cellStyle name="_MNT_VSE WFP_100726-2-yc_VSA 111014_By Region" xfId="0"/>
    <cellStyle name="_MNT_VSE WFP_100726-2-yc_VSA 111014_CORP SG&amp;A" xfId="0"/>
    <cellStyle name="_MNT_VSE WFP_100726-2-yc_VSA 111014_LCD" xfId="0"/>
    <cellStyle name="_MNT_VSE WFP_100726-2-yc_VSA 111014_PJ" xfId="0"/>
    <cellStyle name="_MNT_VSE WFP_100726-2-yc_VSA Roll-Up (LW)" xfId="0"/>
    <cellStyle name="_MNT_VSE WFP_100726-2-yc_VSA Roll-Up (LW) 2" xfId="0"/>
    <cellStyle name="_MNT_VSE WFP_100726-2-yc_VSA Roll-Up (LW) 3" xfId="0"/>
    <cellStyle name="_MNT_VSE WFP_100726-2-yc_VSA Roll-Up (LW) 4" xfId="0"/>
    <cellStyle name="_MNT_VSE WFP_100726-2-yc_VSA Roll-Up (LW) 4 2" xfId="0"/>
    <cellStyle name="_MNT_VSE WFP_100726-2-yc_VSA Roll-Up (LW)_By Region" xfId="0"/>
    <cellStyle name="_MNT_VSE WFP_100726-2-yc_VSA Roll-Up (LW)_CORP SG&amp;A" xfId="0"/>
    <cellStyle name="_MNT_VSE WFP_100726-2-yc_VSA Roll-Up (LW)_LCD" xfId="0"/>
    <cellStyle name="_MNT_VSE WFP_100726-2-yc_VSA Roll-Up (LW)_PJ" xfId="0"/>
    <cellStyle name="_MNT_VSE WFP_100726_By Region" xfId="0"/>
    <cellStyle name="_MNT_VSE WFP_100726_CORP SG&amp;A" xfId="0"/>
    <cellStyle name="_MNT_VSE WFP_100726_Digitizer" xfId="0"/>
    <cellStyle name="_MNT_VSE WFP_100726_GPS OTHER" xfId="0"/>
    <cellStyle name="_MNT_VSE WFP_100726_GPS OTHER 2" xfId="0"/>
    <cellStyle name="_MNT_VSE WFP_100726_GPS OTHER 3" xfId="0"/>
    <cellStyle name="_MNT_VSE WFP_100726_GPS OTHER 4" xfId="0"/>
    <cellStyle name="_MNT_VSE WFP_100726_GPS OTHER 4 2" xfId="0"/>
    <cellStyle name="_MNT_VSE WFP_100726_GPS OTHER_By Region" xfId="0"/>
    <cellStyle name="_MNT_VSE WFP_100726_GPS OTHER_CORP SG&amp;A" xfId="0"/>
    <cellStyle name="_MNT_VSE WFP_100726_GPS OTHER_LCD" xfId="0"/>
    <cellStyle name="_MNT_VSE WFP_100726_GPS OTHER_PJ" xfId="0"/>
    <cellStyle name="_MNT_VSE WFP_100726_LCD" xfId="0"/>
    <cellStyle name="_MNT_VSE WFP_100726_LCD 2" xfId="0"/>
    <cellStyle name="_MNT_VSE WFP_100726_LCD 3" xfId="0"/>
    <cellStyle name="_MNT_VSE WFP_100726_LCD 4" xfId="0"/>
    <cellStyle name="_MNT_VSE WFP_100726_LCD_By Region" xfId="0"/>
    <cellStyle name="_MNT_VSE WFP_100726_LCD_CORP SG&amp;A" xfId="0"/>
    <cellStyle name="_MNT_VSE WFP_100726_LCD_LCD" xfId="0"/>
    <cellStyle name="_MNT_VSE WFP_100726_LCD_PJ" xfId="0"/>
    <cellStyle name="_MNT_VSE WFP_100726_PC Products" xfId="0"/>
    <cellStyle name="_MNT_VSE WFP_100726_PC Products 2" xfId="0"/>
    <cellStyle name="_MNT_VSE WFP_100726_PC Products 3" xfId="0"/>
    <cellStyle name="_MNT_VSE WFP_100726_PC Products 4" xfId="0"/>
    <cellStyle name="_MNT_VSE WFP_100726_PC Products 4 2" xfId="0"/>
    <cellStyle name="_MNT_VSE WFP_100726_PC Products_By Region" xfId="0"/>
    <cellStyle name="_MNT_VSE WFP_100726_PC Products_CORP SG&amp;A" xfId="0"/>
    <cellStyle name="_MNT_VSE WFP_100726_PC Products_LCD" xfId="0"/>
    <cellStyle name="_MNT_VSE WFP_100726_PC Products_PJ" xfId="0"/>
    <cellStyle name="_MNT_VSE WFP_100726_VSA 111014" xfId="0"/>
    <cellStyle name="_MNT_VSE WFP_100726_VSA 111014 2" xfId="0"/>
    <cellStyle name="_MNT_VSE WFP_100726_VSA 111014 3" xfId="0"/>
    <cellStyle name="_MNT_VSE WFP_100726_VSA 111014 4" xfId="0"/>
    <cellStyle name="_MNT_VSE WFP_100726_VSA 111014 4 2" xfId="0"/>
    <cellStyle name="_MNT_VSE WFP_100726_VSA 111014_By Region" xfId="0"/>
    <cellStyle name="_MNT_VSE WFP_100726_VSA 111014_CORP SG&amp;A" xfId="0"/>
    <cellStyle name="_MNT_VSE WFP_100726_VSA 111014_LCD" xfId="0"/>
    <cellStyle name="_MNT_VSE WFP_100726_VSA 111014_PJ" xfId="0"/>
    <cellStyle name="_MNT_VSE WFP_100726_VSA Roll-Up (LW)" xfId="0"/>
    <cellStyle name="_MNT_VSE WFP_100726_VSA Roll-Up (LW) 2" xfId="0"/>
    <cellStyle name="_MNT_VSE WFP_100726_VSA Roll-Up (LW) 3" xfId="0"/>
    <cellStyle name="_MNT_VSE WFP_100726_VSA Roll-Up (LW) 4" xfId="0"/>
    <cellStyle name="_MNT_VSE WFP_100726_VSA Roll-Up (LW) 4 2" xfId="0"/>
    <cellStyle name="_MNT_VSE WFP_100726_VSA Roll-Up (LW)_By Region" xfId="0"/>
    <cellStyle name="_MNT_VSE WFP_100726_VSA Roll-Up (LW)_CORP SG&amp;A" xfId="0"/>
    <cellStyle name="_MNT_VSE WFP_100726_VSA Roll-Up (LW)_LCD" xfId="0"/>
    <cellStyle name="_MNT_VSE WFP_100726_VSA Roll-Up (LW)_PJ" xfId="0"/>
    <cellStyle name="_MNT_VSE WFP_100827-1" xfId="0"/>
    <cellStyle name="_MNT_VSE WFP_100827-1 2" xfId="0"/>
    <cellStyle name="_MNT_VSE WFP_100827-1 3" xfId="0"/>
    <cellStyle name="_MNT_VSE WFP_100827-1 4" xfId="0"/>
    <cellStyle name="_MNT_VSE WFP_100827-1_By Region" xfId="0"/>
    <cellStyle name="_MNT_VSE WFP_100827-1_CORP SG&amp;A" xfId="0"/>
    <cellStyle name="_MNT_VSE WFP_100827-1_Digitizer" xfId="0"/>
    <cellStyle name="_MNT_VSE WFP_100827-1_GPS OTHER" xfId="0"/>
    <cellStyle name="_MNT_VSE WFP_100827-1_GPS OTHER 2" xfId="0"/>
    <cellStyle name="_MNT_VSE WFP_100827-1_GPS OTHER 3" xfId="0"/>
    <cellStyle name="_MNT_VSE WFP_100827-1_GPS OTHER 4" xfId="0"/>
    <cellStyle name="_MNT_VSE WFP_100827-1_GPS OTHER 4 2" xfId="0"/>
    <cellStyle name="_MNT_VSE WFP_100827-1_GPS OTHER_By Region" xfId="0"/>
    <cellStyle name="_MNT_VSE WFP_100827-1_GPS OTHER_CORP SG&amp;A" xfId="0"/>
    <cellStyle name="_MNT_VSE WFP_100827-1_GPS OTHER_LCD" xfId="0"/>
    <cellStyle name="_MNT_VSE WFP_100827-1_GPS OTHER_PJ" xfId="0"/>
    <cellStyle name="_MNT_VSE WFP_100827-1_LCD" xfId="0"/>
    <cellStyle name="_MNT_VSE WFP_100827-1_LCD 2" xfId="0"/>
    <cellStyle name="_MNT_VSE WFP_100827-1_LCD 3" xfId="0"/>
    <cellStyle name="_MNT_VSE WFP_100827-1_LCD 4" xfId="0"/>
    <cellStyle name="_MNT_VSE WFP_100827-1_LCD_By Region" xfId="0"/>
    <cellStyle name="_MNT_VSE WFP_100827-1_LCD_CORP SG&amp;A" xfId="0"/>
    <cellStyle name="_MNT_VSE WFP_100827-1_LCD_LCD" xfId="0"/>
    <cellStyle name="_MNT_VSE WFP_100827-1_LCD_PJ" xfId="0"/>
    <cellStyle name="_MNT_VSE WFP_100827-1_PC Products" xfId="0"/>
    <cellStyle name="_MNT_VSE WFP_100827-1_PC Products 2" xfId="0"/>
    <cellStyle name="_MNT_VSE WFP_100827-1_PC Products 3" xfId="0"/>
    <cellStyle name="_MNT_VSE WFP_100827-1_PC Products 4" xfId="0"/>
    <cellStyle name="_MNT_VSE WFP_100827-1_PC Products 4 2" xfId="0"/>
    <cellStyle name="_MNT_VSE WFP_100827-1_PC Products_By Region" xfId="0"/>
    <cellStyle name="_MNT_VSE WFP_100827-1_PC Products_CORP SG&amp;A" xfId="0"/>
    <cellStyle name="_MNT_VSE WFP_100827-1_PC Products_LCD" xfId="0"/>
    <cellStyle name="_MNT_VSE WFP_100827-1_PC Products_PJ" xfId="0"/>
    <cellStyle name="_MNT_VSE WFP_100827-1_VSA 111014" xfId="0"/>
    <cellStyle name="_MNT_VSE WFP_100827-1_VSA 111014 2" xfId="0"/>
    <cellStyle name="_MNT_VSE WFP_100827-1_VSA 111014 3" xfId="0"/>
    <cellStyle name="_MNT_VSE WFP_100827-1_VSA 111014 4" xfId="0"/>
    <cellStyle name="_MNT_VSE WFP_100827-1_VSA 111014 4 2" xfId="0"/>
    <cellStyle name="_MNT_VSE WFP_100827-1_VSA 111014_By Region" xfId="0"/>
    <cellStyle name="_MNT_VSE WFP_100827-1_VSA 111014_CORP SG&amp;A" xfId="0"/>
    <cellStyle name="_MNT_VSE WFP_100827-1_VSA 111014_LCD" xfId="0"/>
    <cellStyle name="_MNT_VSE WFP_100827-1_VSA 111014_PJ" xfId="0"/>
    <cellStyle name="_MNT_VSE WFP_100827-1_VSA Roll-Up (LW)" xfId="0"/>
    <cellStyle name="_MNT_VSE WFP_100827-1_VSA Roll-Up (LW) 2" xfId="0"/>
    <cellStyle name="_MNT_VSE WFP_100827-1_VSA Roll-Up (LW) 3" xfId="0"/>
    <cellStyle name="_MNT_VSE WFP_100827-1_VSA Roll-Up (LW) 4" xfId="0"/>
    <cellStyle name="_MNT_VSE WFP_100827-1_VSA Roll-Up (LW) 4 2" xfId="0"/>
    <cellStyle name="_MNT_VSE WFP_100827-1_VSA Roll-Up (LW)_By Region" xfId="0"/>
    <cellStyle name="_MNT_VSE WFP_100827-1_VSA Roll-Up (LW)_CORP SG&amp;A" xfId="0"/>
    <cellStyle name="_MNT_VSE WFP_100827-1_VSA Roll-Up (LW)_LCD" xfId="0"/>
    <cellStyle name="_MNT_VSE WFP_100827-1_VSA Roll-Up (LW)_PJ" xfId="0"/>
    <cellStyle name="_MNT_VSE WFP_101001" xfId="0"/>
    <cellStyle name="_MNT_VSE WFP_101001 2" xfId="0"/>
    <cellStyle name="_MNT_VSE WFP_101001 3" xfId="0"/>
    <cellStyle name="_MNT_VSE WFP_101001 4" xfId="0"/>
    <cellStyle name="_MNT_VSE WFP_101001_By Region" xfId="0"/>
    <cellStyle name="_MNT_VSE WFP_101001_CORP SG&amp;A" xfId="0"/>
    <cellStyle name="_MNT_VSE WFP_101001_Digitizer" xfId="0"/>
    <cellStyle name="_MNT_VSE WFP_101001_GPS OTHER" xfId="0"/>
    <cellStyle name="_MNT_VSE WFP_101001_GPS OTHER 2" xfId="0"/>
    <cellStyle name="_MNT_VSE WFP_101001_GPS OTHER 3" xfId="0"/>
    <cellStyle name="_MNT_VSE WFP_101001_GPS OTHER 4" xfId="0"/>
    <cellStyle name="_MNT_VSE WFP_101001_GPS OTHER 4 2" xfId="0"/>
    <cellStyle name="_MNT_VSE WFP_101001_GPS OTHER_By Region" xfId="0"/>
    <cellStyle name="_MNT_VSE WFP_101001_GPS OTHER_CORP SG&amp;A" xfId="0"/>
    <cellStyle name="_MNT_VSE WFP_101001_GPS OTHER_LCD" xfId="0"/>
    <cellStyle name="_MNT_VSE WFP_101001_GPS OTHER_PJ" xfId="0"/>
    <cellStyle name="_MNT_VSE WFP_101001_LCD" xfId="0"/>
    <cellStyle name="_MNT_VSE WFP_101001_LCD 2" xfId="0"/>
    <cellStyle name="_MNT_VSE WFP_101001_LCD 3" xfId="0"/>
    <cellStyle name="_MNT_VSE WFP_101001_LCD 4" xfId="0"/>
    <cellStyle name="_MNT_VSE WFP_101001_LCD_By Region" xfId="0"/>
    <cellStyle name="_MNT_VSE WFP_101001_LCD_CORP SG&amp;A" xfId="0"/>
    <cellStyle name="_MNT_VSE WFP_101001_LCD_LCD" xfId="0"/>
    <cellStyle name="_MNT_VSE WFP_101001_LCD_PJ" xfId="0"/>
    <cellStyle name="_MNT_VSE WFP_101001_PC Products" xfId="0"/>
    <cellStyle name="_MNT_VSE WFP_101001_PC Products 2" xfId="0"/>
    <cellStyle name="_MNT_VSE WFP_101001_PC Products 3" xfId="0"/>
    <cellStyle name="_MNT_VSE WFP_101001_PC Products 4" xfId="0"/>
    <cellStyle name="_MNT_VSE WFP_101001_PC Products 4 2" xfId="0"/>
    <cellStyle name="_MNT_VSE WFP_101001_PC Products_By Region" xfId="0"/>
    <cellStyle name="_MNT_VSE WFP_101001_PC Products_CORP SG&amp;A" xfId="0"/>
    <cellStyle name="_MNT_VSE WFP_101001_PC Products_LCD" xfId="0"/>
    <cellStyle name="_MNT_VSE WFP_101001_PC Products_PJ" xfId="0"/>
    <cellStyle name="_MNT_VSE WFP_101001_VSA 111014" xfId="0"/>
    <cellStyle name="_MNT_VSE WFP_101001_VSA 111014 2" xfId="0"/>
    <cellStyle name="_MNT_VSE WFP_101001_VSA 111014 3" xfId="0"/>
    <cellStyle name="_MNT_VSE WFP_101001_VSA 111014 4" xfId="0"/>
    <cellStyle name="_MNT_VSE WFP_101001_VSA 111014 4 2" xfId="0"/>
    <cellStyle name="_MNT_VSE WFP_101001_VSA 111014_By Region" xfId="0"/>
    <cellStyle name="_MNT_VSE WFP_101001_VSA 111014_CORP SG&amp;A" xfId="0"/>
    <cellStyle name="_MNT_VSE WFP_101001_VSA 111014_LCD" xfId="0"/>
    <cellStyle name="_MNT_VSE WFP_101001_VSA 111014_PJ" xfId="0"/>
    <cellStyle name="_MNT_VSE WFP_101001_VSA Roll-Up (LW)" xfId="0"/>
    <cellStyle name="_MNT_VSE WFP_101001_VSA Roll-Up (LW) 2" xfId="0"/>
    <cellStyle name="_MNT_VSE WFP_101001_VSA Roll-Up (LW) 3" xfId="0"/>
    <cellStyle name="_MNT_VSE WFP_101001_VSA Roll-Up (LW) 4" xfId="0"/>
    <cellStyle name="_MNT_VSE WFP_101001_VSA Roll-Up (LW) 4 2" xfId="0"/>
    <cellStyle name="_MNT_VSE WFP_101001_VSA Roll-Up (LW)_By Region" xfId="0"/>
    <cellStyle name="_MNT_VSE WFP_101001_VSA Roll-Up (LW)_CORP SG&amp;A" xfId="0"/>
    <cellStyle name="_MNT_VSE WFP_101001_VSA Roll-Up (LW)_LCD" xfId="0"/>
    <cellStyle name="_MNT_VSE WFP_101001_VSA Roll-Up (LW)_PJ" xfId="0"/>
    <cellStyle name="_MNT_VSE WFP_101029-with more ViewPad 7" xfId="0"/>
    <cellStyle name="_MNT_VSE WFP_101029-with more ViewPad 7 2" xfId="0"/>
    <cellStyle name="_MNT_VSE WFP_101029-with more ViewPad 7 3" xfId="0"/>
    <cellStyle name="_MNT_VSE WFP_101029-with more ViewPad 7 4" xfId="0"/>
    <cellStyle name="_MNT_VSE WFP_101029-with more ViewPad 7_By Region" xfId="0"/>
    <cellStyle name="_MNT_VSE WFP_101029-with more ViewPad 7_CORP SG&amp;A" xfId="0"/>
    <cellStyle name="_MNT_VSE WFP_101029-with more ViewPad 7_Digitizer" xfId="0"/>
    <cellStyle name="_MNT_VSE WFP_101029-with more ViewPad 7_GPS OTHER" xfId="0"/>
    <cellStyle name="_MNT_VSE WFP_101029-with more ViewPad 7_GPS OTHER 2" xfId="0"/>
    <cellStyle name="_MNT_VSE WFP_101029-with more ViewPad 7_GPS OTHER 3" xfId="0"/>
    <cellStyle name="_MNT_VSE WFP_101029-with more ViewPad 7_GPS OTHER 4" xfId="0"/>
    <cellStyle name="_MNT_VSE WFP_101029-with more ViewPad 7_GPS OTHER 4 2" xfId="0"/>
    <cellStyle name="_MNT_VSE WFP_101029-with more ViewPad 7_GPS OTHER_By Region" xfId="0"/>
    <cellStyle name="_MNT_VSE WFP_101029-with more ViewPad 7_GPS OTHER_CORP SG&amp;A" xfId="0"/>
    <cellStyle name="_MNT_VSE WFP_101029-with more ViewPad 7_GPS OTHER_LCD" xfId="0"/>
    <cellStyle name="_MNT_VSE WFP_101029-with more ViewPad 7_GPS OTHER_PJ" xfId="0"/>
    <cellStyle name="_MNT_VSE WFP_101029-with more ViewPad 7_LCD" xfId="0"/>
    <cellStyle name="_MNT_VSE WFP_101029-with more ViewPad 7_LCD 2" xfId="0"/>
    <cellStyle name="_MNT_VSE WFP_101029-with more ViewPad 7_LCD 3" xfId="0"/>
    <cellStyle name="_MNT_VSE WFP_101029-with more ViewPad 7_LCD 4" xfId="0"/>
    <cellStyle name="_MNT_VSE WFP_101029-with more ViewPad 7_LCD_By Region" xfId="0"/>
    <cellStyle name="_MNT_VSE WFP_101029-with more ViewPad 7_LCD_CORP SG&amp;A" xfId="0"/>
    <cellStyle name="_MNT_VSE WFP_101029-with more ViewPad 7_LCD_LCD" xfId="0"/>
    <cellStyle name="_MNT_VSE WFP_101029-with more ViewPad 7_LCD_PJ" xfId="0"/>
    <cellStyle name="_MNT_VSE WFP_101029-with more ViewPad 7_PC Products" xfId="0"/>
    <cellStyle name="_MNT_VSE WFP_101029-with more ViewPad 7_PC Products 2" xfId="0"/>
    <cellStyle name="_MNT_VSE WFP_101029-with more ViewPad 7_PC Products 3" xfId="0"/>
    <cellStyle name="_MNT_VSE WFP_101029-with more ViewPad 7_PC Products 4" xfId="0"/>
    <cellStyle name="_MNT_VSE WFP_101029-with more ViewPad 7_PC Products 4 2" xfId="0"/>
    <cellStyle name="_MNT_VSE WFP_101029-with more ViewPad 7_PC Products_By Region" xfId="0"/>
    <cellStyle name="_MNT_VSE WFP_101029-with more ViewPad 7_PC Products_CORP SG&amp;A" xfId="0"/>
    <cellStyle name="_MNT_VSE WFP_101029-with more ViewPad 7_PC Products_LCD" xfId="0"/>
    <cellStyle name="_MNT_VSE WFP_101029-with more ViewPad 7_PC Products_PJ" xfId="0"/>
    <cellStyle name="_MNT_VSE WFP_101029-with more ViewPad 7_VSA 111014" xfId="0"/>
    <cellStyle name="_MNT_VSE WFP_101029-with more ViewPad 7_VSA 111014 2" xfId="0"/>
    <cellStyle name="_MNT_VSE WFP_101029-with more ViewPad 7_VSA 111014 3" xfId="0"/>
    <cellStyle name="_MNT_VSE WFP_101029-with more ViewPad 7_VSA 111014 4" xfId="0"/>
    <cellStyle name="_MNT_VSE WFP_101029-with more ViewPad 7_VSA 111014 4 2" xfId="0"/>
    <cellStyle name="_MNT_VSE WFP_101029-with more ViewPad 7_VSA 111014_By Region" xfId="0"/>
    <cellStyle name="_MNT_VSE WFP_101029-with more ViewPad 7_VSA 111014_CORP SG&amp;A" xfId="0"/>
    <cellStyle name="_MNT_VSE WFP_101029-with more ViewPad 7_VSA 111014_LCD" xfId="0"/>
    <cellStyle name="_MNT_VSE WFP_101029-with more ViewPad 7_VSA 111014_PJ" xfId="0"/>
    <cellStyle name="_MNT_VSE WFP_101029-with more ViewPad 7_VSA Roll-Up (LW)" xfId="0"/>
    <cellStyle name="_MNT_VSE WFP_101029-with more ViewPad 7_VSA Roll-Up (LW) 2" xfId="0"/>
    <cellStyle name="_MNT_VSE WFP_101029-with more ViewPad 7_VSA Roll-Up (LW) 3" xfId="0"/>
    <cellStyle name="_MNT_VSE WFP_101029-with more ViewPad 7_VSA Roll-Up (LW) 4" xfId="0"/>
    <cellStyle name="_MNT_VSE WFP_101029-with more ViewPad 7_VSA Roll-Up (LW) 4 2" xfId="0"/>
    <cellStyle name="_MNT_VSE WFP_101029-with more ViewPad 7_VSA Roll-Up (LW)_By Region" xfId="0"/>
    <cellStyle name="_MNT_VSE WFP_101029-with more ViewPad 7_VSA Roll-Up (LW)_CORP SG&amp;A" xfId="0"/>
    <cellStyle name="_MNT_VSE WFP_101029-with more ViewPad 7_VSA Roll-Up (LW)_LCD" xfId="0"/>
    <cellStyle name="_MNT_VSE WFP_101029-with more ViewPad 7_VSA Roll-Up (LW)_PJ" xfId="0"/>
    <cellStyle name="_Model reference table" xfId="0"/>
    <cellStyle name="_Model reference table 2" xfId="0"/>
    <cellStyle name="_Month Pivot" xfId="0"/>
    <cellStyle name="_Month Pivot 2" xfId="0"/>
    <cellStyle name="_New DSO (Line 22)" xfId="0"/>
    <cellStyle name="_New DSO (Line 22) 2" xfId="0"/>
    <cellStyle name="_new WMR" xfId="0"/>
    <cellStyle name="_new WMR 2" xfId="0"/>
    <cellStyle name="_new WMR_080822 WMR-VSC" xfId="0"/>
    <cellStyle name="_new WMR_080822 WMR-VSC 2" xfId="0"/>
    <cellStyle name="_new WMR_080829 WMR" xfId="0"/>
    <cellStyle name="_new WMR_080829 WMR 2" xfId="0"/>
    <cellStyle name="_new WMR_080905 WMR-VSC" xfId="0"/>
    <cellStyle name="_new WMR_080905 WMR-VSC 2" xfId="0"/>
    <cellStyle name="_new WMR_080912 WMR-VSC" xfId="0"/>
    <cellStyle name="_new WMR_080912 WMR-VSC 2" xfId="0"/>
    <cellStyle name="_new WMR_080919 WMR-VSC" xfId="0"/>
    <cellStyle name="_new WMR_080919 WMR-VSC 2" xfId="0"/>
    <cellStyle name="_new WMR_080926 WMR-VSC" xfId="0"/>
    <cellStyle name="_new WMR_080926 WMR-VSC 2" xfId="0"/>
    <cellStyle name="_new WMR_081003 WMR-VSC_1" xfId="0"/>
    <cellStyle name="_new WMR_081003 WMR-VSC_1 2" xfId="0"/>
    <cellStyle name="_new WMR_081010 WMR-VSC" xfId="0"/>
    <cellStyle name="_new WMR_081010 WMR-VSC 2" xfId="0"/>
    <cellStyle name="_new WMR_081017 WMR-VSC_1" xfId="0"/>
    <cellStyle name="_new WMR_081017 WMR-VSC_1 2" xfId="0"/>
    <cellStyle name="_new WMR_081024 WMR-VSC" xfId="0"/>
    <cellStyle name="_new WMR_081024 WMR-VSC 2" xfId="0"/>
    <cellStyle name="_new WMR_081031 WMR-VSC" xfId="0"/>
    <cellStyle name="_new WMR_081031 WMR-VSC 2" xfId="0"/>
    <cellStyle name="_new WMR_081107 WMR-VSC (2)" xfId="0"/>
    <cellStyle name="_new WMR_081107 WMR-VSC (2) 2" xfId="0"/>
    <cellStyle name="_new WMR_081107 WMR-VSC_1" xfId="0"/>
    <cellStyle name="_new WMR_081107 WMR-VSC_1 2" xfId="0"/>
    <cellStyle name="_new WMR_081114 WMR-VSC" xfId="0"/>
    <cellStyle name="_new WMR_081114 WMR-VSC 2" xfId="0"/>
    <cellStyle name="_new WMR_081121 WMR-VSC" xfId="0"/>
    <cellStyle name="_new WMR_081121 WMR-VSC 2" xfId="0"/>
    <cellStyle name="_new WMR_081128 WMR-VSC" xfId="0"/>
    <cellStyle name="_new WMR_081128 WMR-VSC 2" xfId="0"/>
    <cellStyle name="_new WMR_081128 WMR-VSC_1" xfId="0"/>
    <cellStyle name="_new WMR_081128 WMR-VSC_1 2" xfId="0"/>
    <cellStyle name="_new WMR_081205 WMR-VSC" xfId="0"/>
    <cellStyle name="_new WMR_081205 WMR-VSC 2" xfId="0"/>
    <cellStyle name="_new WMR_081212 WMR-VSC" xfId="0"/>
    <cellStyle name="_new WMR_081212 WMR-VSC 2" xfId="0"/>
    <cellStyle name="_new WMR_081219 WMR-VSC" xfId="0"/>
    <cellStyle name="_new WMR_081219 WMR-VSC 2" xfId="0"/>
    <cellStyle name="_new WMR_090102 WMR-VSC" xfId="0"/>
    <cellStyle name="_new WMR_090102 WMR-VSC 2" xfId="0"/>
    <cellStyle name="_new WMR_090424 WMR_VSE (2)" xfId="0"/>
    <cellStyle name="_new WMR_090424 WMR_VSE (2) 2" xfId="0"/>
    <cellStyle name="_new WMR_090703 WMR-VSC" xfId="0"/>
    <cellStyle name="_new WMR_090703 WMR-VSC 2" xfId="0"/>
    <cellStyle name="_new WMR_All Regions WMR Definitions - Updated 7-27-07" xfId="0"/>
    <cellStyle name="_new WMR_All Regions WMR Definitions - Updated 7-27-07 (3)" xfId="0"/>
    <cellStyle name="_new WMR_All Regions WMR Definitions - Updated 7-27-07 (3) 2" xfId="0"/>
    <cellStyle name="_new WMR_All Regions WMR Definitions - Updated 7-27-07 2" xfId="0"/>
    <cellStyle name="_new WMR_All Regions WMR Definitions - Updated 7-27-07 3" xfId="0"/>
    <cellStyle name="_new WMR_All Regions WMR Definitions - Updated 7-27-07 4" xfId="0"/>
    <cellStyle name="_new WMR_AP Turn Days old" xfId="0"/>
    <cellStyle name="_new WMR_AP Turn Days old 2" xfId="0"/>
    <cellStyle name="_new WMR_Cash" xfId="0"/>
    <cellStyle name="_new WMR_Cash 2" xfId="0"/>
    <cellStyle name="_new WMR_Charts" xfId="0"/>
    <cellStyle name="_new WMR_Charts 2" xfId="0"/>
    <cellStyle name="_new WMR_Inv Data" xfId="0"/>
    <cellStyle name="_new WMR_Inv Data 2" xfId="0"/>
    <cellStyle name="_new WMR_Inventory Pivot" xfId="0"/>
    <cellStyle name="_new WMR_Inventory Pivot 2" xfId="0"/>
    <cellStyle name="_new WMR_New Calculation of Inventory turn day" xfId="0"/>
    <cellStyle name="_new WMR_New Calculation of Inventory turn day 2" xfId="0"/>
    <cellStyle name="_new WMR_NEW WMR" xfId="0"/>
    <cellStyle name="_new WMR_NEW WMR 2" xfId="0"/>
    <cellStyle name="_new WMR_OpenOrder Data" xfId="0"/>
    <cellStyle name="_new WMR_OpenOrder Data 2" xfId="0"/>
    <cellStyle name="_new WMR_Turn Days" xfId="0"/>
    <cellStyle name="_new WMR_Turn Days 2" xfId="0"/>
    <cellStyle name="_new WMR_VDL" xfId="0"/>
    <cellStyle name="_new WMR_VDL 2" xfId="0"/>
    <cellStyle name="_new WMR_VSA" xfId="0"/>
    <cellStyle name="_new WMR_VSA 2" xfId="0"/>
    <cellStyle name="_new WMR_VSA Cash Flow Model (6-4-07)" xfId="0"/>
    <cellStyle name="_new WMR_VSA Cash Flow Model (6-4-07) 2" xfId="0"/>
    <cellStyle name="_new WMR_VSACE" xfId="0"/>
    <cellStyle name="_new WMR_VSACE 2" xfId="0"/>
    <cellStyle name="_new WMR_VSC" xfId="0"/>
    <cellStyle name="_new WMR_VSC 2" xfId="0"/>
    <cellStyle name="_new WMR_VSCN" xfId="0"/>
    <cellStyle name="_new WMR_VSCN 2" xfId="0"/>
    <cellStyle name="_new WMR_VSE" xfId="0"/>
    <cellStyle name="_new WMR_VSE 2" xfId="0"/>
    <cellStyle name="_new WMR_VSE WMR Workbook 08-07-09" xfId="0"/>
    <cellStyle name="_new WMR_VSE WMR Workbook 08-07-09 2" xfId="0"/>
    <cellStyle name="_new WMR_VSE WMR Workbook 11-19-10" xfId="0"/>
    <cellStyle name="_new WMR_VSE WMR Workbook 11-19-10 2" xfId="0"/>
    <cellStyle name="_new WMR_VSE WMR Workbook 12-31-10" xfId="0"/>
    <cellStyle name="_new WMR_VSE WMR Workbook 12-31-10 2" xfId="0"/>
    <cellStyle name="_new WMR_VSI" xfId="0"/>
    <cellStyle name="_new WMR_VSI 2" xfId="0"/>
    <cellStyle name="_new WMR_VSI-WMR" xfId="0"/>
    <cellStyle name="_new WMR_VSI-WMR (5)" xfId="0"/>
    <cellStyle name="_new WMR_VSI-WMR (5) 2" xfId="0"/>
    <cellStyle name="_new WMR_VSI-WMR (6)" xfId="0"/>
    <cellStyle name="_new WMR_VSI-WMR (6) 2" xfId="0"/>
    <cellStyle name="_new WMR_VSI-WMR 10" xfId="0"/>
    <cellStyle name="_new WMR_VSI-WMR 2" xfId="0"/>
    <cellStyle name="_new WMR_VSI-WMR 2007-07-06" xfId="0"/>
    <cellStyle name="_new WMR_VSI-WMR 2007-07-06 2" xfId="0"/>
    <cellStyle name="_new WMR_VSI-WMR 3" xfId="0"/>
    <cellStyle name="_new WMR_VSI-WMR 4" xfId="0"/>
    <cellStyle name="_new WMR_VSI-WMR 5" xfId="0"/>
    <cellStyle name="_new WMR_VSI-WMR 6" xfId="0"/>
    <cellStyle name="_new WMR_VSI-WMR 7" xfId="0"/>
    <cellStyle name="_new WMR_VSI-WMR 8" xfId="0"/>
    <cellStyle name="_new WMR_VSI-WMR 9" xfId="0"/>
    <cellStyle name="_new WMR_VSI-WMR_080822 WMR-VSC" xfId="0"/>
    <cellStyle name="_new WMR_VSI-WMR_080822 WMR-VSC 2" xfId="0"/>
    <cellStyle name="_new WMR_VSI-WMR_080829 WMR" xfId="0"/>
    <cellStyle name="_new WMR_VSI-WMR_080829 WMR 2" xfId="0"/>
    <cellStyle name="_new WMR_VSI-WMR_080905 WMR-VSC" xfId="0"/>
    <cellStyle name="_new WMR_VSI-WMR_080905 WMR-VSC 2" xfId="0"/>
    <cellStyle name="_new WMR_VSI-WMR_080912 WMR-VSC" xfId="0"/>
    <cellStyle name="_new WMR_VSI-WMR_080912 WMR-VSC 2" xfId="0"/>
    <cellStyle name="_new WMR_VSI-WMR_080919 WMR-VSC" xfId="0"/>
    <cellStyle name="_new WMR_VSI-WMR_080919 WMR-VSC 2" xfId="0"/>
    <cellStyle name="_new WMR_VSI-WMR_080926 WMR-VSC" xfId="0"/>
    <cellStyle name="_new WMR_VSI-WMR_080926 WMR-VSC 2" xfId="0"/>
    <cellStyle name="_new WMR_VSI-WMR_081003 WMR-VSC_1" xfId="0"/>
    <cellStyle name="_new WMR_VSI-WMR_081003 WMR-VSC_1 2" xfId="0"/>
    <cellStyle name="_new WMR_VSI-WMR_081010 WMR-VSC" xfId="0"/>
    <cellStyle name="_new WMR_VSI-WMR_081010 WMR-VSC 2" xfId="0"/>
    <cellStyle name="_new WMR_VSI-WMR_081017 WMR-VSC_1" xfId="0"/>
    <cellStyle name="_new WMR_VSI-WMR_081017 WMR-VSC_1 2" xfId="0"/>
    <cellStyle name="_new WMR_VSI-WMR_081024 WMR-VSC" xfId="0"/>
    <cellStyle name="_new WMR_VSI-WMR_081024 WMR-VSC 2" xfId="0"/>
    <cellStyle name="_new WMR_VSI-WMR_081031 WMR-VSC" xfId="0"/>
    <cellStyle name="_new WMR_VSI-WMR_081031 WMR-VSC 2" xfId="0"/>
    <cellStyle name="_new WMR_VSI-WMR_081107 WMR-VSC (2)" xfId="0"/>
    <cellStyle name="_new WMR_VSI-WMR_081107 WMR-VSC (2) 2" xfId="0"/>
    <cellStyle name="_new WMR_VSI-WMR_081107 WMR-VSC_1" xfId="0"/>
    <cellStyle name="_new WMR_VSI-WMR_081107 WMR-VSC_1 2" xfId="0"/>
    <cellStyle name="_new WMR_VSI-WMR_081114 WMR-VSC" xfId="0"/>
    <cellStyle name="_new WMR_VSI-WMR_081114 WMR-VSC 2" xfId="0"/>
    <cellStyle name="_new WMR_VSI-WMR_081121 WMR-VSC" xfId="0"/>
    <cellStyle name="_new WMR_VSI-WMR_081121 WMR-VSC 2" xfId="0"/>
    <cellStyle name="_new WMR_VSI-WMR_081128 WMR-VSC" xfId="0"/>
    <cellStyle name="_new WMR_VSI-WMR_081128 WMR-VSC 2" xfId="0"/>
    <cellStyle name="_new WMR_VSI-WMR_081128 WMR-VSC_1" xfId="0"/>
    <cellStyle name="_new WMR_VSI-WMR_081128 WMR-VSC_1 2" xfId="0"/>
    <cellStyle name="_new WMR_VSI-WMR_081205 WMR-VSC" xfId="0"/>
    <cellStyle name="_new WMR_VSI-WMR_081205 WMR-VSC 2" xfId="0"/>
    <cellStyle name="_new WMR_VSI-WMR_081212 WMR-VSC" xfId="0"/>
    <cellStyle name="_new WMR_VSI-WMR_081212 WMR-VSC 2" xfId="0"/>
    <cellStyle name="_new WMR_VSI-WMR_081219 WMR-VSC" xfId="0"/>
    <cellStyle name="_new WMR_VSI-WMR_081219 WMR-VSC 2" xfId="0"/>
    <cellStyle name="_new WMR_VSI-WMR_090102 WMR-VSC" xfId="0"/>
    <cellStyle name="_new WMR_VSI-WMR_090102 WMR-VSC 2" xfId="0"/>
    <cellStyle name="_new WMR_VSI-WMR_090424 WMR_VSE (2)" xfId="0"/>
    <cellStyle name="_new WMR_VSI-WMR_090424 WMR_VSE (2) 2" xfId="0"/>
    <cellStyle name="_new WMR_VSI-WMR_090703 WMR-VSC" xfId="0"/>
    <cellStyle name="_new WMR_VSI-WMR_090703 WMR-VSC 2" xfId="0"/>
    <cellStyle name="_new WMR_VSI-WMR_AP Turn Days old" xfId="0"/>
    <cellStyle name="_new WMR_VSI-WMR_AP Turn Days old 2" xfId="0"/>
    <cellStyle name="_new WMR_VSI-WMR_Cash" xfId="0"/>
    <cellStyle name="_new WMR_VSI-WMR_Cash 2" xfId="0"/>
    <cellStyle name="_new WMR_VSI-WMR_Charts" xfId="0"/>
    <cellStyle name="_new WMR_VSI-WMR_Charts 2" xfId="0"/>
    <cellStyle name="_new WMR_VSI-WMR_Inv Data" xfId="0"/>
    <cellStyle name="_new WMR_VSI-WMR_Inv Data 2" xfId="0"/>
    <cellStyle name="_new WMR_VSI-WMR_Inventory Pivot" xfId="0"/>
    <cellStyle name="_new WMR_VSI-WMR_Inventory Pivot 2" xfId="0"/>
    <cellStyle name="_new WMR_VSI-WMR_NEW WMR" xfId="0"/>
    <cellStyle name="_new WMR_VSI-WMR_NEW WMR 2" xfId="0"/>
    <cellStyle name="_new WMR_VSI-WMR_OpenOrder Data" xfId="0"/>
    <cellStyle name="_new WMR_VSI-WMR_OpenOrder Data 2" xfId="0"/>
    <cellStyle name="_new WMR_VSI-WMR_Turn Days" xfId="0"/>
    <cellStyle name="_new WMR_VSI-WMR_Turn Days 2" xfId="0"/>
    <cellStyle name="_new WMR_VSI-WMR_VDL" xfId="0"/>
    <cellStyle name="_new WMR_VSI-WMR_VDL 2" xfId="0"/>
    <cellStyle name="_new WMR_VSI-WMR_VSA" xfId="0"/>
    <cellStyle name="_new WMR_VSI-WMR_VSA 2" xfId="0"/>
    <cellStyle name="_new WMR_VSI-WMR_VSA Cash Flow Model (6-4-07)" xfId="0"/>
    <cellStyle name="_new WMR_VSI-WMR_VSA Cash Flow Model (6-4-07) 2" xfId="0"/>
    <cellStyle name="_new WMR_VSI-WMR_VSACE" xfId="0"/>
    <cellStyle name="_new WMR_VSI-WMR_VSACE 2" xfId="0"/>
    <cellStyle name="_new WMR_VSI-WMR_VSC" xfId="0"/>
    <cellStyle name="_new WMR_VSI-WMR_VSC 2" xfId="0"/>
    <cellStyle name="_new WMR_VSI-WMR_VSCN" xfId="0"/>
    <cellStyle name="_new WMR_VSI-WMR_VSCN 2" xfId="0"/>
    <cellStyle name="_new WMR_VSI-WMR_VSE" xfId="0"/>
    <cellStyle name="_new WMR_VSI-WMR_VSE 2" xfId="0"/>
    <cellStyle name="_new WMR_VSI-WMR_VSE WMR Workbook 08-07-09" xfId="0"/>
    <cellStyle name="_new WMR_VSI-WMR_VSE WMR Workbook 08-07-09 2" xfId="0"/>
    <cellStyle name="_new WMR_VSI-WMR_VSE WMR Workbook 11-19-10" xfId="0"/>
    <cellStyle name="_new WMR_VSI-WMR_VSE WMR Workbook 11-19-10 2" xfId="0"/>
    <cellStyle name="_new WMR_VSI-WMR_VSE WMR Workbook 12-31-10" xfId="0"/>
    <cellStyle name="_new WMR_VSI-WMR_VSE WMR Workbook 12-31-10 2" xfId="0"/>
    <cellStyle name="_new WMR_VSI-WMR_VSI" xfId="0"/>
    <cellStyle name="_new WMR_VSI-WMR_VSI 2" xfId="0"/>
    <cellStyle name="_new WMR_VSI-WMR_WMR" xfId="0"/>
    <cellStyle name="_new WMR_VSI-WMR_WMR (by QTY)" xfId="0"/>
    <cellStyle name="_new WMR_VSI-WMR_WMR (by QTY) 2" xfId="0"/>
    <cellStyle name="_new WMR_VSI-WMR_WMR 2" xfId="0"/>
    <cellStyle name="_new WMR_VSI-WMR_WMR 3" xfId="0"/>
    <cellStyle name="_new WMR_VSI-WMR_WMR 4" xfId="0"/>
    <cellStyle name="_new WMR_WMR" xfId="0"/>
    <cellStyle name="_new WMR_WMR (by QTY)" xfId="0"/>
    <cellStyle name="_new WMR_WMR (by QTY) 2" xfId="0"/>
    <cellStyle name="_new WMR_WMR 2" xfId="0"/>
    <cellStyle name="_new WMR_WMR 3" xfId="0"/>
    <cellStyle name="_new WMR_WMR 4" xfId="0"/>
    <cellStyle name="_new WMR_WMR Definitions" xfId="0"/>
    <cellStyle name="_new WMR_WMR Definitions 2" xfId="0"/>
    <cellStyle name="_No1-RD" xfId="0"/>
    <cellStyle name="_No1-RD 2" xfId="0"/>
    <cellStyle name="_NOK" xfId="0"/>
    <cellStyle name="_NOK 2" xfId="0"/>
    <cellStyle name="_Nordic" xfId="0"/>
    <cellStyle name="_Nordic 2" xfId="0"/>
    <cellStyle name="_Nov End" xfId="0"/>
    <cellStyle name="_Nov End 2" xfId="0"/>
    <cellStyle name="_Nov End_CORP SG&amp;A" xfId="0"/>
    <cellStyle name="_NOV-10 VSI Consolidated BS" xfId="0"/>
    <cellStyle name="_NOV-10 VSI Consolidated BS 2" xfId="0"/>
    <cellStyle name="_NOV-10 VSI Consolidated P&amp;L" xfId="0"/>
    <cellStyle name="_NOV-10 VSI Consolidated P&amp;L 2" xfId="0"/>
    <cellStyle name="_NOV-10 VSI Consolidated SG&amp;A" xfId="0"/>
    <cellStyle name="_NOV-10 VSI Consolidated SG&amp;A 2" xfId="0"/>
    <cellStyle name="_OCT-10 VSI Consolidated BS" xfId="0"/>
    <cellStyle name="_OCT-10 VSI Consolidated BS 2" xfId="0"/>
    <cellStyle name="_OCT-10 VSI Consolidated P&amp;L" xfId="0"/>
    <cellStyle name="_OCT-10 VSI Consolidated P&amp;L 2" xfId="0"/>
    <cellStyle name="_OCT-10 VSI Consolidated SG&amp;A" xfId="0"/>
    <cellStyle name="_OCT-10 VSI Consolidated SG&amp;A 2" xfId="0"/>
    <cellStyle name="_on water chart &amp; AP" xfId="0"/>
    <cellStyle name="_on water chart &amp; AP 2" xfId="0"/>
    <cellStyle name="_Other" xfId="0"/>
    <cellStyle name="_Other 2" xfId="0"/>
    <cellStyle name="_Other 3" xfId="0"/>
    <cellStyle name="_Other 4" xfId="0"/>
    <cellStyle name="_Other 5" xfId="0"/>
    <cellStyle name="_Other_By Region" xfId="0"/>
    <cellStyle name="_Other_CIS" xfId="0"/>
    <cellStyle name="_Other_CIS 2" xfId="0"/>
    <cellStyle name="_Other_CIS 3" xfId="0"/>
    <cellStyle name="_Other_CIS 4" xfId="0"/>
    <cellStyle name="_Other_CIS_By Region" xfId="0"/>
    <cellStyle name="_Other_CIS_CORP SG&amp;A" xfId="0"/>
    <cellStyle name="_Other_CIS_Digitizer" xfId="0"/>
    <cellStyle name="_Other_CIS_GPS OTHER" xfId="0"/>
    <cellStyle name="_Other_CIS_GPS OTHER 2" xfId="0"/>
    <cellStyle name="_Other_CIS_GPS OTHER 3" xfId="0"/>
    <cellStyle name="_Other_CIS_GPS OTHER 4" xfId="0"/>
    <cellStyle name="_Other_CIS_GPS OTHER 4 2" xfId="0"/>
    <cellStyle name="_Other_CIS_GPS OTHER_By Region" xfId="0"/>
    <cellStyle name="_Other_CIS_GPS OTHER_CORP SG&amp;A" xfId="0"/>
    <cellStyle name="_Other_CIS_GPS OTHER_LCD" xfId="0"/>
    <cellStyle name="_Other_CIS_GPS OTHER_PJ" xfId="0"/>
    <cellStyle name="_Other_CIS_LCD" xfId="0"/>
    <cellStyle name="_Other_CIS_LCD 2" xfId="0"/>
    <cellStyle name="_Other_CIS_LCD 3" xfId="0"/>
    <cellStyle name="_Other_CIS_LCD 4" xfId="0"/>
    <cellStyle name="_Other_CIS_LCD_By Region" xfId="0"/>
    <cellStyle name="_Other_CIS_LCD_CORP SG&amp;A" xfId="0"/>
    <cellStyle name="_Other_CIS_LCD_LCD" xfId="0"/>
    <cellStyle name="_Other_CIS_LCD_PJ" xfId="0"/>
    <cellStyle name="_Other_CIS_PC Products" xfId="0"/>
    <cellStyle name="_Other_CIS_PC Products 2" xfId="0"/>
    <cellStyle name="_Other_CIS_PC Products 3" xfId="0"/>
    <cellStyle name="_Other_CIS_PC Products 4" xfId="0"/>
    <cellStyle name="_Other_CIS_PC Products 4 2" xfId="0"/>
    <cellStyle name="_Other_CIS_PC Products_By Region" xfId="0"/>
    <cellStyle name="_Other_CIS_PC Products_CORP SG&amp;A" xfId="0"/>
    <cellStyle name="_Other_CIS_PC Products_LCD" xfId="0"/>
    <cellStyle name="_Other_CIS_PC Products_PJ" xfId="0"/>
    <cellStyle name="_Other_CIS_VSA 111014" xfId="0"/>
    <cellStyle name="_Other_CIS_VSA 111014 2" xfId="0"/>
    <cellStyle name="_Other_CIS_VSA 111014 3" xfId="0"/>
    <cellStyle name="_Other_CIS_VSA 111014 4" xfId="0"/>
    <cellStyle name="_Other_CIS_VSA 111014 4 2" xfId="0"/>
    <cellStyle name="_Other_CIS_VSA 111014_By Region" xfId="0"/>
    <cellStyle name="_Other_CIS_VSA 111014_CORP SG&amp;A" xfId="0"/>
    <cellStyle name="_Other_CIS_VSA 111014_LCD" xfId="0"/>
    <cellStyle name="_Other_CIS_VSA 111014_PJ" xfId="0"/>
    <cellStyle name="_Other_CIS_VSA Roll-Up (LW)" xfId="0"/>
    <cellStyle name="_Other_CIS_VSA Roll-Up (LW) 2" xfId="0"/>
    <cellStyle name="_Other_CIS_VSA Roll-Up (LW) 3" xfId="0"/>
    <cellStyle name="_Other_CIS_VSA Roll-Up (LW) 4" xfId="0"/>
    <cellStyle name="_Other_CIS_VSA Roll-Up (LW) 4 2" xfId="0"/>
    <cellStyle name="_Other_CIS_VSA Roll-Up (LW)_By Region" xfId="0"/>
    <cellStyle name="_Other_CIS_VSA Roll-Up (LW)_CORP SG&amp;A" xfId="0"/>
    <cellStyle name="_Other_CIS_VSA Roll-Up (LW)_LCD" xfId="0"/>
    <cellStyle name="_Other_CIS_VSA Roll-Up (LW)_PJ" xfId="0"/>
    <cellStyle name="_Other_CORP SG&amp;A" xfId="0"/>
    <cellStyle name="_Other_CRT" xfId="0"/>
    <cellStyle name="_Other_CRT 2" xfId="0"/>
    <cellStyle name="_Other_CRT 3" xfId="0"/>
    <cellStyle name="_Other_CRT 4" xfId="0"/>
    <cellStyle name="_Other_CRT_By Region" xfId="0"/>
    <cellStyle name="_Other_CRT_CORP SG&amp;A" xfId="0"/>
    <cellStyle name="_Other_CRT_Digitizer" xfId="0"/>
    <cellStyle name="_Other_CRT_GPS OTHER" xfId="0"/>
    <cellStyle name="_Other_CRT_GPS OTHER 2" xfId="0"/>
    <cellStyle name="_Other_CRT_GPS OTHER 3" xfId="0"/>
    <cellStyle name="_Other_CRT_GPS OTHER 4" xfId="0"/>
    <cellStyle name="_Other_CRT_GPS OTHER 4 2" xfId="0"/>
    <cellStyle name="_Other_CRT_GPS OTHER_By Region" xfId="0"/>
    <cellStyle name="_Other_CRT_GPS OTHER_CORP SG&amp;A" xfId="0"/>
    <cellStyle name="_Other_CRT_GPS OTHER_LCD" xfId="0"/>
    <cellStyle name="_Other_CRT_GPS OTHER_PJ" xfId="0"/>
    <cellStyle name="_Other_CRT_LCD" xfId="0"/>
    <cellStyle name="_Other_CRT_LCD 2" xfId="0"/>
    <cellStyle name="_Other_CRT_LCD 3" xfId="0"/>
    <cellStyle name="_Other_CRT_LCD 4" xfId="0"/>
    <cellStyle name="_Other_CRT_LCD_By Region" xfId="0"/>
    <cellStyle name="_Other_CRT_LCD_CORP SG&amp;A" xfId="0"/>
    <cellStyle name="_Other_CRT_LCD_LCD" xfId="0"/>
    <cellStyle name="_Other_CRT_LCD_PJ" xfId="0"/>
    <cellStyle name="_Other_CRT_PC Products" xfId="0"/>
    <cellStyle name="_Other_CRT_PC Products 2" xfId="0"/>
    <cellStyle name="_Other_CRT_PC Products 3" xfId="0"/>
    <cellStyle name="_Other_CRT_PC Products 4" xfId="0"/>
    <cellStyle name="_Other_CRT_PC Products 4 2" xfId="0"/>
    <cellStyle name="_Other_CRT_PC Products_By Region" xfId="0"/>
    <cellStyle name="_Other_CRT_PC Products_CORP SG&amp;A" xfId="0"/>
    <cellStyle name="_Other_CRT_PC Products_LCD" xfId="0"/>
    <cellStyle name="_Other_CRT_PC Products_PJ" xfId="0"/>
    <cellStyle name="_Other_CRT_VSA 111014" xfId="0"/>
    <cellStyle name="_Other_CRT_VSA 111014 2" xfId="0"/>
    <cellStyle name="_Other_CRT_VSA 111014 3" xfId="0"/>
    <cellStyle name="_Other_CRT_VSA 111014 4" xfId="0"/>
    <cellStyle name="_Other_CRT_VSA 111014 4 2" xfId="0"/>
    <cellStyle name="_Other_CRT_VSA 111014_By Region" xfId="0"/>
    <cellStyle name="_Other_CRT_VSA 111014_CORP SG&amp;A" xfId="0"/>
    <cellStyle name="_Other_CRT_VSA 111014_LCD" xfId="0"/>
    <cellStyle name="_Other_CRT_VSA 111014_PJ" xfId="0"/>
    <cellStyle name="_Other_CRT_VSA Roll-Up (LW)" xfId="0"/>
    <cellStyle name="_Other_CRT_VSA Roll-Up (LW) 2" xfId="0"/>
    <cellStyle name="_Other_CRT_VSA Roll-Up (LW) 3" xfId="0"/>
    <cellStyle name="_Other_CRT_VSA Roll-Up (LW) 4" xfId="0"/>
    <cellStyle name="_Other_CRT_VSA Roll-Up (LW) 4 2" xfId="0"/>
    <cellStyle name="_Other_CRT_VSA Roll-Up (LW)_By Region" xfId="0"/>
    <cellStyle name="_Other_CRT_VSA Roll-Up (LW)_CORP SG&amp;A" xfId="0"/>
    <cellStyle name="_Other_CRT_VSA Roll-Up (LW)_LCD" xfId="0"/>
    <cellStyle name="_Other_CRT_VSA Roll-Up (LW)_PJ" xfId="0"/>
    <cellStyle name="_Other_Diff" xfId="0"/>
    <cellStyle name="_Other_Diff 2" xfId="0"/>
    <cellStyle name="_Other_Diff 3" xfId="0"/>
    <cellStyle name="_Other_Diff 4" xfId="0"/>
    <cellStyle name="_Other_Diff_By Region" xfId="0"/>
    <cellStyle name="_Other_Diff_CORP SG&amp;A" xfId="0"/>
    <cellStyle name="_Other_Diff_Digitizer" xfId="0"/>
    <cellStyle name="_Other_Diff_GPS OTHER" xfId="0"/>
    <cellStyle name="_Other_Diff_GPS OTHER 2" xfId="0"/>
    <cellStyle name="_Other_Diff_GPS OTHER 3" xfId="0"/>
    <cellStyle name="_Other_Diff_GPS OTHER 4" xfId="0"/>
    <cellStyle name="_Other_Diff_GPS OTHER 4 2" xfId="0"/>
    <cellStyle name="_Other_Diff_GPS OTHER_By Region" xfId="0"/>
    <cellStyle name="_Other_Diff_GPS OTHER_CORP SG&amp;A" xfId="0"/>
    <cellStyle name="_Other_Diff_GPS OTHER_LCD" xfId="0"/>
    <cellStyle name="_Other_Diff_GPS OTHER_PJ" xfId="0"/>
    <cellStyle name="_Other_Diff_LCD" xfId="0"/>
    <cellStyle name="_Other_Diff_LCD 2" xfId="0"/>
    <cellStyle name="_Other_Diff_LCD 3" xfId="0"/>
    <cellStyle name="_Other_Diff_LCD 4" xfId="0"/>
    <cellStyle name="_Other_Diff_LCD_By Region" xfId="0"/>
    <cellStyle name="_Other_Diff_LCD_CORP SG&amp;A" xfId="0"/>
    <cellStyle name="_Other_Diff_LCD_LCD" xfId="0"/>
    <cellStyle name="_Other_Diff_LCD_PJ" xfId="0"/>
    <cellStyle name="_Other_Diff_PC Products" xfId="0"/>
    <cellStyle name="_Other_Diff_PC Products 2" xfId="0"/>
    <cellStyle name="_Other_Diff_PC Products 3" xfId="0"/>
    <cellStyle name="_Other_Diff_PC Products 4" xfId="0"/>
    <cellStyle name="_Other_Diff_PC Products 4 2" xfId="0"/>
    <cellStyle name="_Other_Diff_PC Products_By Region" xfId="0"/>
    <cellStyle name="_Other_Diff_PC Products_CORP SG&amp;A" xfId="0"/>
    <cellStyle name="_Other_Diff_PC Products_LCD" xfId="0"/>
    <cellStyle name="_Other_Diff_PC Products_PJ" xfId="0"/>
    <cellStyle name="_Other_Diff_VSA 111014" xfId="0"/>
    <cellStyle name="_Other_Diff_VSA 111014 2" xfId="0"/>
    <cellStyle name="_Other_Diff_VSA 111014 3" xfId="0"/>
    <cellStyle name="_Other_Diff_VSA 111014 4" xfId="0"/>
    <cellStyle name="_Other_Diff_VSA 111014 4 2" xfId="0"/>
    <cellStyle name="_Other_Diff_VSA 111014_By Region" xfId="0"/>
    <cellStyle name="_Other_Diff_VSA 111014_CORP SG&amp;A" xfId="0"/>
    <cellStyle name="_Other_Diff_VSA 111014_LCD" xfId="0"/>
    <cellStyle name="_Other_Diff_VSA 111014_PJ" xfId="0"/>
    <cellStyle name="_Other_Diff_VSA Roll-Up (LW)" xfId="0"/>
    <cellStyle name="_Other_Diff_VSA Roll-Up (LW) 2" xfId="0"/>
    <cellStyle name="_Other_Diff_VSA Roll-Up (LW) 3" xfId="0"/>
    <cellStyle name="_Other_Diff_VSA Roll-Up (LW) 4" xfId="0"/>
    <cellStyle name="_Other_Diff_VSA Roll-Up (LW) 4 2" xfId="0"/>
    <cellStyle name="_Other_Diff_VSA Roll-Up (LW)_By Region" xfId="0"/>
    <cellStyle name="_Other_Diff_VSA Roll-Up (LW)_CORP SG&amp;A" xfId="0"/>
    <cellStyle name="_Other_Diff_VSA Roll-Up (LW)_LCD" xfId="0"/>
    <cellStyle name="_Other_Diff_VSA Roll-Up (LW)_PJ" xfId="0"/>
    <cellStyle name="_Other_Digital Product" xfId="0"/>
    <cellStyle name="_Other_Digital Product 2" xfId="0"/>
    <cellStyle name="_Other_Digital Product 3" xfId="0"/>
    <cellStyle name="_Other_Digital Product 4" xfId="0"/>
    <cellStyle name="_Other_Digital Product_By Region" xfId="0"/>
    <cellStyle name="_Other_Digital Product_CORP SG&amp;A" xfId="0"/>
    <cellStyle name="_Other_Digital Product_Digitizer" xfId="0"/>
    <cellStyle name="_Other_Digital Product_GPS OTHER" xfId="0"/>
    <cellStyle name="_Other_Digital Product_GPS OTHER 2" xfId="0"/>
    <cellStyle name="_Other_Digital Product_GPS OTHER 3" xfId="0"/>
    <cellStyle name="_Other_Digital Product_GPS OTHER 4" xfId="0"/>
    <cellStyle name="_Other_Digital Product_GPS OTHER 4 2" xfId="0"/>
    <cellStyle name="_Other_Digital Product_GPS OTHER_By Region" xfId="0"/>
    <cellStyle name="_Other_Digital Product_GPS OTHER_CORP SG&amp;A" xfId="0"/>
    <cellStyle name="_Other_Digital Product_GPS OTHER_LCD" xfId="0"/>
    <cellStyle name="_Other_Digital Product_GPS OTHER_PJ" xfId="0"/>
    <cellStyle name="_Other_Digital Product_LCD" xfId="0"/>
    <cellStyle name="_Other_Digital Product_LCD 2" xfId="0"/>
    <cellStyle name="_Other_Digital Product_LCD 3" xfId="0"/>
    <cellStyle name="_Other_Digital Product_LCD 4" xfId="0"/>
    <cellStyle name="_Other_Digital Product_LCD_By Region" xfId="0"/>
    <cellStyle name="_Other_Digital Product_LCD_CORP SG&amp;A" xfId="0"/>
    <cellStyle name="_Other_Digital Product_LCD_LCD" xfId="0"/>
    <cellStyle name="_Other_Digital Product_LCD_PJ" xfId="0"/>
    <cellStyle name="_Other_Digital Product_PC Products" xfId="0"/>
    <cellStyle name="_Other_Digital Product_PC Products 2" xfId="0"/>
    <cellStyle name="_Other_Digital Product_PC Products 3" xfId="0"/>
    <cellStyle name="_Other_Digital Product_PC Products 4" xfId="0"/>
    <cellStyle name="_Other_Digital Product_PC Products 4 2" xfId="0"/>
    <cellStyle name="_Other_Digital Product_PC Products_By Region" xfId="0"/>
    <cellStyle name="_Other_Digital Product_PC Products_CORP SG&amp;A" xfId="0"/>
    <cellStyle name="_Other_Digital Product_PC Products_LCD" xfId="0"/>
    <cellStyle name="_Other_Digital Product_PC Products_PJ" xfId="0"/>
    <cellStyle name="_Other_Digital Product_VSA 111014" xfId="0"/>
    <cellStyle name="_Other_Digital Product_VSA 111014 2" xfId="0"/>
    <cellStyle name="_Other_Digital Product_VSA 111014 3" xfId="0"/>
    <cellStyle name="_Other_Digital Product_VSA 111014 4" xfId="0"/>
    <cellStyle name="_Other_Digital Product_VSA 111014 4 2" xfId="0"/>
    <cellStyle name="_Other_Digital Product_VSA 111014_By Region" xfId="0"/>
    <cellStyle name="_Other_Digital Product_VSA 111014_CORP SG&amp;A" xfId="0"/>
    <cellStyle name="_Other_Digital Product_VSA 111014_LCD" xfId="0"/>
    <cellStyle name="_Other_Digital Product_VSA 111014_PJ" xfId="0"/>
    <cellStyle name="_Other_Digital Product_VSA Roll-Up (LW)" xfId="0"/>
    <cellStyle name="_Other_Digital Product_VSA Roll-Up (LW) 2" xfId="0"/>
    <cellStyle name="_Other_Digital Product_VSA Roll-Up (LW) 3" xfId="0"/>
    <cellStyle name="_Other_Digital Product_VSA Roll-Up (LW) 4" xfId="0"/>
    <cellStyle name="_Other_Digital Product_VSA Roll-Up (LW) 4 2" xfId="0"/>
    <cellStyle name="_Other_Digital Product_VSA Roll-Up (LW)_By Region" xfId="0"/>
    <cellStyle name="_Other_Digital Product_VSA Roll-Up (LW)_CORP SG&amp;A" xfId="0"/>
    <cellStyle name="_Other_Digital Product_VSA Roll-Up (LW)_LCD" xfId="0"/>
    <cellStyle name="_Other_Digital Product_VSA Roll-Up (LW)_PJ" xfId="0"/>
    <cellStyle name="_Other_Digital Signage" xfId="0"/>
    <cellStyle name="_Other_Digital Signage 2" xfId="0"/>
    <cellStyle name="_Other_Digital Signage 3" xfId="0"/>
    <cellStyle name="_Other_Digital Signage 4" xfId="0"/>
    <cellStyle name="_Other_Digital Signage_By Region" xfId="0"/>
    <cellStyle name="_Other_Digital Signage_CORP SG&amp;A" xfId="0"/>
    <cellStyle name="_Other_Digital Signage_Digitizer" xfId="0"/>
    <cellStyle name="_Other_Digital Signage_GPS OTHER" xfId="0"/>
    <cellStyle name="_Other_Digital Signage_GPS OTHER 2" xfId="0"/>
    <cellStyle name="_Other_Digital Signage_GPS OTHER 3" xfId="0"/>
    <cellStyle name="_Other_Digital Signage_GPS OTHER 4" xfId="0"/>
    <cellStyle name="_Other_Digital Signage_GPS OTHER 4 2" xfId="0"/>
    <cellStyle name="_Other_Digital Signage_GPS OTHER_By Region" xfId="0"/>
    <cellStyle name="_Other_Digital Signage_GPS OTHER_CORP SG&amp;A" xfId="0"/>
    <cellStyle name="_Other_Digital Signage_GPS OTHER_LCD" xfId="0"/>
    <cellStyle name="_Other_Digital Signage_GPS OTHER_PJ" xfId="0"/>
    <cellStyle name="_Other_Digital Signage_LCD" xfId="0"/>
    <cellStyle name="_Other_Digital Signage_LCD 2" xfId="0"/>
    <cellStyle name="_Other_Digital Signage_LCD 3" xfId="0"/>
    <cellStyle name="_Other_Digital Signage_LCD 4" xfId="0"/>
    <cellStyle name="_Other_Digital Signage_LCD_By Region" xfId="0"/>
    <cellStyle name="_Other_Digital Signage_LCD_CORP SG&amp;A" xfId="0"/>
    <cellStyle name="_Other_Digital Signage_LCD_LCD" xfId="0"/>
    <cellStyle name="_Other_Digital Signage_LCD_PJ" xfId="0"/>
    <cellStyle name="_Other_Digital Signage_PC Products" xfId="0"/>
    <cellStyle name="_Other_Digital Signage_PC Products 2" xfId="0"/>
    <cellStyle name="_Other_Digital Signage_PC Products 3" xfId="0"/>
    <cellStyle name="_Other_Digital Signage_PC Products 4" xfId="0"/>
    <cellStyle name="_Other_Digital Signage_PC Products 4 2" xfId="0"/>
    <cellStyle name="_Other_Digital Signage_PC Products_By Region" xfId="0"/>
    <cellStyle name="_Other_Digital Signage_PC Products_CORP SG&amp;A" xfId="0"/>
    <cellStyle name="_Other_Digital Signage_PC Products_LCD" xfId="0"/>
    <cellStyle name="_Other_Digital Signage_PC Products_PJ" xfId="0"/>
    <cellStyle name="_Other_Digital Signage_VSA 111014" xfId="0"/>
    <cellStyle name="_Other_Digital Signage_VSA 111014 2" xfId="0"/>
    <cellStyle name="_Other_Digital Signage_VSA 111014 3" xfId="0"/>
    <cellStyle name="_Other_Digital Signage_VSA 111014 4" xfId="0"/>
    <cellStyle name="_Other_Digital Signage_VSA 111014 4 2" xfId="0"/>
    <cellStyle name="_Other_Digital Signage_VSA 111014_By Region" xfId="0"/>
    <cellStyle name="_Other_Digital Signage_VSA 111014_CORP SG&amp;A" xfId="0"/>
    <cellStyle name="_Other_Digital Signage_VSA 111014_LCD" xfId="0"/>
    <cellStyle name="_Other_Digital Signage_VSA 111014_PJ" xfId="0"/>
    <cellStyle name="_Other_Digital Signage_VSA Roll-Up (LW)" xfId="0"/>
    <cellStyle name="_Other_Digital Signage_VSA Roll-Up (LW) 2" xfId="0"/>
    <cellStyle name="_Other_Digital Signage_VSA Roll-Up (LW) 3" xfId="0"/>
    <cellStyle name="_Other_Digital Signage_VSA Roll-Up (LW) 4" xfId="0"/>
    <cellStyle name="_Other_Digital Signage_VSA Roll-Up (LW) 4 2" xfId="0"/>
    <cellStyle name="_Other_Digital Signage_VSA Roll-Up (LW)_By Region" xfId="0"/>
    <cellStyle name="_Other_Digital Signage_VSA Roll-Up (LW)_CORP SG&amp;A" xfId="0"/>
    <cellStyle name="_Other_Digital Signage_VSA Roll-Up (LW)_LCD" xfId="0"/>
    <cellStyle name="_Other_Digital Signage_VSA Roll-Up (LW)_PJ" xfId="0"/>
    <cellStyle name="_Other_Digitizer" xfId="0"/>
    <cellStyle name="_Other_DMA(VMP)" xfId="0"/>
    <cellStyle name="_Other_DMA(VMP) 2" xfId="0"/>
    <cellStyle name="_Other_DMA(VMP) 3" xfId="0"/>
    <cellStyle name="_Other_DMA(VMP) 4" xfId="0"/>
    <cellStyle name="_Other_DMA(VMP)_By Region" xfId="0"/>
    <cellStyle name="_Other_DMA(VMP)_CORP SG&amp;A" xfId="0"/>
    <cellStyle name="_Other_DMA(VMP)_Digitizer" xfId="0"/>
    <cellStyle name="_Other_DMA(VMP)_GPS OTHER" xfId="0"/>
    <cellStyle name="_Other_DMA(VMP)_GPS OTHER 2" xfId="0"/>
    <cellStyle name="_Other_DMA(VMP)_GPS OTHER 3" xfId="0"/>
    <cellStyle name="_Other_DMA(VMP)_GPS OTHER 4" xfId="0"/>
    <cellStyle name="_Other_DMA(VMP)_GPS OTHER 4 2" xfId="0"/>
    <cellStyle name="_Other_DMA(VMP)_GPS OTHER_By Region" xfId="0"/>
    <cellStyle name="_Other_DMA(VMP)_GPS OTHER_CORP SG&amp;A" xfId="0"/>
    <cellStyle name="_Other_DMA(VMP)_GPS OTHER_LCD" xfId="0"/>
    <cellStyle name="_Other_DMA(VMP)_GPS OTHER_PJ" xfId="0"/>
    <cellStyle name="_Other_DMA(VMP)_LCD" xfId="0"/>
    <cellStyle name="_Other_DMA(VMP)_LCD 2" xfId="0"/>
    <cellStyle name="_Other_DMA(VMP)_LCD 3" xfId="0"/>
    <cellStyle name="_Other_DMA(VMP)_LCD 4" xfId="0"/>
    <cellStyle name="_Other_DMA(VMP)_LCD_By Region" xfId="0"/>
    <cellStyle name="_Other_DMA(VMP)_LCD_CORP SG&amp;A" xfId="0"/>
    <cellStyle name="_Other_DMA(VMP)_LCD_LCD" xfId="0"/>
    <cellStyle name="_Other_DMA(VMP)_LCD_PJ" xfId="0"/>
    <cellStyle name="_Other_DMA(VMP)_PC Products" xfId="0"/>
    <cellStyle name="_Other_DMA(VMP)_PC Products 2" xfId="0"/>
    <cellStyle name="_Other_DMA(VMP)_PC Products 3" xfId="0"/>
    <cellStyle name="_Other_DMA(VMP)_PC Products 4" xfId="0"/>
    <cellStyle name="_Other_DMA(VMP)_PC Products 4 2" xfId="0"/>
    <cellStyle name="_Other_DMA(VMP)_PC Products_By Region" xfId="0"/>
    <cellStyle name="_Other_DMA(VMP)_PC Products_CORP SG&amp;A" xfId="0"/>
    <cellStyle name="_Other_DMA(VMP)_PC Products_LCD" xfId="0"/>
    <cellStyle name="_Other_DMA(VMP)_PC Products_PJ" xfId="0"/>
    <cellStyle name="_Other_DMA(VMP)_VSA 111014" xfId="0"/>
    <cellStyle name="_Other_DMA(VMP)_VSA 111014 2" xfId="0"/>
    <cellStyle name="_Other_DMA(VMP)_VSA 111014 3" xfId="0"/>
    <cellStyle name="_Other_DMA(VMP)_VSA 111014 4" xfId="0"/>
    <cellStyle name="_Other_DMA(VMP)_VSA 111014 4 2" xfId="0"/>
    <cellStyle name="_Other_DMA(VMP)_VSA 111014_By Region" xfId="0"/>
    <cellStyle name="_Other_DMA(VMP)_VSA 111014_CORP SG&amp;A" xfId="0"/>
    <cellStyle name="_Other_DMA(VMP)_VSA 111014_LCD" xfId="0"/>
    <cellStyle name="_Other_DMA(VMP)_VSA 111014_PJ" xfId="0"/>
    <cellStyle name="_Other_DMA(VMP)_VSA Roll-Up (LW)" xfId="0"/>
    <cellStyle name="_Other_DMA(VMP)_VSA Roll-Up (LW) 2" xfId="0"/>
    <cellStyle name="_Other_DMA(VMP)_VSA Roll-Up (LW) 3" xfId="0"/>
    <cellStyle name="_Other_DMA(VMP)_VSA Roll-Up (LW) 4" xfId="0"/>
    <cellStyle name="_Other_DMA(VMP)_VSA Roll-Up (LW) 4 2" xfId="0"/>
    <cellStyle name="_Other_DMA(VMP)_VSA Roll-Up (LW)_By Region" xfId="0"/>
    <cellStyle name="_Other_DMA(VMP)_VSA Roll-Up (LW)_CORP SG&amp;A" xfId="0"/>
    <cellStyle name="_Other_DMA(VMP)_VSA Roll-Up (LW)_LCD" xfId="0"/>
    <cellStyle name="_Other_DMA(VMP)_VSA Roll-Up (LW)_PJ" xfId="0"/>
    <cellStyle name="_Other_DPF" xfId="0"/>
    <cellStyle name="_Other_DPF 2" xfId="0"/>
    <cellStyle name="_Other_DPF 3" xfId="0"/>
    <cellStyle name="_Other_DPF 4" xfId="0"/>
    <cellStyle name="_Other_DPF_By Region" xfId="0"/>
    <cellStyle name="_Other_DPF_CORP SG&amp;A" xfId="0"/>
    <cellStyle name="_Other_DPF_Digitizer" xfId="0"/>
    <cellStyle name="_Other_DPF_GPS OTHER" xfId="0"/>
    <cellStyle name="_Other_DPF_GPS OTHER 2" xfId="0"/>
    <cellStyle name="_Other_DPF_GPS OTHER 3" xfId="0"/>
    <cellStyle name="_Other_DPF_GPS OTHER 4" xfId="0"/>
    <cellStyle name="_Other_DPF_GPS OTHER 4 2" xfId="0"/>
    <cellStyle name="_Other_DPF_GPS OTHER_By Region" xfId="0"/>
    <cellStyle name="_Other_DPF_GPS OTHER_CORP SG&amp;A" xfId="0"/>
    <cellStyle name="_Other_DPF_GPS OTHER_LCD" xfId="0"/>
    <cellStyle name="_Other_DPF_GPS OTHER_PJ" xfId="0"/>
    <cellStyle name="_Other_DPF_LCD" xfId="0"/>
    <cellStyle name="_Other_DPF_LCD 2" xfId="0"/>
    <cellStyle name="_Other_DPF_LCD 3" xfId="0"/>
    <cellStyle name="_Other_DPF_LCD 4" xfId="0"/>
    <cellStyle name="_Other_DPF_LCD_By Region" xfId="0"/>
    <cellStyle name="_Other_DPF_LCD_CORP SG&amp;A" xfId="0"/>
    <cellStyle name="_Other_DPF_LCD_LCD" xfId="0"/>
    <cellStyle name="_Other_DPF_LCD_PJ" xfId="0"/>
    <cellStyle name="_Other_DPF_PC Products" xfId="0"/>
    <cellStyle name="_Other_DPF_PC Products 2" xfId="0"/>
    <cellStyle name="_Other_DPF_PC Products 3" xfId="0"/>
    <cellStyle name="_Other_DPF_PC Products 4" xfId="0"/>
    <cellStyle name="_Other_DPF_PC Products 4 2" xfId="0"/>
    <cellStyle name="_Other_DPF_PC Products_By Region" xfId="0"/>
    <cellStyle name="_Other_DPF_PC Products_CORP SG&amp;A" xfId="0"/>
    <cellStyle name="_Other_DPF_PC Products_LCD" xfId="0"/>
    <cellStyle name="_Other_DPF_PC Products_PJ" xfId="0"/>
    <cellStyle name="_Other_DPF_VSA 111014" xfId="0"/>
    <cellStyle name="_Other_DPF_VSA 111014 2" xfId="0"/>
    <cellStyle name="_Other_DPF_VSA 111014 3" xfId="0"/>
    <cellStyle name="_Other_DPF_VSA 111014 4" xfId="0"/>
    <cellStyle name="_Other_DPF_VSA 111014 4 2" xfId="0"/>
    <cellStyle name="_Other_DPF_VSA 111014_By Region" xfId="0"/>
    <cellStyle name="_Other_DPF_VSA 111014_CORP SG&amp;A" xfId="0"/>
    <cellStyle name="_Other_DPF_VSA 111014_LCD" xfId="0"/>
    <cellStyle name="_Other_DPF_VSA 111014_PJ" xfId="0"/>
    <cellStyle name="_Other_DPF_VSA Roll-Up (LW)" xfId="0"/>
    <cellStyle name="_Other_DPF_VSA Roll-Up (LW) 2" xfId="0"/>
    <cellStyle name="_Other_DPF_VSA Roll-Up (LW) 3" xfId="0"/>
    <cellStyle name="_Other_DPF_VSA Roll-Up (LW) 4" xfId="0"/>
    <cellStyle name="_Other_DPF_VSA Roll-Up (LW) 4 2" xfId="0"/>
    <cellStyle name="_Other_DPF_VSA Roll-Up (LW)_By Region" xfId="0"/>
    <cellStyle name="_Other_DPF_VSA Roll-Up (LW)_CORP SG&amp;A" xfId="0"/>
    <cellStyle name="_Other_DPF_VSA Roll-Up (LW)_LCD" xfId="0"/>
    <cellStyle name="_Other_DPF_VSA Roll-Up (LW)_PJ" xfId="0"/>
    <cellStyle name="_Other_DS" xfId="0"/>
    <cellStyle name="_Other_DS 2" xfId="0"/>
    <cellStyle name="_Other_DS 3" xfId="0"/>
    <cellStyle name="_Other_DS 4" xfId="0"/>
    <cellStyle name="_Other_DS_By Region" xfId="0"/>
    <cellStyle name="_Other_DS_CORP SG&amp;A" xfId="0"/>
    <cellStyle name="_Other_DS_Digitizer" xfId="0"/>
    <cellStyle name="_Other_DS_GPS OTHER" xfId="0"/>
    <cellStyle name="_Other_DS_GPS OTHER 2" xfId="0"/>
    <cellStyle name="_Other_DS_GPS OTHER 3" xfId="0"/>
    <cellStyle name="_Other_DS_GPS OTHER 4" xfId="0"/>
    <cellStyle name="_Other_DS_GPS OTHER 4 2" xfId="0"/>
    <cellStyle name="_Other_DS_GPS OTHER_By Region" xfId="0"/>
    <cellStyle name="_Other_DS_GPS OTHER_CORP SG&amp;A" xfId="0"/>
    <cellStyle name="_Other_DS_GPS OTHER_LCD" xfId="0"/>
    <cellStyle name="_Other_DS_GPS OTHER_PJ" xfId="0"/>
    <cellStyle name="_Other_DS_LCD" xfId="0"/>
    <cellStyle name="_Other_DS_LCD 2" xfId="0"/>
    <cellStyle name="_Other_DS_LCD 3" xfId="0"/>
    <cellStyle name="_Other_DS_LCD 4" xfId="0"/>
    <cellStyle name="_Other_DS_LCD_By Region" xfId="0"/>
    <cellStyle name="_Other_DS_LCD_CORP SG&amp;A" xfId="0"/>
    <cellStyle name="_Other_DS_LCD_LCD" xfId="0"/>
    <cellStyle name="_Other_DS_LCD_PJ" xfId="0"/>
    <cellStyle name="_Other_DS_PC Products" xfId="0"/>
    <cellStyle name="_Other_DS_PC Products 2" xfId="0"/>
    <cellStyle name="_Other_DS_PC Products 3" xfId="0"/>
    <cellStyle name="_Other_DS_PC Products 4" xfId="0"/>
    <cellStyle name="_Other_DS_PC Products 4 2" xfId="0"/>
    <cellStyle name="_Other_DS_PC Products_By Region" xfId="0"/>
    <cellStyle name="_Other_DS_PC Products_CORP SG&amp;A" xfId="0"/>
    <cellStyle name="_Other_DS_PC Products_LCD" xfId="0"/>
    <cellStyle name="_Other_DS_PC Products_PJ" xfId="0"/>
    <cellStyle name="_Other_DS_VSA 111014" xfId="0"/>
    <cellStyle name="_Other_DS_VSA 111014 2" xfId="0"/>
    <cellStyle name="_Other_DS_VSA 111014 3" xfId="0"/>
    <cellStyle name="_Other_DS_VSA 111014 4" xfId="0"/>
    <cellStyle name="_Other_DS_VSA 111014 4 2" xfId="0"/>
    <cellStyle name="_Other_DS_VSA 111014_By Region" xfId="0"/>
    <cellStyle name="_Other_DS_VSA 111014_CORP SG&amp;A" xfId="0"/>
    <cellStyle name="_Other_DS_VSA 111014_LCD" xfId="0"/>
    <cellStyle name="_Other_DS_VSA 111014_PJ" xfId="0"/>
    <cellStyle name="_Other_DS_VSA Roll-Up (LW)" xfId="0"/>
    <cellStyle name="_Other_DS_VSA Roll-Up (LW) 2" xfId="0"/>
    <cellStyle name="_Other_DS_VSA Roll-Up (LW) 3" xfId="0"/>
    <cellStyle name="_Other_DS_VSA Roll-Up (LW) 4" xfId="0"/>
    <cellStyle name="_Other_DS_VSA Roll-Up (LW) 4 2" xfId="0"/>
    <cellStyle name="_Other_DS_VSA Roll-Up (LW)_By Region" xfId="0"/>
    <cellStyle name="_Other_DS_VSA Roll-Up (LW)_CORP SG&amp;A" xfId="0"/>
    <cellStyle name="_Other_DS_VSA Roll-Up (LW)_LCD" xfId="0"/>
    <cellStyle name="_Other_DS_VSA Roll-Up (LW)_PJ" xfId="0"/>
    <cellStyle name="_Other_DVD_TV" xfId="0"/>
    <cellStyle name="_Other_DVD_TV 2" xfId="0"/>
    <cellStyle name="_Other_DVD_TV 3" xfId="0"/>
    <cellStyle name="_Other_DVD_TV 4" xfId="0"/>
    <cellStyle name="_Other_DVD_TV_By Region" xfId="0"/>
    <cellStyle name="_Other_DVD_TV_CORP SG&amp;A" xfId="0"/>
    <cellStyle name="_Other_DVD_TV_Digitizer" xfId="0"/>
    <cellStyle name="_Other_DVD_TV_GPS OTHER" xfId="0"/>
    <cellStyle name="_Other_DVD_TV_GPS OTHER 2" xfId="0"/>
    <cellStyle name="_Other_DVD_TV_GPS OTHER 3" xfId="0"/>
    <cellStyle name="_Other_DVD_TV_GPS OTHER 4" xfId="0"/>
    <cellStyle name="_Other_DVD_TV_GPS OTHER 4 2" xfId="0"/>
    <cellStyle name="_Other_DVD_TV_GPS OTHER_By Region" xfId="0"/>
    <cellStyle name="_Other_DVD_TV_GPS OTHER_CORP SG&amp;A" xfId="0"/>
    <cellStyle name="_Other_DVD_TV_GPS OTHER_LCD" xfId="0"/>
    <cellStyle name="_Other_DVD_TV_GPS OTHER_PJ" xfId="0"/>
    <cellStyle name="_Other_DVD_TV_LCD" xfId="0"/>
    <cellStyle name="_Other_DVD_TV_LCD 2" xfId="0"/>
    <cellStyle name="_Other_DVD_TV_LCD 3" xfId="0"/>
    <cellStyle name="_Other_DVD_TV_LCD 4" xfId="0"/>
    <cellStyle name="_Other_DVD_TV_LCD_By Region" xfId="0"/>
    <cellStyle name="_Other_DVD_TV_LCD_CORP SG&amp;A" xfId="0"/>
    <cellStyle name="_Other_DVD_TV_LCD_LCD" xfId="0"/>
    <cellStyle name="_Other_DVD_TV_LCD_PJ" xfId="0"/>
    <cellStyle name="_Other_DVD_TV_PC Products" xfId="0"/>
    <cellStyle name="_Other_DVD_TV_PC Products 2" xfId="0"/>
    <cellStyle name="_Other_DVD_TV_PC Products 3" xfId="0"/>
    <cellStyle name="_Other_DVD_TV_PC Products 4" xfId="0"/>
    <cellStyle name="_Other_DVD_TV_PC Products 4 2" xfId="0"/>
    <cellStyle name="_Other_DVD_TV_PC Products_By Region" xfId="0"/>
    <cellStyle name="_Other_DVD_TV_PC Products_CORP SG&amp;A" xfId="0"/>
    <cellStyle name="_Other_DVD_TV_PC Products_LCD" xfId="0"/>
    <cellStyle name="_Other_DVD_TV_PC Products_PJ" xfId="0"/>
    <cellStyle name="_Other_DVD_TV_VSA 111014" xfId="0"/>
    <cellStyle name="_Other_DVD_TV_VSA 111014 2" xfId="0"/>
    <cellStyle name="_Other_DVD_TV_VSA 111014 3" xfId="0"/>
    <cellStyle name="_Other_DVD_TV_VSA 111014 4" xfId="0"/>
    <cellStyle name="_Other_DVD_TV_VSA 111014 4 2" xfId="0"/>
    <cellStyle name="_Other_DVD_TV_VSA 111014_By Region" xfId="0"/>
    <cellStyle name="_Other_DVD_TV_VSA 111014_CORP SG&amp;A" xfId="0"/>
    <cellStyle name="_Other_DVD_TV_VSA 111014_LCD" xfId="0"/>
    <cellStyle name="_Other_DVD_TV_VSA 111014_PJ" xfId="0"/>
    <cellStyle name="_Other_DVD_TV_VSA Roll-Up (LW)" xfId="0"/>
    <cellStyle name="_Other_DVD_TV_VSA Roll-Up (LW) 2" xfId="0"/>
    <cellStyle name="_Other_DVD_TV_VSA Roll-Up (LW) 3" xfId="0"/>
    <cellStyle name="_Other_DVD_TV_VSA Roll-Up (LW) 4" xfId="0"/>
    <cellStyle name="_Other_DVD_TV_VSA Roll-Up (LW) 4 2" xfId="0"/>
    <cellStyle name="_Other_DVD_TV_VSA Roll-Up (LW)_By Region" xfId="0"/>
    <cellStyle name="_Other_DVD_TV_VSA Roll-Up (LW)_CORP SG&amp;A" xfId="0"/>
    <cellStyle name="_Other_DVD_TV_VSA Roll-Up (LW)_LCD" xfId="0"/>
    <cellStyle name="_Other_DVD_TV_VSA Roll-Up (LW)_PJ" xfId="0"/>
    <cellStyle name="_Other_GPS OTHER" xfId="0"/>
    <cellStyle name="_Other_GPS OTHER 2" xfId="0"/>
    <cellStyle name="_Other_GPS OTHER 3" xfId="0"/>
    <cellStyle name="_Other_GPS OTHER 4" xfId="0"/>
    <cellStyle name="_Other_GPS OTHER 4 2" xfId="0"/>
    <cellStyle name="_Other_GPS OTHER_By Region" xfId="0"/>
    <cellStyle name="_Other_GPS OTHER_CORP SG&amp;A" xfId="0"/>
    <cellStyle name="_Other_GPS OTHER_LCD" xfId="0"/>
    <cellStyle name="_Other_GPS OTHER_PJ" xfId="0"/>
    <cellStyle name="_Other_LCD" xfId="0"/>
    <cellStyle name="_Other_LCD 2" xfId="0"/>
    <cellStyle name="_Other_LCD 3" xfId="0"/>
    <cellStyle name="_Other_LCD 4" xfId="0"/>
    <cellStyle name="_Other_LCD_1" xfId="0"/>
    <cellStyle name="_Other_LCD_1 2" xfId="0"/>
    <cellStyle name="_Other_LCD_1 3" xfId="0"/>
    <cellStyle name="_Other_LCD_1 4" xfId="0"/>
    <cellStyle name="_Other_LCD_1_By Region" xfId="0"/>
    <cellStyle name="_Other_LCD_1_CORP SG&amp;A" xfId="0"/>
    <cellStyle name="_Other_LCD_1_LCD" xfId="0"/>
    <cellStyle name="_Other_LCD_1_PJ" xfId="0"/>
    <cellStyle name="_Other_LCD_By Region" xfId="0"/>
    <cellStyle name="_Other_LCD_CORP SG&amp;A" xfId="0"/>
    <cellStyle name="_Other_LCD_Digitizer" xfId="0"/>
    <cellStyle name="_Other_LCD_GPS OTHER" xfId="0"/>
    <cellStyle name="_Other_LCD_GPS OTHER 2" xfId="0"/>
    <cellStyle name="_Other_LCD_GPS OTHER 3" xfId="0"/>
    <cellStyle name="_Other_LCD_GPS OTHER 4" xfId="0"/>
    <cellStyle name="_Other_LCD_GPS OTHER 4 2" xfId="0"/>
    <cellStyle name="_Other_LCD_GPS OTHER_By Region" xfId="0"/>
    <cellStyle name="_Other_LCD_GPS OTHER_CORP SG&amp;A" xfId="0"/>
    <cellStyle name="_Other_LCD_GPS OTHER_LCD" xfId="0"/>
    <cellStyle name="_Other_LCD_GPS OTHER_PJ" xfId="0"/>
    <cellStyle name="_Other_LCD_LCD" xfId="0"/>
    <cellStyle name="_Other_LCD_LCD 2" xfId="0"/>
    <cellStyle name="_Other_LCD_LCD 3" xfId="0"/>
    <cellStyle name="_Other_LCD_LCD 4" xfId="0"/>
    <cellStyle name="_Other_LCD_LCD_By Region" xfId="0"/>
    <cellStyle name="_Other_LCD_LCD_CORP SG&amp;A" xfId="0"/>
    <cellStyle name="_Other_LCD_LCD_LCD" xfId="0"/>
    <cellStyle name="_Other_LCD_LCD_PJ" xfId="0"/>
    <cellStyle name="_Other_LCD_PC Products" xfId="0"/>
    <cellStyle name="_Other_LCD_PC Products 2" xfId="0"/>
    <cellStyle name="_Other_LCD_PC Products 3" xfId="0"/>
    <cellStyle name="_Other_LCD_PC Products 4" xfId="0"/>
    <cellStyle name="_Other_LCD_PC Products 4 2" xfId="0"/>
    <cellStyle name="_Other_LCD_PC Products_By Region" xfId="0"/>
    <cellStyle name="_Other_LCD_PC Products_CORP SG&amp;A" xfId="0"/>
    <cellStyle name="_Other_LCD_PC Products_LCD" xfId="0"/>
    <cellStyle name="_Other_LCD_PC Products_PJ" xfId="0"/>
    <cellStyle name="_Other_LCD_VSA 111014" xfId="0"/>
    <cellStyle name="_Other_LCD_VSA 111014 2" xfId="0"/>
    <cellStyle name="_Other_LCD_VSA 111014 3" xfId="0"/>
    <cellStyle name="_Other_LCD_VSA 111014 4" xfId="0"/>
    <cellStyle name="_Other_LCD_VSA 111014 4 2" xfId="0"/>
    <cellStyle name="_Other_LCD_VSA 111014_By Region" xfId="0"/>
    <cellStyle name="_Other_LCD_VSA 111014_CORP SG&amp;A" xfId="0"/>
    <cellStyle name="_Other_LCD_VSA 111014_LCD" xfId="0"/>
    <cellStyle name="_Other_LCD_VSA 111014_PJ" xfId="0"/>
    <cellStyle name="_Other_LCD_VSA Roll-Up (LW)" xfId="0"/>
    <cellStyle name="_Other_LCD_VSA Roll-Up (LW) 2" xfId="0"/>
    <cellStyle name="_Other_LCD_VSA Roll-Up (LW) 3" xfId="0"/>
    <cellStyle name="_Other_LCD_VSA Roll-Up (LW) 4" xfId="0"/>
    <cellStyle name="_Other_LCD_VSA Roll-Up (LW) 4 2" xfId="0"/>
    <cellStyle name="_Other_LCD_VSA Roll-Up (LW)_By Region" xfId="0"/>
    <cellStyle name="_Other_LCD_VSA Roll-Up (LW)_CORP SG&amp;A" xfId="0"/>
    <cellStyle name="_Other_LCD_VSA Roll-Up (LW)_LCD" xfId="0"/>
    <cellStyle name="_Other_LCD_VSA Roll-Up (LW)_PJ" xfId="0"/>
    <cellStyle name="_Other_LCDTV" xfId="0"/>
    <cellStyle name="_Other_LCDTV 2" xfId="0"/>
    <cellStyle name="_Other_LCDTV 3" xfId="0"/>
    <cellStyle name="_Other_LCDTV 4" xfId="0"/>
    <cellStyle name="_Other_LCDTV_By Region" xfId="0"/>
    <cellStyle name="_Other_LCDTV_CORP SG&amp;A" xfId="0"/>
    <cellStyle name="_Other_LCDTV_Digitizer" xfId="0"/>
    <cellStyle name="_Other_LCDTV_GPS OTHER" xfId="0"/>
    <cellStyle name="_Other_LCDTV_GPS OTHER 2" xfId="0"/>
    <cellStyle name="_Other_LCDTV_GPS OTHER 3" xfId="0"/>
    <cellStyle name="_Other_LCDTV_GPS OTHER 4" xfId="0"/>
    <cellStyle name="_Other_LCDTV_GPS OTHER 4 2" xfId="0"/>
    <cellStyle name="_Other_LCDTV_GPS OTHER_By Region" xfId="0"/>
    <cellStyle name="_Other_LCDTV_GPS OTHER_CORP SG&amp;A" xfId="0"/>
    <cellStyle name="_Other_LCDTV_GPS OTHER_LCD" xfId="0"/>
    <cellStyle name="_Other_LCDTV_GPS OTHER_PJ" xfId="0"/>
    <cellStyle name="_Other_LCDTV_LCD" xfId="0"/>
    <cellStyle name="_Other_LCDTV_LCD 2" xfId="0"/>
    <cellStyle name="_Other_LCDTV_LCD 3" xfId="0"/>
    <cellStyle name="_Other_LCDTV_LCD 4" xfId="0"/>
    <cellStyle name="_Other_LCDTV_LCD_By Region" xfId="0"/>
    <cellStyle name="_Other_LCDTV_LCD_CORP SG&amp;A" xfId="0"/>
    <cellStyle name="_Other_LCDTV_LCD_LCD" xfId="0"/>
    <cellStyle name="_Other_LCDTV_LCD_PJ" xfId="0"/>
    <cellStyle name="_Other_LCDTV_PC Products" xfId="0"/>
    <cellStyle name="_Other_LCDTV_PC Products 2" xfId="0"/>
    <cellStyle name="_Other_LCDTV_PC Products 3" xfId="0"/>
    <cellStyle name="_Other_LCDTV_PC Products 4" xfId="0"/>
    <cellStyle name="_Other_LCDTV_PC Products 4 2" xfId="0"/>
    <cellStyle name="_Other_LCDTV_PC Products_By Region" xfId="0"/>
    <cellStyle name="_Other_LCDTV_PC Products_CORP SG&amp;A" xfId="0"/>
    <cellStyle name="_Other_LCDTV_PC Products_LCD" xfId="0"/>
    <cellStyle name="_Other_LCDTV_PC Products_PJ" xfId="0"/>
    <cellStyle name="_Other_LCDTV_VSA 111014" xfId="0"/>
    <cellStyle name="_Other_LCDTV_VSA 111014 2" xfId="0"/>
    <cellStyle name="_Other_LCDTV_VSA 111014 3" xfId="0"/>
    <cellStyle name="_Other_LCDTV_VSA 111014 4" xfId="0"/>
    <cellStyle name="_Other_LCDTV_VSA 111014 4 2" xfId="0"/>
    <cellStyle name="_Other_LCDTV_VSA 111014_By Region" xfId="0"/>
    <cellStyle name="_Other_LCDTV_VSA 111014_CORP SG&amp;A" xfId="0"/>
    <cellStyle name="_Other_LCDTV_VSA 111014_LCD" xfId="0"/>
    <cellStyle name="_Other_LCDTV_VSA 111014_PJ" xfId="0"/>
    <cellStyle name="_Other_LCDTV_VSA Roll-Up (LW)" xfId="0"/>
    <cellStyle name="_Other_LCDTV_VSA Roll-Up (LW) 2" xfId="0"/>
    <cellStyle name="_Other_LCDTV_VSA Roll-Up (LW) 3" xfId="0"/>
    <cellStyle name="_Other_LCDTV_VSA Roll-Up (LW) 4" xfId="0"/>
    <cellStyle name="_Other_LCDTV_VSA Roll-Up (LW) 4 2" xfId="0"/>
    <cellStyle name="_Other_LCDTV_VSA Roll-Up (LW)_By Region" xfId="0"/>
    <cellStyle name="_Other_LCDTV_VSA Roll-Up (LW)_CORP SG&amp;A" xfId="0"/>
    <cellStyle name="_Other_LCDTV_VSA Roll-Up (LW)_LCD" xfId="0"/>
    <cellStyle name="_Other_LCDTV_VSA Roll-Up (LW)_PJ" xfId="0"/>
    <cellStyle name="_Other_MNT" xfId="0"/>
    <cellStyle name="_Other_MNT 2" xfId="0"/>
    <cellStyle name="_Other_MNT 3" xfId="0"/>
    <cellStyle name="_Other_MNT 4" xfId="0"/>
    <cellStyle name="_Other_MNT_By Region" xfId="0"/>
    <cellStyle name="_Other_MNT_CORP SG&amp;A" xfId="0"/>
    <cellStyle name="_Other_MNT_Digitizer" xfId="0"/>
    <cellStyle name="_Other_MNT_GPS OTHER" xfId="0"/>
    <cellStyle name="_Other_MNT_GPS OTHER 2" xfId="0"/>
    <cellStyle name="_Other_MNT_GPS OTHER 3" xfId="0"/>
    <cellStyle name="_Other_MNT_GPS OTHER 4" xfId="0"/>
    <cellStyle name="_Other_MNT_GPS OTHER 4 2" xfId="0"/>
    <cellStyle name="_Other_MNT_GPS OTHER_By Region" xfId="0"/>
    <cellStyle name="_Other_MNT_GPS OTHER_CORP SG&amp;A" xfId="0"/>
    <cellStyle name="_Other_MNT_GPS OTHER_LCD" xfId="0"/>
    <cellStyle name="_Other_MNT_GPS OTHER_PJ" xfId="0"/>
    <cellStyle name="_Other_MNT_LCD" xfId="0"/>
    <cellStyle name="_Other_MNT_LCD 2" xfId="0"/>
    <cellStyle name="_Other_MNT_LCD 3" xfId="0"/>
    <cellStyle name="_Other_MNT_LCD 4" xfId="0"/>
    <cellStyle name="_Other_MNT_LCD_By Region" xfId="0"/>
    <cellStyle name="_Other_MNT_LCD_CORP SG&amp;A" xfId="0"/>
    <cellStyle name="_Other_MNT_LCD_LCD" xfId="0"/>
    <cellStyle name="_Other_MNT_LCD_PJ" xfId="0"/>
    <cellStyle name="_Other_MNT_PC Products" xfId="0"/>
    <cellStyle name="_Other_MNT_PC Products 2" xfId="0"/>
    <cellStyle name="_Other_MNT_PC Products 3" xfId="0"/>
    <cellStyle name="_Other_MNT_PC Products 4" xfId="0"/>
    <cellStyle name="_Other_MNT_PC Products 4 2" xfId="0"/>
    <cellStyle name="_Other_MNT_PC Products_By Region" xfId="0"/>
    <cellStyle name="_Other_MNT_PC Products_CORP SG&amp;A" xfId="0"/>
    <cellStyle name="_Other_MNT_PC Products_LCD" xfId="0"/>
    <cellStyle name="_Other_MNT_PC Products_PJ" xfId="0"/>
    <cellStyle name="_Other_MNT_VSA 111014" xfId="0"/>
    <cellStyle name="_Other_MNT_VSA 111014 2" xfId="0"/>
    <cellStyle name="_Other_MNT_VSA 111014 3" xfId="0"/>
    <cellStyle name="_Other_MNT_VSA 111014 4" xfId="0"/>
    <cellStyle name="_Other_MNT_VSA 111014 4 2" xfId="0"/>
    <cellStyle name="_Other_MNT_VSA 111014_By Region" xfId="0"/>
    <cellStyle name="_Other_MNT_VSA 111014_CORP SG&amp;A" xfId="0"/>
    <cellStyle name="_Other_MNT_VSA 111014_LCD" xfId="0"/>
    <cellStyle name="_Other_MNT_VSA 111014_PJ" xfId="0"/>
    <cellStyle name="_Other_MNT_VSA Roll-Up (LW)" xfId="0"/>
    <cellStyle name="_Other_MNT_VSA Roll-Up (LW) 2" xfId="0"/>
    <cellStyle name="_Other_MNT_VSA Roll-Up (LW) 3" xfId="0"/>
    <cellStyle name="_Other_MNT_VSA Roll-Up (LW) 4" xfId="0"/>
    <cellStyle name="_Other_MNT_VSA Roll-Up (LW) 4 2" xfId="0"/>
    <cellStyle name="_Other_MNT_VSA Roll-Up (LW)_By Region" xfId="0"/>
    <cellStyle name="_Other_MNT_VSA Roll-Up (LW)_CORP SG&amp;A" xfId="0"/>
    <cellStyle name="_Other_MNT_VSA Roll-Up (LW)_LCD" xfId="0"/>
    <cellStyle name="_Other_MNT_VSA Roll-Up (LW)_PJ" xfId="0"/>
    <cellStyle name="_Other_Other" xfId="0"/>
    <cellStyle name="_Other_Other 2" xfId="0"/>
    <cellStyle name="_Other_Other 3" xfId="0"/>
    <cellStyle name="_Other_Other 4" xfId="0"/>
    <cellStyle name="_Other_Other_By Region" xfId="0"/>
    <cellStyle name="_Other_Other_CORP SG&amp;A" xfId="0"/>
    <cellStyle name="_Other_Other_Digitizer" xfId="0"/>
    <cellStyle name="_Other_Other_GPS OTHER" xfId="0"/>
    <cellStyle name="_Other_Other_GPS OTHER 2" xfId="0"/>
    <cellStyle name="_Other_Other_GPS OTHER 3" xfId="0"/>
    <cellStyle name="_Other_Other_GPS OTHER 4" xfId="0"/>
    <cellStyle name="_Other_Other_GPS OTHER 4 2" xfId="0"/>
    <cellStyle name="_Other_Other_GPS OTHER_By Region" xfId="0"/>
    <cellStyle name="_Other_Other_GPS OTHER_CORP SG&amp;A" xfId="0"/>
    <cellStyle name="_Other_Other_GPS OTHER_LCD" xfId="0"/>
    <cellStyle name="_Other_Other_GPS OTHER_PJ" xfId="0"/>
    <cellStyle name="_Other_Other_LCD" xfId="0"/>
    <cellStyle name="_Other_Other_LCD 2" xfId="0"/>
    <cellStyle name="_Other_Other_LCD 3" xfId="0"/>
    <cellStyle name="_Other_Other_LCD 4" xfId="0"/>
    <cellStyle name="_Other_Other_LCD_By Region" xfId="0"/>
    <cellStyle name="_Other_Other_LCD_CORP SG&amp;A" xfId="0"/>
    <cellStyle name="_Other_Other_LCD_LCD" xfId="0"/>
    <cellStyle name="_Other_Other_LCD_PJ" xfId="0"/>
    <cellStyle name="_Other_Other_PC Products" xfId="0"/>
    <cellStyle name="_Other_Other_PC Products 2" xfId="0"/>
    <cellStyle name="_Other_Other_PC Products 3" xfId="0"/>
    <cellStyle name="_Other_Other_PC Products 4" xfId="0"/>
    <cellStyle name="_Other_Other_PC Products 4 2" xfId="0"/>
    <cellStyle name="_Other_Other_PC Products_By Region" xfId="0"/>
    <cellStyle name="_Other_Other_PC Products_CORP SG&amp;A" xfId="0"/>
    <cellStyle name="_Other_Other_PC Products_LCD" xfId="0"/>
    <cellStyle name="_Other_Other_PC Products_PJ" xfId="0"/>
    <cellStyle name="_Other_Other_VSA 111014" xfId="0"/>
    <cellStyle name="_Other_Other_VSA 111014 2" xfId="0"/>
    <cellStyle name="_Other_Other_VSA 111014 3" xfId="0"/>
    <cellStyle name="_Other_Other_VSA 111014 4" xfId="0"/>
    <cellStyle name="_Other_Other_VSA 111014 4 2" xfId="0"/>
    <cellStyle name="_Other_Other_VSA 111014_By Region" xfId="0"/>
    <cellStyle name="_Other_Other_VSA 111014_CORP SG&amp;A" xfId="0"/>
    <cellStyle name="_Other_Other_VSA 111014_LCD" xfId="0"/>
    <cellStyle name="_Other_Other_VSA 111014_PJ" xfId="0"/>
    <cellStyle name="_Other_Other_VSA Roll-Up (LW)" xfId="0"/>
    <cellStyle name="_Other_Other_VSA Roll-Up (LW) 2" xfId="0"/>
    <cellStyle name="_Other_Other_VSA Roll-Up (LW) 3" xfId="0"/>
    <cellStyle name="_Other_Other_VSA Roll-Up (LW) 4" xfId="0"/>
    <cellStyle name="_Other_Other_VSA Roll-Up (LW) 4 2" xfId="0"/>
    <cellStyle name="_Other_Other_VSA Roll-Up (LW)_By Region" xfId="0"/>
    <cellStyle name="_Other_Other_VSA Roll-Up (LW)_CORP SG&amp;A" xfId="0"/>
    <cellStyle name="_Other_Other_VSA Roll-Up (LW)_LCD" xfId="0"/>
    <cellStyle name="_Other_Other_VSA Roll-Up (LW)_PJ" xfId="0"/>
    <cellStyle name="_Other_PC" xfId="0"/>
    <cellStyle name="_Other_PC 2" xfId="0"/>
    <cellStyle name="_Other_PC 3" xfId="0"/>
    <cellStyle name="_Other_PC 4" xfId="0"/>
    <cellStyle name="_Other_PC Products" xfId="0"/>
    <cellStyle name="_Other_PC Products 2" xfId="0"/>
    <cellStyle name="_Other_PC Products 3" xfId="0"/>
    <cellStyle name="_Other_PC Products 4" xfId="0"/>
    <cellStyle name="_Other_PC Products 4 2" xfId="0"/>
    <cellStyle name="_Other_PC Products_By Region" xfId="0"/>
    <cellStyle name="_Other_PC Products_CORP SG&amp;A" xfId="0"/>
    <cellStyle name="_Other_PC Products_LCD" xfId="0"/>
    <cellStyle name="_Other_PC Products_PJ" xfId="0"/>
    <cellStyle name="_Other_PC_By Region" xfId="0"/>
    <cellStyle name="_Other_PC_CORP SG&amp;A" xfId="0"/>
    <cellStyle name="_Other_PC_Digitizer" xfId="0"/>
    <cellStyle name="_Other_PC_DT" xfId="0"/>
    <cellStyle name="_Other_PC_DT 2" xfId="0"/>
    <cellStyle name="_Other_PC_DT 3" xfId="0"/>
    <cellStyle name="_Other_PC_DT_By Region" xfId="0"/>
    <cellStyle name="_Other_PC_GPS OTHER" xfId="0"/>
    <cellStyle name="_Other_PC_GPS OTHER 2" xfId="0"/>
    <cellStyle name="_Other_PC_GPS OTHER 3" xfId="0"/>
    <cellStyle name="_Other_PC_GPS OTHER 4" xfId="0"/>
    <cellStyle name="_Other_PC_GPS OTHER 4 2" xfId="0"/>
    <cellStyle name="_Other_PC_GPS OTHER_By Region" xfId="0"/>
    <cellStyle name="_Other_PC_GPS OTHER_CORP SG&amp;A" xfId="0"/>
    <cellStyle name="_Other_PC_GPS OTHER_LCD" xfId="0"/>
    <cellStyle name="_Other_PC_GPS OTHER_PJ" xfId="0"/>
    <cellStyle name="_Other_PC_LCD" xfId="0"/>
    <cellStyle name="_Other_PC_LCD 2" xfId="0"/>
    <cellStyle name="_Other_PC_LCD 3" xfId="0"/>
    <cellStyle name="_Other_PC_LCD 4" xfId="0"/>
    <cellStyle name="_Other_PC_LCD_By Region" xfId="0"/>
    <cellStyle name="_Other_PC_LCD_CORP SG&amp;A" xfId="0"/>
    <cellStyle name="_Other_PC_LCD_LCD" xfId="0"/>
    <cellStyle name="_Other_PC_LCD_PJ" xfId="0"/>
    <cellStyle name="_Other_PC_PC Products" xfId="0"/>
    <cellStyle name="_Other_PC_PC Products 2" xfId="0"/>
    <cellStyle name="_Other_PC_PC Products 3" xfId="0"/>
    <cellStyle name="_Other_PC_PC Products 4" xfId="0"/>
    <cellStyle name="_Other_PC_PC Products 4 2" xfId="0"/>
    <cellStyle name="_Other_PC_PC Products_By Region" xfId="0"/>
    <cellStyle name="_Other_PC_PC Products_CORP SG&amp;A" xfId="0"/>
    <cellStyle name="_Other_PC_PC Products_LCD" xfId="0"/>
    <cellStyle name="_Other_PC_PC Products_PJ" xfId="0"/>
    <cellStyle name="_Other_PC_TV" xfId="0"/>
    <cellStyle name="_Other_PC_TV 2" xfId="0"/>
    <cellStyle name="_Other_PC_TV 3" xfId="0"/>
    <cellStyle name="_Other_PC_TV 4" xfId="0"/>
    <cellStyle name="_Other_PC_TV_By Region" xfId="0"/>
    <cellStyle name="_Other_PC_TV_CORP SG&amp;A" xfId="0"/>
    <cellStyle name="_Other_PC_TV_Digitizer" xfId="0"/>
    <cellStyle name="_Other_PC_TV_GPS OTHER" xfId="0"/>
    <cellStyle name="_Other_PC_TV_GPS OTHER 2" xfId="0"/>
    <cellStyle name="_Other_PC_TV_GPS OTHER 3" xfId="0"/>
    <cellStyle name="_Other_PC_TV_GPS OTHER 4" xfId="0"/>
    <cellStyle name="_Other_PC_TV_GPS OTHER 4 2" xfId="0"/>
    <cellStyle name="_Other_PC_TV_GPS OTHER_By Region" xfId="0"/>
    <cellStyle name="_Other_PC_TV_GPS OTHER_CORP SG&amp;A" xfId="0"/>
    <cellStyle name="_Other_PC_TV_GPS OTHER_LCD" xfId="0"/>
    <cellStyle name="_Other_PC_TV_GPS OTHER_PJ" xfId="0"/>
    <cellStyle name="_Other_PC_TV_LCD" xfId="0"/>
    <cellStyle name="_Other_PC_TV_LCD 2" xfId="0"/>
    <cellStyle name="_Other_PC_TV_LCD 3" xfId="0"/>
    <cellStyle name="_Other_PC_TV_LCD 4" xfId="0"/>
    <cellStyle name="_Other_PC_TV_LCD_By Region" xfId="0"/>
    <cellStyle name="_Other_PC_TV_LCD_CORP SG&amp;A" xfId="0"/>
    <cellStyle name="_Other_PC_TV_LCD_LCD" xfId="0"/>
    <cellStyle name="_Other_PC_TV_LCD_PJ" xfId="0"/>
    <cellStyle name="_Other_PC_TV_PC Products" xfId="0"/>
    <cellStyle name="_Other_PC_TV_PC Products 2" xfId="0"/>
    <cellStyle name="_Other_PC_TV_PC Products 3" xfId="0"/>
    <cellStyle name="_Other_PC_TV_PC Products 4" xfId="0"/>
    <cellStyle name="_Other_PC_TV_PC Products 4 2" xfId="0"/>
    <cellStyle name="_Other_PC_TV_PC Products_By Region" xfId="0"/>
    <cellStyle name="_Other_PC_TV_PC Products_CORP SG&amp;A" xfId="0"/>
    <cellStyle name="_Other_PC_TV_PC Products_LCD" xfId="0"/>
    <cellStyle name="_Other_PC_TV_PC Products_PJ" xfId="0"/>
    <cellStyle name="_Other_PC_TV_VSA 111014" xfId="0"/>
    <cellStyle name="_Other_PC_TV_VSA 111014 2" xfId="0"/>
    <cellStyle name="_Other_PC_TV_VSA 111014 3" xfId="0"/>
    <cellStyle name="_Other_PC_TV_VSA 111014 4" xfId="0"/>
    <cellStyle name="_Other_PC_TV_VSA 111014 4 2" xfId="0"/>
    <cellStyle name="_Other_PC_TV_VSA 111014_By Region" xfId="0"/>
    <cellStyle name="_Other_PC_TV_VSA 111014_CORP SG&amp;A" xfId="0"/>
    <cellStyle name="_Other_PC_TV_VSA 111014_LCD" xfId="0"/>
    <cellStyle name="_Other_PC_TV_VSA 111014_PJ" xfId="0"/>
    <cellStyle name="_Other_PC_TV_VSA Roll-Up (LW)" xfId="0"/>
    <cellStyle name="_Other_PC_TV_VSA Roll-Up (LW) 2" xfId="0"/>
    <cellStyle name="_Other_PC_TV_VSA Roll-Up (LW) 3" xfId="0"/>
    <cellStyle name="_Other_PC_TV_VSA Roll-Up (LW) 4" xfId="0"/>
    <cellStyle name="_Other_PC_TV_VSA Roll-Up (LW) 4 2" xfId="0"/>
    <cellStyle name="_Other_PC_TV_VSA Roll-Up (LW)_By Region" xfId="0"/>
    <cellStyle name="_Other_PC_TV_VSA Roll-Up (LW)_CORP SG&amp;A" xfId="0"/>
    <cellStyle name="_Other_PC_TV_VSA Roll-Up (LW)_LCD" xfId="0"/>
    <cellStyle name="_Other_PC_TV_VSA Roll-Up (LW)_PJ" xfId="0"/>
    <cellStyle name="_Other_PC_VSA 111014" xfId="0"/>
    <cellStyle name="_Other_PC_VSA 111014 2" xfId="0"/>
    <cellStyle name="_Other_PC_VSA 111014 3" xfId="0"/>
    <cellStyle name="_Other_PC_VSA 111014 4" xfId="0"/>
    <cellStyle name="_Other_PC_VSA 111014 4 2" xfId="0"/>
    <cellStyle name="_Other_PC_VSA 111014_By Region" xfId="0"/>
    <cellStyle name="_Other_PC_VSA 111014_CORP SG&amp;A" xfId="0"/>
    <cellStyle name="_Other_PC_VSA 111014_LCD" xfId="0"/>
    <cellStyle name="_Other_PC_VSA 111014_PJ" xfId="0"/>
    <cellStyle name="_Other_PC_VSA Roll-Up (LW)" xfId="0"/>
    <cellStyle name="_Other_PC_VSA Roll-Up (LW) 2" xfId="0"/>
    <cellStyle name="_Other_PC_VSA Roll-Up (LW) 3" xfId="0"/>
    <cellStyle name="_Other_PC_VSA Roll-Up (LW) 4" xfId="0"/>
    <cellStyle name="_Other_PC_VSA Roll-Up (LW) 4 2" xfId="0"/>
    <cellStyle name="_Other_PC_VSA Roll-Up (LW)_By Region" xfId="0"/>
    <cellStyle name="_Other_PC_VSA Roll-Up (LW)_CORP SG&amp;A" xfId="0"/>
    <cellStyle name="_Other_PC_VSA Roll-Up (LW)_LCD" xfId="0"/>
    <cellStyle name="_Other_PC_VSA Roll-Up (LW)_PJ" xfId="0"/>
    <cellStyle name="_Other_PJ" xfId="0"/>
    <cellStyle name="_Other_PJ 2" xfId="0"/>
    <cellStyle name="_Other_PJ 3" xfId="0"/>
    <cellStyle name="_Other_PJ 4" xfId="0"/>
    <cellStyle name="_Other_PJ_By Region" xfId="0"/>
    <cellStyle name="_Other_PJ_CORP SG&amp;A" xfId="0"/>
    <cellStyle name="_Other_PJ_Digitizer" xfId="0"/>
    <cellStyle name="_Other_PJ_GPS OTHER" xfId="0"/>
    <cellStyle name="_Other_PJ_GPS OTHER 2" xfId="0"/>
    <cellStyle name="_Other_PJ_GPS OTHER 3" xfId="0"/>
    <cellStyle name="_Other_PJ_GPS OTHER 4" xfId="0"/>
    <cellStyle name="_Other_PJ_GPS OTHER 4 2" xfId="0"/>
    <cellStyle name="_Other_PJ_GPS OTHER_By Region" xfId="0"/>
    <cellStyle name="_Other_PJ_GPS OTHER_CORP SG&amp;A" xfId="0"/>
    <cellStyle name="_Other_PJ_GPS OTHER_LCD" xfId="0"/>
    <cellStyle name="_Other_PJ_GPS OTHER_PJ" xfId="0"/>
    <cellStyle name="_Other_PJ_LCD" xfId="0"/>
    <cellStyle name="_Other_PJ_LCD 2" xfId="0"/>
    <cellStyle name="_Other_PJ_LCD 3" xfId="0"/>
    <cellStyle name="_Other_PJ_LCD 4" xfId="0"/>
    <cellStyle name="_Other_PJ_LCD_By Region" xfId="0"/>
    <cellStyle name="_Other_PJ_LCD_CORP SG&amp;A" xfId="0"/>
    <cellStyle name="_Other_PJ_LCD_LCD" xfId="0"/>
    <cellStyle name="_Other_PJ_LCD_PJ" xfId="0"/>
    <cellStyle name="_Other_PJ_PC Products" xfId="0"/>
    <cellStyle name="_Other_PJ_PC Products 2" xfId="0"/>
    <cellStyle name="_Other_PJ_PC Products 3" xfId="0"/>
    <cellStyle name="_Other_PJ_PC Products 4" xfId="0"/>
    <cellStyle name="_Other_PJ_PC Products 4 2" xfId="0"/>
    <cellStyle name="_Other_PJ_PC Products_By Region" xfId="0"/>
    <cellStyle name="_Other_PJ_PC Products_CORP SG&amp;A" xfId="0"/>
    <cellStyle name="_Other_PJ_PC Products_LCD" xfId="0"/>
    <cellStyle name="_Other_PJ_PC Products_PJ" xfId="0"/>
    <cellStyle name="_Other_PJ_VSA 111014" xfId="0"/>
    <cellStyle name="_Other_PJ_VSA 111014 2" xfId="0"/>
    <cellStyle name="_Other_PJ_VSA 111014 3" xfId="0"/>
    <cellStyle name="_Other_PJ_VSA 111014 4" xfId="0"/>
    <cellStyle name="_Other_PJ_VSA 111014 4 2" xfId="0"/>
    <cellStyle name="_Other_PJ_VSA 111014_By Region" xfId="0"/>
    <cellStyle name="_Other_PJ_VSA 111014_CORP SG&amp;A" xfId="0"/>
    <cellStyle name="_Other_PJ_VSA 111014_LCD" xfId="0"/>
    <cellStyle name="_Other_PJ_VSA 111014_PJ" xfId="0"/>
    <cellStyle name="_Other_PJ_VSA Roll-Up (LW)" xfId="0"/>
    <cellStyle name="_Other_PJ_VSA Roll-Up (LW) 2" xfId="0"/>
    <cellStyle name="_Other_PJ_VSA Roll-Up (LW) 3" xfId="0"/>
    <cellStyle name="_Other_PJ_VSA Roll-Up (LW) 4" xfId="0"/>
    <cellStyle name="_Other_PJ_VSA Roll-Up (LW) 4 2" xfId="0"/>
    <cellStyle name="_Other_PJ_VSA Roll-Up (LW)_By Region" xfId="0"/>
    <cellStyle name="_Other_PJ_VSA Roll-Up (LW)_CORP SG&amp;A" xfId="0"/>
    <cellStyle name="_Other_PJ_VSA Roll-Up (LW)_LCD" xfId="0"/>
    <cellStyle name="_Other_PJ_VSA Roll-Up (LW)_PJ" xfId="0"/>
    <cellStyle name="_Other_PMP(VPD)" xfId="0"/>
    <cellStyle name="_Other_PMP(VPD) 2" xfId="0"/>
    <cellStyle name="_Other_PMP(VPD) 3" xfId="0"/>
    <cellStyle name="_Other_PMP(VPD) 4" xfId="0"/>
    <cellStyle name="_Other_PMP(VPD)_By Region" xfId="0"/>
    <cellStyle name="_Other_PMP(VPD)_CORP SG&amp;A" xfId="0"/>
    <cellStyle name="_Other_PMP(VPD)_Digitizer" xfId="0"/>
    <cellStyle name="_Other_PMP(VPD)_GPS OTHER" xfId="0"/>
    <cellStyle name="_Other_PMP(VPD)_GPS OTHER 2" xfId="0"/>
    <cellStyle name="_Other_PMP(VPD)_GPS OTHER 3" xfId="0"/>
    <cellStyle name="_Other_PMP(VPD)_GPS OTHER 4" xfId="0"/>
    <cellStyle name="_Other_PMP(VPD)_GPS OTHER 4 2" xfId="0"/>
    <cellStyle name="_Other_PMP(VPD)_GPS OTHER_By Region" xfId="0"/>
    <cellStyle name="_Other_PMP(VPD)_GPS OTHER_CORP SG&amp;A" xfId="0"/>
    <cellStyle name="_Other_PMP(VPD)_GPS OTHER_LCD" xfId="0"/>
    <cellStyle name="_Other_PMP(VPD)_GPS OTHER_PJ" xfId="0"/>
    <cellStyle name="_Other_PMP(VPD)_LCD" xfId="0"/>
    <cellStyle name="_Other_PMP(VPD)_LCD 2" xfId="0"/>
    <cellStyle name="_Other_PMP(VPD)_LCD 3" xfId="0"/>
    <cellStyle name="_Other_PMP(VPD)_LCD 4" xfId="0"/>
    <cellStyle name="_Other_PMP(VPD)_LCD_By Region" xfId="0"/>
    <cellStyle name="_Other_PMP(VPD)_LCD_CORP SG&amp;A" xfId="0"/>
    <cellStyle name="_Other_PMP(VPD)_LCD_LCD" xfId="0"/>
    <cellStyle name="_Other_PMP(VPD)_LCD_PJ" xfId="0"/>
    <cellStyle name="_Other_PMP(VPD)_PC Products" xfId="0"/>
    <cellStyle name="_Other_PMP(VPD)_PC Products 2" xfId="0"/>
    <cellStyle name="_Other_PMP(VPD)_PC Products 3" xfId="0"/>
    <cellStyle name="_Other_PMP(VPD)_PC Products 4" xfId="0"/>
    <cellStyle name="_Other_PMP(VPD)_PC Products 4 2" xfId="0"/>
    <cellStyle name="_Other_PMP(VPD)_PC Products_By Region" xfId="0"/>
    <cellStyle name="_Other_PMP(VPD)_PC Products_CORP SG&amp;A" xfId="0"/>
    <cellStyle name="_Other_PMP(VPD)_PC Products_LCD" xfId="0"/>
    <cellStyle name="_Other_PMP(VPD)_PC Products_PJ" xfId="0"/>
    <cellStyle name="_Other_PMP(VPD)_VSA 111014" xfId="0"/>
    <cellStyle name="_Other_PMP(VPD)_VSA 111014 2" xfId="0"/>
    <cellStyle name="_Other_PMP(VPD)_VSA 111014 3" xfId="0"/>
    <cellStyle name="_Other_PMP(VPD)_VSA 111014 4" xfId="0"/>
    <cellStyle name="_Other_PMP(VPD)_VSA 111014 4 2" xfId="0"/>
    <cellStyle name="_Other_PMP(VPD)_VSA 111014_By Region" xfId="0"/>
    <cellStyle name="_Other_PMP(VPD)_VSA 111014_CORP SG&amp;A" xfId="0"/>
    <cellStyle name="_Other_PMP(VPD)_VSA 111014_LCD" xfId="0"/>
    <cellStyle name="_Other_PMP(VPD)_VSA 111014_PJ" xfId="0"/>
    <cellStyle name="_Other_PMP(VPD)_VSA Roll-Up (LW)" xfId="0"/>
    <cellStyle name="_Other_PMP(VPD)_VSA Roll-Up (LW) 2" xfId="0"/>
    <cellStyle name="_Other_PMP(VPD)_VSA Roll-Up (LW) 3" xfId="0"/>
    <cellStyle name="_Other_PMP(VPD)_VSA Roll-Up (LW) 4" xfId="0"/>
    <cellStyle name="_Other_PMP(VPD)_VSA Roll-Up (LW) 4 2" xfId="0"/>
    <cellStyle name="_Other_PMP(VPD)_VSA Roll-Up (LW)_By Region" xfId="0"/>
    <cellStyle name="_Other_PMP(VPD)_VSA Roll-Up (LW)_CORP SG&amp;A" xfId="0"/>
    <cellStyle name="_Other_PMP(VPD)_VSA Roll-Up (LW)_LCD" xfId="0"/>
    <cellStyle name="_Other_PMP(VPD)_VSA Roll-Up (LW)_PJ" xfId="0"/>
    <cellStyle name="_Other_Pocket TV" xfId="0"/>
    <cellStyle name="_Other_Pocket TV 2" xfId="0"/>
    <cellStyle name="_Other_Pocket TV 3" xfId="0"/>
    <cellStyle name="_Other_Pocket TV 4" xfId="0"/>
    <cellStyle name="_Other_Pocket TV_By Region" xfId="0"/>
    <cellStyle name="_Other_Pocket TV_CORP SG&amp;A" xfId="0"/>
    <cellStyle name="_Other_Pocket TV_Digitizer" xfId="0"/>
    <cellStyle name="_Other_Pocket TV_GPS OTHER" xfId="0"/>
    <cellStyle name="_Other_Pocket TV_GPS OTHER 2" xfId="0"/>
    <cellStyle name="_Other_Pocket TV_GPS OTHER 3" xfId="0"/>
    <cellStyle name="_Other_Pocket TV_GPS OTHER 4" xfId="0"/>
    <cellStyle name="_Other_Pocket TV_GPS OTHER 4 2" xfId="0"/>
    <cellStyle name="_Other_Pocket TV_GPS OTHER_By Region" xfId="0"/>
    <cellStyle name="_Other_Pocket TV_GPS OTHER_CORP SG&amp;A" xfId="0"/>
    <cellStyle name="_Other_Pocket TV_GPS OTHER_LCD" xfId="0"/>
    <cellStyle name="_Other_Pocket TV_GPS OTHER_PJ" xfId="0"/>
    <cellStyle name="_Other_Pocket TV_LCD" xfId="0"/>
    <cellStyle name="_Other_Pocket TV_LCD 2" xfId="0"/>
    <cellStyle name="_Other_Pocket TV_LCD 3" xfId="0"/>
    <cellStyle name="_Other_Pocket TV_LCD 4" xfId="0"/>
    <cellStyle name="_Other_Pocket TV_LCD_By Region" xfId="0"/>
    <cellStyle name="_Other_Pocket TV_LCD_CORP SG&amp;A" xfId="0"/>
    <cellStyle name="_Other_Pocket TV_LCD_LCD" xfId="0"/>
    <cellStyle name="_Other_Pocket TV_LCD_PJ" xfId="0"/>
    <cellStyle name="_Other_Pocket TV_PC Products" xfId="0"/>
    <cellStyle name="_Other_Pocket TV_PC Products 2" xfId="0"/>
    <cellStyle name="_Other_Pocket TV_PC Products 3" xfId="0"/>
    <cellStyle name="_Other_Pocket TV_PC Products 4" xfId="0"/>
    <cellStyle name="_Other_Pocket TV_PC Products 4 2" xfId="0"/>
    <cellStyle name="_Other_Pocket TV_PC Products_By Region" xfId="0"/>
    <cellStyle name="_Other_Pocket TV_PC Products_CORP SG&amp;A" xfId="0"/>
    <cellStyle name="_Other_Pocket TV_PC Products_LCD" xfId="0"/>
    <cellStyle name="_Other_Pocket TV_PC Products_PJ" xfId="0"/>
    <cellStyle name="_Other_Pocket TV_VSA 111014" xfId="0"/>
    <cellStyle name="_Other_Pocket TV_VSA 111014 2" xfId="0"/>
    <cellStyle name="_Other_Pocket TV_VSA 111014 3" xfId="0"/>
    <cellStyle name="_Other_Pocket TV_VSA 111014 4" xfId="0"/>
    <cellStyle name="_Other_Pocket TV_VSA 111014 4 2" xfId="0"/>
    <cellStyle name="_Other_Pocket TV_VSA 111014_By Region" xfId="0"/>
    <cellStyle name="_Other_Pocket TV_VSA 111014_CORP SG&amp;A" xfId="0"/>
    <cellStyle name="_Other_Pocket TV_VSA 111014_LCD" xfId="0"/>
    <cellStyle name="_Other_Pocket TV_VSA 111014_PJ" xfId="0"/>
    <cellStyle name="_Other_Pocket TV_VSA Roll-Up (LW)" xfId="0"/>
    <cellStyle name="_Other_Pocket TV_VSA Roll-Up (LW) 2" xfId="0"/>
    <cellStyle name="_Other_Pocket TV_VSA Roll-Up (LW) 3" xfId="0"/>
    <cellStyle name="_Other_Pocket TV_VSA Roll-Up (LW) 4" xfId="0"/>
    <cellStyle name="_Other_Pocket TV_VSA Roll-Up (LW) 4 2" xfId="0"/>
    <cellStyle name="_Other_Pocket TV_VSA Roll-Up (LW)_By Region" xfId="0"/>
    <cellStyle name="_Other_Pocket TV_VSA Roll-Up (LW)_CORP SG&amp;A" xfId="0"/>
    <cellStyle name="_Other_Pocket TV_VSA Roll-Up (LW)_LCD" xfId="0"/>
    <cellStyle name="_Other_Pocket TV_VSA Roll-Up (LW)_PJ" xfId="0"/>
    <cellStyle name="_Other_Pocket_TV" xfId="0"/>
    <cellStyle name="_Other_Pocket_TV 2" xfId="0"/>
    <cellStyle name="_Other_Pocket_TV 3" xfId="0"/>
    <cellStyle name="_Other_Pocket_TV 4" xfId="0"/>
    <cellStyle name="_Other_Pocket_TV_By Region" xfId="0"/>
    <cellStyle name="_Other_Pocket_TV_CORP SG&amp;A" xfId="0"/>
    <cellStyle name="_Other_Pocket_TV_Digitizer" xfId="0"/>
    <cellStyle name="_Other_Pocket_TV_GPS OTHER" xfId="0"/>
    <cellStyle name="_Other_Pocket_TV_GPS OTHER 2" xfId="0"/>
    <cellStyle name="_Other_Pocket_TV_GPS OTHER 3" xfId="0"/>
    <cellStyle name="_Other_Pocket_TV_GPS OTHER 4" xfId="0"/>
    <cellStyle name="_Other_Pocket_TV_GPS OTHER 4 2" xfId="0"/>
    <cellStyle name="_Other_Pocket_TV_GPS OTHER_By Region" xfId="0"/>
    <cellStyle name="_Other_Pocket_TV_GPS OTHER_CORP SG&amp;A" xfId="0"/>
    <cellStyle name="_Other_Pocket_TV_GPS OTHER_LCD" xfId="0"/>
    <cellStyle name="_Other_Pocket_TV_GPS OTHER_PJ" xfId="0"/>
    <cellStyle name="_Other_Pocket_TV_LCD" xfId="0"/>
    <cellStyle name="_Other_Pocket_TV_LCD 2" xfId="0"/>
    <cellStyle name="_Other_Pocket_TV_LCD 3" xfId="0"/>
    <cellStyle name="_Other_Pocket_TV_LCD 4" xfId="0"/>
    <cellStyle name="_Other_Pocket_TV_LCD_By Region" xfId="0"/>
    <cellStyle name="_Other_Pocket_TV_LCD_CORP SG&amp;A" xfId="0"/>
    <cellStyle name="_Other_Pocket_TV_LCD_LCD" xfId="0"/>
    <cellStyle name="_Other_Pocket_TV_LCD_PJ" xfId="0"/>
    <cellStyle name="_Other_Pocket_TV_PC Products" xfId="0"/>
    <cellStyle name="_Other_Pocket_TV_PC Products 2" xfId="0"/>
    <cellStyle name="_Other_Pocket_TV_PC Products 3" xfId="0"/>
    <cellStyle name="_Other_Pocket_TV_PC Products 4" xfId="0"/>
    <cellStyle name="_Other_Pocket_TV_PC Products 4 2" xfId="0"/>
    <cellStyle name="_Other_Pocket_TV_PC Products_By Region" xfId="0"/>
    <cellStyle name="_Other_Pocket_TV_PC Products_CORP SG&amp;A" xfId="0"/>
    <cellStyle name="_Other_Pocket_TV_PC Products_LCD" xfId="0"/>
    <cellStyle name="_Other_Pocket_TV_PC Products_PJ" xfId="0"/>
    <cellStyle name="_Other_Pocket_TV_VSA 111014" xfId="0"/>
    <cellStyle name="_Other_Pocket_TV_VSA 111014 2" xfId="0"/>
    <cellStyle name="_Other_Pocket_TV_VSA 111014 3" xfId="0"/>
    <cellStyle name="_Other_Pocket_TV_VSA 111014 4" xfId="0"/>
    <cellStyle name="_Other_Pocket_TV_VSA 111014 4 2" xfId="0"/>
    <cellStyle name="_Other_Pocket_TV_VSA 111014_By Region" xfId="0"/>
    <cellStyle name="_Other_Pocket_TV_VSA 111014_CORP SG&amp;A" xfId="0"/>
    <cellStyle name="_Other_Pocket_TV_VSA 111014_LCD" xfId="0"/>
    <cellStyle name="_Other_Pocket_TV_VSA 111014_PJ" xfId="0"/>
    <cellStyle name="_Other_Pocket_TV_VSA Roll-Up (LW)" xfId="0"/>
    <cellStyle name="_Other_Pocket_TV_VSA Roll-Up (LW) 2" xfId="0"/>
    <cellStyle name="_Other_Pocket_TV_VSA Roll-Up (LW) 3" xfId="0"/>
    <cellStyle name="_Other_Pocket_TV_VSA Roll-Up (LW) 4" xfId="0"/>
    <cellStyle name="_Other_Pocket_TV_VSA Roll-Up (LW) 4 2" xfId="0"/>
    <cellStyle name="_Other_Pocket_TV_VSA Roll-Up (LW)_By Region" xfId="0"/>
    <cellStyle name="_Other_Pocket_TV_VSA Roll-Up (LW)_CORP SG&amp;A" xfId="0"/>
    <cellStyle name="_Other_Pocket_TV_VSA Roll-Up (LW)_LCD" xfId="0"/>
    <cellStyle name="_Other_Pocket_TV_VSA Roll-Up (LW)_PJ" xfId="0"/>
    <cellStyle name="_Other_TV" xfId="0"/>
    <cellStyle name="_Other_TV 2" xfId="0"/>
    <cellStyle name="_Other_TV 3" xfId="0"/>
    <cellStyle name="_Other_TV 4" xfId="0"/>
    <cellStyle name="_Other_TV_By Region" xfId="0"/>
    <cellStyle name="_Other_TV_CORP SG&amp;A" xfId="0"/>
    <cellStyle name="_Other_TV_Digitizer" xfId="0"/>
    <cellStyle name="_Other_TV_GPS OTHER" xfId="0"/>
    <cellStyle name="_Other_TV_GPS OTHER 2" xfId="0"/>
    <cellStyle name="_Other_TV_GPS OTHER 3" xfId="0"/>
    <cellStyle name="_Other_TV_GPS OTHER 4" xfId="0"/>
    <cellStyle name="_Other_TV_GPS OTHER 4 2" xfId="0"/>
    <cellStyle name="_Other_TV_GPS OTHER_By Region" xfId="0"/>
    <cellStyle name="_Other_TV_GPS OTHER_CORP SG&amp;A" xfId="0"/>
    <cellStyle name="_Other_TV_GPS OTHER_LCD" xfId="0"/>
    <cellStyle name="_Other_TV_GPS OTHER_PJ" xfId="0"/>
    <cellStyle name="_Other_TV_LCD" xfId="0"/>
    <cellStyle name="_Other_TV_LCD 2" xfId="0"/>
    <cellStyle name="_Other_TV_LCD 3" xfId="0"/>
    <cellStyle name="_Other_TV_LCD 4" xfId="0"/>
    <cellStyle name="_Other_TV_LCD_By Region" xfId="0"/>
    <cellStyle name="_Other_TV_LCD_CORP SG&amp;A" xfId="0"/>
    <cellStyle name="_Other_TV_LCD_LCD" xfId="0"/>
    <cellStyle name="_Other_TV_LCD_PJ" xfId="0"/>
    <cellStyle name="_Other_TV_PC Products" xfId="0"/>
    <cellStyle name="_Other_TV_PC Products 2" xfId="0"/>
    <cellStyle name="_Other_TV_PC Products 3" xfId="0"/>
    <cellStyle name="_Other_TV_PC Products 4" xfId="0"/>
    <cellStyle name="_Other_TV_PC Products 4 2" xfId="0"/>
    <cellStyle name="_Other_TV_PC Products_By Region" xfId="0"/>
    <cellStyle name="_Other_TV_PC Products_CORP SG&amp;A" xfId="0"/>
    <cellStyle name="_Other_TV_PC Products_LCD" xfId="0"/>
    <cellStyle name="_Other_TV_PC Products_PJ" xfId="0"/>
    <cellStyle name="_Other_TV_VSA 111014" xfId="0"/>
    <cellStyle name="_Other_TV_VSA 111014 2" xfId="0"/>
    <cellStyle name="_Other_TV_VSA 111014 3" xfId="0"/>
    <cellStyle name="_Other_TV_VSA 111014 4" xfId="0"/>
    <cellStyle name="_Other_TV_VSA 111014 4 2" xfId="0"/>
    <cellStyle name="_Other_TV_VSA 111014_By Region" xfId="0"/>
    <cellStyle name="_Other_TV_VSA 111014_CORP SG&amp;A" xfId="0"/>
    <cellStyle name="_Other_TV_VSA 111014_LCD" xfId="0"/>
    <cellStyle name="_Other_TV_VSA 111014_PJ" xfId="0"/>
    <cellStyle name="_Other_TV_VSA Roll-Up (LW)" xfId="0"/>
    <cellStyle name="_Other_TV_VSA Roll-Up (LW) 2" xfId="0"/>
    <cellStyle name="_Other_TV_VSA Roll-Up (LW) 3" xfId="0"/>
    <cellStyle name="_Other_TV_VSA Roll-Up (LW) 4" xfId="0"/>
    <cellStyle name="_Other_TV_VSA Roll-Up (LW) 4 2" xfId="0"/>
    <cellStyle name="_Other_TV_VSA Roll-Up (LW)_By Region" xfId="0"/>
    <cellStyle name="_Other_TV_VSA Roll-Up (LW)_CORP SG&amp;A" xfId="0"/>
    <cellStyle name="_Other_TV_VSA Roll-Up (LW)_LCD" xfId="0"/>
    <cellStyle name="_Other_TV_VSA Roll-Up (LW)_PJ" xfId="0"/>
    <cellStyle name="_Other_VD" xfId="0"/>
    <cellStyle name="_Other_VD 2" xfId="0"/>
    <cellStyle name="_Other_VD 3" xfId="0"/>
    <cellStyle name="_Other_VD 4" xfId="0"/>
    <cellStyle name="_Other_VD_By Region" xfId="0"/>
    <cellStyle name="_Other_VD_CORP SG&amp;A" xfId="0"/>
    <cellStyle name="_Other_VD_Digitizer" xfId="0"/>
    <cellStyle name="_Other_VD_GPS OTHER" xfId="0"/>
    <cellStyle name="_Other_VD_GPS OTHER 2" xfId="0"/>
    <cellStyle name="_Other_VD_GPS OTHER 3" xfId="0"/>
    <cellStyle name="_Other_VD_GPS OTHER 4" xfId="0"/>
    <cellStyle name="_Other_VD_GPS OTHER 4 2" xfId="0"/>
    <cellStyle name="_Other_VD_GPS OTHER_By Region" xfId="0"/>
    <cellStyle name="_Other_VD_GPS OTHER_CORP SG&amp;A" xfId="0"/>
    <cellStyle name="_Other_VD_GPS OTHER_LCD" xfId="0"/>
    <cellStyle name="_Other_VD_GPS OTHER_PJ" xfId="0"/>
    <cellStyle name="_Other_VD_LCD" xfId="0"/>
    <cellStyle name="_Other_VD_LCD 2" xfId="0"/>
    <cellStyle name="_Other_VD_LCD 3" xfId="0"/>
    <cellStyle name="_Other_VD_LCD 4" xfId="0"/>
    <cellStyle name="_Other_VD_LCD_By Region" xfId="0"/>
    <cellStyle name="_Other_VD_LCD_CORP SG&amp;A" xfId="0"/>
    <cellStyle name="_Other_VD_LCD_LCD" xfId="0"/>
    <cellStyle name="_Other_VD_LCD_PJ" xfId="0"/>
    <cellStyle name="_Other_VD_PC Products" xfId="0"/>
    <cellStyle name="_Other_VD_PC Products 2" xfId="0"/>
    <cellStyle name="_Other_VD_PC Products 3" xfId="0"/>
    <cellStyle name="_Other_VD_PC Products 4" xfId="0"/>
    <cellStyle name="_Other_VD_PC Products 4 2" xfId="0"/>
    <cellStyle name="_Other_VD_PC Products_By Region" xfId="0"/>
    <cellStyle name="_Other_VD_PC Products_CORP SG&amp;A" xfId="0"/>
    <cellStyle name="_Other_VD_PC Products_LCD" xfId="0"/>
    <cellStyle name="_Other_VD_PC Products_PJ" xfId="0"/>
    <cellStyle name="_Other_VD_VSA 111014" xfId="0"/>
    <cellStyle name="_Other_VD_VSA 111014 2" xfId="0"/>
    <cellStyle name="_Other_VD_VSA 111014 3" xfId="0"/>
    <cellStyle name="_Other_VD_VSA 111014 4" xfId="0"/>
    <cellStyle name="_Other_VD_VSA 111014 4 2" xfId="0"/>
    <cellStyle name="_Other_VD_VSA 111014_By Region" xfId="0"/>
    <cellStyle name="_Other_VD_VSA 111014_CORP SG&amp;A" xfId="0"/>
    <cellStyle name="_Other_VD_VSA 111014_LCD" xfId="0"/>
    <cellStyle name="_Other_VD_VSA 111014_PJ" xfId="0"/>
    <cellStyle name="_Other_VD_VSA Roll-Up (LW)" xfId="0"/>
    <cellStyle name="_Other_VD_VSA Roll-Up (LW) 2" xfId="0"/>
    <cellStyle name="_Other_VD_VSA Roll-Up (LW) 3" xfId="0"/>
    <cellStyle name="_Other_VD_VSA Roll-Up (LW) 4" xfId="0"/>
    <cellStyle name="_Other_VD_VSA Roll-Up (LW) 4 2" xfId="0"/>
    <cellStyle name="_Other_VD_VSA Roll-Up (LW)_By Region" xfId="0"/>
    <cellStyle name="_Other_VD_VSA Roll-Up (LW)_CORP SG&amp;A" xfId="0"/>
    <cellStyle name="_Other_VD_VSA Roll-Up (LW)_LCD" xfId="0"/>
    <cellStyle name="_Other_VD_VSA Roll-Up (LW)_PJ" xfId="0"/>
    <cellStyle name="_Other_VSA 111014" xfId="0"/>
    <cellStyle name="_Other_VSA 111014 2" xfId="0"/>
    <cellStyle name="_Other_VSA 111014 3" xfId="0"/>
    <cellStyle name="_Other_VSA 111014 4" xfId="0"/>
    <cellStyle name="_Other_VSA 111014 4 2" xfId="0"/>
    <cellStyle name="_Other_VSA 111014_By Region" xfId="0"/>
    <cellStyle name="_Other_VSA 111014_CORP SG&amp;A" xfId="0"/>
    <cellStyle name="_Other_VSA 111014_LCD" xfId="0"/>
    <cellStyle name="_Other_VSA 111014_PJ" xfId="0"/>
    <cellStyle name="_Other_VSA Roll-Up (LW)" xfId="0"/>
    <cellStyle name="_Other_VSA Roll-Up (LW) 2" xfId="0"/>
    <cellStyle name="_Other_VSA Roll-Up (LW) 3" xfId="0"/>
    <cellStyle name="_Other_VSA Roll-Up (LW) 4" xfId="0"/>
    <cellStyle name="_Other_VSA Roll-Up (LW) 4 2" xfId="0"/>
    <cellStyle name="_Other_VSA Roll-Up (LW)_By Region" xfId="0"/>
    <cellStyle name="_Other_VSA Roll-Up (LW)_CORP SG&amp;A" xfId="0"/>
    <cellStyle name="_Other_VSA Roll-Up (LW)_LCD" xfId="0"/>
    <cellStyle name="_Other_VSA Roll-Up (LW)_PJ" xfId="0"/>
    <cellStyle name="_Other_VSE 2011 Budget" xfId="0"/>
    <cellStyle name="_Other_VSE 2011 Budget 2" xfId="0"/>
    <cellStyle name="_Other_VSE 2011 Budget 3" xfId="0"/>
    <cellStyle name="_Other_VSE 2011 Budget 4" xfId="0"/>
    <cellStyle name="_Other_VSE 2011 Budget_By Region" xfId="0"/>
    <cellStyle name="_Other_VSE 2011 Budget_CORP SG&amp;A" xfId="0"/>
    <cellStyle name="_Other_VSE 2011 Budget_Digitizer" xfId="0"/>
    <cellStyle name="_Other_VSE 2011 Budget_GPS OTHER" xfId="0"/>
    <cellStyle name="_Other_VSE 2011 Budget_GPS OTHER 2" xfId="0"/>
    <cellStyle name="_Other_VSE 2011 Budget_GPS OTHER 3" xfId="0"/>
    <cellStyle name="_Other_VSE 2011 Budget_GPS OTHER 4" xfId="0"/>
    <cellStyle name="_Other_VSE 2011 Budget_GPS OTHER 4 2" xfId="0"/>
    <cellStyle name="_Other_VSE 2011 Budget_GPS OTHER_By Region" xfId="0"/>
    <cellStyle name="_Other_VSE 2011 Budget_GPS OTHER_CORP SG&amp;A" xfId="0"/>
    <cellStyle name="_Other_VSE 2011 Budget_GPS OTHER_LCD" xfId="0"/>
    <cellStyle name="_Other_VSE 2011 Budget_GPS OTHER_PJ" xfId="0"/>
    <cellStyle name="_Other_VSE 2011 Budget_LCD" xfId="0"/>
    <cellStyle name="_Other_VSE 2011 Budget_LCD 2" xfId="0"/>
    <cellStyle name="_Other_VSE 2011 Budget_LCD 3" xfId="0"/>
    <cellStyle name="_Other_VSE 2011 Budget_LCD 4" xfId="0"/>
    <cellStyle name="_Other_VSE 2011 Budget_LCD_By Region" xfId="0"/>
    <cellStyle name="_Other_VSE 2011 Budget_LCD_CORP SG&amp;A" xfId="0"/>
    <cellStyle name="_Other_VSE 2011 Budget_LCD_LCD" xfId="0"/>
    <cellStyle name="_Other_VSE 2011 Budget_LCD_PJ" xfId="0"/>
    <cellStyle name="_Other_VSE 2011 Budget_PC Products" xfId="0"/>
    <cellStyle name="_Other_VSE 2011 Budget_PC Products 2" xfId="0"/>
    <cellStyle name="_Other_VSE 2011 Budget_PC Products 3" xfId="0"/>
    <cellStyle name="_Other_VSE 2011 Budget_PC Products 4" xfId="0"/>
    <cellStyle name="_Other_VSE 2011 Budget_PC Products 4 2" xfId="0"/>
    <cellStyle name="_Other_VSE 2011 Budget_PC Products_By Region" xfId="0"/>
    <cellStyle name="_Other_VSE 2011 Budget_PC Products_CORP SG&amp;A" xfId="0"/>
    <cellStyle name="_Other_VSE 2011 Budget_PC Products_LCD" xfId="0"/>
    <cellStyle name="_Other_VSE 2011 Budget_PC Products_PJ" xfId="0"/>
    <cellStyle name="_Other_VSE 2011 Budget_VSA 111014" xfId="0"/>
    <cellStyle name="_Other_VSE 2011 Budget_VSA 111014 2" xfId="0"/>
    <cellStyle name="_Other_VSE 2011 Budget_VSA 111014 3" xfId="0"/>
    <cellStyle name="_Other_VSE 2011 Budget_VSA 111014 4" xfId="0"/>
    <cellStyle name="_Other_VSE 2011 Budget_VSA 111014 4 2" xfId="0"/>
    <cellStyle name="_Other_VSE 2011 Budget_VSA 111014_By Region" xfId="0"/>
    <cellStyle name="_Other_VSE 2011 Budget_VSA 111014_CORP SG&amp;A" xfId="0"/>
    <cellStyle name="_Other_VSE 2011 Budget_VSA 111014_LCD" xfId="0"/>
    <cellStyle name="_Other_VSE 2011 Budget_VSA 111014_PJ" xfId="0"/>
    <cellStyle name="_Other_VSE 2011 Budget_VSA Roll-Up (LW)" xfId="0"/>
    <cellStyle name="_Other_VSE 2011 Budget_VSA Roll-Up (LW) 2" xfId="0"/>
    <cellStyle name="_Other_VSE 2011 Budget_VSA Roll-Up (LW) 3" xfId="0"/>
    <cellStyle name="_Other_VSE 2011 Budget_VSA Roll-Up (LW) 4" xfId="0"/>
    <cellStyle name="_Other_VSE 2011 Budget_VSA Roll-Up (LW) 4 2" xfId="0"/>
    <cellStyle name="_Other_VSE 2011 Budget_VSA Roll-Up (LW)_By Region" xfId="0"/>
    <cellStyle name="_Other_VSE 2011 Budget_VSA Roll-Up (LW)_CORP SG&amp;A" xfId="0"/>
    <cellStyle name="_Other_VSE 2011 Budget_VSA Roll-Up (LW)_LCD" xfId="0"/>
    <cellStyle name="_Other_VSE 2011 Budget_VSA Roll-Up (LW)_PJ" xfId="0"/>
    <cellStyle name="_Other_VSE 2H  WFP review (Spring Global meeting)-conservative Adam working v3" xfId="0"/>
    <cellStyle name="_Other_VSE 2H  WFP review (Spring Global meeting)-conservative Adam working v3 2" xfId="0"/>
    <cellStyle name="_Other_VSE 2H  WFP review (Spring Global meeting)-conservative Adam working v3 3" xfId="0"/>
    <cellStyle name="_Other_VSE 2H Rebalance 110712" xfId="0"/>
    <cellStyle name="_Other_VSE 2H Rebalance 110712 2" xfId="0"/>
    <cellStyle name="_Other_VSE 2H Rebalance 110712 3" xfId="0"/>
    <cellStyle name="_Other_VSE 2H Rebalance 110712 4" xfId="0"/>
    <cellStyle name="_Other_VSE 2H Rebalance 110712_By Region" xfId="0"/>
    <cellStyle name="_Other_VSE 2H Rebalance 110712_CORP SG&amp;A" xfId="0"/>
    <cellStyle name="_Other_VSE WFP 101203" xfId="0"/>
    <cellStyle name="_Other_VSE WFP 101203 2" xfId="0"/>
    <cellStyle name="_Other_VSE WFP 101203 3" xfId="0"/>
    <cellStyle name="_Other_VSE WFP 101203 4" xfId="0"/>
    <cellStyle name="_Other_VSE WFP 101203_By Region" xfId="0"/>
    <cellStyle name="_Other_VSE WFP 101203_CORP SG&amp;A" xfId="0"/>
    <cellStyle name="_Other_VSE WFP 110311" xfId="0"/>
    <cellStyle name="_Other_VSE WFP 110311 2" xfId="0"/>
    <cellStyle name="_Other_VSE WFP 110311 3" xfId="0"/>
    <cellStyle name="_Other_VSE WFP 110311 4" xfId="0"/>
    <cellStyle name="_Other_VSE WFP 110311_By Region" xfId="0"/>
    <cellStyle name="_Other_VSE WFP 110311_CORP SG&amp;A" xfId="0"/>
    <cellStyle name="_Other_VSE WFP 110415" xfId="0"/>
    <cellStyle name="_Other_VSE WFP 110415 2" xfId="0"/>
    <cellStyle name="_Other_VSE WFP 110415 3" xfId="0"/>
    <cellStyle name="_Other_VSE WFP 110415 4" xfId="0"/>
    <cellStyle name="_Other_VSE WFP 110415_By Region" xfId="0"/>
    <cellStyle name="_Other_VSE WFP 110415_CORP SG&amp;A" xfId="0"/>
    <cellStyle name="_Other_VSE WFP_100409" xfId="0"/>
    <cellStyle name="_Other_VSE WFP_100409 2" xfId="0"/>
    <cellStyle name="_Other_VSE WFP_100409 3" xfId="0"/>
    <cellStyle name="_Other_VSE WFP_100409 4" xfId="0"/>
    <cellStyle name="_Other_VSE WFP_100409_By Region" xfId="0"/>
    <cellStyle name="_Other_VSE WFP_100409_CORP SG&amp;A" xfId="0"/>
    <cellStyle name="_Other_VSE WFP_100409_Digitizer" xfId="0"/>
    <cellStyle name="_Other_VSE WFP_100409_GPS OTHER" xfId="0"/>
    <cellStyle name="_Other_VSE WFP_100409_GPS OTHER 2" xfId="0"/>
    <cellStyle name="_Other_VSE WFP_100409_GPS OTHER 3" xfId="0"/>
    <cellStyle name="_Other_VSE WFP_100409_GPS OTHER 4" xfId="0"/>
    <cellStyle name="_Other_VSE WFP_100409_GPS OTHER 4 2" xfId="0"/>
    <cellStyle name="_Other_VSE WFP_100409_GPS OTHER_By Region" xfId="0"/>
    <cellStyle name="_Other_VSE WFP_100409_GPS OTHER_CORP SG&amp;A" xfId="0"/>
    <cellStyle name="_Other_VSE WFP_100409_GPS OTHER_LCD" xfId="0"/>
    <cellStyle name="_Other_VSE WFP_100409_GPS OTHER_PJ" xfId="0"/>
    <cellStyle name="_Other_VSE WFP_100409_LCD" xfId="0"/>
    <cellStyle name="_Other_VSE WFP_100409_LCD 2" xfId="0"/>
    <cellStyle name="_Other_VSE WFP_100409_LCD 3" xfId="0"/>
    <cellStyle name="_Other_VSE WFP_100409_LCD 4" xfId="0"/>
    <cellStyle name="_Other_VSE WFP_100409_LCD_By Region" xfId="0"/>
    <cellStyle name="_Other_VSE WFP_100409_LCD_CORP SG&amp;A" xfId="0"/>
    <cellStyle name="_Other_VSE WFP_100409_LCD_LCD" xfId="0"/>
    <cellStyle name="_Other_VSE WFP_100409_LCD_PJ" xfId="0"/>
    <cellStyle name="_Other_VSE WFP_100409_PC Products" xfId="0"/>
    <cellStyle name="_Other_VSE WFP_100409_PC Products 2" xfId="0"/>
    <cellStyle name="_Other_VSE WFP_100409_PC Products 3" xfId="0"/>
    <cellStyle name="_Other_VSE WFP_100409_PC Products 4" xfId="0"/>
    <cellStyle name="_Other_VSE WFP_100409_PC Products 4 2" xfId="0"/>
    <cellStyle name="_Other_VSE WFP_100409_PC Products_By Region" xfId="0"/>
    <cellStyle name="_Other_VSE WFP_100409_PC Products_CORP SG&amp;A" xfId="0"/>
    <cellStyle name="_Other_VSE WFP_100409_PC Products_LCD" xfId="0"/>
    <cellStyle name="_Other_VSE WFP_100409_PC Products_PJ" xfId="0"/>
    <cellStyle name="_Other_VSE WFP_100409_VSA 111014" xfId="0"/>
    <cellStyle name="_Other_VSE WFP_100409_VSA 111014 2" xfId="0"/>
    <cellStyle name="_Other_VSE WFP_100409_VSA 111014 3" xfId="0"/>
    <cellStyle name="_Other_VSE WFP_100409_VSA 111014 4" xfId="0"/>
    <cellStyle name="_Other_VSE WFP_100409_VSA 111014 4 2" xfId="0"/>
    <cellStyle name="_Other_VSE WFP_100409_VSA 111014_By Region" xfId="0"/>
    <cellStyle name="_Other_VSE WFP_100409_VSA 111014_CORP SG&amp;A" xfId="0"/>
    <cellStyle name="_Other_VSE WFP_100409_VSA 111014_LCD" xfId="0"/>
    <cellStyle name="_Other_VSE WFP_100409_VSA 111014_PJ" xfId="0"/>
    <cellStyle name="_Other_VSE WFP_100409_VSA Roll-Up (LW)" xfId="0"/>
    <cellStyle name="_Other_VSE WFP_100409_VSA Roll-Up (LW) 2" xfId="0"/>
    <cellStyle name="_Other_VSE WFP_100409_VSA Roll-Up (LW) 3" xfId="0"/>
    <cellStyle name="_Other_VSE WFP_100409_VSA Roll-Up (LW) 4" xfId="0"/>
    <cellStyle name="_Other_VSE WFP_100409_VSA Roll-Up (LW) 4 2" xfId="0"/>
    <cellStyle name="_Other_VSE WFP_100409_VSA Roll-Up (LW)_By Region" xfId="0"/>
    <cellStyle name="_Other_VSE WFP_100409_VSA Roll-Up (LW)_CORP SG&amp;A" xfId="0"/>
    <cellStyle name="_Other_VSE WFP_100409_VSA Roll-Up (LW)_LCD" xfId="0"/>
    <cellStyle name="_Other_VSE WFP_100409_VSA Roll-Up (LW)_PJ" xfId="0"/>
    <cellStyle name="_Other_VSE WFP_100421 v2" xfId="0"/>
    <cellStyle name="_Other_VSE WFP_100421 v2 2" xfId="0"/>
    <cellStyle name="_Other_VSE WFP_100421 v2 3" xfId="0"/>
    <cellStyle name="_Other_VSE WFP_100421 v2 4" xfId="0"/>
    <cellStyle name="_Other_VSE WFP_100421 v2_By Region" xfId="0"/>
    <cellStyle name="_Other_VSE WFP_100421 v2_CORP SG&amp;A" xfId="0"/>
    <cellStyle name="_Other_VSE WFP_100421 v2_Digitizer" xfId="0"/>
    <cellStyle name="_Other_VSE WFP_100421 v2_GPS OTHER" xfId="0"/>
    <cellStyle name="_Other_VSE WFP_100421 v2_GPS OTHER 2" xfId="0"/>
    <cellStyle name="_Other_VSE WFP_100421 v2_GPS OTHER 3" xfId="0"/>
    <cellStyle name="_Other_VSE WFP_100421 v2_GPS OTHER 4" xfId="0"/>
    <cellStyle name="_Other_VSE WFP_100421 v2_GPS OTHER 4 2" xfId="0"/>
    <cellStyle name="_Other_VSE WFP_100421 v2_GPS OTHER_By Region" xfId="0"/>
    <cellStyle name="_Other_VSE WFP_100421 v2_GPS OTHER_CORP SG&amp;A" xfId="0"/>
    <cellStyle name="_Other_VSE WFP_100421 v2_GPS OTHER_LCD" xfId="0"/>
    <cellStyle name="_Other_VSE WFP_100421 v2_GPS OTHER_PJ" xfId="0"/>
    <cellStyle name="_Other_VSE WFP_100421 v2_LCD" xfId="0"/>
    <cellStyle name="_Other_VSE WFP_100421 v2_LCD 2" xfId="0"/>
    <cellStyle name="_Other_VSE WFP_100421 v2_LCD 3" xfId="0"/>
    <cellStyle name="_Other_VSE WFP_100421 v2_LCD 4" xfId="0"/>
    <cellStyle name="_Other_VSE WFP_100421 v2_LCD_By Region" xfId="0"/>
    <cellStyle name="_Other_VSE WFP_100421 v2_LCD_CORP SG&amp;A" xfId="0"/>
    <cellStyle name="_Other_VSE WFP_100421 v2_LCD_LCD" xfId="0"/>
    <cellStyle name="_Other_VSE WFP_100421 v2_LCD_PJ" xfId="0"/>
    <cellStyle name="_Other_VSE WFP_100421 v2_PC Products" xfId="0"/>
    <cellStyle name="_Other_VSE WFP_100421 v2_PC Products 2" xfId="0"/>
    <cellStyle name="_Other_VSE WFP_100421 v2_PC Products 3" xfId="0"/>
    <cellStyle name="_Other_VSE WFP_100421 v2_PC Products 4" xfId="0"/>
    <cellStyle name="_Other_VSE WFP_100421 v2_PC Products 4 2" xfId="0"/>
    <cellStyle name="_Other_VSE WFP_100421 v2_PC Products_By Region" xfId="0"/>
    <cellStyle name="_Other_VSE WFP_100421 v2_PC Products_CORP SG&amp;A" xfId="0"/>
    <cellStyle name="_Other_VSE WFP_100421 v2_PC Products_LCD" xfId="0"/>
    <cellStyle name="_Other_VSE WFP_100421 v2_PC Products_PJ" xfId="0"/>
    <cellStyle name="_Other_VSE WFP_100421 v2_VSA 111014" xfId="0"/>
    <cellStyle name="_Other_VSE WFP_100421 v2_VSA 111014 2" xfId="0"/>
    <cellStyle name="_Other_VSE WFP_100421 v2_VSA 111014 3" xfId="0"/>
    <cellStyle name="_Other_VSE WFP_100421 v2_VSA 111014 4" xfId="0"/>
    <cellStyle name="_Other_VSE WFP_100421 v2_VSA 111014 4 2" xfId="0"/>
    <cellStyle name="_Other_VSE WFP_100421 v2_VSA 111014_By Region" xfId="0"/>
    <cellStyle name="_Other_VSE WFP_100421 v2_VSA 111014_CORP SG&amp;A" xfId="0"/>
    <cellStyle name="_Other_VSE WFP_100421 v2_VSA 111014_LCD" xfId="0"/>
    <cellStyle name="_Other_VSE WFP_100421 v2_VSA 111014_PJ" xfId="0"/>
    <cellStyle name="_Other_VSE WFP_100421 v2_VSA Roll-Up (LW)" xfId="0"/>
    <cellStyle name="_Other_VSE WFP_100421 v2_VSA Roll-Up (LW) 2" xfId="0"/>
    <cellStyle name="_Other_VSE WFP_100421 v2_VSA Roll-Up (LW) 3" xfId="0"/>
    <cellStyle name="_Other_VSE WFP_100421 v2_VSA Roll-Up (LW) 4" xfId="0"/>
    <cellStyle name="_Other_VSE WFP_100421 v2_VSA Roll-Up (LW) 4 2" xfId="0"/>
    <cellStyle name="_Other_VSE WFP_100421 v2_VSA Roll-Up (LW)_By Region" xfId="0"/>
    <cellStyle name="_Other_VSE WFP_100421 v2_VSA Roll-Up (LW)_CORP SG&amp;A" xfId="0"/>
    <cellStyle name="_Other_VSE WFP_100421 v2_VSA Roll-Up (LW)_LCD" xfId="0"/>
    <cellStyle name="_Other_VSE WFP_100421 v2_VSA Roll-Up (LW)_PJ" xfId="0"/>
    <cellStyle name="_Other_VSE WFP_100507" xfId="0"/>
    <cellStyle name="_Other_VSE WFP_100507 2" xfId="0"/>
    <cellStyle name="_Other_VSE WFP_100507 3" xfId="0"/>
    <cellStyle name="_Other_VSE WFP_100507 4" xfId="0"/>
    <cellStyle name="_Other_VSE WFP_100507_By Region" xfId="0"/>
    <cellStyle name="_Other_VSE WFP_100507_CORP SG&amp;A" xfId="0"/>
    <cellStyle name="_Other_VSE WFP_100507_Digitizer" xfId="0"/>
    <cellStyle name="_Other_VSE WFP_100507_GPS OTHER" xfId="0"/>
    <cellStyle name="_Other_VSE WFP_100507_GPS OTHER 2" xfId="0"/>
    <cellStyle name="_Other_VSE WFP_100507_GPS OTHER 3" xfId="0"/>
    <cellStyle name="_Other_VSE WFP_100507_GPS OTHER 4" xfId="0"/>
    <cellStyle name="_Other_VSE WFP_100507_GPS OTHER 4 2" xfId="0"/>
    <cellStyle name="_Other_VSE WFP_100507_GPS OTHER_By Region" xfId="0"/>
    <cellStyle name="_Other_VSE WFP_100507_GPS OTHER_CORP SG&amp;A" xfId="0"/>
    <cellStyle name="_Other_VSE WFP_100507_GPS OTHER_LCD" xfId="0"/>
    <cellStyle name="_Other_VSE WFP_100507_GPS OTHER_PJ" xfId="0"/>
    <cellStyle name="_Other_VSE WFP_100507_LCD" xfId="0"/>
    <cellStyle name="_Other_VSE WFP_100507_LCD 2" xfId="0"/>
    <cellStyle name="_Other_VSE WFP_100507_LCD 3" xfId="0"/>
    <cellStyle name="_Other_VSE WFP_100507_LCD 4" xfId="0"/>
    <cellStyle name="_Other_VSE WFP_100507_LCD_By Region" xfId="0"/>
    <cellStyle name="_Other_VSE WFP_100507_LCD_CORP SG&amp;A" xfId="0"/>
    <cellStyle name="_Other_VSE WFP_100507_LCD_LCD" xfId="0"/>
    <cellStyle name="_Other_VSE WFP_100507_LCD_PJ" xfId="0"/>
    <cellStyle name="_Other_VSE WFP_100507_PC Products" xfId="0"/>
    <cellStyle name="_Other_VSE WFP_100507_PC Products 2" xfId="0"/>
    <cellStyle name="_Other_VSE WFP_100507_PC Products 3" xfId="0"/>
    <cellStyle name="_Other_VSE WFP_100507_PC Products 4" xfId="0"/>
    <cellStyle name="_Other_VSE WFP_100507_PC Products 4 2" xfId="0"/>
    <cellStyle name="_Other_VSE WFP_100507_PC Products_By Region" xfId="0"/>
    <cellStyle name="_Other_VSE WFP_100507_PC Products_CORP SG&amp;A" xfId="0"/>
    <cellStyle name="_Other_VSE WFP_100507_PC Products_LCD" xfId="0"/>
    <cellStyle name="_Other_VSE WFP_100507_PC Products_PJ" xfId="0"/>
    <cellStyle name="_Other_VSE WFP_100507_VSA 111014" xfId="0"/>
    <cellStyle name="_Other_VSE WFP_100507_VSA 111014 2" xfId="0"/>
    <cellStyle name="_Other_VSE WFP_100507_VSA 111014 3" xfId="0"/>
    <cellStyle name="_Other_VSE WFP_100507_VSA 111014 4" xfId="0"/>
    <cellStyle name="_Other_VSE WFP_100507_VSA 111014 4 2" xfId="0"/>
    <cellStyle name="_Other_VSE WFP_100507_VSA 111014_By Region" xfId="0"/>
    <cellStyle name="_Other_VSE WFP_100507_VSA 111014_CORP SG&amp;A" xfId="0"/>
    <cellStyle name="_Other_VSE WFP_100507_VSA 111014_LCD" xfId="0"/>
    <cellStyle name="_Other_VSE WFP_100507_VSA 111014_PJ" xfId="0"/>
    <cellStyle name="_Other_VSE WFP_100507_VSA Roll-Up (LW)" xfId="0"/>
    <cellStyle name="_Other_VSE WFP_100507_VSA Roll-Up (LW) 2" xfId="0"/>
    <cellStyle name="_Other_VSE WFP_100507_VSA Roll-Up (LW) 3" xfId="0"/>
    <cellStyle name="_Other_VSE WFP_100507_VSA Roll-Up (LW) 4" xfId="0"/>
    <cellStyle name="_Other_VSE WFP_100507_VSA Roll-Up (LW) 4 2" xfId="0"/>
    <cellStyle name="_Other_VSE WFP_100507_VSA Roll-Up (LW)_By Region" xfId="0"/>
    <cellStyle name="_Other_VSE WFP_100507_VSA Roll-Up (LW)_CORP SG&amp;A" xfId="0"/>
    <cellStyle name="_Other_VSE WFP_100507_VSA Roll-Up (LW)_LCD" xfId="0"/>
    <cellStyle name="_Other_VSE WFP_100507_VSA Roll-Up (LW)_PJ" xfId="0"/>
    <cellStyle name="_Other_VSE WFP_100608" xfId="0"/>
    <cellStyle name="_Other_VSE WFP_100608 2" xfId="0"/>
    <cellStyle name="_Other_VSE WFP_100608 3" xfId="0"/>
    <cellStyle name="_Other_VSE WFP_100608 4" xfId="0"/>
    <cellStyle name="_Other_VSE WFP_100608_By Region" xfId="0"/>
    <cellStyle name="_Other_VSE WFP_100608_CORP SG&amp;A" xfId="0"/>
    <cellStyle name="_Other_VSE WFP_100608_Digitizer" xfId="0"/>
    <cellStyle name="_Other_VSE WFP_100608_GPS OTHER" xfId="0"/>
    <cellStyle name="_Other_VSE WFP_100608_GPS OTHER 2" xfId="0"/>
    <cellStyle name="_Other_VSE WFP_100608_GPS OTHER 3" xfId="0"/>
    <cellStyle name="_Other_VSE WFP_100608_GPS OTHER 4" xfId="0"/>
    <cellStyle name="_Other_VSE WFP_100608_GPS OTHER 4 2" xfId="0"/>
    <cellStyle name="_Other_VSE WFP_100608_GPS OTHER_By Region" xfId="0"/>
    <cellStyle name="_Other_VSE WFP_100608_GPS OTHER_CORP SG&amp;A" xfId="0"/>
    <cellStyle name="_Other_VSE WFP_100608_GPS OTHER_LCD" xfId="0"/>
    <cellStyle name="_Other_VSE WFP_100608_GPS OTHER_PJ" xfId="0"/>
    <cellStyle name="_Other_VSE WFP_100608_LCD" xfId="0"/>
    <cellStyle name="_Other_VSE WFP_100608_LCD 2" xfId="0"/>
    <cellStyle name="_Other_VSE WFP_100608_LCD 3" xfId="0"/>
    <cellStyle name="_Other_VSE WFP_100608_LCD 4" xfId="0"/>
    <cellStyle name="_Other_VSE WFP_100608_LCD_By Region" xfId="0"/>
    <cellStyle name="_Other_VSE WFP_100608_LCD_CORP SG&amp;A" xfId="0"/>
    <cellStyle name="_Other_VSE WFP_100608_LCD_LCD" xfId="0"/>
    <cellStyle name="_Other_VSE WFP_100608_LCD_PJ" xfId="0"/>
    <cellStyle name="_Other_VSE WFP_100608_PC Products" xfId="0"/>
    <cellStyle name="_Other_VSE WFP_100608_PC Products 2" xfId="0"/>
    <cellStyle name="_Other_VSE WFP_100608_PC Products 3" xfId="0"/>
    <cellStyle name="_Other_VSE WFP_100608_PC Products 4" xfId="0"/>
    <cellStyle name="_Other_VSE WFP_100608_PC Products 4 2" xfId="0"/>
    <cellStyle name="_Other_VSE WFP_100608_PC Products_By Region" xfId="0"/>
    <cellStyle name="_Other_VSE WFP_100608_PC Products_CORP SG&amp;A" xfId="0"/>
    <cellStyle name="_Other_VSE WFP_100608_PC Products_LCD" xfId="0"/>
    <cellStyle name="_Other_VSE WFP_100608_PC Products_PJ" xfId="0"/>
    <cellStyle name="_Other_VSE WFP_100608_VSA 111014" xfId="0"/>
    <cellStyle name="_Other_VSE WFP_100608_VSA 111014 2" xfId="0"/>
    <cellStyle name="_Other_VSE WFP_100608_VSA 111014 3" xfId="0"/>
    <cellStyle name="_Other_VSE WFP_100608_VSA 111014 4" xfId="0"/>
    <cellStyle name="_Other_VSE WFP_100608_VSA 111014 4 2" xfId="0"/>
    <cellStyle name="_Other_VSE WFP_100608_VSA 111014_By Region" xfId="0"/>
    <cellStyle name="_Other_VSE WFP_100608_VSA 111014_CORP SG&amp;A" xfId="0"/>
    <cellStyle name="_Other_VSE WFP_100608_VSA 111014_LCD" xfId="0"/>
    <cellStyle name="_Other_VSE WFP_100608_VSA 111014_PJ" xfId="0"/>
    <cellStyle name="_Other_VSE WFP_100608_VSA Roll-Up (LW)" xfId="0"/>
    <cellStyle name="_Other_VSE WFP_100608_VSA Roll-Up (LW) 2" xfId="0"/>
    <cellStyle name="_Other_VSE WFP_100608_VSA Roll-Up (LW) 3" xfId="0"/>
    <cellStyle name="_Other_VSE WFP_100608_VSA Roll-Up (LW) 4" xfId="0"/>
    <cellStyle name="_Other_VSE WFP_100608_VSA Roll-Up (LW) 4 2" xfId="0"/>
    <cellStyle name="_Other_VSE WFP_100608_VSA Roll-Up (LW)_By Region" xfId="0"/>
    <cellStyle name="_Other_VSE WFP_100608_VSA Roll-Up (LW)_CORP SG&amp;A" xfId="0"/>
    <cellStyle name="_Other_VSE WFP_100608_VSA Roll-Up (LW)_LCD" xfId="0"/>
    <cellStyle name="_Other_VSE WFP_100608_VSA Roll-Up (LW)_PJ" xfId="0"/>
    <cellStyle name="_Other_VSE WFP_100625" xfId="0"/>
    <cellStyle name="_Other_VSE WFP_100625 2" xfId="0"/>
    <cellStyle name="_Other_VSE WFP_100625 3" xfId="0"/>
    <cellStyle name="_Other_VSE WFP_100625 4" xfId="0"/>
    <cellStyle name="_Other_VSE WFP_100625_By Region" xfId="0"/>
    <cellStyle name="_Other_VSE WFP_100625_CORP SG&amp;A" xfId="0"/>
    <cellStyle name="_Other_VSE WFP_100625_Digitizer" xfId="0"/>
    <cellStyle name="_Other_VSE WFP_100625_GPS OTHER" xfId="0"/>
    <cellStyle name="_Other_VSE WFP_100625_GPS OTHER 2" xfId="0"/>
    <cellStyle name="_Other_VSE WFP_100625_GPS OTHER 3" xfId="0"/>
    <cellStyle name="_Other_VSE WFP_100625_GPS OTHER 4" xfId="0"/>
    <cellStyle name="_Other_VSE WFP_100625_GPS OTHER 4 2" xfId="0"/>
    <cellStyle name="_Other_VSE WFP_100625_GPS OTHER_By Region" xfId="0"/>
    <cellStyle name="_Other_VSE WFP_100625_GPS OTHER_CORP SG&amp;A" xfId="0"/>
    <cellStyle name="_Other_VSE WFP_100625_GPS OTHER_LCD" xfId="0"/>
    <cellStyle name="_Other_VSE WFP_100625_GPS OTHER_PJ" xfId="0"/>
    <cellStyle name="_Other_VSE WFP_100625_LCD" xfId="0"/>
    <cellStyle name="_Other_VSE WFP_100625_LCD 2" xfId="0"/>
    <cellStyle name="_Other_VSE WFP_100625_LCD 3" xfId="0"/>
    <cellStyle name="_Other_VSE WFP_100625_LCD 4" xfId="0"/>
    <cellStyle name="_Other_VSE WFP_100625_LCD_By Region" xfId="0"/>
    <cellStyle name="_Other_VSE WFP_100625_LCD_CORP SG&amp;A" xfId="0"/>
    <cellStyle name="_Other_VSE WFP_100625_LCD_LCD" xfId="0"/>
    <cellStyle name="_Other_VSE WFP_100625_LCD_PJ" xfId="0"/>
    <cellStyle name="_Other_VSE WFP_100625_PC Products" xfId="0"/>
    <cellStyle name="_Other_VSE WFP_100625_PC Products 2" xfId="0"/>
    <cellStyle name="_Other_VSE WFP_100625_PC Products 3" xfId="0"/>
    <cellStyle name="_Other_VSE WFP_100625_PC Products 4" xfId="0"/>
    <cellStyle name="_Other_VSE WFP_100625_PC Products 4 2" xfId="0"/>
    <cellStyle name="_Other_VSE WFP_100625_PC Products_By Region" xfId="0"/>
    <cellStyle name="_Other_VSE WFP_100625_PC Products_CORP SG&amp;A" xfId="0"/>
    <cellStyle name="_Other_VSE WFP_100625_PC Products_LCD" xfId="0"/>
    <cellStyle name="_Other_VSE WFP_100625_PC Products_PJ" xfId="0"/>
    <cellStyle name="_Other_VSE WFP_100625_VSA 111014" xfId="0"/>
    <cellStyle name="_Other_VSE WFP_100625_VSA 111014 2" xfId="0"/>
    <cellStyle name="_Other_VSE WFP_100625_VSA 111014 3" xfId="0"/>
    <cellStyle name="_Other_VSE WFP_100625_VSA 111014 4" xfId="0"/>
    <cellStyle name="_Other_VSE WFP_100625_VSA 111014 4 2" xfId="0"/>
    <cellStyle name="_Other_VSE WFP_100625_VSA 111014_By Region" xfId="0"/>
    <cellStyle name="_Other_VSE WFP_100625_VSA 111014_CORP SG&amp;A" xfId="0"/>
    <cellStyle name="_Other_VSE WFP_100625_VSA 111014_LCD" xfId="0"/>
    <cellStyle name="_Other_VSE WFP_100625_VSA 111014_PJ" xfId="0"/>
    <cellStyle name="_Other_VSE WFP_100625_VSA Roll-Up (LW)" xfId="0"/>
    <cellStyle name="_Other_VSE WFP_100625_VSA Roll-Up (LW) 2" xfId="0"/>
    <cellStyle name="_Other_VSE WFP_100625_VSA Roll-Up (LW) 3" xfId="0"/>
    <cellStyle name="_Other_VSE WFP_100625_VSA Roll-Up (LW) 4" xfId="0"/>
    <cellStyle name="_Other_VSE WFP_100625_VSA Roll-Up (LW) 4 2" xfId="0"/>
    <cellStyle name="_Other_VSE WFP_100625_VSA Roll-Up (LW)_By Region" xfId="0"/>
    <cellStyle name="_Other_VSE WFP_100625_VSA Roll-Up (LW)_CORP SG&amp;A" xfId="0"/>
    <cellStyle name="_Other_VSE WFP_100625_VSA Roll-Up (LW)_LCD" xfId="0"/>
    <cellStyle name="_Other_VSE WFP_100625_VSA Roll-Up (LW)_PJ" xfId="0"/>
    <cellStyle name="_Other_VSE WFP_100708_3rd" xfId="0"/>
    <cellStyle name="_Other_VSE WFP_100708_3rd 2" xfId="0"/>
    <cellStyle name="_Other_VSE WFP_100708_3rd 3" xfId="0"/>
    <cellStyle name="_Other_VSE WFP_100708_3rd 4" xfId="0"/>
    <cellStyle name="_Other_VSE WFP_100708_3rd_By Region" xfId="0"/>
    <cellStyle name="_Other_VSE WFP_100708_3rd_CORP SG&amp;A" xfId="0"/>
    <cellStyle name="_Other_VSE WFP_100708_3rd_Digitizer" xfId="0"/>
    <cellStyle name="_Other_VSE WFP_100708_3rd_GPS OTHER" xfId="0"/>
    <cellStyle name="_Other_VSE WFP_100708_3rd_GPS OTHER 2" xfId="0"/>
    <cellStyle name="_Other_VSE WFP_100708_3rd_GPS OTHER 3" xfId="0"/>
    <cellStyle name="_Other_VSE WFP_100708_3rd_GPS OTHER 4" xfId="0"/>
    <cellStyle name="_Other_VSE WFP_100708_3rd_GPS OTHER 4 2" xfId="0"/>
    <cellStyle name="_Other_VSE WFP_100708_3rd_GPS OTHER_By Region" xfId="0"/>
    <cellStyle name="_Other_VSE WFP_100708_3rd_GPS OTHER_CORP SG&amp;A" xfId="0"/>
    <cellStyle name="_Other_VSE WFP_100708_3rd_GPS OTHER_LCD" xfId="0"/>
    <cellStyle name="_Other_VSE WFP_100708_3rd_GPS OTHER_PJ" xfId="0"/>
    <cellStyle name="_Other_VSE WFP_100708_3rd_LCD" xfId="0"/>
    <cellStyle name="_Other_VSE WFP_100708_3rd_LCD 2" xfId="0"/>
    <cellStyle name="_Other_VSE WFP_100708_3rd_LCD 3" xfId="0"/>
    <cellStyle name="_Other_VSE WFP_100708_3rd_LCD 4" xfId="0"/>
    <cellStyle name="_Other_VSE WFP_100708_3rd_LCD_By Region" xfId="0"/>
    <cellStyle name="_Other_VSE WFP_100708_3rd_LCD_CORP SG&amp;A" xfId="0"/>
    <cellStyle name="_Other_VSE WFP_100708_3rd_LCD_LCD" xfId="0"/>
    <cellStyle name="_Other_VSE WFP_100708_3rd_LCD_PJ" xfId="0"/>
    <cellStyle name="_Other_VSE WFP_100708_3rd_PC Products" xfId="0"/>
    <cellStyle name="_Other_VSE WFP_100708_3rd_PC Products 2" xfId="0"/>
    <cellStyle name="_Other_VSE WFP_100708_3rd_PC Products 3" xfId="0"/>
    <cellStyle name="_Other_VSE WFP_100708_3rd_PC Products 4" xfId="0"/>
    <cellStyle name="_Other_VSE WFP_100708_3rd_PC Products 4 2" xfId="0"/>
    <cellStyle name="_Other_VSE WFP_100708_3rd_PC Products_By Region" xfId="0"/>
    <cellStyle name="_Other_VSE WFP_100708_3rd_PC Products_CORP SG&amp;A" xfId="0"/>
    <cellStyle name="_Other_VSE WFP_100708_3rd_PC Products_LCD" xfId="0"/>
    <cellStyle name="_Other_VSE WFP_100708_3rd_PC Products_PJ" xfId="0"/>
    <cellStyle name="_Other_VSE WFP_100708_3rd_VSA 111014" xfId="0"/>
    <cellStyle name="_Other_VSE WFP_100708_3rd_VSA 111014 2" xfId="0"/>
    <cellStyle name="_Other_VSE WFP_100708_3rd_VSA 111014 3" xfId="0"/>
    <cellStyle name="_Other_VSE WFP_100708_3rd_VSA 111014 4" xfId="0"/>
    <cellStyle name="_Other_VSE WFP_100708_3rd_VSA 111014 4 2" xfId="0"/>
    <cellStyle name="_Other_VSE WFP_100708_3rd_VSA 111014_By Region" xfId="0"/>
    <cellStyle name="_Other_VSE WFP_100708_3rd_VSA 111014_CORP SG&amp;A" xfId="0"/>
    <cellStyle name="_Other_VSE WFP_100708_3rd_VSA 111014_LCD" xfId="0"/>
    <cellStyle name="_Other_VSE WFP_100708_3rd_VSA 111014_PJ" xfId="0"/>
    <cellStyle name="_Other_VSE WFP_100708_3rd_VSA Roll-Up (LW)" xfId="0"/>
    <cellStyle name="_Other_VSE WFP_100708_3rd_VSA Roll-Up (LW) 2" xfId="0"/>
    <cellStyle name="_Other_VSE WFP_100708_3rd_VSA Roll-Up (LW) 3" xfId="0"/>
    <cellStyle name="_Other_VSE WFP_100708_3rd_VSA Roll-Up (LW) 4" xfId="0"/>
    <cellStyle name="_Other_VSE WFP_100708_3rd_VSA Roll-Up (LW) 4 2" xfId="0"/>
    <cellStyle name="_Other_VSE WFP_100708_3rd_VSA Roll-Up (LW)_By Region" xfId="0"/>
    <cellStyle name="_Other_VSE WFP_100708_3rd_VSA Roll-Up (LW)_CORP SG&amp;A" xfId="0"/>
    <cellStyle name="_Other_VSE WFP_100708_3rd_VSA Roll-Up (LW)_LCD" xfId="0"/>
    <cellStyle name="_Other_VSE WFP_100708_3rd_VSA Roll-Up (LW)_PJ" xfId="0"/>
    <cellStyle name="_Other_VSE WFP_100726" xfId="0"/>
    <cellStyle name="_Other_VSE WFP_100726 2" xfId="0"/>
    <cellStyle name="_Other_VSE WFP_100726 3" xfId="0"/>
    <cellStyle name="_Other_VSE WFP_100726 4" xfId="0"/>
    <cellStyle name="_Other_VSE WFP_100726-1" xfId="0"/>
    <cellStyle name="_Other_VSE WFP_100726-1 2" xfId="0"/>
    <cellStyle name="_Other_VSE WFP_100726-1 3" xfId="0"/>
    <cellStyle name="_Other_VSE WFP_100726-1 4" xfId="0"/>
    <cellStyle name="_Other_VSE WFP_100726-1_By Region" xfId="0"/>
    <cellStyle name="_Other_VSE WFP_100726-1_CORP SG&amp;A" xfId="0"/>
    <cellStyle name="_Other_VSE WFP_100726-1_Digitizer" xfId="0"/>
    <cellStyle name="_Other_VSE WFP_100726-1_GPS OTHER" xfId="0"/>
    <cellStyle name="_Other_VSE WFP_100726-1_GPS OTHER 2" xfId="0"/>
    <cellStyle name="_Other_VSE WFP_100726-1_GPS OTHER 3" xfId="0"/>
    <cellStyle name="_Other_VSE WFP_100726-1_GPS OTHER 4" xfId="0"/>
    <cellStyle name="_Other_VSE WFP_100726-1_GPS OTHER 4 2" xfId="0"/>
    <cellStyle name="_Other_VSE WFP_100726-1_GPS OTHER_By Region" xfId="0"/>
    <cellStyle name="_Other_VSE WFP_100726-1_GPS OTHER_CORP SG&amp;A" xfId="0"/>
    <cellStyle name="_Other_VSE WFP_100726-1_GPS OTHER_LCD" xfId="0"/>
    <cellStyle name="_Other_VSE WFP_100726-1_GPS OTHER_PJ" xfId="0"/>
    <cellStyle name="_Other_VSE WFP_100726-1_LCD" xfId="0"/>
    <cellStyle name="_Other_VSE WFP_100726-1_LCD 2" xfId="0"/>
    <cellStyle name="_Other_VSE WFP_100726-1_LCD 3" xfId="0"/>
    <cellStyle name="_Other_VSE WFP_100726-1_LCD 4" xfId="0"/>
    <cellStyle name="_Other_VSE WFP_100726-1_LCD_By Region" xfId="0"/>
    <cellStyle name="_Other_VSE WFP_100726-1_LCD_CORP SG&amp;A" xfId="0"/>
    <cellStyle name="_Other_VSE WFP_100726-1_LCD_LCD" xfId="0"/>
    <cellStyle name="_Other_VSE WFP_100726-1_LCD_PJ" xfId="0"/>
    <cellStyle name="_Other_VSE WFP_100726-1_PC Products" xfId="0"/>
    <cellStyle name="_Other_VSE WFP_100726-1_PC Products 2" xfId="0"/>
    <cellStyle name="_Other_VSE WFP_100726-1_PC Products 3" xfId="0"/>
    <cellStyle name="_Other_VSE WFP_100726-1_PC Products 4" xfId="0"/>
    <cellStyle name="_Other_VSE WFP_100726-1_PC Products 4 2" xfId="0"/>
    <cellStyle name="_Other_VSE WFP_100726-1_PC Products_By Region" xfId="0"/>
    <cellStyle name="_Other_VSE WFP_100726-1_PC Products_CORP SG&amp;A" xfId="0"/>
    <cellStyle name="_Other_VSE WFP_100726-1_PC Products_LCD" xfId="0"/>
    <cellStyle name="_Other_VSE WFP_100726-1_PC Products_PJ" xfId="0"/>
    <cellStyle name="_Other_VSE WFP_100726-1_VSA 111014" xfId="0"/>
    <cellStyle name="_Other_VSE WFP_100726-1_VSA 111014 2" xfId="0"/>
    <cellStyle name="_Other_VSE WFP_100726-1_VSA 111014 3" xfId="0"/>
    <cellStyle name="_Other_VSE WFP_100726-1_VSA 111014 4" xfId="0"/>
    <cellStyle name="_Other_VSE WFP_100726-1_VSA 111014 4 2" xfId="0"/>
    <cellStyle name="_Other_VSE WFP_100726-1_VSA 111014_By Region" xfId="0"/>
    <cellStyle name="_Other_VSE WFP_100726-1_VSA 111014_CORP SG&amp;A" xfId="0"/>
    <cellStyle name="_Other_VSE WFP_100726-1_VSA 111014_LCD" xfId="0"/>
    <cellStyle name="_Other_VSE WFP_100726-1_VSA 111014_PJ" xfId="0"/>
    <cellStyle name="_Other_VSE WFP_100726-1_VSA Roll-Up (LW)" xfId="0"/>
    <cellStyle name="_Other_VSE WFP_100726-1_VSA Roll-Up (LW) 2" xfId="0"/>
    <cellStyle name="_Other_VSE WFP_100726-1_VSA Roll-Up (LW) 3" xfId="0"/>
    <cellStyle name="_Other_VSE WFP_100726-1_VSA Roll-Up (LW) 4" xfId="0"/>
    <cellStyle name="_Other_VSE WFP_100726-1_VSA Roll-Up (LW) 4 2" xfId="0"/>
    <cellStyle name="_Other_VSE WFP_100726-1_VSA Roll-Up (LW)_By Region" xfId="0"/>
    <cellStyle name="_Other_VSE WFP_100726-1_VSA Roll-Up (LW)_CORP SG&amp;A" xfId="0"/>
    <cellStyle name="_Other_VSE WFP_100726-1_VSA Roll-Up (LW)_LCD" xfId="0"/>
    <cellStyle name="_Other_VSE WFP_100726-1_VSA Roll-Up (LW)_PJ" xfId="0"/>
    <cellStyle name="_Other_VSE WFP_100726-2-yc" xfId="0"/>
    <cellStyle name="_Other_VSE WFP_100726-2-yc 2" xfId="0"/>
    <cellStyle name="_Other_VSE WFP_100726-2-yc 3" xfId="0"/>
    <cellStyle name="_Other_VSE WFP_100726-2-yc 4" xfId="0"/>
    <cellStyle name="_Other_VSE WFP_100726-2-yc_By Region" xfId="0"/>
    <cellStyle name="_Other_VSE WFP_100726-2-yc_CORP SG&amp;A" xfId="0"/>
    <cellStyle name="_Other_VSE WFP_100726-2-yc_Digitizer" xfId="0"/>
    <cellStyle name="_Other_VSE WFP_100726-2-yc_GPS OTHER" xfId="0"/>
    <cellStyle name="_Other_VSE WFP_100726-2-yc_GPS OTHER 2" xfId="0"/>
    <cellStyle name="_Other_VSE WFP_100726-2-yc_GPS OTHER 3" xfId="0"/>
    <cellStyle name="_Other_VSE WFP_100726-2-yc_GPS OTHER 4" xfId="0"/>
    <cellStyle name="_Other_VSE WFP_100726-2-yc_GPS OTHER 4 2" xfId="0"/>
    <cellStyle name="_Other_VSE WFP_100726-2-yc_GPS OTHER_By Region" xfId="0"/>
    <cellStyle name="_Other_VSE WFP_100726-2-yc_GPS OTHER_CORP SG&amp;A" xfId="0"/>
    <cellStyle name="_Other_VSE WFP_100726-2-yc_GPS OTHER_LCD" xfId="0"/>
    <cellStyle name="_Other_VSE WFP_100726-2-yc_GPS OTHER_PJ" xfId="0"/>
    <cellStyle name="_Other_VSE WFP_100726-2-yc_LCD" xfId="0"/>
    <cellStyle name="_Other_VSE WFP_100726-2-yc_LCD 2" xfId="0"/>
    <cellStyle name="_Other_VSE WFP_100726-2-yc_LCD 3" xfId="0"/>
    <cellStyle name="_Other_VSE WFP_100726-2-yc_LCD 4" xfId="0"/>
    <cellStyle name="_Other_VSE WFP_100726-2-yc_LCD_By Region" xfId="0"/>
    <cellStyle name="_Other_VSE WFP_100726-2-yc_LCD_CORP SG&amp;A" xfId="0"/>
    <cellStyle name="_Other_VSE WFP_100726-2-yc_LCD_LCD" xfId="0"/>
    <cellStyle name="_Other_VSE WFP_100726-2-yc_LCD_PJ" xfId="0"/>
    <cellStyle name="_Other_VSE WFP_100726-2-yc_PC Products" xfId="0"/>
    <cellStyle name="_Other_VSE WFP_100726-2-yc_PC Products 2" xfId="0"/>
    <cellStyle name="_Other_VSE WFP_100726-2-yc_PC Products 3" xfId="0"/>
    <cellStyle name="_Other_VSE WFP_100726-2-yc_PC Products 4" xfId="0"/>
    <cellStyle name="_Other_VSE WFP_100726-2-yc_PC Products 4 2" xfId="0"/>
    <cellStyle name="_Other_VSE WFP_100726-2-yc_PC Products_By Region" xfId="0"/>
    <cellStyle name="_Other_VSE WFP_100726-2-yc_PC Products_CORP SG&amp;A" xfId="0"/>
    <cellStyle name="_Other_VSE WFP_100726-2-yc_PC Products_LCD" xfId="0"/>
    <cellStyle name="_Other_VSE WFP_100726-2-yc_PC Products_PJ" xfId="0"/>
    <cellStyle name="_Other_VSE WFP_100726-2-yc_VSA 111014" xfId="0"/>
    <cellStyle name="_Other_VSE WFP_100726-2-yc_VSA 111014 2" xfId="0"/>
    <cellStyle name="_Other_VSE WFP_100726-2-yc_VSA 111014 3" xfId="0"/>
    <cellStyle name="_Other_VSE WFP_100726-2-yc_VSA 111014 4" xfId="0"/>
    <cellStyle name="_Other_VSE WFP_100726-2-yc_VSA 111014 4 2" xfId="0"/>
    <cellStyle name="_Other_VSE WFP_100726-2-yc_VSA 111014_By Region" xfId="0"/>
    <cellStyle name="_Other_VSE WFP_100726-2-yc_VSA 111014_CORP SG&amp;A" xfId="0"/>
    <cellStyle name="_Other_VSE WFP_100726-2-yc_VSA 111014_LCD" xfId="0"/>
    <cellStyle name="_Other_VSE WFP_100726-2-yc_VSA 111014_PJ" xfId="0"/>
    <cellStyle name="_Other_VSE WFP_100726-2-yc_VSA Roll-Up (LW)" xfId="0"/>
    <cellStyle name="_Other_VSE WFP_100726-2-yc_VSA Roll-Up (LW) 2" xfId="0"/>
    <cellStyle name="_Other_VSE WFP_100726-2-yc_VSA Roll-Up (LW) 3" xfId="0"/>
    <cellStyle name="_Other_VSE WFP_100726-2-yc_VSA Roll-Up (LW) 4" xfId="0"/>
    <cellStyle name="_Other_VSE WFP_100726-2-yc_VSA Roll-Up (LW) 4 2" xfId="0"/>
    <cellStyle name="_Other_VSE WFP_100726-2-yc_VSA Roll-Up (LW)_By Region" xfId="0"/>
    <cellStyle name="_Other_VSE WFP_100726-2-yc_VSA Roll-Up (LW)_CORP SG&amp;A" xfId="0"/>
    <cellStyle name="_Other_VSE WFP_100726-2-yc_VSA Roll-Up (LW)_LCD" xfId="0"/>
    <cellStyle name="_Other_VSE WFP_100726-2-yc_VSA Roll-Up (LW)_PJ" xfId="0"/>
    <cellStyle name="_Other_VSE WFP_100726_By Region" xfId="0"/>
    <cellStyle name="_Other_VSE WFP_100726_CORP SG&amp;A" xfId="0"/>
    <cellStyle name="_Other_VSE WFP_100726_Digitizer" xfId="0"/>
    <cellStyle name="_Other_VSE WFP_100726_GPS OTHER" xfId="0"/>
    <cellStyle name="_Other_VSE WFP_100726_GPS OTHER 2" xfId="0"/>
    <cellStyle name="_Other_VSE WFP_100726_GPS OTHER 3" xfId="0"/>
    <cellStyle name="_Other_VSE WFP_100726_GPS OTHER 4" xfId="0"/>
    <cellStyle name="_Other_VSE WFP_100726_GPS OTHER 4 2" xfId="0"/>
    <cellStyle name="_Other_VSE WFP_100726_GPS OTHER_By Region" xfId="0"/>
    <cellStyle name="_Other_VSE WFP_100726_GPS OTHER_CORP SG&amp;A" xfId="0"/>
    <cellStyle name="_Other_VSE WFP_100726_GPS OTHER_LCD" xfId="0"/>
    <cellStyle name="_Other_VSE WFP_100726_GPS OTHER_PJ" xfId="0"/>
    <cellStyle name="_Other_VSE WFP_100726_LCD" xfId="0"/>
    <cellStyle name="_Other_VSE WFP_100726_LCD 2" xfId="0"/>
    <cellStyle name="_Other_VSE WFP_100726_LCD 3" xfId="0"/>
    <cellStyle name="_Other_VSE WFP_100726_LCD 4" xfId="0"/>
    <cellStyle name="_Other_VSE WFP_100726_LCD_By Region" xfId="0"/>
    <cellStyle name="_Other_VSE WFP_100726_LCD_CORP SG&amp;A" xfId="0"/>
    <cellStyle name="_Other_VSE WFP_100726_LCD_LCD" xfId="0"/>
    <cellStyle name="_Other_VSE WFP_100726_LCD_PJ" xfId="0"/>
    <cellStyle name="_Other_VSE WFP_100726_PC Products" xfId="0"/>
    <cellStyle name="_Other_VSE WFP_100726_PC Products 2" xfId="0"/>
    <cellStyle name="_Other_VSE WFP_100726_PC Products 3" xfId="0"/>
    <cellStyle name="_Other_VSE WFP_100726_PC Products 4" xfId="0"/>
    <cellStyle name="_Other_VSE WFP_100726_PC Products 4 2" xfId="0"/>
    <cellStyle name="_Other_VSE WFP_100726_PC Products_By Region" xfId="0"/>
    <cellStyle name="_Other_VSE WFP_100726_PC Products_CORP SG&amp;A" xfId="0"/>
    <cellStyle name="_Other_VSE WFP_100726_PC Products_LCD" xfId="0"/>
    <cellStyle name="_Other_VSE WFP_100726_PC Products_PJ" xfId="0"/>
    <cellStyle name="_Other_VSE WFP_100726_VSA 111014" xfId="0"/>
    <cellStyle name="_Other_VSE WFP_100726_VSA 111014 2" xfId="0"/>
    <cellStyle name="_Other_VSE WFP_100726_VSA 111014 3" xfId="0"/>
    <cellStyle name="_Other_VSE WFP_100726_VSA 111014 4" xfId="0"/>
    <cellStyle name="_Other_VSE WFP_100726_VSA 111014 4 2" xfId="0"/>
    <cellStyle name="_Other_VSE WFP_100726_VSA 111014_By Region" xfId="0"/>
    <cellStyle name="_Other_VSE WFP_100726_VSA 111014_CORP SG&amp;A" xfId="0"/>
    <cellStyle name="_Other_VSE WFP_100726_VSA 111014_LCD" xfId="0"/>
    <cellStyle name="_Other_VSE WFP_100726_VSA 111014_PJ" xfId="0"/>
    <cellStyle name="_Other_VSE WFP_100726_VSA Roll-Up (LW)" xfId="0"/>
    <cellStyle name="_Other_VSE WFP_100726_VSA Roll-Up (LW) 2" xfId="0"/>
    <cellStyle name="_Other_VSE WFP_100726_VSA Roll-Up (LW) 3" xfId="0"/>
    <cellStyle name="_Other_VSE WFP_100726_VSA Roll-Up (LW) 4" xfId="0"/>
    <cellStyle name="_Other_VSE WFP_100726_VSA Roll-Up (LW) 4 2" xfId="0"/>
    <cellStyle name="_Other_VSE WFP_100726_VSA Roll-Up (LW)_By Region" xfId="0"/>
    <cellStyle name="_Other_VSE WFP_100726_VSA Roll-Up (LW)_CORP SG&amp;A" xfId="0"/>
    <cellStyle name="_Other_VSE WFP_100726_VSA Roll-Up (LW)_LCD" xfId="0"/>
    <cellStyle name="_Other_VSE WFP_100726_VSA Roll-Up (LW)_PJ" xfId="0"/>
    <cellStyle name="_Other_VSE WFP_100827-1" xfId="0"/>
    <cellStyle name="_Other_VSE WFP_100827-1 2" xfId="0"/>
    <cellStyle name="_Other_VSE WFP_100827-1 3" xfId="0"/>
    <cellStyle name="_Other_VSE WFP_100827-1 4" xfId="0"/>
    <cellStyle name="_Other_VSE WFP_100827-1_By Region" xfId="0"/>
    <cellStyle name="_Other_VSE WFP_100827-1_CORP SG&amp;A" xfId="0"/>
    <cellStyle name="_Other_VSE WFP_100827-1_Digitizer" xfId="0"/>
    <cellStyle name="_Other_VSE WFP_100827-1_GPS OTHER" xfId="0"/>
    <cellStyle name="_Other_VSE WFP_100827-1_GPS OTHER 2" xfId="0"/>
    <cellStyle name="_Other_VSE WFP_100827-1_GPS OTHER 3" xfId="0"/>
    <cellStyle name="_Other_VSE WFP_100827-1_GPS OTHER 4" xfId="0"/>
    <cellStyle name="_Other_VSE WFP_100827-1_GPS OTHER 4 2" xfId="0"/>
    <cellStyle name="_Other_VSE WFP_100827-1_GPS OTHER_By Region" xfId="0"/>
    <cellStyle name="_Other_VSE WFP_100827-1_GPS OTHER_CORP SG&amp;A" xfId="0"/>
    <cellStyle name="_Other_VSE WFP_100827-1_GPS OTHER_LCD" xfId="0"/>
    <cellStyle name="_Other_VSE WFP_100827-1_GPS OTHER_PJ" xfId="0"/>
    <cellStyle name="_Other_VSE WFP_100827-1_LCD" xfId="0"/>
    <cellStyle name="_Other_VSE WFP_100827-1_LCD 2" xfId="0"/>
    <cellStyle name="_Other_VSE WFP_100827-1_LCD 3" xfId="0"/>
    <cellStyle name="_Other_VSE WFP_100827-1_LCD 4" xfId="0"/>
    <cellStyle name="_Other_VSE WFP_100827-1_LCD_By Region" xfId="0"/>
    <cellStyle name="_Other_VSE WFP_100827-1_LCD_CORP SG&amp;A" xfId="0"/>
    <cellStyle name="_Other_VSE WFP_100827-1_LCD_LCD" xfId="0"/>
    <cellStyle name="_Other_VSE WFP_100827-1_LCD_PJ" xfId="0"/>
    <cellStyle name="_Other_VSE WFP_100827-1_PC Products" xfId="0"/>
    <cellStyle name="_Other_VSE WFP_100827-1_PC Products 2" xfId="0"/>
    <cellStyle name="_Other_VSE WFP_100827-1_PC Products 3" xfId="0"/>
    <cellStyle name="_Other_VSE WFP_100827-1_PC Products 4" xfId="0"/>
    <cellStyle name="_Other_VSE WFP_100827-1_PC Products 4 2" xfId="0"/>
    <cellStyle name="_Other_VSE WFP_100827-1_PC Products_By Region" xfId="0"/>
    <cellStyle name="_Other_VSE WFP_100827-1_PC Products_CORP SG&amp;A" xfId="0"/>
    <cellStyle name="_Other_VSE WFP_100827-1_PC Products_LCD" xfId="0"/>
    <cellStyle name="_Other_VSE WFP_100827-1_PC Products_PJ" xfId="0"/>
    <cellStyle name="_Other_VSE WFP_100827-1_VSA 111014" xfId="0"/>
    <cellStyle name="_Other_VSE WFP_100827-1_VSA 111014 2" xfId="0"/>
    <cellStyle name="_Other_VSE WFP_100827-1_VSA 111014 3" xfId="0"/>
    <cellStyle name="_Other_VSE WFP_100827-1_VSA 111014 4" xfId="0"/>
    <cellStyle name="_Other_VSE WFP_100827-1_VSA 111014 4 2" xfId="0"/>
    <cellStyle name="_Other_VSE WFP_100827-1_VSA 111014_By Region" xfId="0"/>
    <cellStyle name="_Other_VSE WFP_100827-1_VSA 111014_CORP SG&amp;A" xfId="0"/>
    <cellStyle name="_Other_VSE WFP_100827-1_VSA 111014_LCD" xfId="0"/>
    <cellStyle name="_Other_VSE WFP_100827-1_VSA 111014_PJ" xfId="0"/>
    <cellStyle name="_Other_VSE WFP_100827-1_VSA Roll-Up (LW)" xfId="0"/>
    <cellStyle name="_Other_VSE WFP_100827-1_VSA Roll-Up (LW) 2" xfId="0"/>
    <cellStyle name="_Other_VSE WFP_100827-1_VSA Roll-Up (LW) 3" xfId="0"/>
    <cellStyle name="_Other_VSE WFP_100827-1_VSA Roll-Up (LW) 4" xfId="0"/>
    <cellStyle name="_Other_VSE WFP_100827-1_VSA Roll-Up (LW) 4 2" xfId="0"/>
    <cellStyle name="_Other_VSE WFP_100827-1_VSA Roll-Up (LW)_By Region" xfId="0"/>
    <cellStyle name="_Other_VSE WFP_100827-1_VSA Roll-Up (LW)_CORP SG&amp;A" xfId="0"/>
    <cellStyle name="_Other_VSE WFP_100827-1_VSA Roll-Up (LW)_LCD" xfId="0"/>
    <cellStyle name="_Other_VSE WFP_100827-1_VSA Roll-Up (LW)_PJ" xfId="0"/>
    <cellStyle name="_Other_VSE WFP_101001" xfId="0"/>
    <cellStyle name="_Other_VSE WFP_101001 2" xfId="0"/>
    <cellStyle name="_Other_VSE WFP_101001 3" xfId="0"/>
    <cellStyle name="_Other_VSE WFP_101001 4" xfId="0"/>
    <cellStyle name="_Other_VSE WFP_101001_By Region" xfId="0"/>
    <cellStyle name="_Other_VSE WFP_101001_CORP SG&amp;A" xfId="0"/>
    <cellStyle name="_Other_VSE WFP_101001_Digitizer" xfId="0"/>
    <cellStyle name="_Other_VSE WFP_101001_GPS OTHER" xfId="0"/>
    <cellStyle name="_Other_VSE WFP_101001_GPS OTHER 2" xfId="0"/>
    <cellStyle name="_Other_VSE WFP_101001_GPS OTHER 3" xfId="0"/>
    <cellStyle name="_Other_VSE WFP_101001_GPS OTHER 4" xfId="0"/>
    <cellStyle name="_Other_VSE WFP_101001_GPS OTHER 4 2" xfId="0"/>
    <cellStyle name="_Other_VSE WFP_101001_GPS OTHER_By Region" xfId="0"/>
    <cellStyle name="_Other_VSE WFP_101001_GPS OTHER_CORP SG&amp;A" xfId="0"/>
    <cellStyle name="_Other_VSE WFP_101001_GPS OTHER_LCD" xfId="0"/>
    <cellStyle name="_Other_VSE WFP_101001_GPS OTHER_PJ" xfId="0"/>
    <cellStyle name="_Other_VSE WFP_101001_LCD" xfId="0"/>
    <cellStyle name="_Other_VSE WFP_101001_LCD 2" xfId="0"/>
    <cellStyle name="_Other_VSE WFP_101001_LCD 3" xfId="0"/>
    <cellStyle name="_Other_VSE WFP_101001_LCD 4" xfId="0"/>
    <cellStyle name="_Other_VSE WFP_101001_LCD_By Region" xfId="0"/>
    <cellStyle name="_Other_VSE WFP_101001_LCD_CORP SG&amp;A" xfId="0"/>
    <cellStyle name="_Other_VSE WFP_101001_LCD_LCD" xfId="0"/>
    <cellStyle name="_Other_VSE WFP_101001_LCD_PJ" xfId="0"/>
    <cellStyle name="_Other_VSE WFP_101001_PC Products" xfId="0"/>
    <cellStyle name="_Other_VSE WFP_101001_PC Products 2" xfId="0"/>
    <cellStyle name="_Other_VSE WFP_101001_PC Products 3" xfId="0"/>
    <cellStyle name="_Other_VSE WFP_101001_PC Products 4" xfId="0"/>
    <cellStyle name="_Other_VSE WFP_101001_PC Products 4 2" xfId="0"/>
    <cellStyle name="_Other_VSE WFP_101001_PC Products_By Region" xfId="0"/>
    <cellStyle name="_Other_VSE WFP_101001_PC Products_CORP SG&amp;A" xfId="0"/>
    <cellStyle name="_Other_VSE WFP_101001_PC Products_LCD" xfId="0"/>
    <cellStyle name="_Other_VSE WFP_101001_PC Products_PJ" xfId="0"/>
    <cellStyle name="_Other_VSE WFP_101001_VSA 111014" xfId="0"/>
    <cellStyle name="_Other_VSE WFP_101001_VSA 111014 2" xfId="0"/>
    <cellStyle name="_Other_VSE WFP_101001_VSA 111014 3" xfId="0"/>
    <cellStyle name="_Other_VSE WFP_101001_VSA 111014 4" xfId="0"/>
    <cellStyle name="_Other_VSE WFP_101001_VSA 111014 4 2" xfId="0"/>
    <cellStyle name="_Other_VSE WFP_101001_VSA 111014_By Region" xfId="0"/>
    <cellStyle name="_Other_VSE WFP_101001_VSA 111014_CORP SG&amp;A" xfId="0"/>
    <cellStyle name="_Other_VSE WFP_101001_VSA 111014_LCD" xfId="0"/>
    <cellStyle name="_Other_VSE WFP_101001_VSA 111014_PJ" xfId="0"/>
    <cellStyle name="_Other_VSE WFP_101001_VSA Roll-Up (LW)" xfId="0"/>
    <cellStyle name="_Other_VSE WFP_101001_VSA Roll-Up (LW) 2" xfId="0"/>
    <cellStyle name="_Other_VSE WFP_101001_VSA Roll-Up (LW) 3" xfId="0"/>
    <cellStyle name="_Other_VSE WFP_101001_VSA Roll-Up (LW) 4" xfId="0"/>
    <cellStyle name="_Other_VSE WFP_101001_VSA Roll-Up (LW) 4 2" xfId="0"/>
    <cellStyle name="_Other_VSE WFP_101001_VSA Roll-Up (LW)_By Region" xfId="0"/>
    <cellStyle name="_Other_VSE WFP_101001_VSA Roll-Up (LW)_CORP SG&amp;A" xfId="0"/>
    <cellStyle name="_Other_VSE WFP_101001_VSA Roll-Up (LW)_LCD" xfId="0"/>
    <cellStyle name="_Other_VSE WFP_101001_VSA Roll-Up (LW)_PJ" xfId="0"/>
    <cellStyle name="_Other_VSE WFP_101029-with more ViewPad 7" xfId="0"/>
    <cellStyle name="_Other_VSE WFP_101029-with more ViewPad 7 2" xfId="0"/>
    <cellStyle name="_Other_VSE WFP_101029-with more ViewPad 7 3" xfId="0"/>
    <cellStyle name="_Other_VSE WFP_101029-with more ViewPad 7 4" xfId="0"/>
    <cellStyle name="_Other_VSE WFP_101029-with more ViewPad 7_By Region" xfId="0"/>
    <cellStyle name="_Other_VSE WFP_101029-with more ViewPad 7_CORP SG&amp;A" xfId="0"/>
    <cellStyle name="_Other_VSE WFP_101029-with more ViewPad 7_Digitizer" xfId="0"/>
    <cellStyle name="_Other_VSE WFP_101029-with more ViewPad 7_GPS OTHER" xfId="0"/>
    <cellStyle name="_Other_VSE WFP_101029-with more ViewPad 7_GPS OTHER 2" xfId="0"/>
    <cellStyle name="_Other_VSE WFP_101029-with more ViewPad 7_GPS OTHER 3" xfId="0"/>
    <cellStyle name="_Other_VSE WFP_101029-with more ViewPad 7_GPS OTHER 4" xfId="0"/>
    <cellStyle name="_Other_VSE WFP_101029-with more ViewPad 7_GPS OTHER 4 2" xfId="0"/>
    <cellStyle name="_Other_VSE WFP_101029-with more ViewPad 7_GPS OTHER_By Region" xfId="0"/>
    <cellStyle name="_Other_VSE WFP_101029-with more ViewPad 7_GPS OTHER_CORP SG&amp;A" xfId="0"/>
    <cellStyle name="_Other_VSE WFP_101029-with more ViewPad 7_GPS OTHER_LCD" xfId="0"/>
    <cellStyle name="_Other_VSE WFP_101029-with more ViewPad 7_GPS OTHER_PJ" xfId="0"/>
    <cellStyle name="_Other_VSE WFP_101029-with more ViewPad 7_LCD" xfId="0"/>
    <cellStyle name="_Other_VSE WFP_101029-with more ViewPad 7_LCD 2" xfId="0"/>
    <cellStyle name="_Other_VSE WFP_101029-with more ViewPad 7_LCD 3" xfId="0"/>
    <cellStyle name="_Other_VSE WFP_101029-with more ViewPad 7_LCD 4" xfId="0"/>
    <cellStyle name="_Other_VSE WFP_101029-with more ViewPad 7_LCD_By Region" xfId="0"/>
    <cellStyle name="_Other_VSE WFP_101029-with more ViewPad 7_LCD_CORP SG&amp;A" xfId="0"/>
    <cellStyle name="_Other_VSE WFP_101029-with more ViewPad 7_LCD_LCD" xfId="0"/>
    <cellStyle name="_Other_VSE WFP_101029-with more ViewPad 7_LCD_PJ" xfId="0"/>
    <cellStyle name="_Other_VSE WFP_101029-with more ViewPad 7_PC Products" xfId="0"/>
    <cellStyle name="_Other_VSE WFP_101029-with more ViewPad 7_PC Products 2" xfId="0"/>
    <cellStyle name="_Other_VSE WFP_101029-with more ViewPad 7_PC Products 3" xfId="0"/>
    <cellStyle name="_Other_VSE WFP_101029-with more ViewPad 7_PC Products 4" xfId="0"/>
    <cellStyle name="_Other_VSE WFP_101029-with more ViewPad 7_PC Products 4 2" xfId="0"/>
    <cellStyle name="_Other_VSE WFP_101029-with more ViewPad 7_PC Products_By Region" xfId="0"/>
    <cellStyle name="_Other_VSE WFP_101029-with more ViewPad 7_PC Products_CORP SG&amp;A" xfId="0"/>
    <cellStyle name="_Other_VSE WFP_101029-with more ViewPad 7_PC Products_LCD" xfId="0"/>
    <cellStyle name="_Other_VSE WFP_101029-with more ViewPad 7_PC Products_PJ" xfId="0"/>
    <cellStyle name="_Other_VSE WFP_101029-with more ViewPad 7_VSA 111014" xfId="0"/>
    <cellStyle name="_Other_VSE WFP_101029-with more ViewPad 7_VSA 111014 2" xfId="0"/>
    <cellStyle name="_Other_VSE WFP_101029-with more ViewPad 7_VSA 111014 3" xfId="0"/>
    <cellStyle name="_Other_VSE WFP_101029-with more ViewPad 7_VSA 111014 4" xfId="0"/>
    <cellStyle name="_Other_VSE WFP_101029-with more ViewPad 7_VSA 111014 4 2" xfId="0"/>
    <cellStyle name="_Other_VSE WFP_101029-with more ViewPad 7_VSA 111014_By Region" xfId="0"/>
    <cellStyle name="_Other_VSE WFP_101029-with more ViewPad 7_VSA 111014_CORP SG&amp;A" xfId="0"/>
    <cellStyle name="_Other_VSE WFP_101029-with more ViewPad 7_VSA 111014_LCD" xfId="0"/>
    <cellStyle name="_Other_VSE WFP_101029-with more ViewPad 7_VSA 111014_PJ" xfId="0"/>
    <cellStyle name="_Other_VSE WFP_101029-with more ViewPad 7_VSA Roll-Up (LW)" xfId="0"/>
    <cellStyle name="_Other_VSE WFP_101029-with more ViewPad 7_VSA Roll-Up (LW) 2" xfId="0"/>
    <cellStyle name="_Other_VSE WFP_101029-with more ViewPad 7_VSA Roll-Up (LW) 3" xfId="0"/>
    <cellStyle name="_Other_VSE WFP_101029-with more ViewPad 7_VSA Roll-Up (LW) 4" xfId="0"/>
    <cellStyle name="_Other_VSE WFP_101029-with more ViewPad 7_VSA Roll-Up (LW) 4 2" xfId="0"/>
    <cellStyle name="_Other_VSE WFP_101029-with more ViewPad 7_VSA Roll-Up (LW)_By Region" xfId="0"/>
    <cellStyle name="_Other_VSE WFP_101029-with more ViewPad 7_VSA Roll-Up (LW)_CORP SG&amp;A" xfId="0"/>
    <cellStyle name="_Other_VSE WFP_101029-with more ViewPad 7_VSA Roll-Up (LW)_LCD" xfId="0"/>
    <cellStyle name="_Other_VSE WFP_101029-with more ViewPad 7_VSA Roll-Up (LW)_PJ" xfId="0"/>
    <cellStyle name="_Others" xfId="0"/>
    <cellStyle name="_Others 2" xfId="0"/>
    <cellStyle name="_Others 3" xfId="0"/>
    <cellStyle name="_Others 4" xfId="0"/>
    <cellStyle name="_Others 5" xfId="0"/>
    <cellStyle name="_Others_By Region" xfId="0"/>
    <cellStyle name="_Others_CIS" xfId="0"/>
    <cellStyle name="_Others_CIS 2" xfId="0"/>
    <cellStyle name="_Others_CIS 3" xfId="0"/>
    <cellStyle name="_Others_CIS 4" xfId="0"/>
    <cellStyle name="_Others_CIS_By Region" xfId="0"/>
    <cellStyle name="_Others_CIS_CORP SG&amp;A" xfId="0"/>
    <cellStyle name="_Others_CIS_Digitizer" xfId="0"/>
    <cellStyle name="_Others_CIS_GPS OTHER" xfId="0"/>
    <cellStyle name="_Others_CIS_GPS OTHER 2" xfId="0"/>
    <cellStyle name="_Others_CIS_GPS OTHER 3" xfId="0"/>
    <cellStyle name="_Others_CIS_GPS OTHER 4" xfId="0"/>
    <cellStyle name="_Others_CIS_GPS OTHER 4 2" xfId="0"/>
    <cellStyle name="_Others_CIS_GPS OTHER_By Region" xfId="0"/>
    <cellStyle name="_Others_CIS_GPS OTHER_CORP SG&amp;A" xfId="0"/>
    <cellStyle name="_Others_CIS_GPS OTHER_LCD" xfId="0"/>
    <cellStyle name="_Others_CIS_GPS OTHER_PJ" xfId="0"/>
    <cellStyle name="_Others_CIS_LCD" xfId="0"/>
    <cellStyle name="_Others_CIS_LCD 2" xfId="0"/>
    <cellStyle name="_Others_CIS_LCD 3" xfId="0"/>
    <cellStyle name="_Others_CIS_LCD 4" xfId="0"/>
    <cellStyle name="_Others_CIS_LCD_By Region" xfId="0"/>
    <cellStyle name="_Others_CIS_LCD_CORP SG&amp;A" xfId="0"/>
    <cellStyle name="_Others_CIS_LCD_LCD" xfId="0"/>
    <cellStyle name="_Others_CIS_LCD_PJ" xfId="0"/>
    <cellStyle name="_Others_CIS_PC Products" xfId="0"/>
    <cellStyle name="_Others_CIS_PC Products 2" xfId="0"/>
    <cellStyle name="_Others_CIS_PC Products 3" xfId="0"/>
    <cellStyle name="_Others_CIS_PC Products 4" xfId="0"/>
    <cellStyle name="_Others_CIS_PC Products 4 2" xfId="0"/>
    <cellStyle name="_Others_CIS_PC Products_By Region" xfId="0"/>
    <cellStyle name="_Others_CIS_PC Products_CORP SG&amp;A" xfId="0"/>
    <cellStyle name="_Others_CIS_PC Products_LCD" xfId="0"/>
    <cellStyle name="_Others_CIS_PC Products_PJ" xfId="0"/>
    <cellStyle name="_Others_CIS_VSA 111014" xfId="0"/>
    <cellStyle name="_Others_CIS_VSA 111014 2" xfId="0"/>
    <cellStyle name="_Others_CIS_VSA 111014 3" xfId="0"/>
    <cellStyle name="_Others_CIS_VSA 111014 4" xfId="0"/>
    <cellStyle name="_Others_CIS_VSA 111014 4 2" xfId="0"/>
    <cellStyle name="_Others_CIS_VSA 111014_By Region" xfId="0"/>
    <cellStyle name="_Others_CIS_VSA 111014_CORP SG&amp;A" xfId="0"/>
    <cellStyle name="_Others_CIS_VSA 111014_LCD" xfId="0"/>
    <cellStyle name="_Others_CIS_VSA 111014_PJ" xfId="0"/>
    <cellStyle name="_Others_CIS_VSA Roll-Up (LW)" xfId="0"/>
    <cellStyle name="_Others_CIS_VSA Roll-Up (LW) 2" xfId="0"/>
    <cellStyle name="_Others_CIS_VSA Roll-Up (LW) 3" xfId="0"/>
    <cellStyle name="_Others_CIS_VSA Roll-Up (LW) 4" xfId="0"/>
    <cellStyle name="_Others_CIS_VSA Roll-Up (LW) 4 2" xfId="0"/>
    <cellStyle name="_Others_CIS_VSA Roll-Up (LW)_By Region" xfId="0"/>
    <cellStyle name="_Others_CIS_VSA Roll-Up (LW)_CORP SG&amp;A" xfId="0"/>
    <cellStyle name="_Others_CIS_VSA Roll-Up (LW)_LCD" xfId="0"/>
    <cellStyle name="_Others_CIS_VSA Roll-Up (LW)_PJ" xfId="0"/>
    <cellStyle name="_Others_CORP SG&amp;A" xfId="0"/>
    <cellStyle name="_Others_CRT" xfId="0"/>
    <cellStyle name="_Others_CRT 2" xfId="0"/>
    <cellStyle name="_Others_CRT 3" xfId="0"/>
    <cellStyle name="_Others_CRT 4" xfId="0"/>
    <cellStyle name="_Others_CRT_By Region" xfId="0"/>
    <cellStyle name="_Others_CRT_CORP SG&amp;A" xfId="0"/>
    <cellStyle name="_Others_CRT_Digitizer" xfId="0"/>
    <cellStyle name="_Others_CRT_GPS OTHER" xfId="0"/>
    <cellStyle name="_Others_CRT_GPS OTHER 2" xfId="0"/>
    <cellStyle name="_Others_CRT_GPS OTHER 3" xfId="0"/>
    <cellStyle name="_Others_CRT_GPS OTHER 4" xfId="0"/>
    <cellStyle name="_Others_CRT_GPS OTHER 4 2" xfId="0"/>
    <cellStyle name="_Others_CRT_GPS OTHER_By Region" xfId="0"/>
    <cellStyle name="_Others_CRT_GPS OTHER_CORP SG&amp;A" xfId="0"/>
    <cellStyle name="_Others_CRT_GPS OTHER_LCD" xfId="0"/>
    <cellStyle name="_Others_CRT_GPS OTHER_PJ" xfId="0"/>
    <cellStyle name="_Others_CRT_LCD" xfId="0"/>
    <cellStyle name="_Others_CRT_LCD 2" xfId="0"/>
    <cellStyle name="_Others_CRT_LCD 3" xfId="0"/>
    <cellStyle name="_Others_CRT_LCD 4" xfId="0"/>
    <cellStyle name="_Others_CRT_LCD_By Region" xfId="0"/>
    <cellStyle name="_Others_CRT_LCD_CORP SG&amp;A" xfId="0"/>
    <cellStyle name="_Others_CRT_LCD_LCD" xfId="0"/>
    <cellStyle name="_Others_CRT_LCD_PJ" xfId="0"/>
    <cellStyle name="_Others_CRT_PC Products" xfId="0"/>
    <cellStyle name="_Others_CRT_PC Products 2" xfId="0"/>
    <cellStyle name="_Others_CRT_PC Products 3" xfId="0"/>
    <cellStyle name="_Others_CRT_PC Products 4" xfId="0"/>
    <cellStyle name="_Others_CRT_PC Products 4 2" xfId="0"/>
    <cellStyle name="_Others_CRT_PC Products_By Region" xfId="0"/>
    <cellStyle name="_Others_CRT_PC Products_CORP SG&amp;A" xfId="0"/>
    <cellStyle name="_Others_CRT_PC Products_LCD" xfId="0"/>
    <cellStyle name="_Others_CRT_PC Products_PJ" xfId="0"/>
    <cellStyle name="_Others_CRT_VSA 111014" xfId="0"/>
    <cellStyle name="_Others_CRT_VSA 111014 2" xfId="0"/>
    <cellStyle name="_Others_CRT_VSA 111014 3" xfId="0"/>
    <cellStyle name="_Others_CRT_VSA 111014 4" xfId="0"/>
    <cellStyle name="_Others_CRT_VSA 111014 4 2" xfId="0"/>
    <cellStyle name="_Others_CRT_VSA 111014_By Region" xfId="0"/>
    <cellStyle name="_Others_CRT_VSA 111014_CORP SG&amp;A" xfId="0"/>
    <cellStyle name="_Others_CRT_VSA 111014_LCD" xfId="0"/>
    <cellStyle name="_Others_CRT_VSA 111014_PJ" xfId="0"/>
    <cellStyle name="_Others_CRT_VSA Roll-Up (LW)" xfId="0"/>
    <cellStyle name="_Others_CRT_VSA Roll-Up (LW) 2" xfId="0"/>
    <cellStyle name="_Others_CRT_VSA Roll-Up (LW) 3" xfId="0"/>
    <cellStyle name="_Others_CRT_VSA Roll-Up (LW) 4" xfId="0"/>
    <cellStyle name="_Others_CRT_VSA Roll-Up (LW) 4 2" xfId="0"/>
    <cellStyle name="_Others_CRT_VSA Roll-Up (LW)_By Region" xfId="0"/>
    <cellStyle name="_Others_CRT_VSA Roll-Up (LW)_CORP SG&amp;A" xfId="0"/>
    <cellStyle name="_Others_CRT_VSA Roll-Up (LW)_LCD" xfId="0"/>
    <cellStyle name="_Others_CRT_VSA Roll-Up (LW)_PJ" xfId="0"/>
    <cellStyle name="_Others_Diff" xfId="0"/>
    <cellStyle name="_Others_Diff 2" xfId="0"/>
    <cellStyle name="_Others_Diff 3" xfId="0"/>
    <cellStyle name="_Others_Diff 4" xfId="0"/>
    <cellStyle name="_Others_Diff_By Region" xfId="0"/>
    <cellStyle name="_Others_Diff_CORP SG&amp;A" xfId="0"/>
    <cellStyle name="_Others_Diff_Digitizer" xfId="0"/>
    <cellStyle name="_Others_Diff_GPS OTHER" xfId="0"/>
    <cellStyle name="_Others_Diff_GPS OTHER 2" xfId="0"/>
    <cellStyle name="_Others_Diff_GPS OTHER 3" xfId="0"/>
    <cellStyle name="_Others_Diff_GPS OTHER 4" xfId="0"/>
    <cellStyle name="_Others_Diff_GPS OTHER 4 2" xfId="0"/>
    <cellStyle name="_Others_Diff_GPS OTHER_By Region" xfId="0"/>
    <cellStyle name="_Others_Diff_GPS OTHER_CORP SG&amp;A" xfId="0"/>
    <cellStyle name="_Others_Diff_GPS OTHER_LCD" xfId="0"/>
    <cellStyle name="_Others_Diff_GPS OTHER_PJ" xfId="0"/>
    <cellStyle name="_Others_Diff_LCD" xfId="0"/>
    <cellStyle name="_Others_Diff_LCD 2" xfId="0"/>
    <cellStyle name="_Others_Diff_LCD 3" xfId="0"/>
    <cellStyle name="_Others_Diff_LCD 4" xfId="0"/>
    <cellStyle name="_Others_Diff_LCD_By Region" xfId="0"/>
    <cellStyle name="_Others_Diff_LCD_CORP SG&amp;A" xfId="0"/>
    <cellStyle name="_Others_Diff_LCD_LCD" xfId="0"/>
    <cellStyle name="_Others_Diff_LCD_PJ" xfId="0"/>
    <cellStyle name="_Others_Diff_PC Products" xfId="0"/>
    <cellStyle name="_Others_Diff_PC Products 2" xfId="0"/>
    <cellStyle name="_Others_Diff_PC Products 3" xfId="0"/>
    <cellStyle name="_Others_Diff_PC Products 4" xfId="0"/>
    <cellStyle name="_Others_Diff_PC Products 4 2" xfId="0"/>
    <cellStyle name="_Others_Diff_PC Products_By Region" xfId="0"/>
    <cellStyle name="_Others_Diff_PC Products_CORP SG&amp;A" xfId="0"/>
    <cellStyle name="_Others_Diff_PC Products_LCD" xfId="0"/>
    <cellStyle name="_Others_Diff_PC Products_PJ" xfId="0"/>
    <cellStyle name="_Others_Diff_VSA 111014" xfId="0"/>
    <cellStyle name="_Others_Diff_VSA 111014 2" xfId="0"/>
    <cellStyle name="_Others_Diff_VSA 111014 3" xfId="0"/>
    <cellStyle name="_Others_Diff_VSA 111014 4" xfId="0"/>
    <cellStyle name="_Others_Diff_VSA 111014 4 2" xfId="0"/>
    <cellStyle name="_Others_Diff_VSA 111014_By Region" xfId="0"/>
    <cellStyle name="_Others_Diff_VSA 111014_CORP SG&amp;A" xfId="0"/>
    <cellStyle name="_Others_Diff_VSA 111014_LCD" xfId="0"/>
    <cellStyle name="_Others_Diff_VSA 111014_PJ" xfId="0"/>
    <cellStyle name="_Others_Diff_VSA Roll-Up (LW)" xfId="0"/>
    <cellStyle name="_Others_Diff_VSA Roll-Up (LW) 2" xfId="0"/>
    <cellStyle name="_Others_Diff_VSA Roll-Up (LW) 3" xfId="0"/>
    <cellStyle name="_Others_Diff_VSA Roll-Up (LW) 4" xfId="0"/>
    <cellStyle name="_Others_Diff_VSA Roll-Up (LW) 4 2" xfId="0"/>
    <cellStyle name="_Others_Diff_VSA Roll-Up (LW)_By Region" xfId="0"/>
    <cellStyle name="_Others_Diff_VSA Roll-Up (LW)_CORP SG&amp;A" xfId="0"/>
    <cellStyle name="_Others_Diff_VSA Roll-Up (LW)_LCD" xfId="0"/>
    <cellStyle name="_Others_Diff_VSA Roll-Up (LW)_PJ" xfId="0"/>
    <cellStyle name="_Others_Digital Product" xfId="0"/>
    <cellStyle name="_Others_Digital Product 2" xfId="0"/>
    <cellStyle name="_Others_Digital Product 3" xfId="0"/>
    <cellStyle name="_Others_Digital Product 4" xfId="0"/>
    <cellStyle name="_Others_Digital Product_By Region" xfId="0"/>
    <cellStyle name="_Others_Digital Product_CORP SG&amp;A" xfId="0"/>
    <cellStyle name="_Others_Digital Product_Digitizer" xfId="0"/>
    <cellStyle name="_Others_Digital Product_GPS OTHER" xfId="0"/>
    <cellStyle name="_Others_Digital Product_GPS OTHER 2" xfId="0"/>
    <cellStyle name="_Others_Digital Product_GPS OTHER 3" xfId="0"/>
    <cellStyle name="_Others_Digital Product_GPS OTHER 4" xfId="0"/>
    <cellStyle name="_Others_Digital Product_GPS OTHER 4 2" xfId="0"/>
    <cellStyle name="_Others_Digital Product_GPS OTHER_By Region" xfId="0"/>
    <cellStyle name="_Others_Digital Product_GPS OTHER_CORP SG&amp;A" xfId="0"/>
    <cellStyle name="_Others_Digital Product_GPS OTHER_LCD" xfId="0"/>
    <cellStyle name="_Others_Digital Product_GPS OTHER_PJ" xfId="0"/>
    <cellStyle name="_Others_Digital Product_LCD" xfId="0"/>
    <cellStyle name="_Others_Digital Product_LCD 2" xfId="0"/>
    <cellStyle name="_Others_Digital Product_LCD 3" xfId="0"/>
    <cellStyle name="_Others_Digital Product_LCD 4" xfId="0"/>
    <cellStyle name="_Others_Digital Product_LCD_By Region" xfId="0"/>
    <cellStyle name="_Others_Digital Product_LCD_CORP SG&amp;A" xfId="0"/>
    <cellStyle name="_Others_Digital Product_LCD_LCD" xfId="0"/>
    <cellStyle name="_Others_Digital Product_LCD_PJ" xfId="0"/>
    <cellStyle name="_Others_Digital Product_PC Products" xfId="0"/>
    <cellStyle name="_Others_Digital Product_PC Products 2" xfId="0"/>
    <cellStyle name="_Others_Digital Product_PC Products 3" xfId="0"/>
    <cellStyle name="_Others_Digital Product_PC Products 4" xfId="0"/>
    <cellStyle name="_Others_Digital Product_PC Products 4 2" xfId="0"/>
    <cellStyle name="_Others_Digital Product_PC Products_By Region" xfId="0"/>
    <cellStyle name="_Others_Digital Product_PC Products_CORP SG&amp;A" xfId="0"/>
    <cellStyle name="_Others_Digital Product_PC Products_LCD" xfId="0"/>
    <cellStyle name="_Others_Digital Product_PC Products_PJ" xfId="0"/>
    <cellStyle name="_Others_Digital Product_VSA 111014" xfId="0"/>
    <cellStyle name="_Others_Digital Product_VSA 111014 2" xfId="0"/>
    <cellStyle name="_Others_Digital Product_VSA 111014 3" xfId="0"/>
    <cellStyle name="_Others_Digital Product_VSA 111014 4" xfId="0"/>
    <cellStyle name="_Others_Digital Product_VSA 111014 4 2" xfId="0"/>
    <cellStyle name="_Others_Digital Product_VSA 111014_By Region" xfId="0"/>
    <cellStyle name="_Others_Digital Product_VSA 111014_CORP SG&amp;A" xfId="0"/>
    <cellStyle name="_Others_Digital Product_VSA 111014_LCD" xfId="0"/>
    <cellStyle name="_Others_Digital Product_VSA 111014_PJ" xfId="0"/>
    <cellStyle name="_Others_Digital Product_VSA Roll-Up (LW)" xfId="0"/>
    <cellStyle name="_Others_Digital Product_VSA Roll-Up (LW) 2" xfId="0"/>
    <cellStyle name="_Others_Digital Product_VSA Roll-Up (LW) 3" xfId="0"/>
    <cellStyle name="_Others_Digital Product_VSA Roll-Up (LW) 4" xfId="0"/>
    <cellStyle name="_Others_Digital Product_VSA Roll-Up (LW) 4 2" xfId="0"/>
    <cellStyle name="_Others_Digital Product_VSA Roll-Up (LW)_By Region" xfId="0"/>
    <cellStyle name="_Others_Digital Product_VSA Roll-Up (LW)_CORP SG&amp;A" xfId="0"/>
    <cellStyle name="_Others_Digital Product_VSA Roll-Up (LW)_LCD" xfId="0"/>
    <cellStyle name="_Others_Digital Product_VSA Roll-Up (LW)_PJ" xfId="0"/>
    <cellStyle name="_Others_Digital Signage" xfId="0"/>
    <cellStyle name="_Others_Digital Signage 2" xfId="0"/>
    <cellStyle name="_Others_Digital Signage 3" xfId="0"/>
    <cellStyle name="_Others_Digital Signage 4" xfId="0"/>
    <cellStyle name="_Others_Digital Signage_By Region" xfId="0"/>
    <cellStyle name="_Others_Digital Signage_CORP SG&amp;A" xfId="0"/>
    <cellStyle name="_Others_Digital Signage_Digitizer" xfId="0"/>
    <cellStyle name="_Others_Digital Signage_GPS OTHER" xfId="0"/>
    <cellStyle name="_Others_Digital Signage_GPS OTHER 2" xfId="0"/>
    <cellStyle name="_Others_Digital Signage_GPS OTHER 3" xfId="0"/>
    <cellStyle name="_Others_Digital Signage_GPS OTHER 4" xfId="0"/>
    <cellStyle name="_Others_Digital Signage_GPS OTHER 4 2" xfId="0"/>
    <cellStyle name="_Others_Digital Signage_GPS OTHER_By Region" xfId="0"/>
    <cellStyle name="_Others_Digital Signage_GPS OTHER_CORP SG&amp;A" xfId="0"/>
    <cellStyle name="_Others_Digital Signage_GPS OTHER_LCD" xfId="0"/>
    <cellStyle name="_Others_Digital Signage_GPS OTHER_PJ" xfId="0"/>
    <cellStyle name="_Others_Digital Signage_LCD" xfId="0"/>
    <cellStyle name="_Others_Digital Signage_LCD 2" xfId="0"/>
    <cellStyle name="_Others_Digital Signage_LCD 3" xfId="0"/>
    <cellStyle name="_Others_Digital Signage_LCD 4" xfId="0"/>
    <cellStyle name="_Others_Digital Signage_LCD_By Region" xfId="0"/>
    <cellStyle name="_Others_Digital Signage_LCD_CORP SG&amp;A" xfId="0"/>
    <cellStyle name="_Others_Digital Signage_LCD_LCD" xfId="0"/>
    <cellStyle name="_Others_Digital Signage_LCD_PJ" xfId="0"/>
    <cellStyle name="_Others_Digital Signage_PC Products" xfId="0"/>
    <cellStyle name="_Others_Digital Signage_PC Products 2" xfId="0"/>
    <cellStyle name="_Others_Digital Signage_PC Products 3" xfId="0"/>
    <cellStyle name="_Others_Digital Signage_PC Products 4" xfId="0"/>
    <cellStyle name="_Others_Digital Signage_PC Products 4 2" xfId="0"/>
    <cellStyle name="_Others_Digital Signage_PC Products_By Region" xfId="0"/>
    <cellStyle name="_Others_Digital Signage_PC Products_CORP SG&amp;A" xfId="0"/>
    <cellStyle name="_Others_Digital Signage_PC Products_LCD" xfId="0"/>
    <cellStyle name="_Others_Digital Signage_PC Products_PJ" xfId="0"/>
    <cellStyle name="_Others_Digital Signage_VSA 111014" xfId="0"/>
    <cellStyle name="_Others_Digital Signage_VSA 111014 2" xfId="0"/>
    <cellStyle name="_Others_Digital Signage_VSA 111014 3" xfId="0"/>
    <cellStyle name="_Others_Digital Signage_VSA 111014 4" xfId="0"/>
    <cellStyle name="_Others_Digital Signage_VSA 111014 4 2" xfId="0"/>
    <cellStyle name="_Others_Digital Signage_VSA 111014_By Region" xfId="0"/>
    <cellStyle name="_Others_Digital Signage_VSA 111014_CORP SG&amp;A" xfId="0"/>
    <cellStyle name="_Others_Digital Signage_VSA 111014_LCD" xfId="0"/>
    <cellStyle name="_Others_Digital Signage_VSA 111014_PJ" xfId="0"/>
    <cellStyle name="_Others_Digital Signage_VSA Roll-Up (LW)" xfId="0"/>
    <cellStyle name="_Others_Digital Signage_VSA Roll-Up (LW) 2" xfId="0"/>
    <cellStyle name="_Others_Digital Signage_VSA Roll-Up (LW) 3" xfId="0"/>
    <cellStyle name="_Others_Digital Signage_VSA Roll-Up (LW) 4" xfId="0"/>
    <cellStyle name="_Others_Digital Signage_VSA Roll-Up (LW) 4 2" xfId="0"/>
    <cellStyle name="_Others_Digital Signage_VSA Roll-Up (LW)_By Region" xfId="0"/>
    <cellStyle name="_Others_Digital Signage_VSA Roll-Up (LW)_CORP SG&amp;A" xfId="0"/>
    <cellStyle name="_Others_Digital Signage_VSA Roll-Up (LW)_LCD" xfId="0"/>
    <cellStyle name="_Others_Digital Signage_VSA Roll-Up (LW)_PJ" xfId="0"/>
    <cellStyle name="_Others_Digitizer" xfId="0"/>
    <cellStyle name="_Others_DMA(VMP)" xfId="0"/>
    <cellStyle name="_Others_DMA(VMP) 2" xfId="0"/>
    <cellStyle name="_Others_DMA(VMP) 3" xfId="0"/>
    <cellStyle name="_Others_DMA(VMP) 4" xfId="0"/>
    <cellStyle name="_Others_DMA(VMP)_By Region" xfId="0"/>
    <cellStyle name="_Others_DMA(VMP)_CORP SG&amp;A" xfId="0"/>
    <cellStyle name="_Others_DMA(VMP)_Digitizer" xfId="0"/>
    <cellStyle name="_Others_DMA(VMP)_GPS OTHER" xfId="0"/>
    <cellStyle name="_Others_DMA(VMP)_GPS OTHER 2" xfId="0"/>
    <cellStyle name="_Others_DMA(VMP)_GPS OTHER 3" xfId="0"/>
    <cellStyle name="_Others_DMA(VMP)_GPS OTHER 4" xfId="0"/>
    <cellStyle name="_Others_DMA(VMP)_GPS OTHER 4 2" xfId="0"/>
    <cellStyle name="_Others_DMA(VMP)_GPS OTHER_By Region" xfId="0"/>
    <cellStyle name="_Others_DMA(VMP)_GPS OTHER_CORP SG&amp;A" xfId="0"/>
    <cellStyle name="_Others_DMA(VMP)_GPS OTHER_LCD" xfId="0"/>
    <cellStyle name="_Others_DMA(VMP)_GPS OTHER_PJ" xfId="0"/>
    <cellStyle name="_Others_DMA(VMP)_LCD" xfId="0"/>
    <cellStyle name="_Others_DMA(VMP)_LCD 2" xfId="0"/>
    <cellStyle name="_Others_DMA(VMP)_LCD 3" xfId="0"/>
    <cellStyle name="_Others_DMA(VMP)_LCD 4" xfId="0"/>
    <cellStyle name="_Others_DMA(VMP)_LCD_By Region" xfId="0"/>
    <cellStyle name="_Others_DMA(VMP)_LCD_CORP SG&amp;A" xfId="0"/>
    <cellStyle name="_Others_DMA(VMP)_LCD_LCD" xfId="0"/>
    <cellStyle name="_Others_DMA(VMP)_LCD_PJ" xfId="0"/>
    <cellStyle name="_Others_DMA(VMP)_PC Products" xfId="0"/>
    <cellStyle name="_Others_DMA(VMP)_PC Products 2" xfId="0"/>
    <cellStyle name="_Others_DMA(VMP)_PC Products 3" xfId="0"/>
    <cellStyle name="_Others_DMA(VMP)_PC Products 4" xfId="0"/>
    <cellStyle name="_Others_DMA(VMP)_PC Products 4 2" xfId="0"/>
    <cellStyle name="_Others_DMA(VMP)_PC Products_By Region" xfId="0"/>
    <cellStyle name="_Others_DMA(VMP)_PC Products_CORP SG&amp;A" xfId="0"/>
    <cellStyle name="_Others_DMA(VMP)_PC Products_LCD" xfId="0"/>
    <cellStyle name="_Others_DMA(VMP)_PC Products_PJ" xfId="0"/>
    <cellStyle name="_Others_DMA(VMP)_VSA 111014" xfId="0"/>
    <cellStyle name="_Others_DMA(VMP)_VSA 111014 2" xfId="0"/>
    <cellStyle name="_Others_DMA(VMP)_VSA 111014 3" xfId="0"/>
    <cellStyle name="_Others_DMA(VMP)_VSA 111014 4" xfId="0"/>
    <cellStyle name="_Others_DMA(VMP)_VSA 111014 4 2" xfId="0"/>
    <cellStyle name="_Others_DMA(VMP)_VSA 111014_By Region" xfId="0"/>
    <cellStyle name="_Others_DMA(VMP)_VSA 111014_CORP SG&amp;A" xfId="0"/>
    <cellStyle name="_Others_DMA(VMP)_VSA 111014_LCD" xfId="0"/>
    <cellStyle name="_Others_DMA(VMP)_VSA 111014_PJ" xfId="0"/>
    <cellStyle name="_Others_DMA(VMP)_VSA Roll-Up (LW)" xfId="0"/>
    <cellStyle name="_Others_DMA(VMP)_VSA Roll-Up (LW) 2" xfId="0"/>
    <cellStyle name="_Others_DMA(VMP)_VSA Roll-Up (LW) 3" xfId="0"/>
    <cellStyle name="_Others_DMA(VMP)_VSA Roll-Up (LW) 4" xfId="0"/>
    <cellStyle name="_Others_DMA(VMP)_VSA Roll-Up (LW) 4 2" xfId="0"/>
    <cellStyle name="_Others_DMA(VMP)_VSA Roll-Up (LW)_By Region" xfId="0"/>
    <cellStyle name="_Others_DMA(VMP)_VSA Roll-Up (LW)_CORP SG&amp;A" xfId="0"/>
    <cellStyle name="_Others_DMA(VMP)_VSA Roll-Up (LW)_LCD" xfId="0"/>
    <cellStyle name="_Others_DMA(VMP)_VSA Roll-Up (LW)_PJ" xfId="0"/>
    <cellStyle name="_Others_DPF" xfId="0"/>
    <cellStyle name="_Others_DPF 2" xfId="0"/>
    <cellStyle name="_Others_DPF 3" xfId="0"/>
    <cellStyle name="_Others_DPF 4" xfId="0"/>
    <cellStyle name="_Others_DPF_By Region" xfId="0"/>
    <cellStyle name="_Others_DPF_CORP SG&amp;A" xfId="0"/>
    <cellStyle name="_Others_DPF_Digitizer" xfId="0"/>
    <cellStyle name="_Others_DPF_GPS OTHER" xfId="0"/>
    <cellStyle name="_Others_DPF_GPS OTHER 2" xfId="0"/>
    <cellStyle name="_Others_DPF_GPS OTHER 3" xfId="0"/>
    <cellStyle name="_Others_DPF_GPS OTHER 4" xfId="0"/>
    <cellStyle name="_Others_DPF_GPS OTHER 4 2" xfId="0"/>
    <cellStyle name="_Others_DPF_GPS OTHER_By Region" xfId="0"/>
    <cellStyle name="_Others_DPF_GPS OTHER_CORP SG&amp;A" xfId="0"/>
    <cellStyle name="_Others_DPF_GPS OTHER_LCD" xfId="0"/>
    <cellStyle name="_Others_DPF_GPS OTHER_PJ" xfId="0"/>
    <cellStyle name="_Others_DPF_LCD" xfId="0"/>
    <cellStyle name="_Others_DPF_LCD 2" xfId="0"/>
    <cellStyle name="_Others_DPF_LCD 3" xfId="0"/>
    <cellStyle name="_Others_DPF_LCD 4" xfId="0"/>
    <cellStyle name="_Others_DPF_LCD_By Region" xfId="0"/>
    <cellStyle name="_Others_DPF_LCD_CORP SG&amp;A" xfId="0"/>
    <cellStyle name="_Others_DPF_LCD_LCD" xfId="0"/>
    <cellStyle name="_Others_DPF_LCD_PJ" xfId="0"/>
    <cellStyle name="_Others_DPF_PC Products" xfId="0"/>
    <cellStyle name="_Others_DPF_PC Products 2" xfId="0"/>
    <cellStyle name="_Others_DPF_PC Products 3" xfId="0"/>
    <cellStyle name="_Others_DPF_PC Products 4" xfId="0"/>
    <cellStyle name="_Others_DPF_PC Products 4 2" xfId="0"/>
    <cellStyle name="_Others_DPF_PC Products_By Region" xfId="0"/>
    <cellStyle name="_Others_DPF_PC Products_CORP SG&amp;A" xfId="0"/>
    <cellStyle name="_Others_DPF_PC Products_LCD" xfId="0"/>
    <cellStyle name="_Others_DPF_PC Products_PJ" xfId="0"/>
    <cellStyle name="_Others_DPF_VSA 111014" xfId="0"/>
    <cellStyle name="_Others_DPF_VSA 111014 2" xfId="0"/>
    <cellStyle name="_Others_DPF_VSA 111014 3" xfId="0"/>
    <cellStyle name="_Others_DPF_VSA 111014 4" xfId="0"/>
    <cellStyle name="_Others_DPF_VSA 111014 4 2" xfId="0"/>
    <cellStyle name="_Others_DPF_VSA 111014_By Region" xfId="0"/>
    <cellStyle name="_Others_DPF_VSA 111014_CORP SG&amp;A" xfId="0"/>
    <cellStyle name="_Others_DPF_VSA 111014_LCD" xfId="0"/>
    <cellStyle name="_Others_DPF_VSA 111014_PJ" xfId="0"/>
    <cellStyle name="_Others_DPF_VSA Roll-Up (LW)" xfId="0"/>
    <cellStyle name="_Others_DPF_VSA Roll-Up (LW) 2" xfId="0"/>
    <cellStyle name="_Others_DPF_VSA Roll-Up (LW) 3" xfId="0"/>
    <cellStyle name="_Others_DPF_VSA Roll-Up (LW) 4" xfId="0"/>
    <cellStyle name="_Others_DPF_VSA Roll-Up (LW) 4 2" xfId="0"/>
    <cellStyle name="_Others_DPF_VSA Roll-Up (LW)_By Region" xfId="0"/>
    <cellStyle name="_Others_DPF_VSA Roll-Up (LW)_CORP SG&amp;A" xfId="0"/>
    <cellStyle name="_Others_DPF_VSA Roll-Up (LW)_LCD" xfId="0"/>
    <cellStyle name="_Others_DPF_VSA Roll-Up (LW)_PJ" xfId="0"/>
    <cellStyle name="_Others_DS" xfId="0"/>
    <cellStyle name="_Others_DS 2" xfId="0"/>
    <cellStyle name="_Others_DS 3" xfId="0"/>
    <cellStyle name="_Others_DS 4" xfId="0"/>
    <cellStyle name="_Others_DS_By Region" xfId="0"/>
    <cellStyle name="_Others_DS_CORP SG&amp;A" xfId="0"/>
    <cellStyle name="_Others_DS_Digitizer" xfId="0"/>
    <cellStyle name="_Others_DS_GPS OTHER" xfId="0"/>
    <cellStyle name="_Others_DS_GPS OTHER 2" xfId="0"/>
    <cellStyle name="_Others_DS_GPS OTHER 3" xfId="0"/>
    <cellStyle name="_Others_DS_GPS OTHER 4" xfId="0"/>
    <cellStyle name="_Others_DS_GPS OTHER 4 2" xfId="0"/>
    <cellStyle name="_Others_DS_GPS OTHER_By Region" xfId="0"/>
    <cellStyle name="_Others_DS_GPS OTHER_CORP SG&amp;A" xfId="0"/>
    <cellStyle name="_Others_DS_GPS OTHER_LCD" xfId="0"/>
    <cellStyle name="_Others_DS_GPS OTHER_PJ" xfId="0"/>
    <cellStyle name="_Others_DS_LCD" xfId="0"/>
    <cellStyle name="_Others_DS_LCD 2" xfId="0"/>
    <cellStyle name="_Others_DS_LCD 3" xfId="0"/>
    <cellStyle name="_Others_DS_LCD 4" xfId="0"/>
    <cellStyle name="_Others_DS_LCD_By Region" xfId="0"/>
    <cellStyle name="_Others_DS_LCD_CORP SG&amp;A" xfId="0"/>
    <cellStyle name="_Others_DS_LCD_LCD" xfId="0"/>
    <cellStyle name="_Others_DS_LCD_PJ" xfId="0"/>
    <cellStyle name="_Others_DS_PC Products" xfId="0"/>
    <cellStyle name="_Others_DS_PC Products 2" xfId="0"/>
    <cellStyle name="_Others_DS_PC Products 3" xfId="0"/>
    <cellStyle name="_Others_DS_PC Products 4" xfId="0"/>
    <cellStyle name="_Others_DS_PC Products 4 2" xfId="0"/>
    <cellStyle name="_Others_DS_PC Products_By Region" xfId="0"/>
    <cellStyle name="_Others_DS_PC Products_CORP SG&amp;A" xfId="0"/>
    <cellStyle name="_Others_DS_PC Products_LCD" xfId="0"/>
    <cellStyle name="_Others_DS_PC Products_PJ" xfId="0"/>
    <cellStyle name="_Others_DS_VSA 111014" xfId="0"/>
    <cellStyle name="_Others_DS_VSA 111014 2" xfId="0"/>
    <cellStyle name="_Others_DS_VSA 111014 3" xfId="0"/>
    <cellStyle name="_Others_DS_VSA 111014 4" xfId="0"/>
    <cellStyle name="_Others_DS_VSA 111014 4 2" xfId="0"/>
    <cellStyle name="_Others_DS_VSA 111014_By Region" xfId="0"/>
    <cellStyle name="_Others_DS_VSA 111014_CORP SG&amp;A" xfId="0"/>
    <cellStyle name="_Others_DS_VSA 111014_LCD" xfId="0"/>
    <cellStyle name="_Others_DS_VSA 111014_PJ" xfId="0"/>
    <cellStyle name="_Others_DS_VSA Roll-Up (LW)" xfId="0"/>
    <cellStyle name="_Others_DS_VSA Roll-Up (LW) 2" xfId="0"/>
    <cellStyle name="_Others_DS_VSA Roll-Up (LW) 3" xfId="0"/>
    <cellStyle name="_Others_DS_VSA Roll-Up (LW) 4" xfId="0"/>
    <cellStyle name="_Others_DS_VSA Roll-Up (LW) 4 2" xfId="0"/>
    <cellStyle name="_Others_DS_VSA Roll-Up (LW)_By Region" xfId="0"/>
    <cellStyle name="_Others_DS_VSA Roll-Up (LW)_CORP SG&amp;A" xfId="0"/>
    <cellStyle name="_Others_DS_VSA Roll-Up (LW)_LCD" xfId="0"/>
    <cellStyle name="_Others_DS_VSA Roll-Up (LW)_PJ" xfId="0"/>
    <cellStyle name="_Others_DVD_TV" xfId="0"/>
    <cellStyle name="_Others_DVD_TV 2" xfId="0"/>
    <cellStyle name="_Others_DVD_TV 3" xfId="0"/>
    <cellStyle name="_Others_DVD_TV 4" xfId="0"/>
    <cellStyle name="_Others_DVD_TV_By Region" xfId="0"/>
    <cellStyle name="_Others_DVD_TV_CORP SG&amp;A" xfId="0"/>
    <cellStyle name="_Others_DVD_TV_Digitizer" xfId="0"/>
    <cellStyle name="_Others_DVD_TV_GPS OTHER" xfId="0"/>
    <cellStyle name="_Others_DVD_TV_GPS OTHER 2" xfId="0"/>
    <cellStyle name="_Others_DVD_TV_GPS OTHER 3" xfId="0"/>
    <cellStyle name="_Others_DVD_TV_GPS OTHER 4" xfId="0"/>
    <cellStyle name="_Others_DVD_TV_GPS OTHER 4 2" xfId="0"/>
    <cellStyle name="_Others_DVD_TV_GPS OTHER_By Region" xfId="0"/>
    <cellStyle name="_Others_DVD_TV_GPS OTHER_CORP SG&amp;A" xfId="0"/>
    <cellStyle name="_Others_DVD_TV_GPS OTHER_LCD" xfId="0"/>
    <cellStyle name="_Others_DVD_TV_GPS OTHER_PJ" xfId="0"/>
    <cellStyle name="_Others_DVD_TV_LCD" xfId="0"/>
    <cellStyle name="_Others_DVD_TV_LCD 2" xfId="0"/>
    <cellStyle name="_Others_DVD_TV_LCD 3" xfId="0"/>
    <cellStyle name="_Others_DVD_TV_LCD 4" xfId="0"/>
    <cellStyle name="_Others_DVD_TV_LCD_By Region" xfId="0"/>
    <cellStyle name="_Others_DVD_TV_LCD_CORP SG&amp;A" xfId="0"/>
    <cellStyle name="_Others_DVD_TV_LCD_LCD" xfId="0"/>
    <cellStyle name="_Others_DVD_TV_LCD_PJ" xfId="0"/>
    <cellStyle name="_Others_DVD_TV_PC Products" xfId="0"/>
    <cellStyle name="_Others_DVD_TV_PC Products 2" xfId="0"/>
    <cellStyle name="_Others_DVD_TV_PC Products 3" xfId="0"/>
    <cellStyle name="_Others_DVD_TV_PC Products 4" xfId="0"/>
    <cellStyle name="_Others_DVD_TV_PC Products 4 2" xfId="0"/>
    <cellStyle name="_Others_DVD_TV_PC Products_By Region" xfId="0"/>
    <cellStyle name="_Others_DVD_TV_PC Products_CORP SG&amp;A" xfId="0"/>
    <cellStyle name="_Others_DVD_TV_PC Products_LCD" xfId="0"/>
    <cellStyle name="_Others_DVD_TV_PC Products_PJ" xfId="0"/>
    <cellStyle name="_Others_DVD_TV_VSA 111014" xfId="0"/>
    <cellStyle name="_Others_DVD_TV_VSA 111014 2" xfId="0"/>
    <cellStyle name="_Others_DVD_TV_VSA 111014 3" xfId="0"/>
    <cellStyle name="_Others_DVD_TV_VSA 111014 4" xfId="0"/>
    <cellStyle name="_Others_DVD_TV_VSA 111014 4 2" xfId="0"/>
    <cellStyle name="_Others_DVD_TV_VSA 111014_By Region" xfId="0"/>
    <cellStyle name="_Others_DVD_TV_VSA 111014_CORP SG&amp;A" xfId="0"/>
    <cellStyle name="_Others_DVD_TV_VSA 111014_LCD" xfId="0"/>
    <cellStyle name="_Others_DVD_TV_VSA 111014_PJ" xfId="0"/>
    <cellStyle name="_Others_DVD_TV_VSA Roll-Up (LW)" xfId="0"/>
    <cellStyle name="_Others_DVD_TV_VSA Roll-Up (LW) 2" xfId="0"/>
    <cellStyle name="_Others_DVD_TV_VSA Roll-Up (LW) 3" xfId="0"/>
    <cellStyle name="_Others_DVD_TV_VSA Roll-Up (LW) 4" xfId="0"/>
    <cellStyle name="_Others_DVD_TV_VSA Roll-Up (LW) 4 2" xfId="0"/>
    <cellStyle name="_Others_DVD_TV_VSA Roll-Up (LW)_By Region" xfId="0"/>
    <cellStyle name="_Others_DVD_TV_VSA Roll-Up (LW)_CORP SG&amp;A" xfId="0"/>
    <cellStyle name="_Others_DVD_TV_VSA Roll-Up (LW)_LCD" xfId="0"/>
    <cellStyle name="_Others_DVD_TV_VSA Roll-Up (LW)_PJ" xfId="0"/>
    <cellStyle name="_Others_GPS OTHER" xfId="0"/>
    <cellStyle name="_Others_GPS OTHER 2" xfId="0"/>
    <cellStyle name="_Others_GPS OTHER 3" xfId="0"/>
    <cellStyle name="_Others_GPS OTHER 4" xfId="0"/>
    <cellStyle name="_Others_GPS OTHER 4 2" xfId="0"/>
    <cellStyle name="_Others_GPS OTHER_By Region" xfId="0"/>
    <cellStyle name="_Others_GPS OTHER_CORP SG&amp;A" xfId="0"/>
    <cellStyle name="_Others_GPS OTHER_LCD" xfId="0"/>
    <cellStyle name="_Others_GPS OTHER_PJ" xfId="0"/>
    <cellStyle name="_Others_LCD" xfId="0"/>
    <cellStyle name="_Others_LCD 2" xfId="0"/>
    <cellStyle name="_Others_LCD 3" xfId="0"/>
    <cellStyle name="_Others_LCD 4" xfId="0"/>
    <cellStyle name="_Others_LCD_1" xfId="0"/>
    <cellStyle name="_Others_LCD_1 2" xfId="0"/>
    <cellStyle name="_Others_LCD_1 3" xfId="0"/>
    <cellStyle name="_Others_LCD_1 4" xfId="0"/>
    <cellStyle name="_Others_LCD_1_By Region" xfId="0"/>
    <cellStyle name="_Others_LCD_1_CORP SG&amp;A" xfId="0"/>
    <cellStyle name="_Others_LCD_1_LCD" xfId="0"/>
    <cellStyle name="_Others_LCD_1_PJ" xfId="0"/>
    <cellStyle name="_Others_LCD_By Region" xfId="0"/>
    <cellStyle name="_Others_LCD_CORP SG&amp;A" xfId="0"/>
    <cellStyle name="_Others_LCD_Digitizer" xfId="0"/>
    <cellStyle name="_Others_LCD_GPS OTHER" xfId="0"/>
    <cellStyle name="_Others_LCD_GPS OTHER 2" xfId="0"/>
    <cellStyle name="_Others_LCD_GPS OTHER 3" xfId="0"/>
    <cellStyle name="_Others_LCD_GPS OTHER 4" xfId="0"/>
    <cellStyle name="_Others_LCD_GPS OTHER 4 2" xfId="0"/>
    <cellStyle name="_Others_LCD_GPS OTHER_By Region" xfId="0"/>
    <cellStyle name="_Others_LCD_GPS OTHER_CORP SG&amp;A" xfId="0"/>
    <cellStyle name="_Others_LCD_GPS OTHER_LCD" xfId="0"/>
    <cellStyle name="_Others_LCD_GPS OTHER_PJ" xfId="0"/>
    <cellStyle name="_Others_LCD_LCD" xfId="0"/>
    <cellStyle name="_Others_LCD_LCD 2" xfId="0"/>
    <cellStyle name="_Others_LCD_LCD 3" xfId="0"/>
    <cellStyle name="_Others_LCD_LCD 4" xfId="0"/>
    <cellStyle name="_Others_LCD_LCD_By Region" xfId="0"/>
    <cellStyle name="_Others_LCD_LCD_CORP SG&amp;A" xfId="0"/>
    <cellStyle name="_Others_LCD_LCD_LCD" xfId="0"/>
    <cellStyle name="_Others_LCD_LCD_PJ" xfId="0"/>
    <cellStyle name="_Others_LCD_PC Products" xfId="0"/>
    <cellStyle name="_Others_LCD_PC Products 2" xfId="0"/>
    <cellStyle name="_Others_LCD_PC Products 3" xfId="0"/>
    <cellStyle name="_Others_LCD_PC Products 4" xfId="0"/>
    <cellStyle name="_Others_LCD_PC Products 4 2" xfId="0"/>
    <cellStyle name="_Others_LCD_PC Products_By Region" xfId="0"/>
    <cellStyle name="_Others_LCD_PC Products_CORP SG&amp;A" xfId="0"/>
    <cellStyle name="_Others_LCD_PC Products_LCD" xfId="0"/>
    <cellStyle name="_Others_LCD_PC Products_PJ" xfId="0"/>
    <cellStyle name="_Others_LCD_VSA 111014" xfId="0"/>
    <cellStyle name="_Others_LCD_VSA 111014 2" xfId="0"/>
    <cellStyle name="_Others_LCD_VSA 111014 3" xfId="0"/>
    <cellStyle name="_Others_LCD_VSA 111014 4" xfId="0"/>
    <cellStyle name="_Others_LCD_VSA 111014 4 2" xfId="0"/>
    <cellStyle name="_Others_LCD_VSA 111014_By Region" xfId="0"/>
    <cellStyle name="_Others_LCD_VSA 111014_CORP SG&amp;A" xfId="0"/>
    <cellStyle name="_Others_LCD_VSA 111014_LCD" xfId="0"/>
    <cellStyle name="_Others_LCD_VSA 111014_PJ" xfId="0"/>
    <cellStyle name="_Others_LCD_VSA Roll-Up (LW)" xfId="0"/>
    <cellStyle name="_Others_LCD_VSA Roll-Up (LW) 2" xfId="0"/>
    <cellStyle name="_Others_LCD_VSA Roll-Up (LW) 3" xfId="0"/>
    <cellStyle name="_Others_LCD_VSA Roll-Up (LW) 4" xfId="0"/>
    <cellStyle name="_Others_LCD_VSA Roll-Up (LW) 4 2" xfId="0"/>
    <cellStyle name="_Others_LCD_VSA Roll-Up (LW)_By Region" xfId="0"/>
    <cellStyle name="_Others_LCD_VSA Roll-Up (LW)_CORP SG&amp;A" xfId="0"/>
    <cellStyle name="_Others_LCD_VSA Roll-Up (LW)_LCD" xfId="0"/>
    <cellStyle name="_Others_LCD_VSA Roll-Up (LW)_PJ" xfId="0"/>
    <cellStyle name="_Others_LCDTV" xfId="0"/>
    <cellStyle name="_Others_LCDTV 2" xfId="0"/>
    <cellStyle name="_Others_LCDTV 3" xfId="0"/>
    <cellStyle name="_Others_LCDTV 4" xfId="0"/>
    <cellStyle name="_Others_LCDTV_By Region" xfId="0"/>
    <cellStyle name="_Others_LCDTV_CORP SG&amp;A" xfId="0"/>
    <cellStyle name="_Others_LCDTV_Digitizer" xfId="0"/>
    <cellStyle name="_Others_LCDTV_GPS OTHER" xfId="0"/>
    <cellStyle name="_Others_LCDTV_GPS OTHER 2" xfId="0"/>
    <cellStyle name="_Others_LCDTV_GPS OTHER 3" xfId="0"/>
    <cellStyle name="_Others_LCDTV_GPS OTHER 4" xfId="0"/>
    <cellStyle name="_Others_LCDTV_GPS OTHER 4 2" xfId="0"/>
    <cellStyle name="_Others_LCDTV_GPS OTHER_By Region" xfId="0"/>
    <cellStyle name="_Others_LCDTV_GPS OTHER_CORP SG&amp;A" xfId="0"/>
    <cellStyle name="_Others_LCDTV_GPS OTHER_LCD" xfId="0"/>
    <cellStyle name="_Others_LCDTV_GPS OTHER_PJ" xfId="0"/>
    <cellStyle name="_Others_LCDTV_LCD" xfId="0"/>
    <cellStyle name="_Others_LCDTV_LCD 2" xfId="0"/>
    <cellStyle name="_Others_LCDTV_LCD 3" xfId="0"/>
    <cellStyle name="_Others_LCDTV_LCD 4" xfId="0"/>
    <cellStyle name="_Others_LCDTV_LCD_By Region" xfId="0"/>
    <cellStyle name="_Others_LCDTV_LCD_CORP SG&amp;A" xfId="0"/>
    <cellStyle name="_Others_LCDTV_LCD_LCD" xfId="0"/>
    <cellStyle name="_Others_LCDTV_LCD_PJ" xfId="0"/>
    <cellStyle name="_Others_LCDTV_PC Products" xfId="0"/>
    <cellStyle name="_Others_LCDTV_PC Products 2" xfId="0"/>
    <cellStyle name="_Others_LCDTV_PC Products 3" xfId="0"/>
    <cellStyle name="_Others_LCDTV_PC Products 4" xfId="0"/>
    <cellStyle name="_Others_LCDTV_PC Products 4 2" xfId="0"/>
    <cellStyle name="_Others_LCDTV_PC Products_By Region" xfId="0"/>
    <cellStyle name="_Others_LCDTV_PC Products_CORP SG&amp;A" xfId="0"/>
    <cellStyle name="_Others_LCDTV_PC Products_LCD" xfId="0"/>
    <cellStyle name="_Others_LCDTV_PC Products_PJ" xfId="0"/>
    <cellStyle name="_Others_LCDTV_VSA 111014" xfId="0"/>
    <cellStyle name="_Others_LCDTV_VSA 111014 2" xfId="0"/>
    <cellStyle name="_Others_LCDTV_VSA 111014 3" xfId="0"/>
    <cellStyle name="_Others_LCDTV_VSA 111014 4" xfId="0"/>
    <cellStyle name="_Others_LCDTV_VSA 111014 4 2" xfId="0"/>
    <cellStyle name="_Others_LCDTV_VSA 111014_By Region" xfId="0"/>
    <cellStyle name="_Others_LCDTV_VSA 111014_CORP SG&amp;A" xfId="0"/>
    <cellStyle name="_Others_LCDTV_VSA 111014_LCD" xfId="0"/>
    <cellStyle name="_Others_LCDTV_VSA 111014_PJ" xfId="0"/>
    <cellStyle name="_Others_LCDTV_VSA Roll-Up (LW)" xfId="0"/>
    <cellStyle name="_Others_LCDTV_VSA Roll-Up (LW) 2" xfId="0"/>
    <cellStyle name="_Others_LCDTV_VSA Roll-Up (LW) 3" xfId="0"/>
    <cellStyle name="_Others_LCDTV_VSA Roll-Up (LW) 4" xfId="0"/>
    <cellStyle name="_Others_LCDTV_VSA Roll-Up (LW) 4 2" xfId="0"/>
    <cellStyle name="_Others_LCDTV_VSA Roll-Up (LW)_By Region" xfId="0"/>
    <cellStyle name="_Others_LCDTV_VSA Roll-Up (LW)_CORP SG&amp;A" xfId="0"/>
    <cellStyle name="_Others_LCDTV_VSA Roll-Up (LW)_LCD" xfId="0"/>
    <cellStyle name="_Others_LCDTV_VSA Roll-Up (LW)_PJ" xfId="0"/>
    <cellStyle name="_Others_MNT" xfId="0"/>
    <cellStyle name="_Others_MNT 2" xfId="0"/>
    <cellStyle name="_Others_MNT 3" xfId="0"/>
    <cellStyle name="_Others_MNT 4" xfId="0"/>
    <cellStyle name="_Others_MNT_By Region" xfId="0"/>
    <cellStyle name="_Others_MNT_CORP SG&amp;A" xfId="0"/>
    <cellStyle name="_Others_MNT_Digitizer" xfId="0"/>
    <cellStyle name="_Others_MNT_GPS OTHER" xfId="0"/>
    <cellStyle name="_Others_MNT_GPS OTHER 2" xfId="0"/>
    <cellStyle name="_Others_MNT_GPS OTHER 3" xfId="0"/>
    <cellStyle name="_Others_MNT_GPS OTHER 4" xfId="0"/>
    <cellStyle name="_Others_MNT_GPS OTHER 4 2" xfId="0"/>
    <cellStyle name="_Others_MNT_GPS OTHER_By Region" xfId="0"/>
    <cellStyle name="_Others_MNT_GPS OTHER_CORP SG&amp;A" xfId="0"/>
    <cellStyle name="_Others_MNT_GPS OTHER_LCD" xfId="0"/>
    <cellStyle name="_Others_MNT_GPS OTHER_PJ" xfId="0"/>
    <cellStyle name="_Others_MNT_LCD" xfId="0"/>
    <cellStyle name="_Others_MNT_LCD 2" xfId="0"/>
    <cellStyle name="_Others_MNT_LCD 3" xfId="0"/>
    <cellStyle name="_Others_MNT_LCD 4" xfId="0"/>
    <cellStyle name="_Others_MNT_LCD_By Region" xfId="0"/>
    <cellStyle name="_Others_MNT_LCD_CORP SG&amp;A" xfId="0"/>
    <cellStyle name="_Others_MNT_LCD_LCD" xfId="0"/>
    <cellStyle name="_Others_MNT_LCD_PJ" xfId="0"/>
    <cellStyle name="_Others_MNT_PC Products" xfId="0"/>
    <cellStyle name="_Others_MNT_PC Products 2" xfId="0"/>
    <cellStyle name="_Others_MNT_PC Products 3" xfId="0"/>
    <cellStyle name="_Others_MNT_PC Products 4" xfId="0"/>
    <cellStyle name="_Others_MNT_PC Products 4 2" xfId="0"/>
    <cellStyle name="_Others_MNT_PC Products_By Region" xfId="0"/>
    <cellStyle name="_Others_MNT_PC Products_CORP SG&amp;A" xfId="0"/>
    <cellStyle name="_Others_MNT_PC Products_LCD" xfId="0"/>
    <cellStyle name="_Others_MNT_PC Products_PJ" xfId="0"/>
    <cellStyle name="_Others_MNT_VSA 111014" xfId="0"/>
    <cellStyle name="_Others_MNT_VSA 111014 2" xfId="0"/>
    <cellStyle name="_Others_MNT_VSA 111014 3" xfId="0"/>
    <cellStyle name="_Others_MNT_VSA 111014 4" xfId="0"/>
    <cellStyle name="_Others_MNT_VSA 111014 4 2" xfId="0"/>
    <cellStyle name="_Others_MNT_VSA 111014_By Region" xfId="0"/>
    <cellStyle name="_Others_MNT_VSA 111014_CORP SG&amp;A" xfId="0"/>
    <cellStyle name="_Others_MNT_VSA 111014_LCD" xfId="0"/>
    <cellStyle name="_Others_MNT_VSA 111014_PJ" xfId="0"/>
    <cellStyle name="_Others_MNT_VSA Roll-Up (LW)" xfId="0"/>
    <cellStyle name="_Others_MNT_VSA Roll-Up (LW) 2" xfId="0"/>
    <cellStyle name="_Others_MNT_VSA Roll-Up (LW) 3" xfId="0"/>
    <cellStyle name="_Others_MNT_VSA Roll-Up (LW) 4" xfId="0"/>
    <cellStyle name="_Others_MNT_VSA Roll-Up (LW) 4 2" xfId="0"/>
    <cellStyle name="_Others_MNT_VSA Roll-Up (LW)_By Region" xfId="0"/>
    <cellStyle name="_Others_MNT_VSA Roll-Up (LW)_CORP SG&amp;A" xfId="0"/>
    <cellStyle name="_Others_MNT_VSA Roll-Up (LW)_LCD" xfId="0"/>
    <cellStyle name="_Others_MNT_VSA Roll-Up (LW)_PJ" xfId="0"/>
    <cellStyle name="_Others_Other" xfId="0"/>
    <cellStyle name="_Others_Other 2" xfId="0"/>
    <cellStyle name="_Others_Other 3" xfId="0"/>
    <cellStyle name="_Others_Other 4" xfId="0"/>
    <cellStyle name="_Others_Other_By Region" xfId="0"/>
    <cellStyle name="_Others_Other_CORP SG&amp;A" xfId="0"/>
    <cellStyle name="_Others_Other_Digitizer" xfId="0"/>
    <cellStyle name="_Others_Other_GPS OTHER" xfId="0"/>
    <cellStyle name="_Others_Other_GPS OTHER 2" xfId="0"/>
    <cellStyle name="_Others_Other_GPS OTHER 3" xfId="0"/>
    <cellStyle name="_Others_Other_GPS OTHER 4" xfId="0"/>
    <cellStyle name="_Others_Other_GPS OTHER 4 2" xfId="0"/>
    <cellStyle name="_Others_Other_GPS OTHER_By Region" xfId="0"/>
    <cellStyle name="_Others_Other_GPS OTHER_CORP SG&amp;A" xfId="0"/>
    <cellStyle name="_Others_Other_GPS OTHER_LCD" xfId="0"/>
    <cellStyle name="_Others_Other_GPS OTHER_PJ" xfId="0"/>
    <cellStyle name="_Others_Other_LCD" xfId="0"/>
    <cellStyle name="_Others_Other_LCD 2" xfId="0"/>
    <cellStyle name="_Others_Other_LCD 3" xfId="0"/>
    <cellStyle name="_Others_Other_LCD 4" xfId="0"/>
    <cellStyle name="_Others_Other_LCD_By Region" xfId="0"/>
    <cellStyle name="_Others_Other_LCD_CORP SG&amp;A" xfId="0"/>
    <cellStyle name="_Others_Other_LCD_LCD" xfId="0"/>
    <cellStyle name="_Others_Other_LCD_PJ" xfId="0"/>
    <cellStyle name="_Others_Other_PC Products" xfId="0"/>
    <cellStyle name="_Others_Other_PC Products 2" xfId="0"/>
    <cellStyle name="_Others_Other_PC Products 3" xfId="0"/>
    <cellStyle name="_Others_Other_PC Products 4" xfId="0"/>
    <cellStyle name="_Others_Other_PC Products 4 2" xfId="0"/>
    <cellStyle name="_Others_Other_PC Products_By Region" xfId="0"/>
    <cellStyle name="_Others_Other_PC Products_CORP SG&amp;A" xfId="0"/>
    <cellStyle name="_Others_Other_PC Products_LCD" xfId="0"/>
    <cellStyle name="_Others_Other_PC Products_PJ" xfId="0"/>
    <cellStyle name="_Others_Other_VSA 111014" xfId="0"/>
    <cellStyle name="_Others_Other_VSA 111014 2" xfId="0"/>
    <cellStyle name="_Others_Other_VSA 111014 3" xfId="0"/>
    <cellStyle name="_Others_Other_VSA 111014 4" xfId="0"/>
    <cellStyle name="_Others_Other_VSA 111014 4 2" xfId="0"/>
    <cellStyle name="_Others_Other_VSA 111014_By Region" xfId="0"/>
    <cellStyle name="_Others_Other_VSA 111014_CORP SG&amp;A" xfId="0"/>
    <cellStyle name="_Others_Other_VSA 111014_LCD" xfId="0"/>
    <cellStyle name="_Others_Other_VSA 111014_PJ" xfId="0"/>
    <cellStyle name="_Others_Other_VSA Roll-Up (LW)" xfId="0"/>
    <cellStyle name="_Others_Other_VSA Roll-Up (LW) 2" xfId="0"/>
    <cellStyle name="_Others_Other_VSA Roll-Up (LW) 3" xfId="0"/>
    <cellStyle name="_Others_Other_VSA Roll-Up (LW) 4" xfId="0"/>
    <cellStyle name="_Others_Other_VSA Roll-Up (LW) 4 2" xfId="0"/>
    <cellStyle name="_Others_Other_VSA Roll-Up (LW)_By Region" xfId="0"/>
    <cellStyle name="_Others_Other_VSA Roll-Up (LW)_CORP SG&amp;A" xfId="0"/>
    <cellStyle name="_Others_Other_VSA Roll-Up (LW)_LCD" xfId="0"/>
    <cellStyle name="_Others_Other_VSA Roll-Up (LW)_PJ" xfId="0"/>
    <cellStyle name="_Others_PC" xfId="0"/>
    <cellStyle name="_Others_PC 2" xfId="0"/>
    <cellStyle name="_Others_PC 3" xfId="0"/>
    <cellStyle name="_Others_PC 4" xfId="0"/>
    <cellStyle name="_Others_PC Products" xfId="0"/>
    <cellStyle name="_Others_PC Products 2" xfId="0"/>
    <cellStyle name="_Others_PC Products 3" xfId="0"/>
    <cellStyle name="_Others_PC Products 4" xfId="0"/>
    <cellStyle name="_Others_PC Products 4 2" xfId="0"/>
    <cellStyle name="_Others_PC Products_By Region" xfId="0"/>
    <cellStyle name="_Others_PC Products_CORP SG&amp;A" xfId="0"/>
    <cellStyle name="_Others_PC Products_LCD" xfId="0"/>
    <cellStyle name="_Others_PC Products_PJ" xfId="0"/>
    <cellStyle name="_Others_PC_By Region" xfId="0"/>
    <cellStyle name="_Others_PC_CORP SG&amp;A" xfId="0"/>
    <cellStyle name="_Others_PC_Digitizer" xfId="0"/>
    <cellStyle name="_Others_PC_DT" xfId="0"/>
    <cellStyle name="_Others_PC_DT 2" xfId="0"/>
    <cellStyle name="_Others_PC_DT 3" xfId="0"/>
    <cellStyle name="_Others_PC_DT_By Region" xfId="0"/>
    <cellStyle name="_Others_PC_GPS OTHER" xfId="0"/>
    <cellStyle name="_Others_PC_GPS OTHER 2" xfId="0"/>
    <cellStyle name="_Others_PC_GPS OTHER 3" xfId="0"/>
    <cellStyle name="_Others_PC_GPS OTHER 4" xfId="0"/>
    <cellStyle name="_Others_PC_GPS OTHER 4 2" xfId="0"/>
    <cellStyle name="_Others_PC_GPS OTHER_By Region" xfId="0"/>
    <cellStyle name="_Others_PC_GPS OTHER_CORP SG&amp;A" xfId="0"/>
    <cellStyle name="_Others_PC_GPS OTHER_LCD" xfId="0"/>
    <cellStyle name="_Others_PC_GPS OTHER_PJ" xfId="0"/>
    <cellStyle name="_Others_PC_LCD" xfId="0"/>
    <cellStyle name="_Others_PC_LCD 2" xfId="0"/>
    <cellStyle name="_Others_PC_LCD 3" xfId="0"/>
    <cellStyle name="_Others_PC_LCD 4" xfId="0"/>
    <cellStyle name="_Others_PC_LCD_By Region" xfId="0"/>
    <cellStyle name="_Others_PC_LCD_CORP SG&amp;A" xfId="0"/>
    <cellStyle name="_Others_PC_LCD_LCD" xfId="0"/>
    <cellStyle name="_Others_PC_LCD_PJ" xfId="0"/>
    <cellStyle name="_Others_PC_PC Products" xfId="0"/>
    <cellStyle name="_Others_PC_PC Products 2" xfId="0"/>
    <cellStyle name="_Others_PC_PC Products 3" xfId="0"/>
    <cellStyle name="_Others_PC_PC Products 4" xfId="0"/>
    <cellStyle name="_Others_PC_PC Products 4 2" xfId="0"/>
    <cellStyle name="_Others_PC_PC Products_By Region" xfId="0"/>
    <cellStyle name="_Others_PC_PC Products_CORP SG&amp;A" xfId="0"/>
    <cellStyle name="_Others_PC_PC Products_LCD" xfId="0"/>
    <cellStyle name="_Others_PC_PC Products_PJ" xfId="0"/>
    <cellStyle name="_Others_PC_TV" xfId="0"/>
    <cellStyle name="_Others_PC_TV 2" xfId="0"/>
    <cellStyle name="_Others_PC_TV 3" xfId="0"/>
    <cellStyle name="_Others_PC_TV 4" xfId="0"/>
    <cellStyle name="_Others_PC_TV_By Region" xfId="0"/>
    <cellStyle name="_Others_PC_TV_CORP SG&amp;A" xfId="0"/>
    <cellStyle name="_Others_PC_TV_Digitizer" xfId="0"/>
    <cellStyle name="_Others_PC_TV_GPS OTHER" xfId="0"/>
    <cellStyle name="_Others_PC_TV_GPS OTHER 2" xfId="0"/>
    <cellStyle name="_Others_PC_TV_GPS OTHER 3" xfId="0"/>
    <cellStyle name="_Others_PC_TV_GPS OTHER 4" xfId="0"/>
    <cellStyle name="_Others_PC_TV_GPS OTHER 4 2" xfId="0"/>
    <cellStyle name="_Others_PC_TV_GPS OTHER_By Region" xfId="0"/>
    <cellStyle name="_Others_PC_TV_GPS OTHER_CORP SG&amp;A" xfId="0"/>
    <cellStyle name="_Others_PC_TV_GPS OTHER_LCD" xfId="0"/>
    <cellStyle name="_Others_PC_TV_GPS OTHER_PJ" xfId="0"/>
    <cellStyle name="_Others_PC_TV_LCD" xfId="0"/>
    <cellStyle name="_Others_PC_TV_LCD 2" xfId="0"/>
    <cellStyle name="_Others_PC_TV_LCD 3" xfId="0"/>
    <cellStyle name="_Others_PC_TV_LCD 4" xfId="0"/>
    <cellStyle name="_Others_PC_TV_LCD_By Region" xfId="0"/>
    <cellStyle name="_Others_PC_TV_LCD_CORP SG&amp;A" xfId="0"/>
    <cellStyle name="_Others_PC_TV_LCD_LCD" xfId="0"/>
    <cellStyle name="_Others_PC_TV_LCD_PJ" xfId="0"/>
    <cellStyle name="_Others_PC_TV_PC Products" xfId="0"/>
    <cellStyle name="_Others_PC_TV_PC Products 2" xfId="0"/>
    <cellStyle name="_Others_PC_TV_PC Products 3" xfId="0"/>
    <cellStyle name="_Others_PC_TV_PC Products 4" xfId="0"/>
    <cellStyle name="_Others_PC_TV_PC Products 4 2" xfId="0"/>
    <cellStyle name="_Others_PC_TV_PC Products_By Region" xfId="0"/>
    <cellStyle name="_Others_PC_TV_PC Products_CORP SG&amp;A" xfId="0"/>
    <cellStyle name="_Others_PC_TV_PC Products_LCD" xfId="0"/>
    <cellStyle name="_Others_PC_TV_PC Products_PJ" xfId="0"/>
    <cellStyle name="_Others_PC_TV_VSA 111014" xfId="0"/>
    <cellStyle name="_Others_PC_TV_VSA 111014 2" xfId="0"/>
    <cellStyle name="_Others_PC_TV_VSA 111014 3" xfId="0"/>
    <cellStyle name="_Others_PC_TV_VSA 111014 4" xfId="0"/>
    <cellStyle name="_Others_PC_TV_VSA 111014 4 2" xfId="0"/>
    <cellStyle name="_Others_PC_TV_VSA 111014_By Region" xfId="0"/>
    <cellStyle name="_Others_PC_TV_VSA 111014_CORP SG&amp;A" xfId="0"/>
    <cellStyle name="_Others_PC_TV_VSA 111014_LCD" xfId="0"/>
    <cellStyle name="_Others_PC_TV_VSA 111014_PJ" xfId="0"/>
    <cellStyle name="_Others_PC_TV_VSA Roll-Up (LW)" xfId="0"/>
    <cellStyle name="_Others_PC_TV_VSA Roll-Up (LW) 2" xfId="0"/>
    <cellStyle name="_Others_PC_TV_VSA Roll-Up (LW) 3" xfId="0"/>
    <cellStyle name="_Others_PC_TV_VSA Roll-Up (LW) 4" xfId="0"/>
    <cellStyle name="_Others_PC_TV_VSA Roll-Up (LW) 4 2" xfId="0"/>
    <cellStyle name="_Others_PC_TV_VSA Roll-Up (LW)_By Region" xfId="0"/>
    <cellStyle name="_Others_PC_TV_VSA Roll-Up (LW)_CORP SG&amp;A" xfId="0"/>
    <cellStyle name="_Others_PC_TV_VSA Roll-Up (LW)_LCD" xfId="0"/>
    <cellStyle name="_Others_PC_TV_VSA Roll-Up (LW)_PJ" xfId="0"/>
    <cellStyle name="_Others_PC_VSA 111014" xfId="0"/>
    <cellStyle name="_Others_PC_VSA 111014 2" xfId="0"/>
    <cellStyle name="_Others_PC_VSA 111014 3" xfId="0"/>
    <cellStyle name="_Others_PC_VSA 111014 4" xfId="0"/>
    <cellStyle name="_Others_PC_VSA 111014 4 2" xfId="0"/>
    <cellStyle name="_Others_PC_VSA 111014_By Region" xfId="0"/>
    <cellStyle name="_Others_PC_VSA 111014_CORP SG&amp;A" xfId="0"/>
    <cellStyle name="_Others_PC_VSA 111014_LCD" xfId="0"/>
    <cellStyle name="_Others_PC_VSA 111014_PJ" xfId="0"/>
    <cellStyle name="_Others_PC_VSA Roll-Up (LW)" xfId="0"/>
    <cellStyle name="_Others_PC_VSA Roll-Up (LW) 2" xfId="0"/>
    <cellStyle name="_Others_PC_VSA Roll-Up (LW) 3" xfId="0"/>
    <cellStyle name="_Others_PC_VSA Roll-Up (LW) 4" xfId="0"/>
    <cellStyle name="_Others_PC_VSA Roll-Up (LW) 4 2" xfId="0"/>
    <cellStyle name="_Others_PC_VSA Roll-Up (LW)_By Region" xfId="0"/>
    <cellStyle name="_Others_PC_VSA Roll-Up (LW)_CORP SG&amp;A" xfId="0"/>
    <cellStyle name="_Others_PC_VSA Roll-Up (LW)_LCD" xfId="0"/>
    <cellStyle name="_Others_PC_VSA Roll-Up (LW)_PJ" xfId="0"/>
    <cellStyle name="_Others_PJ" xfId="0"/>
    <cellStyle name="_Others_PJ 2" xfId="0"/>
    <cellStyle name="_Others_PJ 3" xfId="0"/>
    <cellStyle name="_Others_PJ 4" xfId="0"/>
    <cellStyle name="_Others_PJ_By Region" xfId="0"/>
    <cellStyle name="_Others_PJ_CORP SG&amp;A" xfId="0"/>
    <cellStyle name="_Others_PJ_Digitizer" xfId="0"/>
    <cellStyle name="_Others_PJ_GPS OTHER" xfId="0"/>
    <cellStyle name="_Others_PJ_GPS OTHER 2" xfId="0"/>
    <cellStyle name="_Others_PJ_GPS OTHER 3" xfId="0"/>
    <cellStyle name="_Others_PJ_GPS OTHER 4" xfId="0"/>
    <cellStyle name="_Others_PJ_GPS OTHER 4 2" xfId="0"/>
    <cellStyle name="_Others_PJ_GPS OTHER_By Region" xfId="0"/>
    <cellStyle name="_Others_PJ_GPS OTHER_CORP SG&amp;A" xfId="0"/>
    <cellStyle name="_Others_PJ_GPS OTHER_LCD" xfId="0"/>
    <cellStyle name="_Others_PJ_GPS OTHER_PJ" xfId="0"/>
    <cellStyle name="_Others_PJ_LCD" xfId="0"/>
    <cellStyle name="_Others_PJ_LCD 2" xfId="0"/>
    <cellStyle name="_Others_PJ_LCD 3" xfId="0"/>
    <cellStyle name="_Others_PJ_LCD 4" xfId="0"/>
    <cellStyle name="_Others_PJ_LCD_By Region" xfId="0"/>
    <cellStyle name="_Others_PJ_LCD_CORP SG&amp;A" xfId="0"/>
    <cellStyle name="_Others_PJ_LCD_LCD" xfId="0"/>
    <cellStyle name="_Others_PJ_LCD_PJ" xfId="0"/>
    <cellStyle name="_Others_PJ_PC Products" xfId="0"/>
    <cellStyle name="_Others_PJ_PC Products 2" xfId="0"/>
    <cellStyle name="_Others_PJ_PC Products 3" xfId="0"/>
    <cellStyle name="_Others_PJ_PC Products 4" xfId="0"/>
    <cellStyle name="_Others_PJ_PC Products 4 2" xfId="0"/>
    <cellStyle name="_Others_PJ_PC Products_By Region" xfId="0"/>
    <cellStyle name="_Others_PJ_PC Products_CORP SG&amp;A" xfId="0"/>
    <cellStyle name="_Others_PJ_PC Products_LCD" xfId="0"/>
    <cellStyle name="_Others_PJ_PC Products_PJ" xfId="0"/>
    <cellStyle name="_Others_PJ_VSA 111014" xfId="0"/>
    <cellStyle name="_Others_PJ_VSA 111014 2" xfId="0"/>
    <cellStyle name="_Others_PJ_VSA 111014 3" xfId="0"/>
    <cellStyle name="_Others_PJ_VSA 111014 4" xfId="0"/>
    <cellStyle name="_Others_PJ_VSA 111014 4 2" xfId="0"/>
    <cellStyle name="_Others_PJ_VSA 111014_By Region" xfId="0"/>
    <cellStyle name="_Others_PJ_VSA 111014_CORP SG&amp;A" xfId="0"/>
    <cellStyle name="_Others_PJ_VSA 111014_LCD" xfId="0"/>
    <cellStyle name="_Others_PJ_VSA 111014_PJ" xfId="0"/>
    <cellStyle name="_Others_PJ_VSA Roll-Up (LW)" xfId="0"/>
    <cellStyle name="_Others_PJ_VSA Roll-Up (LW) 2" xfId="0"/>
    <cellStyle name="_Others_PJ_VSA Roll-Up (LW) 3" xfId="0"/>
    <cellStyle name="_Others_PJ_VSA Roll-Up (LW) 4" xfId="0"/>
    <cellStyle name="_Others_PJ_VSA Roll-Up (LW) 4 2" xfId="0"/>
    <cellStyle name="_Others_PJ_VSA Roll-Up (LW)_By Region" xfId="0"/>
    <cellStyle name="_Others_PJ_VSA Roll-Up (LW)_CORP SG&amp;A" xfId="0"/>
    <cellStyle name="_Others_PJ_VSA Roll-Up (LW)_LCD" xfId="0"/>
    <cellStyle name="_Others_PJ_VSA Roll-Up (LW)_PJ" xfId="0"/>
    <cellStyle name="_Others_PMP(VPD)" xfId="0"/>
    <cellStyle name="_Others_PMP(VPD) 2" xfId="0"/>
    <cellStyle name="_Others_PMP(VPD) 3" xfId="0"/>
    <cellStyle name="_Others_PMP(VPD) 4" xfId="0"/>
    <cellStyle name="_Others_PMP(VPD)_By Region" xfId="0"/>
    <cellStyle name="_Others_PMP(VPD)_CORP SG&amp;A" xfId="0"/>
    <cellStyle name="_Others_PMP(VPD)_Digitizer" xfId="0"/>
    <cellStyle name="_Others_PMP(VPD)_GPS OTHER" xfId="0"/>
    <cellStyle name="_Others_PMP(VPD)_GPS OTHER 2" xfId="0"/>
    <cellStyle name="_Others_PMP(VPD)_GPS OTHER 3" xfId="0"/>
    <cellStyle name="_Others_PMP(VPD)_GPS OTHER 4" xfId="0"/>
    <cellStyle name="_Others_PMP(VPD)_GPS OTHER 4 2" xfId="0"/>
    <cellStyle name="_Others_PMP(VPD)_GPS OTHER_By Region" xfId="0"/>
    <cellStyle name="_Others_PMP(VPD)_GPS OTHER_CORP SG&amp;A" xfId="0"/>
    <cellStyle name="_Others_PMP(VPD)_GPS OTHER_LCD" xfId="0"/>
    <cellStyle name="_Others_PMP(VPD)_GPS OTHER_PJ" xfId="0"/>
    <cellStyle name="_Others_PMP(VPD)_LCD" xfId="0"/>
    <cellStyle name="_Others_PMP(VPD)_LCD 2" xfId="0"/>
    <cellStyle name="_Others_PMP(VPD)_LCD 3" xfId="0"/>
    <cellStyle name="_Others_PMP(VPD)_LCD 4" xfId="0"/>
    <cellStyle name="_Others_PMP(VPD)_LCD_By Region" xfId="0"/>
    <cellStyle name="_Others_PMP(VPD)_LCD_CORP SG&amp;A" xfId="0"/>
    <cellStyle name="_Others_PMP(VPD)_LCD_LCD" xfId="0"/>
    <cellStyle name="_Others_PMP(VPD)_LCD_PJ" xfId="0"/>
    <cellStyle name="_Others_PMP(VPD)_PC Products" xfId="0"/>
    <cellStyle name="_Others_PMP(VPD)_PC Products 2" xfId="0"/>
    <cellStyle name="_Others_PMP(VPD)_PC Products 3" xfId="0"/>
    <cellStyle name="_Others_PMP(VPD)_PC Products 4" xfId="0"/>
    <cellStyle name="_Others_PMP(VPD)_PC Products 4 2" xfId="0"/>
    <cellStyle name="_Others_PMP(VPD)_PC Products_By Region" xfId="0"/>
    <cellStyle name="_Others_PMP(VPD)_PC Products_CORP SG&amp;A" xfId="0"/>
    <cellStyle name="_Others_PMP(VPD)_PC Products_LCD" xfId="0"/>
    <cellStyle name="_Others_PMP(VPD)_PC Products_PJ" xfId="0"/>
    <cellStyle name="_Others_PMP(VPD)_VSA 111014" xfId="0"/>
    <cellStyle name="_Others_PMP(VPD)_VSA 111014 2" xfId="0"/>
    <cellStyle name="_Others_PMP(VPD)_VSA 111014 3" xfId="0"/>
    <cellStyle name="_Others_PMP(VPD)_VSA 111014 4" xfId="0"/>
    <cellStyle name="_Others_PMP(VPD)_VSA 111014 4 2" xfId="0"/>
    <cellStyle name="_Others_PMP(VPD)_VSA 111014_By Region" xfId="0"/>
    <cellStyle name="_Others_PMP(VPD)_VSA 111014_CORP SG&amp;A" xfId="0"/>
    <cellStyle name="_Others_PMP(VPD)_VSA 111014_LCD" xfId="0"/>
    <cellStyle name="_Others_PMP(VPD)_VSA 111014_PJ" xfId="0"/>
    <cellStyle name="_Others_PMP(VPD)_VSA Roll-Up (LW)" xfId="0"/>
    <cellStyle name="_Others_PMP(VPD)_VSA Roll-Up (LW) 2" xfId="0"/>
    <cellStyle name="_Others_PMP(VPD)_VSA Roll-Up (LW) 3" xfId="0"/>
    <cellStyle name="_Others_PMP(VPD)_VSA Roll-Up (LW) 4" xfId="0"/>
    <cellStyle name="_Others_PMP(VPD)_VSA Roll-Up (LW) 4 2" xfId="0"/>
    <cellStyle name="_Others_PMP(VPD)_VSA Roll-Up (LW)_By Region" xfId="0"/>
    <cellStyle name="_Others_PMP(VPD)_VSA Roll-Up (LW)_CORP SG&amp;A" xfId="0"/>
    <cellStyle name="_Others_PMP(VPD)_VSA Roll-Up (LW)_LCD" xfId="0"/>
    <cellStyle name="_Others_PMP(VPD)_VSA Roll-Up (LW)_PJ" xfId="0"/>
    <cellStyle name="_Others_Pocket TV" xfId="0"/>
    <cellStyle name="_Others_Pocket TV 2" xfId="0"/>
    <cellStyle name="_Others_Pocket TV 3" xfId="0"/>
    <cellStyle name="_Others_Pocket TV 4" xfId="0"/>
    <cellStyle name="_Others_Pocket TV_By Region" xfId="0"/>
    <cellStyle name="_Others_Pocket TV_CORP SG&amp;A" xfId="0"/>
    <cellStyle name="_Others_Pocket TV_Digitizer" xfId="0"/>
    <cellStyle name="_Others_Pocket TV_GPS OTHER" xfId="0"/>
    <cellStyle name="_Others_Pocket TV_GPS OTHER 2" xfId="0"/>
    <cellStyle name="_Others_Pocket TV_GPS OTHER 3" xfId="0"/>
    <cellStyle name="_Others_Pocket TV_GPS OTHER 4" xfId="0"/>
    <cellStyle name="_Others_Pocket TV_GPS OTHER 4 2" xfId="0"/>
    <cellStyle name="_Others_Pocket TV_GPS OTHER_By Region" xfId="0"/>
    <cellStyle name="_Others_Pocket TV_GPS OTHER_CORP SG&amp;A" xfId="0"/>
    <cellStyle name="_Others_Pocket TV_GPS OTHER_LCD" xfId="0"/>
    <cellStyle name="_Others_Pocket TV_GPS OTHER_PJ" xfId="0"/>
    <cellStyle name="_Others_Pocket TV_LCD" xfId="0"/>
    <cellStyle name="_Others_Pocket TV_LCD 2" xfId="0"/>
    <cellStyle name="_Others_Pocket TV_LCD 3" xfId="0"/>
    <cellStyle name="_Others_Pocket TV_LCD 4" xfId="0"/>
    <cellStyle name="_Others_Pocket TV_LCD_By Region" xfId="0"/>
    <cellStyle name="_Others_Pocket TV_LCD_CORP SG&amp;A" xfId="0"/>
    <cellStyle name="_Others_Pocket TV_LCD_LCD" xfId="0"/>
    <cellStyle name="_Others_Pocket TV_LCD_PJ" xfId="0"/>
    <cellStyle name="_Others_Pocket TV_PC Products" xfId="0"/>
    <cellStyle name="_Others_Pocket TV_PC Products 2" xfId="0"/>
    <cellStyle name="_Others_Pocket TV_PC Products 3" xfId="0"/>
    <cellStyle name="_Others_Pocket TV_PC Products 4" xfId="0"/>
    <cellStyle name="_Others_Pocket TV_PC Products 4 2" xfId="0"/>
    <cellStyle name="_Others_Pocket TV_PC Products_By Region" xfId="0"/>
    <cellStyle name="_Others_Pocket TV_PC Products_CORP SG&amp;A" xfId="0"/>
    <cellStyle name="_Others_Pocket TV_PC Products_LCD" xfId="0"/>
    <cellStyle name="_Others_Pocket TV_PC Products_PJ" xfId="0"/>
    <cellStyle name="_Others_Pocket TV_VSA 111014" xfId="0"/>
    <cellStyle name="_Others_Pocket TV_VSA 111014 2" xfId="0"/>
    <cellStyle name="_Others_Pocket TV_VSA 111014 3" xfId="0"/>
    <cellStyle name="_Others_Pocket TV_VSA 111014 4" xfId="0"/>
    <cellStyle name="_Others_Pocket TV_VSA 111014 4 2" xfId="0"/>
    <cellStyle name="_Others_Pocket TV_VSA 111014_By Region" xfId="0"/>
    <cellStyle name="_Others_Pocket TV_VSA 111014_CORP SG&amp;A" xfId="0"/>
    <cellStyle name="_Others_Pocket TV_VSA 111014_LCD" xfId="0"/>
    <cellStyle name="_Others_Pocket TV_VSA 111014_PJ" xfId="0"/>
    <cellStyle name="_Others_Pocket TV_VSA Roll-Up (LW)" xfId="0"/>
    <cellStyle name="_Others_Pocket TV_VSA Roll-Up (LW) 2" xfId="0"/>
    <cellStyle name="_Others_Pocket TV_VSA Roll-Up (LW) 3" xfId="0"/>
    <cellStyle name="_Others_Pocket TV_VSA Roll-Up (LW) 4" xfId="0"/>
    <cellStyle name="_Others_Pocket TV_VSA Roll-Up (LW) 4 2" xfId="0"/>
    <cellStyle name="_Others_Pocket TV_VSA Roll-Up (LW)_By Region" xfId="0"/>
    <cellStyle name="_Others_Pocket TV_VSA Roll-Up (LW)_CORP SG&amp;A" xfId="0"/>
    <cellStyle name="_Others_Pocket TV_VSA Roll-Up (LW)_LCD" xfId="0"/>
    <cellStyle name="_Others_Pocket TV_VSA Roll-Up (LW)_PJ" xfId="0"/>
    <cellStyle name="_Others_Pocket_TV" xfId="0"/>
    <cellStyle name="_Others_Pocket_TV 2" xfId="0"/>
    <cellStyle name="_Others_Pocket_TV 3" xfId="0"/>
    <cellStyle name="_Others_Pocket_TV 4" xfId="0"/>
    <cellStyle name="_Others_Pocket_TV_By Region" xfId="0"/>
    <cellStyle name="_Others_Pocket_TV_CORP SG&amp;A" xfId="0"/>
    <cellStyle name="_Others_Pocket_TV_Digitizer" xfId="0"/>
    <cellStyle name="_Others_Pocket_TV_GPS OTHER" xfId="0"/>
    <cellStyle name="_Others_Pocket_TV_GPS OTHER 2" xfId="0"/>
    <cellStyle name="_Others_Pocket_TV_GPS OTHER 3" xfId="0"/>
    <cellStyle name="_Others_Pocket_TV_GPS OTHER 4" xfId="0"/>
    <cellStyle name="_Others_Pocket_TV_GPS OTHER 4 2" xfId="0"/>
    <cellStyle name="_Others_Pocket_TV_GPS OTHER_By Region" xfId="0"/>
    <cellStyle name="_Others_Pocket_TV_GPS OTHER_CORP SG&amp;A" xfId="0"/>
    <cellStyle name="_Others_Pocket_TV_GPS OTHER_LCD" xfId="0"/>
    <cellStyle name="_Others_Pocket_TV_GPS OTHER_PJ" xfId="0"/>
    <cellStyle name="_Others_Pocket_TV_LCD" xfId="0"/>
    <cellStyle name="_Others_Pocket_TV_LCD 2" xfId="0"/>
    <cellStyle name="_Others_Pocket_TV_LCD 3" xfId="0"/>
    <cellStyle name="_Others_Pocket_TV_LCD 4" xfId="0"/>
    <cellStyle name="_Others_Pocket_TV_LCD_By Region" xfId="0"/>
    <cellStyle name="_Others_Pocket_TV_LCD_CORP SG&amp;A" xfId="0"/>
    <cellStyle name="_Others_Pocket_TV_LCD_LCD" xfId="0"/>
    <cellStyle name="_Others_Pocket_TV_LCD_PJ" xfId="0"/>
    <cellStyle name="_Others_Pocket_TV_PC Products" xfId="0"/>
    <cellStyle name="_Others_Pocket_TV_PC Products 2" xfId="0"/>
    <cellStyle name="_Others_Pocket_TV_PC Products 3" xfId="0"/>
    <cellStyle name="_Others_Pocket_TV_PC Products 4" xfId="0"/>
    <cellStyle name="_Others_Pocket_TV_PC Products 4 2" xfId="0"/>
    <cellStyle name="_Others_Pocket_TV_PC Products_By Region" xfId="0"/>
    <cellStyle name="_Others_Pocket_TV_PC Products_CORP SG&amp;A" xfId="0"/>
    <cellStyle name="_Others_Pocket_TV_PC Products_LCD" xfId="0"/>
    <cellStyle name="_Others_Pocket_TV_PC Products_PJ" xfId="0"/>
    <cellStyle name="_Others_Pocket_TV_VSA 111014" xfId="0"/>
    <cellStyle name="_Others_Pocket_TV_VSA 111014 2" xfId="0"/>
    <cellStyle name="_Others_Pocket_TV_VSA 111014 3" xfId="0"/>
    <cellStyle name="_Others_Pocket_TV_VSA 111014 4" xfId="0"/>
    <cellStyle name="_Others_Pocket_TV_VSA 111014 4 2" xfId="0"/>
    <cellStyle name="_Others_Pocket_TV_VSA 111014_By Region" xfId="0"/>
    <cellStyle name="_Others_Pocket_TV_VSA 111014_CORP SG&amp;A" xfId="0"/>
    <cellStyle name="_Others_Pocket_TV_VSA 111014_LCD" xfId="0"/>
    <cellStyle name="_Others_Pocket_TV_VSA 111014_PJ" xfId="0"/>
    <cellStyle name="_Others_Pocket_TV_VSA Roll-Up (LW)" xfId="0"/>
    <cellStyle name="_Others_Pocket_TV_VSA Roll-Up (LW) 2" xfId="0"/>
    <cellStyle name="_Others_Pocket_TV_VSA Roll-Up (LW) 3" xfId="0"/>
    <cellStyle name="_Others_Pocket_TV_VSA Roll-Up (LW) 4" xfId="0"/>
    <cellStyle name="_Others_Pocket_TV_VSA Roll-Up (LW) 4 2" xfId="0"/>
    <cellStyle name="_Others_Pocket_TV_VSA Roll-Up (LW)_By Region" xfId="0"/>
    <cellStyle name="_Others_Pocket_TV_VSA Roll-Up (LW)_CORP SG&amp;A" xfId="0"/>
    <cellStyle name="_Others_Pocket_TV_VSA Roll-Up (LW)_LCD" xfId="0"/>
    <cellStyle name="_Others_Pocket_TV_VSA Roll-Up (LW)_PJ" xfId="0"/>
    <cellStyle name="_Others_TV" xfId="0"/>
    <cellStyle name="_Others_TV 2" xfId="0"/>
    <cellStyle name="_Others_TV 3" xfId="0"/>
    <cellStyle name="_Others_TV 4" xfId="0"/>
    <cellStyle name="_Others_TV_By Region" xfId="0"/>
    <cellStyle name="_Others_TV_CORP SG&amp;A" xfId="0"/>
    <cellStyle name="_Others_TV_Digitizer" xfId="0"/>
    <cellStyle name="_Others_TV_GPS OTHER" xfId="0"/>
    <cellStyle name="_Others_TV_GPS OTHER 2" xfId="0"/>
    <cellStyle name="_Others_TV_GPS OTHER 3" xfId="0"/>
    <cellStyle name="_Others_TV_GPS OTHER 4" xfId="0"/>
    <cellStyle name="_Others_TV_GPS OTHER 4 2" xfId="0"/>
    <cellStyle name="_Others_TV_GPS OTHER_By Region" xfId="0"/>
    <cellStyle name="_Others_TV_GPS OTHER_CORP SG&amp;A" xfId="0"/>
    <cellStyle name="_Others_TV_GPS OTHER_LCD" xfId="0"/>
    <cellStyle name="_Others_TV_GPS OTHER_PJ" xfId="0"/>
    <cellStyle name="_Others_TV_LCD" xfId="0"/>
    <cellStyle name="_Others_TV_LCD 2" xfId="0"/>
    <cellStyle name="_Others_TV_LCD 3" xfId="0"/>
    <cellStyle name="_Others_TV_LCD 4" xfId="0"/>
    <cellStyle name="_Others_TV_LCD_By Region" xfId="0"/>
    <cellStyle name="_Others_TV_LCD_CORP SG&amp;A" xfId="0"/>
    <cellStyle name="_Others_TV_LCD_LCD" xfId="0"/>
    <cellStyle name="_Others_TV_LCD_PJ" xfId="0"/>
    <cellStyle name="_Others_TV_PC Products" xfId="0"/>
    <cellStyle name="_Others_TV_PC Products 2" xfId="0"/>
    <cellStyle name="_Others_TV_PC Products 3" xfId="0"/>
    <cellStyle name="_Others_TV_PC Products 4" xfId="0"/>
    <cellStyle name="_Others_TV_PC Products 4 2" xfId="0"/>
    <cellStyle name="_Others_TV_PC Products_By Region" xfId="0"/>
    <cellStyle name="_Others_TV_PC Products_CORP SG&amp;A" xfId="0"/>
    <cellStyle name="_Others_TV_PC Products_LCD" xfId="0"/>
    <cellStyle name="_Others_TV_PC Products_PJ" xfId="0"/>
    <cellStyle name="_Others_TV_VSA 111014" xfId="0"/>
    <cellStyle name="_Others_TV_VSA 111014 2" xfId="0"/>
    <cellStyle name="_Others_TV_VSA 111014 3" xfId="0"/>
    <cellStyle name="_Others_TV_VSA 111014 4" xfId="0"/>
    <cellStyle name="_Others_TV_VSA 111014 4 2" xfId="0"/>
    <cellStyle name="_Others_TV_VSA 111014_By Region" xfId="0"/>
    <cellStyle name="_Others_TV_VSA 111014_CORP SG&amp;A" xfId="0"/>
    <cellStyle name="_Others_TV_VSA 111014_LCD" xfId="0"/>
    <cellStyle name="_Others_TV_VSA 111014_PJ" xfId="0"/>
    <cellStyle name="_Others_TV_VSA Roll-Up (LW)" xfId="0"/>
    <cellStyle name="_Others_TV_VSA Roll-Up (LW) 2" xfId="0"/>
    <cellStyle name="_Others_TV_VSA Roll-Up (LW) 3" xfId="0"/>
    <cellStyle name="_Others_TV_VSA Roll-Up (LW) 4" xfId="0"/>
    <cellStyle name="_Others_TV_VSA Roll-Up (LW) 4 2" xfId="0"/>
    <cellStyle name="_Others_TV_VSA Roll-Up (LW)_By Region" xfId="0"/>
    <cellStyle name="_Others_TV_VSA Roll-Up (LW)_CORP SG&amp;A" xfId="0"/>
    <cellStyle name="_Others_TV_VSA Roll-Up (LW)_LCD" xfId="0"/>
    <cellStyle name="_Others_TV_VSA Roll-Up (LW)_PJ" xfId="0"/>
    <cellStyle name="_Others_VD" xfId="0"/>
    <cellStyle name="_Others_VD 2" xfId="0"/>
    <cellStyle name="_Others_VD 3" xfId="0"/>
    <cellStyle name="_Others_VD 4" xfId="0"/>
    <cellStyle name="_Others_VD_By Region" xfId="0"/>
    <cellStyle name="_Others_VD_CORP SG&amp;A" xfId="0"/>
    <cellStyle name="_Others_VD_Digitizer" xfId="0"/>
    <cellStyle name="_Others_VD_GPS OTHER" xfId="0"/>
    <cellStyle name="_Others_VD_GPS OTHER 2" xfId="0"/>
    <cellStyle name="_Others_VD_GPS OTHER 3" xfId="0"/>
    <cellStyle name="_Others_VD_GPS OTHER 4" xfId="0"/>
    <cellStyle name="_Others_VD_GPS OTHER 4 2" xfId="0"/>
    <cellStyle name="_Others_VD_GPS OTHER_By Region" xfId="0"/>
    <cellStyle name="_Others_VD_GPS OTHER_CORP SG&amp;A" xfId="0"/>
    <cellStyle name="_Others_VD_GPS OTHER_LCD" xfId="0"/>
    <cellStyle name="_Others_VD_GPS OTHER_PJ" xfId="0"/>
    <cellStyle name="_Others_VD_LCD" xfId="0"/>
    <cellStyle name="_Others_VD_LCD 2" xfId="0"/>
    <cellStyle name="_Others_VD_LCD 3" xfId="0"/>
    <cellStyle name="_Others_VD_LCD 4" xfId="0"/>
    <cellStyle name="_Others_VD_LCD_By Region" xfId="0"/>
    <cellStyle name="_Others_VD_LCD_CORP SG&amp;A" xfId="0"/>
    <cellStyle name="_Others_VD_LCD_LCD" xfId="0"/>
    <cellStyle name="_Others_VD_LCD_PJ" xfId="0"/>
    <cellStyle name="_Others_VD_PC Products" xfId="0"/>
    <cellStyle name="_Others_VD_PC Products 2" xfId="0"/>
    <cellStyle name="_Others_VD_PC Products 3" xfId="0"/>
    <cellStyle name="_Others_VD_PC Products 4" xfId="0"/>
    <cellStyle name="_Others_VD_PC Products 4 2" xfId="0"/>
    <cellStyle name="_Others_VD_PC Products_By Region" xfId="0"/>
    <cellStyle name="_Others_VD_PC Products_CORP SG&amp;A" xfId="0"/>
    <cellStyle name="_Others_VD_PC Products_LCD" xfId="0"/>
    <cellStyle name="_Others_VD_PC Products_PJ" xfId="0"/>
    <cellStyle name="_Others_VD_VSA 111014" xfId="0"/>
    <cellStyle name="_Others_VD_VSA 111014 2" xfId="0"/>
    <cellStyle name="_Others_VD_VSA 111014 3" xfId="0"/>
    <cellStyle name="_Others_VD_VSA 111014 4" xfId="0"/>
    <cellStyle name="_Others_VD_VSA 111014 4 2" xfId="0"/>
    <cellStyle name="_Others_VD_VSA 111014_By Region" xfId="0"/>
    <cellStyle name="_Others_VD_VSA 111014_CORP SG&amp;A" xfId="0"/>
    <cellStyle name="_Others_VD_VSA 111014_LCD" xfId="0"/>
    <cellStyle name="_Others_VD_VSA 111014_PJ" xfId="0"/>
    <cellStyle name="_Others_VD_VSA Roll-Up (LW)" xfId="0"/>
    <cellStyle name="_Others_VD_VSA Roll-Up (LW) 2" xfId="0"/>
    <cellStyle name="_Others_VD_VSA Roll-Up (LW) 3" xfId="0"/>
    <cellStyle name="_Others_VD_VSA Roll-Up (LW) 4" xfId="0"/>
    <cellStyle name="_Others_VD_VSA Roll-Up (LW) 4 2" xfId="0"/>
    <cellStyle name="_Others_VD_VSA Roll-Up (LW)_By Region" xfId="0"/>
    <cellStyle name="_Others_VD_VSA Roll-Up (LW)_CORP SG&amp;A" xfId="0"/>
    <cellStyle name="_Others_VD_VSA Roll-Up (LW)_LCD" xfId="0"/>
    <cellStyle name="_Others_VD_VSA Roll-Up (LW)_PJ" xfId="0"/>
    <cellStyle name="_Others_VSA 111014" xfId="0"/>
    <cellStyle name="_Others_VSA 111014 2" xfId="0"/>
    <cellStyle name="_Others_VSA 111014 3" xfId="0"/>
    <cellStyle name="_Others_VSA 111014 4" xfId="0"/>
    <cellStyle name="_Others_VSA 111014 4 2" xfId="0"/>
    <cellStyle name="_Others_VSA 111014_By Region" xfId="0"/>
    <cellStyle name="_Others_VSA 111014_CORP SG&amp;A" xfId="0"/>
    <cellStyle name="_Others_VSA 111014_LCD" xfId="0"/>
    <cellStyle name="_Others_VSA 111014_PJ" xfId="0"/>
    <cellStyle name="_Others_VSA Roll-Up (LW)" xfId="0"/>
    <cellStyle name="_Others_VSA Roll-Up (LW) 2" xfId="0"/>
    <cellStyle name="_Others_VSA Roll-Up (LW) 3" xfId="0"/>
    <cellStyle name="_Others_VSA Roll-Up (LW) 4" xfId="0"/>
    <cellStyle name="_Others_VSA Roll-Up (LW) 4 2" xfId="0"/>
    <cellStyle name="_Others_VSA Roll-Up (LW)_By Region" xfId="0"/>
    <cellStyle name="_Others_VSA Roll-Up (LW)_CORP SG&amp;A" xfId="0"/>
    <cellStyle name="_Others_VSA Roll-Up (LW)_LCD" xfId="0"/>
    <cellStyle name="_Others_VSA Roll-Up (LW)_PJ" xfId="0"/>
    <cellStyle name="_Others_VSE 2011 Budget" xfId="0"/>
    <cellStyle name="_Others_VSE 2011 Budget 2" xfId="0"/>
    <cellStyle name="_Others_VSE 2011 Budget 3" xfId="0"/>
    <cellStyle name="_Others_VSE 2011 Budget 4" xfId="0"/>
    <cellStyle name="_Others_VSE 2011 Budget_By Region" xfId="0"/>
    <cellStyle name="_Others_VSE 2011 Budget_CORP SG&amp;A" xfId="0"/>
    <cellStyle name="_Others_VSE 2011 Budget_Digitizer" xfId="0"/>
    <cellStyle name="_Others_VSE 2011 Budget_GPS OTHER" xfId="0"/>
    <cellStyle name="_Others_VSE 2011 Budget_GPS OTHER 2" xfId="0"/>
    <cellStyle name="_Others_VSE 2011 Budget_GPS OTHER 3" xfId="0"/>
    <cellStyle name="_Others_VSE 2011 Budget_GPS OTHER 4" xfId="0"/>
    <cellStyle name="_Others_VSE 2011 Budget_GPS OTHER 4 2" xfId="0"/>
    <cellStyle name="_Others_VSE 2011 Budget_GPS OTHER_By Region" xfId="0"/>
    <cellStyle name="_Others_VSE 2011 Budget_GPS OTHER_CORP SG&amp;A" xfId="0"/>
    <cellStyle name="_Others_VSE 2011 Budget_GPS OTHER_LCD" xfId="0"/>
    <cellStyle name="_Others_VSE 2011 Budget_GPS OTHER_PJ" xfId="0"/>
    <cellStyle name="_Others_VSE 2011 Budget_LCD" xfId="0"/>
    <cellStyle name="_Others_VSE 2011 Budget_LCD 2" xfId="0"/>
    <cellStyle name="_Others_VSE 2011 Budget_LCD 3" xfId="0"/>
    <cellStyle name="_Others_VSE 2011 Budget_LCD 4" xfId="0"/>
    <cellStyle name="_Others_VSE 2011 Budget_LCD_By Region" xfId="0"/>
    <cellStyle name="_Others_VSE 2011 Budget_LCD_CORP SG&amp;A" xfId="0"/>
    <cellStyle name="_Others_VSE 2011 Budget_LCD_LCD" xfId="0"/>
    <cellStyle name="_Others_VSE 2011 Budget_LCD_PJ" xfId="0"/>
    <cellStyle name="_Others_VSE 2011 Budget_PC Products" xfId="0"/>
    <cellStyle name="_Others_VSE 2011 Budget_PC Products 2" xfId="0"/>
    <cellStyle name="_Others_VSE 2011 Budget_PC Products 3" xfId="0"/>
    <cellStyle name="_Others_VSE 2011 Budget_PC Products 4" xfId="0"/>
    <cellStyle name="_Others_VSE 2011 Budget_PC Products 4 2" xfId="0"/>
    <cellStyle name="_Others_VSE 2011 Budget_PC Products_By Region" xfId="0"/>
    <cellStyle name="_Others_VSE 2011 Budget_PC Products_CORP SG&amp;A" xfId="0"/>
    <cellStyle name="_Others_VSE 2011 Budget_PC Products_LCD" xfId="0"/>
    <cellStyle name="_Others_VSE 2011 Budget_PC Products_PJ" xfId="0"/>
    <cellStyle name="_Others_VSE 2011 Budget_VSA 111014" xfId="0"/>
    <cellStyle name="_Others_VSE 2011 Budget_VSA 111014 2" xfId="0"/>
    <cellStyle name="_Others_VSE 2011 Budget_VSA 111014 3" xfId="0"/>
    <cellStyle name="_Others_VSE 2011 Budget_VSA 111014 4" xfId="0"/>
    <cellStyle name="_Others_VSE 2011 Budget_VSA 111014 4 2" xfId="0"/>
    <cellStyle name="_Others_VSE 2011 Budget_VSA 111014_By Region" xfId="0"/>
    <cellStyle name="_Others_VSE 2011 Budget_VSA 111014_CORP SG&amp;A" xfId="0"/>
    <cellStyle name="_Others_VSE 2011 Budget_VSA 111014_LCD" xfId="0"/>
    <cellStyle name="_Others_VSE 2011 Budget_VSA 111014_PJ" xfId="0"/>
    <cellStyle name="_Others_VSE 2011 Budget_VSA Roll-Up (LW)" xfId="0"/>
    <cellStyle name="_Others_VSE 2011 Budget_VSA Roll-Up (LW) 2" xfId="0"/>
    <cellStyle name="_Others_VSE 2011 Budget_VSA Roll-Up (LW) 3" xfId="0"/>
    <cellStyle name="_Others_VSE 2011 Budget_VSA Roll-Up (LW) 4" xfId="0"/>
    <cellStyle name="_Others_VSE 2011 Budget_VSA Roll-Up (LW) 4 2" xfId="0"/>
    <cellStyle name="_Others_VSE 2011 Budget_VSA Roll-Up (LW)_By Region" xfId="0"/>
    <cellStyle name="_Others_VSE 2011 Budget_VSA Roll-Up (LW)_CORP SG&amp;A" xfId="0"/>
    <cellStyle name="_Others_VSE 2011 Budget_VSA Roll-Up (LW)_LCD" xfId="0"/>
    <cellStyle name="_Others_VSE 2011 Budget_VSA Roll-Up (LW)_PJ" xfId="0"/>
    <cellStyle name="_Others_VSE 2H  WFP review (Spring Global meeting)-conservative Adam working v3" xfId="0"/>
    <cellStyle name="_Others_VSE 2H  WFP review (Spring Global meeting)-conservative Adam working v3 2" xfId="0"/>
    <cellStyle name="_Others_VSE 2H  WFP review (Spring Global meeting)-conservative Adam working v3 3" xfId="0"/>
    <cellStyle name="_Others_VSE 2H Rebalance 110712" xfId="0"/>
    <cellStyle name="_Others_VSE 2H Rebalance 110712 2" xfId="0"/>
    <cellStyle name="_Others_VSE 2H Rebalance 110712 3" xfId="0"/>
    <cellStyle name="_Others_VSE 2H Rebalance 110712 4" xfId="0"/>
    <cellStyle name="_Others_VSE 2H Rebalance 110712_By Region" xfId="0"/>
    <cellStyle name="_Others_VSE 2H Rebalance 110712_CORP SG&amp;A" xfId="0"/>
    <cellStyle name="_Others_VSE WFP 101203" xfId="0"/>
    <cellStyle name="_Others_VSE WFP 101203 2" xfId="0"/>
    <cellStyle name="_Others_VSE WFP 101203 3" xfId="0"/>
    <cellStyle name="_Others_VSE WFP 101203 4" xfId="0"/>
    <cellStyle name="_Others_VSE WFP 101203_By Region" xfId="0"/>
    <cellStyle name="_Others_VSE WFP 101203_CORP SG&amp;A" xfId="0"/>
    <cellStyle name="_Others_VSE WFP 110311" xfId="0"/>
    <cellStyle name="_Others_VSE WFP 110311 2" xfId="0"/>
    <cellStyle name="_Others_VSE WFP 110311 3" xfId="0"/>
    <cellStyle name="_Others_VSE WFP 110311 4" xfId="0"/>
    <cellStyle name="_Others_VSE WFP 110311_By Region" xfId="0"/>
    <cellStyle name="_Others_VSE WFP 110311_CORP SG&amp;A" xfId="0"/>
    <cellStyle name="_Others_VSE WFP 110415" xfId="0"/>
    <cellStyle name="_Others_VSE WFP 110415 2" xfId="0"/>
    <cellStyle name="_Others_VSE WFP 110415 3" xfId="0"/>
    <cellStyle name="_Others_VSE WFP 110415 4" xfId="0"/>
    <cellStyle name="_Others_VSE WFP 110415_By Region" xfId="0"/>
    <cellStyle name="_Others_VSE WFP 110415_CORP SG&amp;A" xfId="0"/>
    <cellStyle name="_Others_VSE WFP_100409" xfId="0"/>
    <cellStyle name="_Others_VSE WFP_100409 2" xfId="0"/>
    <cellStyle name="_Others_VSE WFP_100409 3" xfId="0"/>
    <cellStyle name="_Others_VSE WFP_100409 4" xfId="0"/>
    <cellStyle name="_Others_VSE WFP_100409_By Region" xfId="0"/>
    <cellStyle name="_Others_VSE WFP_100409_CORP SG&amp;A" xfId="0"/>
    <cellStyle name="_Others_VSE WFP_100409_Digitizer" xfId="0"/>
    <cellStyle name="_Others_VSE WFP_100409_GPS OTHER" xfId="0"/>
    <cellStyle name="_Others_VSE WFP_100409_GPS OTHER 2" xfId="0"/>
    <cellStyle name="_Others_VSE WFP_100409_GPS OTHER 3" xfId="0"/>
    <cellStyle name="_Others_VSE WFP_100409_GPS OTHER 4" xfId="0"/>
    <cellStyle name="_Others_VSE WFP_100409_GPS OTHER 4 2" xfId="0"/>
    <cellStyle name="_Others_VSE WFP_100409_GPS OTHER_By Region" xfId="0"/>
    <cellStyle name="_Others_VSE WFP_100409_GPS OTHER_CORP SG&amp;A" xfId="0"/>
    <cellStyle name="_Others_VSE WFP_100409_GPS OTHER_LCD" xfId="0"/>
    <cellStyle name="_Others_VSE WFP_100409_GPS OTHER_PJ" xfId="0"/>
    <cellStyle name="_Others_VSE WFP_100409_LCD" xfId="0"/>
    <cellStyle name="_Others_VSE WFP_100409_LCD 2" xfId="0"/>
    <cellStyle name="_Others_VSE WFP_100409_LCD 3" xfId="0"/>
    <cellStyle name="_Others_VSE WFP_100409_LCD 4" xfId="0"/>
    <cellStyle name="_Others_VSE WFP_100409_LCD_By Region" xfId="0"/>
    <cellStyle name="_Others_VSE WFP_100409_LCD_CORP SG&amp;A" xfId="0"/>
    <cellStyle name="_Others_VSE WFP_100409_LCD_LCD" xfId="0"/>
    <cellStyle name="_Others_VSE WFP_100409_LCD_PJ" xfId="0"/>
    <cellStyle name="_Others_VSE WFP_100409_PC Products" xfId="0"/>
    <cellStyle name="_Others_VSE WFP_100409_PC Products 2" xfId="0"/>
    <cellStyle name="_Others_VSE WFP_100409_PC Products 3" xfId="0"/>
    <cellStyle name="_Others_VSE WFP_100409_PC Products 4" xfId="0"/>
    <cellStyle name="_Others_VSE WFP_100409_PC Products 4 2" xfId="0"/>
    <cellStyle name="_Others_VSE WFP_100409_PC Products_By Region" xfId="0"/>
    <cellStyle name="_Others_VSE WFP_100409_PC Products_CORP SG&amp;A" xfId="0"/>
    <cellStyle name="_Others_VSE WFP_100409_PC Products_LCD" xfId="0"/>
    <cellStyle name="_Others_VSE WFP_100409_PC Products_PJ" xfId="0"/>
    <cellStyle name="_Others_VSE WFP_100409_VSA 111014" xfId="0"/>
    <cellStyle name="_Others_VSE WFP_100409_VSA 111014 2" xfId="0"/>
    <cellStyle name="_Others_VSE WFP_100409_VSA 111014 3" xfId="0"/>
    <cellStyle name="_Others_VSE WFP_100409_VSA 111014 4" xfId="0"/>
    <cellStyle name="_Others_VSE WFP_100409_VSA 111014 4 2" xfId="0"/>
    <cellStyle name="_Others_VSE WFP_100409_VSA 111014_By Region" xfId="0"/>
    <cellStyle name="_Others_VSE WFP_100409_VSA 111014_CORP SG&amp;A" xfId="0"/>
    <cellStyle name="_Others_VSE WFP_100409_VSA 111014_LCD" xfId="0"/>
    <cellStyle name="_Others_VSE WFP_100409_VSA 111014_PJ" xfId="0"/>
    <cellStyle name="_Others_VSE WFP_100409_VSA Roll-Up (LW)" xfId="0"/>
    <cellStyle name="_Others_VSE WFP_100409_VSA Roll-Up (LW) 2" xfId="0"/>
    <cellStyle name="_Others_VSE WFP_100409_VSA Roll-Up (LW) 3" xfId="0"/>
    <cellStyle name="_Others_VSE WFP_100409_VSA Roll-Up (LW) 4" xfId="0"/>
    <cellStyle name="_Others_VSE WFP_100409_VSA Roll-Up (LW) 4 2" xfId="0"/>
    <cellStyle name="_Others_VSE WFP_100409_VSA Roll-Up (LW)_By Region" xfId="0"/>
    <cellStyle name="_Others_VSE WFP_100409_VSA Roll-Up (LW)_CORP SG&amp;A" xfId="0"/>
    <cellStyle name="_Others_VSE WFP_100409_VSA Roll-Up (LW)_LCD" xfId="0"/>
    <cellStyle name="_Others_VSE WFP_100409_VSA Roll-Up (LW)_PJ" xfId="0"/>
    <cellStyle name="_Others_VSE WFP_100421 v2" xfId="0"/>
    <cellStyle name="_Others_VSE WFP_100421 v2 2" xfId="0"/>
    <cellStyle name="_Others_VSE WFP_100421 v2 3" xfId="0"/>
    <cellStyle name="_Others_VSE WFP_100421 v2 4" xfId="0"/>
    <cellStyle name="_Others_VSE WFP_100421 v2_By Region" xfId="0"/>
    <cellStyle name="_Others_VSE WFP_100421 v2_CORP SG&amp;A" xfId="0"/>
    <cellStyle name="_Others_VSE WFP_100421 v2_Digitizer" xfId="0"/>
    <cellStyle name="_Others_VSE WFP_100421 v2_GPS OTHER" xfId="0"/>
    <cellStyle name="_Others_VSE WFP_100421 v2_GPS OTHER 2" xfId="0"/>
    <cellStyle name="_Others_VSE WFP_100421 v2_GPS OTHER 3" xfId="0"/>
    <cellStyle name="_Others_VSE WFP_100421 v2_GPS OTHER 4" xfId="0"/>
    <cellStyle name="_Others_VSE WFP_100421 v2_GPS OTHER 4 2" xfId="0"/>
    <cellStyle name="_Others_VSE WFP_100421 v2_GPS OTHER_By Region" xfId="0"/>
    <cellStyle name="_Others_VSE WFP_100421 v2_GPS OTHER_CORP SG&amp;A" xfId="0"/>
    <cellStyle name="_Others_VSE WFP_100421 v2_GPS OTHER_LCD" xfId="0"/>
    <cellStyle name="_Others_VSE WFP_100421 v2_GPS OTHER_PJ" xfId="0"/>
    <cellStyle name="_Others_VSE WFP_100421 v2_LCD" xfId="0"/>
    <cellStyle name="_Others_VSE WFP_100421 v2_LCD 2" xfId="0"/>
    <cellStyle name="_Others_VSE WFP_100421 v2_LCD 3" xfId="0"/>
    <cellStyle name="_Others_VSE WFP_100421 v2_LCD 4" xfId="0"/>
    <cellStyle name="_Others_VSE WFP_100421 v2_LCD_By Region" xfId="0"/>
    <cellStyle name="_Others_VSE WFP_100421 v2_LCD_CORP SG&amp;A" xfId="0"/>
    <cellStyle name="_Others_VSE WFP_100421 v2_LCD_LCD" xfId="0"/>
    <cellStyle name="_Others_VSE WFP_100421 v2_LCD_PJ" xfId="0"/>
    <cellStyle name="_Others_VSE WFP_100421 v2_PC Products" xfId="0"/>
    <cellStyle name="_Others_VSE WFP_100421 v2_PC Products 2" xfId="0"/>
    <cellStyle name="_Others_VSE WFP_100421 v2_PC Products 3" xfId="0"/>
    <cellStyle name="_Others_VSE WFP_100421 v2_PC Products 4" xfId="0"/>
    <cellStyle name="_Others_VSE WFP_100421 v2_PC Products 4 2" xfId="0"/>
    <cellStyle name="_Others_VSE WFP_100421 v2_PC Products_By Region" xfId="0"/>
    <cellStyle name="_Others_VSE WFP_100421 v2_PC Products_CORP SG&amp;A" xfId="0"/>
    <cellStyle name="_Others_VSE WFP_100421 v2_PC Products_LCD" xfId="0"/>
    <cellStyle name="_Others_VSE WFP_100421 v2_PC Products_PJ" xfId="0"/>
    <cellStyle name="_Others_VSE WFP_100421 v2_VSA 111014" xfId="0"/>
    <cellStyle name="_Others_VSE WFP_100421 v2_VSA 111014 2" xfId="0"/>
    <cellStyle name="_Others_VSE WFP_100421 v2_VSA 111014 3" xfId="0"/>
    <cellStyle name="_Others_VSE WFP_100421 v2_VSA 111014 4" xfId="0"/>
    <cellStyle name="_Others_VSE WFP_100421 v2_VSA 111014 4 2" xfId="0"/>
    <cellStyle name="_Others_VSE WFP_100421 v2_VSA 111014_By Region" xfId="0"/>
    <cellStyle name="_Others_VSE WFP_100421 v2_VSA 111014_CORP SG&amp;A" xfId="0"/>
    <cellStyle name="_Others_VSE WFP_100421 v2_VSA 111014_LCD" xfId="0"/>
    <cellStyle name="_Others_VSE WFP_100421 v2_VSA 111014_PJ" xfId="0"/>
    <cellStyle name="_Others_VSE WFP_100421 v2_VSA Roll-Up (LW)" xfId="0"/>
    <cellStyle name="_Others_VSE WFP_100421 v2_VSA Roll-Up (LW) 2" xfId="0"/>
    <cellStyle name="_Others_VSE WFP_100421 v2_VSA Roll-Up (LW) 3" xfId="0"/>
    <cellStyle name="_Others_VSE WFP_100421 v2_VSA Roll-Up (LW) 4" xfId="0"/>
    <cellStyle name="_Others_VSE WFP_100421 v2_VSA Roll-Up (LW) 4 2" xfId="0"/>
    <cellStyle name="_Others_VSE WFP_100421 v2_VSA Roll-Up (LW)_By Region" xfId="0"/>
    <cellStyle name="_Others_VSE WFP_100421 v2_VSA Roll-Up (LW)_CORP SG&amp;A" xfId="0"/>
    <cellStyle name="_Others_VSE WFP_100421 v2_VSA Roll-Up (LW)_LCD" xfId="0"/>
    <cellStyle name="_Others_VSE WFP_100421 v2_VSA Roll-Up (LW)_PJ" xfId="0"/>
    <cellStyle name="_Others_VSE WFP_100507" xfId="0"/>
    <cellStyle name="_Others_VSE WFP_100507 2" xfId="0"/>
    <cellStyle name="_Others_VSE WFP_100507 3" xfId="0"/>
    <cellStyle name="_Others_VSE WFP_100507 4" xfId="0"/>
    <cellStyle name="_Others_VSE WFP_100507_By Region" xfId="0"/>
    <cellStyle name="_Others_VSE WFP_100507_CORP SG&amp;A" xfId="0"/>
    <cellStyle name="_Others_VSE WFP_100507_Digitizer" xfId="0"/>
    <cellStyle name="_Others_VSE WFP_100507_GPS OTHER" xfId="0"/>
    <cellStyle name="_Others_VSE WFP_100507_GPS OTHER 2" xfId="0"/>
    <cellStyle name="_Others_VSE WFP_100507_GPS OTHER 3" xfId="0"/>
    <cellStyle name="_Others_VSE WFP_100507_GPS OTHER 4" xfId="0"/>
    <cellStyle name="_Others_VSE WFP_100507_GPS OTHER 4 2" xfId="0"/>
    <cellStyle name="_Others_VSE WFP_100507_GPS OTHER_By Region" xfId="0"/>
    <cellStyle name="_Others_VSE WFP_100507_GPS OTHER_CORP SG&amp;A" xfId="0"/>
    <cellStyle name="_Others_VSE WFP_100507_GPS OTHER_LCD" xfId="0"/>
    <cellStyle name="_Others_VSE WFP_100507_GPS OTHER_PJ" xfId="0"/>
    <cellStyle name="_Others_VSE WFP_100507_LCD" xfId="0"/>
    <cellStyle name="_Others_VSE WFP_100507_LCD 2" xfId="0"/>
    <cellStyle name="_Others_VSE WFP_100507_LCD 3" xfId="0"/>
    <cellStyle name="_Others_VSE WFP_100507_LCD 4" xfId="0"/>
    <cellStyle name="_Others_VSE WFP_100507_LCD_By Region" xfId="0"/>
    <cellStyle name="_Others_VSE WFP_100507_LCD_CORP SG&amp;A" xfId="0"/>
    <cellStyle name="_Others_VSE WFP_100507_LCD_LCD" xfId="0"/>
    <cellStyle name="_Others_VSE WFP_100507_LCD_PJ" xfId="0"/>
    <cellStyle name="_Others_VSE WFP_100507_PC Products" xfId="0"/>
    <cellStyle name="_Others_VSE WFP_100507_PC Products 2" xfId="0"/>
    <cellStyle name="_Others_VSE WFP_100507_PC Products 3" xfId="0"/>
    <cellStyle name="_Others_VSE WFP_100507_PC Products 4" xfId="0"/>
    <cellStyle name="_Others_VSE WFP_100507_PC Products 4 2" xfId="0"/>
    <cellStyle name="_Others_VSE WFP_100507_PC Products_By Region" xfId="0"/>
    <cellStyle name="_Others_VSE WFP_100507_PC Products_CORP SG&amp;A" xfId="0"/>
    <cellStyle name="_Others_VSE WFP_100507_PC Products_LCD" xfId="0"/>
    <cellStyle name="_Others_VSE WFP_100507_PC Products_PJ" xfId="0"/>
    <cellStyle name="_Others_VSE WFP_100507_VSA 111014" xfId="0"/>
    <cellStyle name="_Others_VSE WFP_100507_VSA 111014 2" xfId="0"/>
    <cellStyle name="_Others_VSE WFP_100507_VSA 111014 3" xfId="0"/>
    <cellStyle name="_Others_VSE WFP_100507_VSA 111014 4" xfId="0"/>
    <cellStyle name="_Others_VSE WFP_100507_VSA 111014 4 2" xfId="0"/>
    <cellStyle name="_Others_VSE WFP_100507_VSA 111014_By Region" xfId="0"/>
    <cellStyle name="_Others_VSE WFP_100507_VSA 111014_CORP SG&amp;A" xfId="0"/>
    <cellStyle name="_Others_VSE WFP_100507_VSA 111014_LCD" xfId="0"/>
    <cellStyle name="_Others_VSE WFP_100507_VSA 111014_PJ" xfId="0"/>
    <cellStyle name="_Others_VSE WFP_100507_VSA Roll-Up (LW)" xfId="0"/>
    <cellStyle name="_Others_VSE WFP_100507_VSA Roll-Up (LW) 2" xfId="0"/>
    <cellStyle name="_Others_VSE WFP_100507_VSA Roll-Up (LW) 3" xfId="0"/>
    <cellStyle name="_Others_VSE WFP_100507_VSA Roll-Up (LW) 4" xfId="0"/>
    <cellStyle name="_Others_VSE WFP_100507_VSA Roll-Up (LW) 4 2" xfId="0"/>
    <cellStyle name="_Others_VSE WFP_100507_VSA Roll-Up (LW)_By Region" xfId="0"/>
    <cellStyle name="_Others_VSE WFP_100507_VSA Roll-Up (LW)_CORP SG&amp;A" xfId="0"/>
    <cellStyle name="_Others_VSE WFP_100507_VSA Roll-Up (LW)_LCD" xfId="0"/>
    <cellStyle name="_Others_VSE WFP_100507_VSA Roll-Up (LW)_PJ" xfId="0"/>
    <cellStyle name="_Others_VSE WFP_100608" xfId="0"/>
    <cellStyle name="_Others_VSE WFP_100608 2" xfId="0"/>
    <cellStyle name="_Others_VSE WFP_100608 3" xfId="0"/>
    <cellStyle name="_Others_VSE WFP_100608 4" xfId="0"/>
    <cellStyle name="_Others_VSE WFP_100608_By Region" xfId="0"/>
    <cellStyle name="_Others_VSE WFP_100608_CORP SG&amp;A" xfId="0"/>
    <cellStyle name="_Others_VSE WFP_100608_Digitizer" xfId="0"/>
    <cellStyle name="_Others_VSE WFP_100608_GPS OTHER" xfId="0"/>
    <cellStyle name="_Others_VSE WFP_100608_GPS OTHER 2" xfId="0"/>
    <cellStyle name="_Others_VSE WFP_100608_GPS OTHER 3" xfId="0"/>
    <cellStyle name="_Others_VSE WFP_100608_GPS OTHER 4" xfId="0"/>
    <cellStyle name="_Others_VSE WFP_100608_GPS OTHER 4 2" xfId="0"/>
    <cellStyle name="_Others_VSE WFP_100608_GPS OTHER_By Region" xfId="0"/>
    <cellStyle name="_Others_VSE WFP_100608_GPS OTHER_CORP SG&amp;A" xfId="0"/>
    <cellStyle name="_Others_VSE WFP_100608_GPS OTHER_LCD" xfId="0"/>
    <cellStyle name="_Others_VSE WFP_100608_GPS OTHER_PJ" xfId="0"/>
    <cellStyle name="_Others_VSE WFP_100608_LCD" xfId="0"/>
    <cellStyle name="_Others_VSE WFP_100608_LCD 2" xfId="0"/>
    <cellStyle name="_Others_VSE WFP_100608_LCD 3" xfId="0"/>
    <cellStyle name="_Others_VSE WFP_100608_LCD 4" xfId="0"/>
    <cellStyle name="_Others_VSE WFP_100608_LCD_By Region" xfId="0"/>
    <cellStyle name="_Others_VSE WFP_100608_LCD_CORP SG&amp;A" xfId="0"/>
    <cellStyle name="_Others_VSE WFP_100608_LCD_LCD" xfId="0"/>
    <cellStyle name="_Others_VSE WFP_100608_LCD_PJ" xfId="0"/>
    <cellStyle name="_Others_VSE WFP_100608_PC Products" xfId="0"/>
    <cellStyle name="_Others_VSE WFP_100608_PC Products 2" xfId="0"/>
    <cellStyle name="_Others_VSE WFP_100608_PC Products 3" xfId="0"/>
    <cellStyle name="_Others_VSE WFP_100608_PC Products 4" xfId="0"/>
    <cellStyle name="_Others_VSE WFP_100608_PC Products 4 2" xfId="0"/>
    <cellStyle name="_Others_VSE WFP_100608_PC Products_By Region" xfId="0"/>
    <cellStyle name="_Others_VSE WFP_100608_PC Products_CORP SG&amp;A" xfId="0"/>
    <cellStyle name="_Others_VSE WFP_100608_PC Products_LCD" xfId="0"/>
    <cellStyle name="_Others_VSE WFP_100608_PC Products_PJ" xfId="0"/>
    <cellStyle name="_Others_VSE WFP_100608_VSA 111014" xfId="0"/>
    <cellStyle name="_Others_VSE WFP_100608_VSA 111014 2" xfId="0"/>
    <cellStyle name="_Others_VSE WFP_100608_VSA 111014 3" xfId="0"/>
    <cellStyle name="_Others_VSE WFP_100608_VSA 111014 4" xfId="0"/>
    <cellStyle name="_Others_VSE WFP_100608_VSA 111014 4 2" xfId="0"/>
    <cellStyle name="_Others_VSE WFP_100608_VSA 111014_By Region" xfId="0"/>
    <cellStyle name="_Others_VSE WFP_100608_VSA 111014_CORP SG&amp;A" xfId="0"/>
    <cellStyle name="_Others_VSE WFP_100608_VSA 111014_LCD" xfId="0"/>
    <cellStyle name="_Others_VSE WFP_100608_VSA 111014_PJ" xfId="0"/>
    <cellStyle name="_Others_VSE WFP_100608_VSA Roll-Up (LW)" xfId="0"/>
    <cellStyle name="_Others_VSE WFP_100608_VSA Roll-Up (LW) 2" xfId="0"/>
    <cellStyle name="_Others_VSE WFP_100608_VSA Roll-Up (LW) 3" xfId="0"/>
    <cellStyle name="_Others_VSE WFP_100608_VSA Roll-Up (LW) 4" xfId="0"/>
    <cellStyle name="_Others_VSE WFP_100608_VSA Roll-Up (LW) 4 2" xfId="0"/>
    <cellStyle name="_Others_VSE WFP_100608_VSA Roll-Up (LW)_By Region" xfId="0"/>
    <cellStyle name="_Others_VSE WFP_100608_VSA Roll-Up (LW)_CORP SG&amp;A" xfId="0"/>
    <cellStyle name="_Others_VSE WFP_100608_VSA Roll-Up (LW)_LCD" xfId="0"/>
    <cellStyle name="_Others_VSE WFP_100608_VSA Roll-Up (LW)_PJ" xfId="0"/>
    <cellStyle name="_Others_VSE WFP_100625" xfId="0"/>
    <cellStyle name="_Others_VSE WFP_100625 2" xfId="0"/>
    <cellStyle name="_Others_VSE WFP_100625 3" xfId="0"/>
    <cellStyle name="_Others_VSE WFP_100625 4" xfId="0"/>
    <cellStyle name="_Others_VSE WFP_100625_By Region" xfId="0"/>
    <cellStyle name="_Others_VSE WFP_100625_CORP SG&amp;A" xfId="0"/>
    <cellStyle name="_Others_VSE WFP_100625_GPS OTHER" xfId="0"/>
    <cellStyle name="_Others_VSE WFP_100625_GPS OTHER 2" xfId="0"/>
    <cellStyle name="_Others_VSE WFP_100625_GPS OTHER 3" xfId="0"/>
    <cellStyle name="_Others_VSE WFP_100625_GPS OTHER 4" xfId="0"/>
    <cellStyle name="_Others_VSE WFP_100625_GPS OTHER 4 2" xfId="0"/>
    <cellStyle name="_Others_VSE WFP_100625_GPS OTHER_By Region" xfId="0"/>
    <cellStyle name="_Others_VSE WFP_100625_GPS OTHER_CORP SG&amp;A" xfId="0"/>
    <cellStyle name="_Others_VSE WFP_100625_GPS OTHER_LCD" xfId="0"/>
    <cellStyle name="_Others_VSE WFP_100625_GPS OTHER_PJ" xfId="0"/>
    <cellStyle name="_Others_VSE WFP_100625_LCD" xfId="0"/>
    <cellStyle name="_Others_VSE WFP_100625_LCD 2" xfId="0"/>
    <cellStyle name="_Others_VSE WFP_100625_LCD 3" xfId="0"/>
    <cellStyle name="_Others_VSE WFP_100625_LCD 4" xfId="0"/>
    <cellStyle name="_Others_VSE WFP_100625_LCD_By Region" xfId="0"/>
    <cellStyle name="_Others_VSE WFP_100625_LCD_CORP SG&amp;A" xfId="0"/>
    <cellStyle name="_Others_VSE WFP_100625_LCD_LCD" xfId="0"/>
    <cellStyle name="_Others_VSE WFP_100625_LCD_PJ" xfId="0"/>
    <cellStyle name="_Others_VSE WFP_100625_PC Products" xfId="0"/>
    <cellStyle name="_Others_VSE WFP_100625_PC Products 2" xfId="0"/>
    <cellStyle name="_Others_VSE WFP_100625_PC Products 3" xfId="0"/>
    <cellStyle name="_Others_VSE WFP_100625_PC Products 4" xfId="0"/>
    <cellStyle name="_Others_VSE WFP_100625_PC Products 4 2" xfId="0"/>
    <cellStyle name="_Others_VSE WFP_100625_PC Products_By Region" xfId="0"/>
    <cellStyle name="_Others_VSE WFP_100625_PC Products_CORP SG&amp;A" xfId="0"/>
    <cellStyle name="_Others_VSE WFP_100625_PC Products_LCD" xfId="0"/>
    <cellStyle name="_Others_VSE WFP_100625_PC Products_PJ" xfId="0"/>
    <cellStyle name="_Others_VSE WFP_100625_VSA 111014" xfId="0"/>
    <cellStyle name="_Others_VSE WFP_100625_VSA 111014 2" xfId="0"/>
    <cellStyle name="_Others_VSE WFP_100625_VSA 111014 3" xfId="0"/>
    <cellStyle name="_Others_VSE WFP_100625_VSA 111014 4" xfId="0"/>
    <cellStyle name="_Others_VSE WFP_100625_VSA 111014 4 2" xfId="0"/>
    <cellStyle name="_Others_VSE WFP_100625_VSA 111014_By Region" xfId="0"/>
    <cellStyle name="_Others_VSE WFP_100625_VSA 111014_CORP SG&amp;A" xfId="0"/>
    <cellStyle name="_Others_VSE WFP_100625_VSA 111014_LCD" xfId="0"/>
    <cellStyle name="_Others_VSE WFP_100625_VSA 111014_PJ" xfId="0"/>
    <cellStyle name="_Others_VSE WFP_100625_VSA Roll-Up (LW)" xfId="0"/>
    <cellStyle name="_Others_VSE WFP_100625_VSA Roll-Up (LW) 2" xfId="0"/>
    <cellStyle name="_Others_VSE WFP_100625_VSA Roll-Up (LW) 3" xfId="0"/>
    <cellStyle name="_Others_VSE WFP_100625_VSA Roll-Up (LW) 4" xfId="0"/>
    <cellStyle name="_Others_VSE WFP_100625_VSA Roll-Up (LW) 4 2" xfId="0"/>
    <cellStyle name="_Others_VSE WFP_100625_VSA Roll-Up (LW)_By Region" xfId="0"/>
    <cellStyle name="_Others_VSE WFP_100625_VSA Roll-Up (LW)_CORP SG&amp;A" xfId="0"/>
    <cellStyle name="_Others_VSE WFP_100625_VSA Roll-Up (LW)_LCD" xfId="0"/>
    <cellStyle name="_Others_VSE WFP_100625_VSA Roll-Up (LW)_PJ" xfId="0"/>
    <cellStyle name="_Others_VSE WFP_100708_3rd" xfId="0"/>
    <cellStyle name="_Others_VSE WFP_100708_3rd 2" xfId="0"/>
    <cellStyle name="_Others_VSE WFP_100708_3rd 3" xfId="0"/>
    <cellStyle name="_Others_VSE WFP_100708_3rd 4" xfId="0"/>
    <cellStyle name="_Others_VSE WFP_100708_3rd_By Region" xfId="0"/>
    <cellStyle name="_Others_VSE WFP_100708_3rd_CORP SG&amp;A" xfId="0"/>
    <cellStyle name="_Others_VSE WFP_100708_3rd_GPS OTHER" xfId="0"/>
    <cellStyle name="_Others_VSE WFP_100708_3rd_GPS OTHER 2" xfId="0"/>
    <cellStyle name="_Others_VSE WFP_100708_3rd_GPS OTHER 3" xfId="0"/>
    <cellStyle name="_Others_VSE WFP_100708_3rd_GPS OTHER 4" xfId="0"/>
    <cellStyle name="_Others_VSE WFP_100708_3rd_GPS OTHER 4 2" xfId="0"/>
    <cellStyle name="_Others_VSE WFP_100708_3rd_GPS OTHER_By Region" xfId="0"/>
    <cellStyle name="_Others_VSE WFP_100708_3rd_GPS OTHER_CORP SG&amp;A" xfId="0"/>
    <cellStyle name="_Others_VSE WFP_100708_3rd_GPS OTHER_LCD" xfId="0"/>
    <cellStyle name="_Others_VSE WFP_100708_3rd_GPS OTHER_PJ" xfId="0"/>
    <cellStyle name="_Others_VSE WFP_100708_3rd_LCD" xfId="0"/>
    <cellStyle name="_Others_VSE WFP_100708_3rd_LCD 2" xfId="0"/>
    <cellStyle name="_Others_VSE WFP_100708_3rd_LCD 3" xfId="0"/>
    <cellStyle name="_Others_VSE WFP_100708_3rd_LCD 4" xfId="0"/>
    <cellStyle name="_Others_VSE WFP_100708_3rd_LCD_By Region" xfId="0"/>
    <cellStyle name="_Others_VSE WFP_100708_3rd_LCD_CORP SG&amp;A" xfId="0"/>
    <cellStyle name="_Others_VSE WFP_100708_3rd_LCD_LCD" xfId="0"/>
    <cellStyle name="_Others_VSE WFP_100708_3rd_LCD_PJ" xfId="0"/>
    <cellStyle name="_Others_VSE WFP_100708_3rd_PC Products" xfId="0"/>
    <cellStyle name="_Others_VSE WFP_100708_3rd_PC Products 2" xfId="0"/>
    <cellStyle name="_Others_VSE WFP_100708_3rd_PC Products 3" xfId="0"/>
    <cellStyle name="_Others_VSE WFP_100708_3rd_PC Products 4" xfId="0"/>
    <cellStyle name="_Others_VSE WFP_100708_3rd_PC Products 4 2" xfId="0"/>
    <cellStyle name="_Others_VSE WFP_100708_3rd_PC Products_By Region" xfId="0"/>
    <cellStyle name="_Others_VSE WFP_100708_3rd_PC Products_CORP SG&amp;A" xfId="0"/>
    <cellStyle name="_Others_VSE WFP_100708_3rd_PC Products_LCD" xfId="0"/>
    <cellStyle name="_Others_VSE WFP_100708_3rd_PC Products_PJ" xfId="0"/>
    <cellStyle name="_Others_VSE WFP_100708_3rd_VSA 111014" xfId="0"/>
    <cellStyle name="_Others_VSE WFP_100708_3rd_VSA 111014 2" xfId="0"/>
    <cellStyle name="_Others_VSE WFP_100708_3rd_VSA 111014 3" xfId="0"/>
    <cellStyle name="_Others_VSE WFP_100708_3rd_VSA 111014 4" xfId="0"/>
    <cellStyle name="_Others_VSE WFP_100708_3rd_VSA 111014 4 2" xfId="0"/>
    <cellStyle name="_Others_VSE WFP_100708_3rd_VSA 111014_By Region" xfId="0"/>
    <cellStyle name="_Others_VSE WFP_100708_3rd_VSA 111014_CORP SG&amp;A" xfId="0"/>
    <cellStyle name="_Others_VSE WFP_100708_3rd_VSA 111014_LCD" xfId="0"/>
    <cellStyle name="_Others_VSE WFP_100708_3rd_VSA 111014_PJ" xfId="0"/>
    <cellStyle name="_Others_VSE WFP_100708_3rd_VSA Roll-Up (LW)" xfId="0"/>
    <cellStyle name="_Others_VSE WFP_100708_3rd_VSA Roll-Up (LW) 2" xfId="0"/>
    <cellStyle name="_Others_VSE WFP_100708_3rd_VSA Roll-Up (LW) 3" xfId="0"/>
    <cellStyle name="_Others_VSE WFP_100708_3rd_VSA Roll-Up (LW) 4" xfId="0"/>
    <cellStyle name="_Others_VSE WFP_100708_3rd_VSA Roll-Up (LW) 4 2" xfId="0"/>
    <cellStyle name="_Others_VSE WFP_100708_3rd_VSA Roll-Up (LW)_By Region" xfId="0"/>
    <cellStyle name="_Others_VSE WFP_100708_3rd_VSA Roll-Up (LW)_CORP SG&amp;A" xfId="0"/>
    <cellStyle name="_Others_VSE WFP_100708_3rd_VSA Roll-Up (LW)_LCD" xfId="0"/>
    <cellStyle name="_Others_VSE WFP_100708_3rd_VSA Roll-Up (LW)_PJ" xfId="0"/>
    <cellStyle name="_Others_VSE WFP_100726" xfId="0"/>
    <cellStyle name="_Others_VSE WFP_100726 2" xfId="0"/>
    <cellStyle name="_Others_VSE WFP_100726 3" xfId="0"/>
    <cellStyle name="_Others_VSE WFP_100726 4" xfId="0"/>
    <cellStyle name="_Others_VSE WFP_100726-1" xfId="0"/>
    <cellStyle name="_Others_VSE WFP_100726-1 2" xfId="0"/>
    <cellStyle name="_Others_VSE WFP_100726-1 3" xfId="0"/>
    <cellStyle name="_Others_VSE WFP_100726-1 4" xfId="0"/>
    <cellStyle name="_Others_VSE WFP_100726-1_By Region" xfId="0"/>
    <cellStyle name="_Others_VSE WFP_100726-1_CORP SG&amp;A" xfId="0"/>
    <cellStyle name="_Others_VSE WFP_100726-1_GPS OTHER" xfId="0"/>
    <cellStyle name="_Others_VSE WFP_100726-1_GPS OTHER 2" xfId="0"/>
    <cellStyle name="_Others_VSE WFP_100726-1_GPS OTHER 3" xfId="0"/>
    <cellStyle name="_Others_VSE WFP_100726-1_GPS OTHER 4" xfId="0"/>
    <cellStyle name="_Others_VSE WFP_100726-1_GPS OTHER 4 2" xfId="0"/>
    <cellStyle name="_Others_VSE WFP_100726-1_GPS OTHER_By Region" xfId="0"/>
    <cellStyle name="_Others_VSE WFP_100726-1_GPS OTHER_CORP SG&amp;A" xfId="0"/>
    <cellStyle name="_Others_VSE WFP_100726-1_GPS OTHER_LCD" xfId="0"/>
    <cellStyle name="_Others_VSE WFP_100726-1_GPS OTHER_PJ" xfId="0"/>
    <cellStyle name="_Others_VSE WFP_100726-1_LCD" xfId="0"/>
    <cellStyle name="_Others_VSE WFP_100726-1_LCD 2" xfId="0"/>
    <cellStyle name="_Others_VSE WFP_100726-1_LCD 3" xfId="0"/>
    <cellStyle name="_Others_VSE WFP_100726-1_LCD 4" xfId="0"/>
    <cellStyle name="_Others_VSE WFP_100726-1_LCD_By Region" xfId="0"/>
    <cellStyle name="_Others_VSE WFP_100726-1_LCD_CORP SG&amp;A" xfId="0"/>
    <cellStyle name="_Others_VSE WFP_100726-1_LCD_LCD" xfId="0"/>
    <cellStyle name="_Others_VSE WFP_100726-1_LCD_PJ" xfId="0"/>
    <cellStyle name="_Others_VSE WFP_100726-1_PC Products" xfId="0"/>
    <cellStyle name="_Others_VSE WFP_100726-1_PC Products 2" xfId="0"/>
    <cellStyle name="_Others_VSE WFP_100726-1_PC Products 3" xfId="0"/>
    <cellStyle name="_Others_VSE WFP_100726-1_PC Products 4" xfId="0"/>
    <cellStyle name="_Others_VSE WFP_100726-1_PC Products 4 2" xfId="0"/>
    <cellStyle name="_Others_VSE WFP_100726-1_PC Products_By Region" xfId="0"/>
    <cellStyle name="_Others_VSE WFP_100726-1_PC Products_CORP SG&amp;A" xfId="0"/>
    <cellStyle name="_Others_VSE WFP_100726-1_PC Products_LCD" xfId="0"/>
    <cellStyle name="_Others_VSE WFP_100726-1_PC Products_PJ" xfId="0"/>
    <cellStyle name="_Others_VSE WFP_100726-1_VSA 111014" xfId="0"/>
    <cellStyle name="_Others_VSE WFP_100726-1_VSA 111014 2" xfId="0"/>
    <cellStyle name="_Others_VSE WFP_100726-1_VSA 111014 3" xfId="0"/>
    <cellStyle name="_Others_VSE WFP_100726-1_VSA 111014 4" xfId="0"/>
    <cellStyle name="_Others_VSE WFP_100726-1_VSA 111014 4 2" xfId="0"/>
    <cellStyle name="_Others_VSE WFP_100726-1_VSA 111014_By Region" xfId="0"/>
    <cellStyle name="_Others_VSE WFP_100726-1_VSA 111014_CORP SG&amp;A" xfId="0"/>
    <cellStyle name="_Others_VSE WFP_100726-1_VSA 111014_LCD" xfId="0"/>
    <cellStyle name="_Others_VSE WFP_100726-1_VSA 111014_PJ" xfId="0"/>
    <cellStyle name="_Others_VSE WFP_100726-1_VSA Roll-Up (LW)" xfId="0"/>
    <cellStyle name="_Others_VSE WFP_100726-1_VSA Roll-Up (LW) 2" xfId="0"/>
    <cellStyle name="_Others_VSE WFP_100726-1_VSA Roll-Up (LW) 3" xfId="0"/>
    <cellStyle name="_Others_VSE WFP_100726-1_VSA Roll-Up (LW) 4" xfId="0"/>
    <cellStyle name="_Others_VSE WFP_100726-1_VSA Roll-Up (LW) 4 2" xfId="0"/>
    <cellStyle name="_Others_VSE WFP_100726-1_VSA Roll-Up (LW)_By Region" xfId="0"/>
    <cellStyle name="_Others_VSE WFP_100726-1_VSA Roll-Up (LW)_CORP SG&amp;A" xfId="0"/>
    <cellStyle name="_Others_VSE WFP_100726-1_VSA Roll-Up (LW)_LCD" xfId="0"/>
    <cellStyle name="_Others_VSE WFP_100726-1_VSA Roll-Up (LW)_PJ" xfId="0"/>
    <cellStyle name="_Others_VSE WFP_100726-2-yc" xfId="0"/>
    <cellStyle name="_Others_VSE WFP_100726-2-yc 2" xfId="0"/>
    <cellStyle name="_Others_VSE WFP_100726-2-yc 3" xfId="0"/>
    <cellStyle name="_Others_VSE WFP_100726-2-yc 4" xfId="0"/>
    <cellStyle name="_Others_VSE WFP_100726-2-yc_By Region" xfId="0"/>
    <cellStyle name="_Others_VSE WFP_100726-2-yc_CORP SG&amp;A" xfId="0"/>
    <cellStyle name="_Others_VSE WFP_100726-2-yc_GPS OTHER" xfId="0"/>
    <cellStyle name="_Others_VSE WFP_100726-2-yc_GPS OTHER 2" xfId="0"/>
    <cellStyle name="_Others_VSE WFP_100726-2-yc_GPS OTHER 3" xfId="0"/>
    <cellStyle name="_Others_VSE WFP_100726-2-yc_GPS OTHER 4" xfId="0"/>
    <cellStyle name="_Others_VSE WFP_100726-2-yc_GPS OTHER 4 2" xfId="0"/>
    <cellStyle name="_Others_VSE WFP_100726-2-yc_GPS OTHER_By Region" xfId="0"/>
    <cellStyle name="_Others_VSE WFP_100726-2-yc_GPS OTHER_CORP SG&amp;A" xfId="0"/>
    <cellStyle name="_Others_VSE WFP_100726-2-yc_GPS OTHER_LCD" xfId="0"/>
    <cellStyle name="_Others_VSE WFP_100726-2-yc_GPS OTHER_PJ" xfId="0"/>
    <cellStyle name="_Others_VSE WFP_100726-2-yc_LCD" xfId="0"/>
    <cellStyle name="_Others_VSE WFP_100726-2-yc_LCD 2" xfId="0"/>
    <cellStyle name="_Others_VSE WFP_100726-2-yc_LCD 3" xfId="0"/>
    <cellStyle name="_Others_VSE WFP_100726-2-yc_LCD 4" xfId="0"/>
    <cellStyle name="_Others_VSE WFP_100726-2-yc_LCD_By Region" xfId="0"/>
    <cellStyle name="_Others_VSE WFP_100726-2-yc_LCD_CORP SG&amp;A" xfId="0"/>
    <cellStyle name="_Others_VSE WFP_100726-2-yc_LCD_LCD" xfId="0"/>
    <cellStyle name="_Others_VSE WFP_100726-2-yc_LCD_PJ" xfId="0"/>
    <cellStyle name="_Others_VSE WFP_100726-2-yc_PC Products" xfId="0"/>
    <cellStyle name="_Others_VSE WFP_100726-2-yc_PC Products 2" xfId="0"/>
    <cellStyle name="_Others_VSE WFP_100726-2-yc_PC Products 3" xfId="0"/>
    <cellStyle name="_Others_VSE WFP_100726-2-yc_PC Products 4" xfId="0"/>
    <cellStyle name="_Others_VSE WFP_100726-2-yc_PC Products 4 2" xfId="0"/>
    <cellStyle name="_Others_VSE WFP_100726-2-yc_PC Products_By Region" xfId="0"/>
    <cellStyle name="_Others_VSE WFP_100726-2-yc_PC Products_CORP SG&amp;A" xfId="0"/>
    <cellStyle name="_Others_VSE WFP_100726-2-yc_PC Products_LCD" xfId="0"/>
    <cellStyle name="_Others_VSE WFP_100726-2-yc_PC Products_PJ" xfId="0"/>
    <cellStyle name="_Others_VSE WFP_100726-2-yc_VSA 111014" xfId="0"/>
    <cellStyle name="_Others_VSE WFP_100726-2-yc_VSA 111014 2" xfId="0"/>
    <cellStyle name="_Others_VSE WFP_100726-2-yc_VSA 111014 3" xfId="0"/>
    <cellStyle name="_Others_VSE WFP_100726-2-yc_VSA 111014 4" xfId="0"/>
    <cellStyle name="_Others_VSE WFP_100726-2-yc_VSA 111014 4 2" xfId="0"/>
    <cellStyle name="_Others_VSE WFP_100726-2-yc_VSA 111014_By Region" xfId="0"/>
    <cellStyle name="_Others_VSE WFP_100726-2-yc_VSA 111014_CORP SG&amp;A" xfId="0"/>
    <cellStyle name="_Others_VSE WFP_100726-2-yc_VSA 111014_LCD" xfId="0"/>
    <cellStyle name="_Others_VSE WFP_100726-2-yc_VSA 111014_PJ" xfId="0"/>
    <cellStyle name="_Others_VSE WFP_100726-2-yc_VSA Roll-Up (LW)" xfId="0"/>
    <cellStyle name="_Others_VSE WFP_100726-2-yc_VSA Roll-Up (LW) 2" xfId="0"/>
    <cellStyle name="_Others_VSE WFP_100726-2-yc_VSA Roll-Up (LW) 3" xfId="0"/>
    <cellStyle name="_Others_VSE WFP_100726-2-yc_VSA Roll-Up (LW) 4" xfId="0"/>
    <cellStyle name="_Others_VSE WFP_100726-2-yc_VSA Roll-Up (LW) 4 2" xfId="0"/>
    <cellStyle name="_Others_VSE WFP_100726-2-yc_VSA Roll-Up (LW)_By Region" xfId="0"/>
    <cellStyle name="_Others_VSE WFP_100726-2-yc_VSA Roll-Up (LW)_CORP SG&amp;A" xfId="0"/>
    <cellStyle name="_Others_VSE WFP_100726-2-yc_VSA Roll-Up (LW)_LCD" xfId="0"/>
    <cellStyle name="_Others_VSE WFP_100726-2-yc_VSA Roll-Up (LW)_PJ" xfId="0"/>
    <cellStyle name="_Others_VSE WFP_100726_By Region" xfId="0"/>
    <cellStyle name="_Others_VSE WFP_100726_CORP SG&amp;A" xfId="0"/>
    <cellStyle name="_Others_VSE WFP_100726_GPS OTHER" xfId="0"/>
    <cellStyle name="_Others_VSE WFP_100726_GPS OTHER 2" xfId="0"/>
    <cellStyle name="_Others_VSE WFP_100726_GPS OTHER 3" xfId="0"/>
    <cellStyle name="_Others_VSE WFP_100726_GPS OTHER 4" xfId="0"/>
    <cellStyle name="_Others_VSE WFP_100726_GPS OTHER 4 2" xfId="0"/>
    <cellStyle name="_Others_VSE WFP_100726_GPS OTHER_By Region" xfId="0"/>
    <cellStyle name="_Others_VSE WFP_100726_GPS OTHER_CORP SG&amp;A" xfId="0"/>
    <cellStyle name="_Others_VSE WFP_100726_GPS OTHER_LCD" xfId="0"/>
    <cellStyle name="_Others_VSE WFP_100726_GPS OTHER_PJ" xfId="0"/>
    <cellStyle name="_Others_VSE WFP_100726_LCD" xfId="0"/>
    <cellStyle name="_Others_VSE WFP_100726_LCD 2" xfId="0"/>
    <cellStyle name="_Others_VSE WFP_100726_LCD 3" xfId="0"/>
    <cellStyle name="_Others_VSE WFP_100726_LCD 4" xfId="0"/>
    <cellStyle name="_Others_VSE WFP_100726_LCD_By Region" xfId="0"/>
    <cellStyle name="_Others_VSE WFP_100726_LCD_CORP SG&amp;A" xfId="0"/>
    <cellStyle name="_Others_VSE WFP_100726_LCD_LCD" xfId="0"/>
    <cellStyle name="_Others_VSE WFP_100726_LCD_PJ" xfId="0"/>
    <cellStyle name="_Others_VSE WFP_100726_PC Products" xfId="0"/>
    <cellStyle name="_Others_VSE WFP_100726_PC Products 2" xfId="0"/>
    <cellStyle name="_Others_VSE WFP_100726_PC Products 3" xfId="0"/>
    <cellStyle name="_Others_VSE WFP_100726_PC Products 4" xfId="0"/>
    <cellStyle name="_Others_VSE WFP_100726_PC Products 4 2" xfId="0"/>
    <cellStyle name="_Others_VSE WFP_100726_PC Products_By Region" xfId="0"/>
    <cellStyle name="_Others_VSE WFP_100726_PC Products_CORP SG&amp;A" xfId="0"/>
    <cellStyle name="_Others_VSE WFP_100726_PC Products_LCD" xfId="0"/>
    <cellStyle name="_Others_VSE WFP_100726_PC Products_PJ" xfId="0"/>
    <cellStyle name="_Others_VSE WFP_100726_VSA 111014" xfId="0"/>
    <cellStyle name="_Others_VSE WFP_100726_VSA 111014 2" xfId="0"/>
    <cellStyle name="_Others_VSE WFP_100726_VSA 111014 3" xfId="0"/>
    <cellStyle name="_Others_VSE WFP_100726_VSA 111014 4" xfId="0"/>
    <cellStyle name="_Others_VSE WFP_100726_VSA 111014 4 2" xfId="0"/>
    <cellStyle name="_Others_VSE WFP_100726_VSA 111014_By Region" xfId="0"/>
    <cellStyle name="_Others_VSE WFP_100726_VSA 111014_CORP SG&amp;A" xfId="0"/>
    <cellStyle name="_Others_VSE WFP_100726_VSA 111014_LCD" xfId="0"/>
    <cellStyle name="_Others_VSE WFP_100726_VSA 111014_PJ" xfId="0"/>
    <cellStyle name="_Others_VSE WFP_100726_VSA Roll-Up (LW)" xfId="0"/>
    <cellStyle name="_Others_VSE WFP_100726_VSA Roll-Up (LW) 2" xfId="0"/>
    <cellStyle name="_Others_VSE WFP_100726_VSA Roll-Up (LW) 3" xfId="0"/>
    <cellStyle name="_Others_VSE WFP_100726_VSA Roll-Up (LW) 4" xfId="0"/>
    <cellStyle name="_Others_VSE WFP_100726_VSA Roll-Up (LW) 4 2" xfId="0"/>
    <cellStyle name="_Others_VSE WFP_100726_VSA Roll-Up (LW)_By Region" xfId="0"/>
    <cellStyle name="_Others_VSE WFP_100726_VSA Roll-Up (LW)_CORP SG&amp;A" xfId="0"/>
    <cellStyle name="_Others_VSE WFP_100726_VSA Roll-Up (LW)_LCD" xfId="0"/>
    <cellStyle name="_Others_VSE WFP_100726_VSA Roll-Up (LW)_PJ" xfId="0"/>
    <cellStyle name="_Others_VSE WFP_100827-1" xfId="0"/>
    <cellStyle name="_Others_VSE WFP_100827-1 2" xfId="0"/>
    <cellStyle name="_Others_VSE WFP_100827-1 3" xfId="0"/>
    <cellStyle name="_Others_VSE WFP_100827-1 4" xfId="0"/>
    <cellStyle name="_Others_VSE WFP_100827-1_By Region" xfId="0"/>
    <cellStyle name="_Others_VSE WFP_100827-1_CORP SG&amp;A" xfId="0"/>
    <cellStyle name="_Others_VSE WFP_100827-1_GPS OTHER" xfId="0"/>
    <cellStyle name="_Others_VSE WFP_100827-1_GPS OTHER 2" xfId="0"/>
    <cellStyle name="_Others_VSE WFP_100827-1_GPS OTHER 3" xfId="0"/>
    <cellStyle name="_Others_VSE WFP_100827-1_GPS OTHER 4" xfId="0"/>
    <cellStyle name="_Others_VSE WFP_100827-1_GPS OTHER 4 2" xfId="0"/>
    <cellStyle name="_Others_VSE WFP_100827-1_GPS OTHER_By Region" xfId="0"/>
    <cellStyle name="_Others_VSE WFP_100827-1_GPS OTHER_CORP SG&amp;A" xfId="0"/>
    <cellStyle name="_Others_VSE WFP_100827-1_GPS OTHER_LCD" xfId="0"/>
    <cellStyle name="_Others_VSE WFP_100827-1_GPS OTHER_PJ" xfId="0"/>
    <cellStyle name="_Others_VSE WFP_100827-1_LCD" xfId="0"/>
    <cellStyle name="_Others_VSE WFP_100827-1_LCD 2" xfId="0"/>
    <cellStyle name="_Others_VSE WFP_100827-1_LCD 3" xfId="0"/>
    <cellStyle name="_Others_VSE WFP_100827-1_LCD 4" xfId="0"/>
    <cellStyle name="_Others_VSE WFP_100827-1_LCD_By Region" xfId="0"/>
    <cellStyle name="_Others_VSE WFP_100827-1_LCD_CORP SG&amp;A" xfId="0"/>
    <cellStyle name="_Others_VSE WFP_100827-1_LCD_LCD" xfId="0"/>
    <cellStyle name="_Others_VSE WFP_100827-1_LCD_PJ" xfId="0"/>
    <cellStyle name="_Others_VSE WFP_100827-1_PC Products" xfId="0"/>
    <cellStyle name="_Others_VSE WFP_100827-1_PC Products 2" xfId="0"/>
    <cellStyle name="_Others_VSE WFP_100827-1_PC Products 3" xfId="0"/>
    <cellStyle name="_Others_VSE WFP_100827-1_PC Products 4" xfId="0"/>
    <cellStyle name="_Others_VSE WFP_100827-1_PC Products 4 2" xfId="0"/>
    <cellStyle name="_Others_VSE WFP_100827-1_PC Products_By Region" xfId="0"/>
    <cellStyle name="_Others_VSE WFP_100827-1_PC Products_CORP SG&amp;A" xfId="0"/>
    <cellStyle name="_Others_VSE WFP_100827-1_PC Products_LCD" xfId="0"/>
    <cellStyle name="_Others_VSE WFP_100827-1_PC Products_PJ" xfId="0"/>
    <cellStyle name="_Others_VSE WFP_100827-1_VSA 111014" xfId="0"/>
    <cellStyle name="_Others_VSE WFP_100827-1_VSA 111014 2" xfId="0"/>
    <cellStyle name="_Others_VSE WFP_100827-1_VSA 111014 3" xfId="0"/>
    <cellStyle name="_Others_VSE WFP_100827-1_VSA 111014 4" xfId="0"/>
    <cellStyle name="_Others_VSE WFP_100827-1_VSA 111014 4 2" xfId="0"/>
    <cellStyle name="_Others_VSE WFP_100827-1_VSA 111014_By Region" xfId="0"/>
    <cellStyle name="_Others_VSE WFP_100827-1_VSA 111014_CORP SG&amp;A" xfId="0"/>
    <cellStyle name="_Others_VSE WFP_100827-1_VSA 111014_LCD" xfId="0"/>
    <cellStyle name="_Others_VSE WFP_100827-1_VSA 111014_PJ" xfId="0"/>
    <cellStyle name="_Others_VSE WFP_100827-1_VSA Roll-Up (LW)" xfId="0"/>
    <cellStyle name="_Others_VSE WFP_100827-1_VSA Roll-Up (LW) 2" xfId="0"/>
    <cellStyle name="_Others_VSE WFP_100827-1_VSA Roll-Up (LW) 3" xfId="0"/>
    <cellStyle name="_Others_VSE WFP_100827-1_VSA Roll-Up (LW) 4" xfId="0"/>
    <cellStyle name="_Others_VSE WFP_100827-1_VSA Roll-Up (LW) 4 2" xfId="0"/>
    <cellStyle name="_Others_VSE WFP_100827-1_VSA Roll-Up (LW)_By Region" xfId="0"/>
    <cellStyle name="_Others_VSE WFP_100827-1_VSA Roll-Up (LW)_CORP SG&amp;A" xfId="0"/>
    <cellStyle name="_Others_VSE WFP_100827-1_VSA Roll-Up (LW)_LCD" xfId="0"/>
    <cellStyle name="_Others_VSE WFP_100827-1_VSA Roll-Up (LW)_PJ" xfId="0"/>
    <cellStyle name="_Others_VSE WFP_101001" xfId="0"/>
    <cellStyle name="_Others_VSE WFP_101001 2" xfId="0"/>
    <cellStyle name="_Others_VSE WFP_101001 3" xfId="0"/>
    <cellStyle name="_Others_VSE WFP_101001 4" xfId="0"/>
    <cellStyle name="_Others_VSE WFP_101001_By Region" xfId="0"/>
    <cellStyle name="_Others_VSE WFP_101001_CORP SG&amp;A" xfId="0"/>
    <cellStyle name="_Others_VSE WFP_101001_GPS OTHER" xfId="0"/>
    <cellStyle name="_Others_VSE WFP_101001_GPS OTHER 2" xfId="0"/>
    <cellStyle name="_Others_VSE WFP_101001_GPS OTHER 3" xfId="0"/>
    <cellStyle name="_Others_VSE WFP_101001_GPS OTHER 4" xfId="0"/>
    <cellStyle name="_Others_VSE WFP_101001_GPS OTHER 4 2" xfId="0"/>
    <cellStyle name="_Others_VSE WFP_101001_GPS OTHER_By Region" xfId="0"/>
    <cellStyle name="_Others_VSE WFP_101001_GPS OTHER_CORP SG&amp;A" xfId="0"/>
    <cellStyle name="_Others_VSE WFP_101001_GPS OTHER_LCD" xfId="0"/>
    <cellStyle name="_Others_VSE WFP_101001_GPS OTHER_PJ" xfId="0"/>
    <cellStyle name="_Others_VSE WFP_101001_LCD" xfId="0"/>
    <cellStyle name="_Others_VSE WFP_101001_LCD 2" xfId="0"/>
    <cellStyle name="_Others_VSE WFP_101001_LCD 3" xfId="0"/>
    <cellStyle name="_Others_VSE WFP_101001_LCD 4" xfId="0"/>
    <cellStyle name="_Others_VSE WFP_101001_LCD_By Region" xfId="0"/>
    <cellStyle name="_Others_VSE WFP_101001_LCD_CORP SG&amp;A" xfId="0"/>
    <cellStyle name="_Others_VSE WFP_101001_LCD_LCD" xfId="0"/>
    <cellStyle name="_Others_VSE WFP_101001_LCD_PJ" xfId="0"/>
    <cellStyle name="_Others_VSE WFP_101001_PC Products" xfId="0"/>
    <cellStyle name="_Others_VSE WFP_101001_PC Products 2" xfId="0"/>
    <cellStyle name="_Others_VSE WFP_101001_PC Products 3" xfId="0"/>
    <cellStyle name="_Others_VSE WFP_101001_PC Products 4" xfId="0"/>
    <cellStyle name="_Others_VSE WFP_101001_PC Products 4 2" xfId="0"/>
    <cellStyle name="_Others_VSE WFP_101001_PC Products_By Region" xfId="0"/>
    <cellStyle name="_Others_VSE WFP_101001_PC Products_CORP SG&amp;A" xfId="0"/>
    <cellStyle name="_Others_VSE WFP_101001_PC Products_LCD" xfId="0"/>
    <cellStyle name="_Others_VSE WFP_101001_PC Products_PJ" xfId="0"/>
    <cellStyle name="_Others_VSE WFP_101001_VSA 111014" xfId="0"/>
    <cellStyle name="_Others_VSE WFP_101001_VSA 111014 2" xfId="0"/>
    <cellStyle name="_Others_VSE WFP_101001_VSA 111014 3" xfId="0"/>
    <cellStyle name="_Others_VSE WFP_101001_VSA 111014 4" xfId="0"/>
    <cellStyle name="_Others_VSE WFP_101001_VSA 111014 4 2" xfId="0"/>
    <cellStyle name="_Others_VSE WFP_101001_VSA 111014_By Region" xfId="0"/>
    <cellStyle name="_Others_VSE WFP_101001_VSA 111014_CORP SG&amp;A" xfId="0"/>
    <cellStyle name="_Others_VSE WFP_101001_VSA 111014_LCD" xfId="0"/>
    <cellStyle name="_Others_VSE WFP_101001_VSA 111014_PJ" xfId="0"/>
    <cellStyle name="_Others_VSE WFP_101001_VSA Roll-Up (LW)" xfId="0"/>
    <cellStyle name="_Others_VSE WFP_101001_VSA Roll-Up (LW) 2" xfId="0"/>
    <cellStyle name="_Others_VSE WFP_101001_VSA Roll-Up (LW) 3" xfId="0"/>
    <cellStyle name="_Others_VSE WFP_101001_VSA Roll-Up (LW) 4" xfId="0"/>
    <cellStyle name="_Others_VSE WFP_101001_VSA Roll-Up (LW) 4 2" xfId="0"/>
    <cellStyle name="_Others_VSE WFP_101001_VSA Roll-Up (LW)_By Region" xfId="0"/>
    <cellStyle name="_Others_VSE WFP_101001_VSA Roll-Up (LW)_CORP SG&amp;A" xfId="0"/>
    <cellStyle name="_Others_VSE WFP_101001_VSA Roll-Up (LW)_LCD" xfId="0"/>
    <cellStyle name="_Others_VSE WFP_101001_VSA Roll-Up (LW)_PJ" xfId="0"/>
    <cellStyle name="_Others_VSE WFP_101029-with more ViewPad 7" xfId="0"/>
    <cellStyle name="_Others_VSE WFP_101029-with more ViewPad 7 2" xfId="0"/>
    <cellStyle name="_Others_VSE WFP_101029-with more ViewPad 7 3" xfId="0"/>
    <cellStyle name="_Others_VSE WFP_101029-with more ViewPad 7 4" xfId="0"/>
    <cellStyle name="_Others_VSE WFP_101029-with more ViewPad 7_By Region" xfId="0"/>
    <cellStyle name="_Others_VSE WFP_101029-with more ViewPad 7_CORP SG&amp;A" xfId="0"/>
    <cellStyle name="_Others_VSE WFP_101029-with more ViewPad 7_GPS OTHER" xfId="0"/>
    <cellStyle name="_Others_VSE WFP_101029-with more ViewPad 7_GPS OTHER 2" xfId="0"/>
    <cellStyle name="_Others_VSE WFP_101029-with more ViewPad 7_GPS OTHER 3" xfId="0"/>
    <cellStyle name="_Others_VSE WFP_101029-with more ViewPad 7_GPS OTHER 4" xfId="0"/>
    <cellStyle name="_Others_VSE WFP_101029-with more ViewPad 7_GPS OTHER 4 2" xfId="0"/>
    <cellStyle name="_Others_VSE WFP_101029-with more ViewPad 7_GPS OTHER_By Region" xfId="0"/>
    <cellStyle name="_Others_VSE WFP_101029-with more ViewPad 7_GPS OTHER_CORP SG&amp;A" xfId="0"/>
    <cellStyle name="_Others_VSE WFP_101029-with more ViewPad 7_GPS OTHER_LCD" xfId="0"/>
    <cellStyle name="_Others_VSE WFP_101029-with more ViewPad 7_GPS OTHER_PJ" xfId="0"/>
    <cellStyle name="_Others_VSE WFP_101029-with more ViewPad 7_LCD" xfId="0"/>
    <cellStyle name="_Others_VSE WFP_101029-with more ViewPad 7_LCD 2" xfId="0"/>
    <cellStyle name="_Others_VSE WFP_101029-with more ViewPad 7_LCD 3" xfId="0"/>
    <cellStyle name="_Others_VSE WFP_101029-with more ViewPad 7_LCD 4" xfId="0"/>
    <cellStyle name="_Others_VSE WFP_101029-with more ViewPad 7_LCD_By Region" xfId="0"/>
    <cellStyle name="_Others_VSE WFP_101029-with more ViewPad 7_LCD_CORP SG&amp;A" xfId="0"/>
    <cellStyle name="_Others_VSE WFP_101029-with more ViewPad 7_LCD_LCD" xfId="0"/>
    <cellStyle name="_Others_VSE WFP_101029-with more ViewPad 7_LCD_PJ" xfId="0"/>
    <cellStyle name="_Others_VSE WFP_101029-with more ViewPad 7_PC Products" xfId="0"/>
    <cellStyle name="_Others_VSE WFP_101029-with more ViewPad 7_PC Products 2" xfId="0"/>
    <cellStyle name="_Others_VSE WFP_101029-with more ViewPad 7_PC Products 3" xfId="0"/>
    <cellStyle name="_Others_VSE WFP_101029-with more ViewPad 7_PC Products 4" xfId="0"/>
    <cellStyle name="_Others_VSE WFP_101029-with more ViewPad 7_PC Products 4 2" xfId="0"/>
    <cellStyle name="_Others_VSE WFP_101029-with more ViewPad 7_PC Products_By Region" xfId="0"/>
    <cellStyle name="_Others_VSE WFP_101029-with more ViewPad 7_PC Products_CORP SG&amp;A" xfId="0"/>
    <cellStyle name="_Others_VSE WFP_101029-with more ViewPad 7_PC Products_LCD" xfId="0"/>
    <cellStyle name="_Others_VSE WFP_101029-with more ViewPad 7_PC Products_PJ" xfId="0"/>
    <cellStyle name="_Others_VSE WFP_101029-with more ViewPad 7_VSA 111014" xfId="0"/>
    <cellStyle name="_Others_VSE WFP_101029-with more ViewPad 7_VSA 111014 2" xfId="0"/>
    <cellStyle name="_Others_VSE WFP_101029-with more ViewPad 7_VSA 111014 3" xfId="0"/>
    <cellStyle name="_Others_VSE WFP_101029-with more ViewPad 7_VSA 111014 4" xfId="0"/>
    <cellStyle name="_Others_VSE WFP_101029-with more ViewPad 7_VSA 111014 4 2" xfId="0"/>
    <cellStyle name="_Others_VSE WFP_101029-with more ViewPad 7_VSA 111014_By Region" xfId="0"/>
    <cellStyle name="_Others_VSE WFP_101029-with more ViewPad 7_VSA 111014_CORP SG&amp;A" xfId="0"/>
    <cellStyle name="_Others_VSE WFP_101029-with more ViewPad 7_VSA 111014_LCD" xfId="0"/>
    <cellStyle name="_Others_VSE WFP_101029-with more ViewPad 7_VSA 111014_PJ" xfId="0"/>
    <cellStyle name="_Others_VSE WFP_101029-with more ViewPad 7_VSA Roll-Up (LW)" xfId="0"/>
    <cellStyle name="_Others_VSE WFP_101029-with more ViewPad 7_VSA Roll-Up (LW) 2" xfId="0"/>
    <cellStyle name="_Others_VSE WFP_101029-with more ViewPad 7_VSA Roll-Up (LW) 3" xfId="0"/>
    <cellStyle name="_Others_VSE WFP_101029-with more ViewPad 7_VSA Roll-Up (LW) 4" xfId="0"/>
    <cellStyle name="_Others_VSE WFP_101029-with more ViewPad 7_VSA Roll-Up (LW) 4 2" xfId="0"/>
    <cellStyle name="_Others_VSE WFP_101029-with more ViewPad 7_VSA Roll-Up (LW)_By Region" xfId="0"/>
    <cellStyle name="_Others_VSE WFP_101029-with more ViewPad 7_VSA Roll-Up (LW)_CORP SG&amp;A" xfId="0"/>
    <cellStyle name="_Others_VSE WFP_101029-with more ViewPad 7_VSA Roll-Up (LW)_LCD" xfId="0"/>
    <cellStyle name="_Others_VSE WFP_101029-with more ViewPad 7_VSA Roll-Up (LW)_PJ" xfId="0"/>
    <cellStyle name="_Panel Price Comparison LCD 12-31-07(Tom)" xfId="0"/>
    <cellStyle name="_Panel Price Comparison LCD 12-31-07(Tom)_2010 Existing SKU" xfId="0"/>
    <cellStyle name="_Panel Price Comparison LCD 20080403" xfId="0"/>
    <cellStyle name="_Panel Price Comparison LCD 20080403_2010 Existing SKU" xfId="0"/>
    <cellStyle name="_Panel Price Comparsion 10-04-06" xfId="0"/>
    <cellStyle name="_Panel Price Comparsion 10-04-06_2010 Existing SKU" xfId="0"/>
    <cellStyle name="_Payment 15-Oct-2010" xfId="0"/>
    <cellStyle name="_Payment 15-Oct-2010 2" xfId="0"/>
    <cellStyle name="_Payment 22-Oct-2010" xfId="0"/>
    <cellStyle name="_Payment 22-Oct-2010 2" xfId="0"/>
    <cellStyle name="_Payment 29-Oct-2010" xfId="0"/>
    <cellStyle name="_Payment 29-Oct-2010 2" xfId="0"/>
    <cellStyle name="_Payment list 08-Oct-10" xfId="0"/>
    <cellStyle name="_Payment list 08-Oct-10 2" xfId="0"/>
    <cellStyle name="_payment list 21-SEP (2)" xfId="0"/>
    <cellStyle name="_payment list 21-SEP (2) 2" xfId="0"/>
    <cellStyle name="_payment list 21-SEP (2) 2 2" xfId="0"/>
    <cellStyle name="_payment list 21-SEP (2) 2_cash balance" xfId="0"/>
    <cellStyle name="_payment list 21-SEP (2) 2_cash balance 2" xfId="0"/>
    <cellStyle name="_payment list 21-SEP (2) 3" xfId="0"/>
    <cellStyle name="_payment list 21-SEP (2) 3 2" xfId="0"/>
    <cellStyle name="_payment list 21-SEP (2) 3_cash balance" xfId="0"/>
    <cellStyle name="_payment list 21-SEP (2) 3_cash balance 2" xfId="0"/>
    <cellStyle name="_payment list 21-SEP (2) 4" xfId="0"/>
    <cellStyle name="_payment list 21-SEP (2) 4 2" xfId="0"/>
    <cellStyle name="_payment list 21-SEP (2) 4_cash balance" xfId="0"/>
    <cellStyle name="_payment list 21-SEP (2) 4_cash balance 2" xfId="0"/>
    <cellStyle name="_payment list 21-SEP (2) 5" xfId="0"/>
    <cellStyle name="_payment list 21-SEP (2) 5 2" xfId="0"/>
    <cellStyle name="_payment list 21-SEP (2) 6" xfId="0"/>
    <cellStyle name="_payment list 28-SEP" xfId="0"/>
    <cellStyle name="_payment list 28-SEP 2" xfId="0"/>
    <cellStyle name="_payment list 28-SEP 2 2" xfId="0"/>
    <cellStyle name="_payment list 28-SEP 2_cash balance" xfId="0"/>
    <cellStyle name="_payment list 28-SEP 2_cash balance 2" xfId="0"/>
    <cellStyle name="_payment list 28-SEP 3" xfId="0"/>
    <cellStyle name="_payment list 28-SEP 3 2" xfId="0"/>
    <cellStyle name="_payment list 28-SEP 3_cash balance" xfId="0"/>
    <cellStyle name="_payment list 28-SEP 3_cash balance 2" xfId="0"/>
    <cellStyle name="_payment list 28-SEP 4" xfId="0"/>
    <cellStyle name="_payment list 28-SEP 4 2" xfId="0"/>
    <cellStyle name="_payment list 28-SEP 4_cash balance" xfId="0"/>
    <cellStyle name="_payment list 28-SEP 4_cash balance 2" xfId="0"/>
    <cellStyle name="_payment list 28-SEP 5" xfId="0"/>
    <cellStyle name="_payment list 28-SEP 5 2" xfId="0"/>
    <cellStyle name="_payment list 28-SEP 6" xfId="0"/>
    <cellStyle name="_Payment List110211" xfId="0"/>
    <cellStyle name="_Payment List110211 2" xfId="0"/>
    <cellStyle name="_Payment to vendors 04-Feb-2011" xfId="0"/>
    <cellStyle name="_Payment to vendors 04-Feb-2011 2" xfId="0"/>
    <cellStyle name="_Payment to vendors 04-Mar-2011" xfId="0"/>
    <cellStyle name="_Payment to vendors 04-Mar-2011 2" xfId="0"/>
    <cellStyle name="_Payment to vendors 07-Jan-2011" xfId="0"/>
    <cellStyle name="_Payment to vendors 07-Jan-2011 2" xfId="0"/>
    <cellStyle name="_Payment to vendors 08-Apr-2011" xfId="0"/>
    <cellStyle name="_Payment to vendors 08-Apr-2011 2" xfId="0"/>
    <cellStyle name="_Payment to vendors 11-Mar-2011" xfId="0"/>
    <cellStyle name="_Payment to vendors 11-Mar-2011 2" xfId="0"/>
    <cellStyle name="_Payment to vendors 14-Jan-2011" xfId="0"/>
    <cellStyle name="_Payment to vendors 14-Jan-2011 2" xfId="0"/>
    <cellStyle name="_Payment to vendors 18-Feb-2011" xfId="0"/>
    <cellStyle name="_Payment to vendors 18-Feb-2011 2" xfId="0"/>
    <cellStyle name="_Payment to vendors 18-Mar-2011" xfId="0"/>
    <cellStyle name="_Payment to vendors 18-Mar-2011 2" xfId="0"/>
    <cellStyle name="_Payment to vendors 21-Jan-2011" xfId="0"/>
    <cellStyle name="_Payment to vendors 21-Jan-2011 2" xfId="0"/>
    <cellStyle name="_Payment to vendors 25-Feb-2011" xfId="0"/>
    <cellStyle name="_Payment to vendors 25-Feb-2011 2" xfId="0"/>
    <cellStyle name="_Payment to vendors 28-Jan-2011" xfId="0"/>
    <cellStyle name="_Payment to vendors 28-Jan-2011 2" xfId="0"/>
    <cellStyle name="_PC-AIO DCR" xfId="0"/>
    <cellStyle name="_PC-AIO DCR 2" xfId="0"/>
    <cellStyle name="_PC-AIO DCR_13-wk VSI_Revised" xfId="0"/>
    <cellStyle name="_PC-AIO DCR_13-wk VSI_Revised 2" xfId="0"/>
    <cellStyle name="_PC-AIO DCR_DCR" xfId="0"/>
    <cellStyle name="_PC-AIO DCR_DCR 2" xfId="0"/>
    <cellStyle name="_PC-AIO DCR_VSE DCR Planning Model and Trend Charts 20100118" xfId="0"/>
    <cellStyle name="_PC-AIO DCR_VSE DCR Planning Model and Trend Charts 20100118 2" xfId="0"/>
    <cellStyle name="_PC-AIO DCR_VSE DCR Planning Model and Trend Charts 20100315" xfId="0"/>
    <cellStyle name="_PC-AIO DCR_VSE DCR Planning Model and Trend Charts 20100315 2" xfId="0"/>
    <cellStyle name="_PC-AIO DCR_WMR VSI" xfId="0"/>
    <cellStyle name="_PC-AIO DCR_WMR VSI 2" xfId="0"/>
    <cellStyle name="_PC-DT DCR" xfId="0"/>
    <cellStyle name="_PC-DT DCR 2" xfId="0"/>
    <cellStyle name="_PC-DT DCR_VSE DCR Planning Model and Trend Charts 20100118" xfId="0"/>
    <cellStyle name="_PC-DT DCR_VSE DCR Planning Model and Trend Charts 20100118 2" xfId="0"/>
    <cellStyle name="_PC-DT DCR_VSE DCR Planning Model and Trend Charts 20100315" xfId="0"/>
    <cellStyle name="_PC-DT DCR_VSE DCR Planning Model and Trend Charts 20100315 2" xfId="0"/>
    <cellStyle name="_PC-NB DCR" xfId="0"/>
    <cellStyle name="_PC-NB DCR 2" xfId="0"/>
    <cellStyle name="_PC-NB DCR_13-wk VSI_Revised" xfId="0"/>
    <cellStyle name="_PC-NB DCR_13-wk VSI_Revised 2" xfId="0"/>
    <cellStyle name="_PC-NB DCR_DCR" xfId="0"/>
    <cellStyle name="_PC-NB DCR_DCR 2" xfId="0"/>
    <cellStyle name="_PC-NB DCR_VSE DCR Planning Model and Trend Charts 20100118" xfId="0"/>
    <cellStyle name="_PC-NB DCR_VSE DCR Planning Model and Trend Charts 20100118 2" xfId="0"/>
    <cellStyle name="_PC-NB DCR_VSE DCR Planning Model and Trend Charts 20100315" xfId="0"/>
    <cellStyle name="_PC-NB DCR_VSE DCR Planning Model and Trend Charts 20100315 2" xfId="0"/>
    <cellStyle name="_PC-NB DCR_WMR VSI" xfId="0"/>
    <cellStyle name="_PC-NB DCR_WMR VSI 2" xfId="0"/>
    <cellStyle name="_PC_AIO" xfId="0"/>
    <cellStyle name="_PC_AIO 2" xfId="0"/>
    <cellStyle name="_PC_AIO 3" xfId="0"/>
    <cellStyle name="_PC_AIO 4" xfId="0"/>
    <cellStyle name="_PC_AIO 5" xfId="0"/>
    <cellStyle name="_PC_AIO_By Region" xfId="0"/>
    <cellStyle name="_PC_AIO_CIS" xfId="0"/>
    <cellStyle name="_PC_AIO_CIS 2" xfId="0"/>
    <cellStyle name="_PC_AIO_CIS 3" xfId="0"/>
    <cellStyle name="_PC_AIO_CIS 4" xfId="0"/>
    <cellStyle name="_PC_AIO_CIS_By Region" xfId="0"/>
    <cellStyle name="_PC_AIO_CIS_CORP SG&amp;A" xfId="0"/>
    <cellStyle name="_PC_AIO_CIS_GPS OTHER" xfId="0"/>
    <cellStyle name="_PC_AIO_CIS_GPS OTHER 2" xfId="0"/>
    <cellStyle name="_PC_AIO_CIS_GPS OTHER 3" xfId="0"/>
    <cellStyle name="_PC_AIO_CIS_GPS OTHER 4" xfId="0"/>
    <cellStyle name="_PC_AIO_CIS_GPS OTHER 4 2" xfId="0"/>
    <cellStyle name="_PC_AIO_CIS_GPS OTHER_By Region" xfId="0"/>
    <cellStyle name="_PC_AIO_CIS_GPS OTHER_CORP SG&amp;A" xfId="0"/>
    <cellStyle name="_PC_AIO_CIS_GPS OTHER_LCD" xfId="0"/>
    <cellStyle name="_PC_AIO_CIS_GPS OTHER_PJ" xfId="0"/>
    <cellStyle name="_PC_AIO_CIS_LCD" xfId="0"/>
    <cellStyle name="_PC_AIO_CIS_LCD 2" xfId="0"/>
    <cellStyle name="_PC_AIO_CIS_LCD 3" xfId="0"/>
    <cellStyle name="_PC_AIO_CIS_LCD 4" xfId="0"/>
    <cellStyle name="_PC_AIO_CIS_LCD_By Region" xfId="0"/>
    <cellStyle name="_PC_AIO_CIS_LCD_CORP SG&amp;A" xfId="0"/>
    <cellStyle name="_PC_AIO_CIS_LCD_LCD" xfId="0"/>
    <cellStyle name="_PC_AIO_CIS_LCD_PJ" xfId="0"/>
    <cellStyle name="_PC_AIO_CIS_PC Products" xfId="0"/>
    <cellStyle name="_PC_AIO_CIS_PC Products 2" xfId="0"/>
    <cellStyle name="_PC_AIO_CIS_PC Products 3" xfId="0"/>
    <cellStyle name="_PC_AIO_CIS_PC Products 4" xfId="0"/>
    <cellStyle name="_PC_AIO_CIS_PC Products 4 2" xfId="0"/>
    <cellStyle name="_PC_AIO_CIS_PC Products_By Region" xfId="0"/>
    <cellStyle name="_PC_AIO_CIS_PC Products_CORP SG&amp;A" xfId="0"/>
    <cellStyle name="_PC_AIO_CIS_PC Products_LCD" xfId="0"/>
    <cellStyle name="_PC_AIO_CIS_PC Products_PJ" xfId="0"/>
    <cellStyle name="_PC_AIO_CIS_VSA 111014" xfId="0"/>
    <cellStyle name="_PC_AIO_CIS_VSA 111014 2" xfId="0"/>
    <cellStyle name="_PC_AIO_CIS_VSA 111014 3" xfId="0"/>
    <cellStyle name="_PC_AIO_CIS_VSA 111014 4" xfId="0"/>
    <cellStyle name="_PC_AIO_CIS_VSA 111014 4 2" xfId="0"/>
    <cellStyle name="_PC_AIO_CIS_VSA 111014_By Region" xfId="0"/>
    <cellStyle name="_PC_AIO_CIS_VSA 111014_CORP SG&amp;A" xfId="0"/>
    <cellStyle name="_PC_AIO_CIS_VSA 111014_LCD" xfId="0"/>
    <cellStyle name="_PC_AIO_CIS_VSA 111014_PJ" xfId="0"/>
    <cellStyle name="_PC_AIO_CIS_VSA Roll-Up (LW)" xfId="0"/>
    <cellStyle name="_PC_AIO_CIS_VSA Roll-Up (LW) 2" xfId="0"/>
    <cellStyle name="_PC_AIO_CIS_VSA Roll-Up (LW) 3" xfId="0"/>
    <cellStyle name="_PC_AIO_CIS_VSA Roll-Up (LW) 4" xfId="0"/>
    <cellStyle name="_PC_AIO_CIS_VSA Roll-Up (LW) 4 2" xfId="0"/>
    <cellStyle name="_PC_AIO_CIS_VSA Roll-Up (LW)_By Region" xfId="0"/>
    <cellStyle name="_PC_AIO_CIS_VSA Roll-Up (LW)_CORP SG&amp;A" xfId="0"/>
    <cellStyle name="_PC_AIO_CIS_VSA Roll-Up (LW)_LCD" xfId="0"/>
    <cellStyle name="_PC_AIO_CIS_VSA Roll-Up (LW)_PJ" xfId="0"/>
    <cellStyle name="_PC_AIO_CORP SG&amp;A" xfId="0"/>
    <cellStyle name="_PC_AIO_CRT" xfId="0"/>
    <cellStyle name="_PC_AIO_CRT 2" xfId="0"/>
    <cellStyle name="_PC_AIO_CRT 3" xfId="0"/>
    <cellStyle name="_PC_AIO_CRT 4" xfId="0"/>
    <cellStyle name="_PC_AIO_CRT_By Region" xfId="0"/>
    <cellStyle name="_PC_AIO_CRT_CORP SG&amp;A" xfId="0"/>
    <cellStyle name="_PC_AIO_CRT_GPS OTHER" xfId="0"/>
    <cellStyle name="_PC_AIO_CRT_GPS OTHER 2" xfId="0"/>
    <cellStyle name="_PC_AIO_CRT_GPS OTHER 3" xfId="0"/>
    <cellStyle name="_PC_AIO_CRT_GPS OTHER 4" xfId="0"/>
    <cellStyle name="_PC_AIO_CRT_GPS OTHER 4 2" xfId="0"/>
    <cellStyle name="_PC_AIO_CRT_GPS OTHER_By Region" xfId="0"/>
    <cellStyle name="_PC_AIO_CRT_GPS OTHER_CORP SG&amp;A" xfId="0"/>
    <cellStyle name="_PC_AIO_CRT_GPS OTHER_LCD" xfId="0"/>
    <cellStyle name="_PC_AIO_CRT_GPS OTHER_PJ" xfId="0"/>
    <cellStyle name="_PC_AIO_CRT_LCD" xfId="0"/>
    <cellStyle name="_PC_AIO_CRT_LCD 2" xfId="0"/>
    <cellStyle name="_PC_AIO_CRT_LCD 3" xfId="0"/>
    <cellStyle name="_PC_AIO_CRT_LCD 4" xfId="0"/>
    <cellStyle name="_PC_AIO_CRT_LCD_By Region" xfId="0"/>
    <cellStyle name="_PC_AIO_CRT_LCD_CORP SG&amp;A" xfId="0"/>
    <cellStyle name="_PC_AIO_CRT_LCD_LCD" xfId="0"/>
    <cellStyle name="_PC_AIO_CRT_LCD_PJ" xfId="0"/>
    <cellStyle name="_PC_AIO_CRT_PC Products" xfId="0"/>
    <cellStyle name="_PC_AIO_CRT_PC Products 2" xfId="0"/>
    <cellStyle name="_PC_AIO_CRT_PC Products 3" xfId="0"/>
    <cellStyle name="_PC_AIO_CRT_PC Products 4" xfId="0"/>
    <cellStyle name="_PC_AIO_CRT_PC Products 4 2" xfId="0"/>
    <cellStyle name="_PC_AIO_CRT_PC Products_By Region" xfId="0"/>
    <cellStyle name="_PC_AIO_CRT_PC Products_CORP SG&amp;A" xfId="0"/>
    <cellStyle name="_PC_AIO_CRT_PC Products_LCD" xfId="0"/>
    <cellStyle name="_PC_AIO_CRT_PC Products_PJ" xfId="0"/>
    <cellStyle name="_PC_AIO_CRT_VSA 111014" xfId="0"/>
    <cellStyle name="_PC_AIO_CRT_VSA 111014 2" xfId="0"/>
    <cellStyle name="_PC_AIO_CRT_VSA 111014 3" xfId="0"/>
    <cellStyle name="_PC_AIO_CRT_VSA 111014 4" xfId="0"/>
    <cellStyle name="_PC_AIO_CRT_VSA 111014 4 2" xfId="0"/>
    <cellStyle name="_PC_AIO_CRT_VSA 111014_By Region" xfId="0"/>
    <cellStyle name="_PC_AIO_CRT_VSA 111014_CORP SG&amp;A" xfId="0"/>
    <cellStyle name="_PC_AIO_CRT_VSA 111014_LCD" xfId="0"/>
    <cellStyle name="_PC_AIO_CRT_VSA 111014_PJ" xfId="0"/>
    <cellStyle name="_PC_AIO_CRT_VSA Roll-Up (LW)" xfId="0"/>
    <cellStyle name="_PC_AIO_CRT_VSA Roll-Up (LW) 2" xfId="0"/>
    <cellStyle name="_PC_AIO_CRT_VSA Roll-Up (LW) 3" xfId="0"/>
    <cellStyle name="_PC_AIO_CRT_VSA Roll-Up (LW) 4" xfId="0"/>
    <cellStyle name="_PC_AIO_CRT_VSA Roll-Up (LW) 4 2" xfId="0"/>
    <cellStyle name="_PC_AIO_CRT_VSA Roll-Up (LW)_By Region" xfId="0"/>
    <cellStyle name="_PC_AIO_CRT_VSA Roll-Up (LW)_CORP SG&amp;A" xfId="0"/>
    <cellStyle name="_PC_AIO_CRT_VSA Roll-Up (LW)_LCD" xfId="0"/>
    <cellStyle name="_PC_AIO_CRT_VSA Roll-Up (LW)_PJ" xfId="0"/>
    <cellStyle name="_PC_AIO_Diff" xfId="0"/>
    <cellStyle name="_PC_AIO_Diff 2" xfId="0"/>
    <cellStyle name="_PC_AIO_Diff 3" xfId="0"/>
    <cellStyle name="_PC_AIO_Diff 4" xfId="0"/>
    <cellStyle name="_PC_AIO_Diff_By Region" xfId="0"/>
    <cellStyle name="_PC_AIO_Diff_CORP SG&amp;A" xfId="0"/>
    <cellStyle name="_PC_AIO_Diff_GPS OTHER" xfId="0"/>
    <cellStyle name="_PC_AIO_Diff_GPS OTHER 2" xfId="0"/>
    <cellStyle name="_PC_AIO_Diff_GPS OTHER 3" xfId="0"/>
    <cellStyle name="_PC_AIO_Diff_GPS OTHER 4" xfId="0"/>
    <cellStyle name="_PC_AIO_Diff_GPS OTHER 4 2" xfId="0"/>
    <cellStyle name="_PC_AIO_Diff_GPS OTHER_By Region" xfId="0"/>
    <cellStyle name="_PC_AIO_Diff_GPS OTHER_CORP SG&amp;A" xfId="0"/>
    <cellStyle name="_PC_AIO_Diff_GPS OTHER_LCD" xfId="0"/>
    <cellStyle name="_PC_AIO_Diff_GPS OTHER_PJ" xfId="0"/>
    <cellStyle name="_PC_AIO_Diff_LCD" xfId="0"/>
    <cellStyle name="_PC_AIO_Diff_LCD 2" xfId="0"/>
    <cellStyle name="_PC_AIO_Diff_LCD 3" xfId="0"/>
    <cellStyle name="_PC_AIO_Diff_LCD 4" xfId="0"/>
    <cellStyle name="_PC_AIO_Diff_LCD_By Region" xfId="0"/>
    <cellStyle name="_PC_AIO_Diff_LCD_CORP SG&amp;A" xfId="0"/>
    <cellStyle name="_PC_AIO_Diff_LCD_LCD" xfId="0"/>
    <cellStyle name="_PC_AIO_Diff_LCD_PJ" xfId="0"/>
    <cellStyle name="_PC_AIO_Diff_PC Products" xfId="0"/>
    <cellStyle name="_PC_AIO_Diff_PC Products 2" xfId="0"/>
    <cellStyle name="_PC_AIO_Diff_PC Products 3" xfId="0"/>
    <cellStyle name="_PC_AIO_Diff_PC Products 4" xfId="0"/>
    <cellStyle name="_PC_AIO_Diff_PC Products 4 2" xfId="0"/>
    <cellStyle name="_PC_AIO_Diff_PC Products_By Region" xfId="0"/>
    <cellStyle name="_PC_AIO_Diff_PC Products_CORP SG&amp;A" xfId="0"/>
    <cellStyle name="_PC_AIO_Diff_PC Products_LCD" xfId="0"/>
    <cellStyle name="_PC_AIO_Diff_PC Products_PJ" xfId="0"/>
    <cellStyle name="_PC_AIO_Diff_VSA 111014" xfId="0"/>
    <cellStyle name="_PC_AIO_Diff_VSA 111014 2" xfId="0"/>
    <cellStyle name="_PC_AIO_Diff_VSA 111014 3" xfId="0"/>
    <cellStyle name="_PC_AIO_Diff_VSA 111014 4" xfId="0"/>
    <cellStyle name="_PC_AIO_Diff_VSA 111014 4 2" xfId="0"/>
    <cellStyle name="_PC_AIO_Diff_VSA 111014_By Region" xfId="0"/>
    <cellStyle name="_PC_AIO_Diff_VSA 111014_CORP SG&amp;A" xfId="0"/>
    <cellStyle name="_PC_AIO_Diff_VSA 111014_LCD" xfId="0"/>
    <cellStyle name="_PC_AIO_Diff_VSA 111014_PJ" xfId="0"/>
    <cellStyle name="_PC_AIO_Diff_VSA Roll-Up (LW)" xfId="0"/>
    <cellStyle name="_PC_AIO_Diff_VSA Roll-Up (LW) 2" xfId="0"/>
    <cellStyle name="_PC_AIO_Diff_VSA Roll-Up (LW) 3" xfId="0"/>
    <cellStyle name="_PC_AIO_Diff_VSA Roll-Up (LW) 4" xfId="0"/>
    <cellStyle name="_PC_AIO_Diff_VSA Roll-Up (LW) 4 2" xfId="0"/>
    <cellStyle name="_PC_AIO_Diff_VSA Roll-Up (LW)_By Region" xfId="0"/>
    <cellStyle name="_PC_AIO_Diff_VSA Roll-Up (LW)_CORP SG&amp;A" xfId="0"/>
    <cellStyle name="_PC_AIO_Diff_VSA Roll-Up (LW)_LCD" xfId="0"/>
    <cellStyle name="_PC_AIO_Diff_VSA Roll-Up (LW)_PJ" xfId="0"/>
    <cellStyle name="_PC_AIO_Digital Product" xfId="0"/>
    <cellStyle name="_PC_AIO_Digital Product 2" xfId="0"/>
    <cellStyle name="_PC_AIO_Digital Product 3" xfId="0"/>
    <cellStyle name="_PC_AIO_Digital Product 4" xfId="0"/>
    <cellStyle name="_PC_AIO_Digital Product_By Region" xfId="0"/>
    <cellStyle name="_PC_AIO_Digital Product_CORP SG&amp;A" xfId="0"/>
    <cellStyle name="_PC_AIO_Digital Product_GPS OTHER" xfId="0"/>
    <cellStyle name="_PC_AIO_Digital Product_GPS OTHER 2" xfId="0"/>
    <cellStyle name="_PC_AIO_Digital Product_GPS OTHER 3" xfId="0"/>
    <cellStyle name="_PC_AIO_Digital Product_GPS OTHER 4" xfId="0"/>
    <cellStyle name="_PC_AIO_Digital Product_GPS OTHER 4 2" xfId="0"/>
    <cellStyle name="_PC_AIO_Digital Product_GPS OTHER_By Region" xfId="0"/>
    <cellStyle name="_PC_AIO_Digital Product_GPS OTHER_CORP SG&amp;A" xfId="0"/>
    <cellStyle name="_PC_AIO_Digital Product_GPS OTHER_LCD" xfId="0"/>
    <cellStyle name="_PC_AIO_Digital Product_GPS OTHER_PJ" xfId="0"/>
    <cellStyle name="_PC_AIO_Digital Product_LCD" xfId="0"/>
    <cellStyle name="_PC_AIO_Digital Product_LCD 2" xfId="0"/>
    <cellStyle name="_PC_AIO_Digital Product_LCD 3" xfId="0"/>
    <cellStyle name="_PC_AIO_Digital Product_LCD 4" xfId="0"/>
    <cellStyle name="_PC_AIO_Digital Product_LCD_By Region" xfId="0"/>
    <cellStyle name="_PC_AIO_Digital Product_LCD_CORP SG&amp;A" xfId="0"/>
    <cellStyle name="_PC_AIO_Digital Product_LCD_LCD" xfId="0"/>
    <cellStyle name="_PC_AIO_Digital Product_LCD_PJ" xfId="0"/>
    <cellStyle name="_PC_AIO_Digital Product_PC Products" xfId="0"/>
    <cellStyle name="_PC_AIO_Digital Product_PC Products 2" xfId="0"/>
    <cellStyle name="_PC_AIO_Digital Product_PC Products 3" xfId="0"/>
    <cellStyle name="_PC_AIO_Digital Product_PC Products 4" xfId="0"/>
    <cellStyle name="_PC_AIO_Digital Product_PC Products 4 2" xfId="0"/>
    <cellStyle name="_PC_AIO_Digital Product_PC Products_By Region" xfId="0"/>
    <cellStyle name="_PC_AIO_Digital Product_PC Products_CORP SG&amp;A" xfId="0"/>
    <cellStyle name="_PC_AIO_Digital Product_PC Products_LCD" xfId="0"/>
    <cellStyle name="_PC_AIO_Digital Product_PC Products_PJ" xfId="0"/>
    <cellStyle name="_PC_AIO_Digital Product_VSA 111014" xfId="0"/>
    <cellStyle name="_PC_AIO_Digital Product_VSA 111014 2" xfId="0"/>
    <cellStyle name="_PC_AIO_Digital Product_VSA 111014 3" xfId="0"/>
    <cellStyle name="_PC_AIO_Digital Product_VSA 111014 4" xfId="0"/>
    <cellStyle name="_PC_AIO_Digital Product_VSA 111014 4 2" xfId="0"/>
    <cellStyle name="_PC_AIO_Digital Product_VSA 111014_By Region" xfId="0"/>
    <cellStyle name="_PC_AIO_Digital Product_VSA 111014_CORP SG&amp;A" xfId="0"/>
    <cellStyle name="_PC_AIO_Digital Product_VSA 111014_LCD" xfId="0"/>
    <cellStyle name="_PC_AIO_Digital Product_VSA 111014_PJ" xfId="0"/>
    <cellStyle name="_PC_AIO_Digital Product_VSA Roll-Up (LW)" xfId="0"/>
    <cellStyle name="_PC_AIO_Digital Product_VSA Roll-Up (LW) 2" xfId="0"/>
    <cellStyle name="_PC_AIO_Digital Product_VSA Roll-Up (LW) 3" xfId="0"/>
    <cellStyle name="_PC_AIO_Digital Product_VSA Roll-Up (LW) 4" xfId="0"/>
    <cellStyle name="_PC_AIO_Digital Product_VSA Roll-Up (LW) 4 2" xfId="0"/>
    <cellStyle name="_PC_AIO_Digital Product_VSA Roll-Up (LW)_By Region" xfId="0"/>
    <cellStyle name="_PC_AIO_Digital Product_VSA Roll-Up (LW)_CORP SG&amp;A" xfId="0"/>
    <cellStyle name="_PC_AIO_Digital Product_VSA Roll-Up (LW)_LCD" xfId="0"/>
    <cellStyle name="_PC_AIO_Digital Product_VSA Roll-Up (LW)_PJ" xfId="0"/>
    <cellStyle name="_PC_AIO_Digital Signage" xfId="0"/>
    <cellStyle name="_PC_AIO_Digital Signage 2" xfId="0"/>
    <cellStyle name="_PC_AIO_Digital Signage 3" xfId="0"/>
    <cellStyle name="_PC_AIO_Digital Signage 4" xfId="0"/>
    <cellStyle name="_PC_AIO_Digital Signage_By Region" xfId="0"/>
    <cellStyle name="_PC_AIO_Digital Signage_CORP SG&amp;A" xfId="0"/>
    <cellStyle name="_PC_AIO_Digital Signage_GPS OTHER" xfId="0"/>
    <cellStyle name="_PC_AIO_Digital Signage_GPS OTHER 2" xfId="0"/>
    <cellStyle name="_PC_AIO_Digital Signage_GPS OTHER 3" xfId="0"/>
    <cellStyle name="_PC_AIO_Digital Signage_GPS OTHER 4" xfId="0"/>
    <cellStyle name="_PC_AIO_Digital Signage_GPS OTHER 4 2" xfId="0"/>
    <cellStyle name="_PC_AIO_Digital Signage_GPS OTHER_By Region" xfId="0"/>
    <cellStyle name="_PC_AIO_Digital Signage_GPS OTHER_CORP SG&amp;A" xfId="0"/>
    <cellStyle name="_PC_AIO_Digital Signage_GPS OTHER_LCD" xfId="0"/>
    <cellStyle name="_PC_AIO_Digital Signage_GPS OTHER_PJ" xfId="0"/>
    <cellStyle name="_PC_AIO_Digital Signage_LCD" xfId="0"/>
    <cellStyle name="_PC_AIO_Digital Signage_LCD 2" xfId="0"/>
    <cellStyle name="_PC_AIO_Digital Signage_LCD 3" xfId="0"/>
    <cellStyle name="_PC_AIO_Digital Signage_LCD 4" xfId="0"/>
    <cellStyle name="_PC_AIO_Digital Signage_LCD_By Region" xfId="0"/>
    <cellStyle name="_PC_AIO_Digital Signage_LCD_CORP SG&amp;A" xfId="0"/>
    <cellStyle name="_PC_AIO_Digital Signage_LCD_LCD" xfId="0"/>
    <cellStyle name="_PC_AIO_Digital Signage_LCD_PJ" xfId="0"/>
    <cellStyle name="_PC_AIO_Digital Signage_PC Products" xfId="0"/>
    <cellStyle name="_PC_AIO_Digital Signage_PC Products 2" xfId="0"/>
    <cellStyle name="_PC_AIO_Digital Signage_PC Products 3" xfId="0"/>
    <cellStyle name="_PC_AIO_Digital Signage_PC Products 4" xfId="0"/>
    <cellStyle name="_PC_AIO_Digital Signage_PC Products 4 2" xfId="0"/>
    <cellStyle name="_PC_AIO_Digital Signage_PC Products_By Region" xfId="0"/>
    <cellStyle name="_PC_AIO_Digital Signage_PC Products_CORP SG&amp;A" xfId="0"/>
    <cellStyle name="_PC_AIO_Digital Signage_PC Products_LCD" xfId="0"/>
    <cellStyle name="_PC_AIO_Digital Signage_PC Products_PJ" xfId="0"/>
    <cellStyle name="_PC_AIO_Digital Signage_VSA 111014" xfId="0"/>
    <cellStyle name="_PC_AIO_Digital Signage_VSA 111014 2" xfId="0"/>
    <cellStyle name="_PC_AIO_Digital Signage_VSA 111014 3" xfId="0"/>
    <cellStyle name="_PC_AIO_Digital Signage_VSA 111014 4" xfId="0"/>
    <cellStyle name="_PC_AIO_Digital Signage_VSA 111014 4 2" xfId="0"/>
    <cellStyle name="_PC_AIO_Digital Signage_VSA 111014_By Region" xfId="0"/>
    <cellStyle name="_PC_AIO_Digital Signage_VSA 111014_CORP SG&amp;A" xfId="0"/>
    <cellStyle name="_PC_AIO_Digital Signage_VSA 111014_LCD" xfId="0"/>
    <cellStyle name="_PC_AIO_Digital Signage_VSA 111014_PJ" xfId="0"/>
    <cellStyle name="_PC_AIO_Digital Signage_VSA Roll-Up (LW)" xfId="0"/>
    <cellStyle name="_PC_AIO_Digital Signage_VSA Roll-Up (LW) 2" xfId="0"/>
    <cellStyle name="_PC_AIO_Digital Signage_VSA Roll-Up (LW) 3" xfId="0"/>
    <cellStyle name="_PC_AIO_Digital Signage_VSA Roll-Up (LW) 4" xfId="0"/>
    <cellStyle name="_PC_AIO_Digital Signage_VSA Roll-Up (LW) 4 2" xfId="0"/>
    <cellStyle name="_PC_AIO_Digital Signage_VSA Roll-Up (LW)_By Region" xfId="0"/>
    <cellStyle name="_PC_AIO_Digital Signage_VSA Roll-Up (LW)_CORP SG&amp;A" xfId="0"/>
    <cellStyle name="_PC_AIO_Digital Signage_VSA Roll-Up (LW)_LCD" xfId="0"/>
    <cellStyle name="_PC_AIO_Digital Signage_VSA Roll-Up (LW)_PJ" xfId="0"/>
    <cellStyle name="_PC_AIO_DMA(VMP)" xfId="0"/>
    <cellStyle name="_PC_AIO_DMA(VMP) 2" xfId="0"/>
    <cellStyle name="_PC_AIO_DMA(VMP) 3" xfId="0"/>
    <cellStyle name="_PC_AIO_DMA(VMP) 4" xfId="0"/>
    <cellStyle name="_PC_AIO_DMA(VMP)_By Region" xfId="0"/>
    <cellStyle name="_PC_AIO_DMA(VMP)_CORP SG&amp;A" xfId="0"/>
    <cellStyle name="_PC_AIO_DMA(VMP)_GPS OTHER" xfId="0"/>
    <cellStyle name="_PC_AIO_DMA(VMP)_GPS OTHER 2" xfId="0"/>
    <cellStyle name="_PC_AIO_DMA(VMP)_GPS OTHER 3" xfId="0"/>
    <cellStyle name="_PC_AIO_DMA(VMP)_GPS OTHER 4" xfId="0"/>
    <cellStyle name="_PC_AIO_DMA(VMP)_GPS OTHER 4 2" xfId="0"/>
    <cellStyle name="_PC_AIO_DMA(VMP)_GPS OTHER_By Region" xfId="0"/>
    <cellStyle name="_PC_AIO_DMA(VMP)_GPS OTHER_CORP SG&amp;A" xfId="0"/>
    <cellStyle name="_PC_AIO_DMA(VMP)_GPS OTHER_LCD" xfId="0"/>
    <cellStyle name="_PC_AIO_DMA(VMP)_GPS OTHER_PJ" xfId="0"/>
    <cellStyle name="_PC_AIO_DMA(VMP)_LCD" xfId="0"/>
    <cellStyle name="_PC_AIO_DMA(VMP)_LCD 2" xfId="0"/>
    <cellStyle name="_PC_AIO_DMA(VMP)_LCD 3" xfId="0"/>
    <cellStyle name="_PC_AIO_DMA(VMP)_LCD 4" xfId="0"/>
    <cellStyle name="_PC_AIO_DMA(VMP)_LCD_By Region" xfId="0"/>
    <cellStyle name="_PC_AIO_DMA(VMP)_LCD_CORP SG&amp;A" xfId="0"/>
    <cellStyle name="_PC_AIO_DMA(VMP)_LCD_LCD" xfId="0"/>
    <cellStyle name="_PC_AIO_DMA(VMP)_LCD_PJ" xfId="0"/>
    <cellStyle name="_PC_AIO_DMA(VMP)_PC Products" xfId="0"/>
    <cellStyle name="_PC_AIO_DMA(VMP)_PC Products 2" xfId="0"/>
    <cellStyle name="_PC_AIO_DMA(VMP)_PC Products 3" xfId="0"/>
    <cellStyle name="_PC_AIO_DMA(VMP)_PC Products 4" xfId="0"/>
    <cellStyle name="_PC_AIO_DMA(VMP)_PC Products 4 2" xfId="0"/>
    <cellStyle name="_PC_AIO_DMA(VMP)_PC Products_By Region" xfId="0"/>
    <cellStyle name="_PC_AIO_DMA(VMP)_PC Products_CORP SG&amp;A" xfId="0"/>
    <cellStyle name="_PC_AIO_DMA(VMP)_PC Products_LCD" xfId="0"/>
    <cellStyle name="_PC_AIO_DMA(VMP)_PC Products_PJ" xfId="0"/>
    <cellStyle name="_PC_AIO_DMA(VMP)_VSA 111014" xfId="0"/>
    <cellStyle name="_PC_AIO_DMA(VMP)_VSA 111014 2" xfId="0"/>
    <cellStyle name="_PC_AIO_DMA(VMP)_VSA 111014 3" xfId="0"/>
    <cellStyle name="_PC_AIO_DMA(VMP)_VSA 111014 4" xfId="0"/>
    <cellStyle name="_PC_AIO_DMA(VMP)_VSA 111014 4 2" xfId="0"/>
    <cellStyle name="_PC_AIO_DMA(VMP)_VSA 111014_By Region" xfId="0"/>
    <cellStyle name="_PC_AIO_DMA(VMP)_VSA 111014_CORP SG&amp;A" xfId="0"/>
    <cellStyle name="_PC_AIO_DMA(VMP)_VSA 111014_LCD" xfId="0"/>
    <cellStyle name="_PC_AIO_DMA(VMP)_VSA 111014_PJ" xfId="0"/>
    <cellStyle name="_PC_AIO_DMA(VMP)_VSA Roll-Up (LW)" xfId="0"/>
    <cellStyle name="_PC_AIO_DMA(VMP)_VSA Roll-Up (LW) 2" xfId="0"/>
    <cellStyle name="_PC_AIO_DMA(VMP)_VSA Roll-Up (LW) 3" xfId="0"/>
    <cellStyle name="_PC_AIO_DMA(VMP)_VSA Roll-Up (LW) 4" xfId="0"/>
    <cellStyle name="_PC_AIO_DMA(VMP)_VSA Roll-Up (LW) 4 2" xfId="0"/>
    <cellStyle name="_PC_AIO_DMA(VMP)_VSA Roll-Up (LW)_By Region" xfId="0"/>
    <cellStyle name="_PC_AIO_DMA(VMP)_VSA Roll-Up (LW)_CORP SG&amp;A" xfId="0"/>
    <cellStyle name="_PC_AIO_DMA(VMP)_VSA Roll-Up (LW)_LCD" xfId="0"/>
    <cellStyle name="_PC_AIO_DMA(VMP)_VSA Roll-Up (LW)_PJ" xfId="0"/>
    <cellStyle name="_PC_AIO_DPF" xfId="0"/>
    <cellStyle name="_PC_AIO_DPF 2" xfId="0"/>
    <cellStyle name="_PC_AIO_DPF 3" xfId="0"/>
    <cellStyle name="_PC_AIO_DPF 4" xfId="0"/>
    <cellStyle name="_PC_AIO_DPF_By Region" xfId="0"/>
    <cellStyle name="_PC_AIO_DPF_CORP SG&amp;A" xfId="0"/>
    <cellStyle name="_PC_AIO_DPF_GPS OTHER" xfId="0"/>
    <cellStyle name="_PC_AIO_DPF_GPS OTHER 2" xfId="0"/>
    <cellStyle name="_PC_AIO_DPF_GPS OTHER 3" xfId="0"/>
    <cellStyle name="_PC_AIO_DPF_GPS OTHER 4" xfId="0"/>
    <cellStyle name="_PC_AIO_DPF_GPS OTHER 4 2" xfId="0"/>
    <cellStyle name="_PC_AIO_DPF_GPS OTHER_By Region" xfId="0"/>
    <cellStyle name="_PC_AIO_DPF_GPS OTHER_CORP SG&amp;A" xfId="0"/>
    <cellStyle name="_PC_AIO_DPF_GPS OTHER_LCD" xfId="0"/>
    <cellStyle name="_PC_AIO_DPF_GPS OTHER_PJ" xfId="0"/>
    <cellStyle name="_PC_AIO_DPF_LCD" xfId="0"/>
    <cellStyle name="_PC_AIO_DPF_LCD 2" xfId="0"/>
    <cellStyle name="_PC_AIO_DPF_LCD 3" xfId="0"/>
    <cellStyle name="_PC_AIO_DPF_LCD 4" xfId="0"/>
    <cellStyle name="_PC_AIO_DPF_LCD_By Region" xfId="0"/>
    <cellStyle name="_PC_AIO_DPF_LCD_CORP SG&amp;A" xfId="0"/>
    <cellStyle name="_PC_AIO_DPF_LCD_LCD" xfId="0"/>
    <cellStyle name="_PC_AIO_DPF_LCD_PJ" xfId="0"/>
    <cellStyle name="_PC_AIO_DPF_PC Products" xfId="0"/>
    <cellStyle name="_PC_AIO_DPF_PC Products 2" xfId="0"/>
    <cellStyle name="_PC_AIO_DPF_PC Products 3" xfId="0"/>
    <cellStyle name="_PC_AIO_DPF_PC Products 4" xfId="0"/>
    <cellStyle name="_PC_AIO_DPF_PC Products 4 2" xfId="0"/>
    <cellStyle name="_PC_AIO_DPF_PC Products_By Region" xfId="0"/>
    <cellStyle name="_PC_AIO_DPF_PC Products_CORP SG&amp;A" xfId="0"/>
    <cellStyle name="_PC_AIO_DPF_PC Products_LCD" xfId="0"/>
    <cellStyle name="_PC_AIO_DPF_PC Products_PJ" xfId="0"/>
    <cellStyle name="_PC_AIO_DPF_VSA 111014" xfId="0"/>
    <cellStyle name="_PC_AIO_DPF_VSA 111014 2" xfId="0"/>
    <cellStyle name="_PC_AIO_DPF_VSA 111014 3" xfId="0"/>
    <cellStyle name="_PC_AIO_DPF_VSA 111014 4" xfId="0"/>
    <cellStyle name="_PC_AIO_DPF_VSA 111014 4 2" xfId="0"/>
    <cellStyle name="_PC_AIO_DPF_VSA 111014_By Region" xfId="0"/>
    <cellStyle name="_PC_AIO_DPF_VSA 111014_CORP SG&amp;A" xfId="0"/>
    <cellStyle name="_PC_AIO_DPF_VSA 111014_LCD" xfId="0"/>
    <cellStyle name="_PC_AIO_DPF_VSA 111014_PJ" xfId="0"/>
    <cellStyle name="_PC_AIO_DPF_VSA Roll-Up (LW)" xfId="0"/>
    <cellStyle name="_PC_AIO_DPF_VSA Roll-Up (LW) 2" xfId="0"/>
    <cellStyle name="_PC_AIO_DPF_VSA Roll-Up (LW) 3" xfId="0"/>
    <cellStyle name="_PC_AIO_DPF_VSA Roll-Up (LW) 4" xfId="0"/>
    <cellStyle name="_PC_AIO_DPF_VSA Roll-Up (LW) 4 2" xfId="0"/>
    <cellStyle name="_PC_AIO_DPF_VSA Roll-Up (LW)_By Region" xfId="0"/>
    <cellStyle name="_PC_AIO_DPF_VSA Roll-Up (LW)_CORP SG&amp;A" xfId="0"/>
    <cellStyle name="_PC_AIO_DPF_VSA Roll-Up (LW)_LCD" xfId="0"/>
    <cellStyle name="_PC_AIO_DPF_VSA Roll-Up (LW)_PJ" xfId="0"/>
    <cellStyle name="_PC_AIO_DS" xfId="0"/>
    <cellStyle name="_PC_AIO_DS 2" xfId="0"/>
    <cellStyle name="_PC_AIO_DS 3" xfId="0"/>
    <cellStyle name="_PC_AIO_DS 4" xfId="0"/>
    <cellStyle name="_PC_AIO_DS_By Region" xfId="0"/>
    <cellStyle name="_PC_AIO_DS_CORP SG&amp;A" xfId="0"/>
    <cellStyle name="_PC_AIO_DS_GPS OTHER" xfId="0"/>
    <cellStyle name="_PC_AIO_DS_GPS OTHER 2" xfId="0"/>
    <cellStyle name="_PC_AIO_DS_GPS OTHER 3" xfId="0"/>
    <cellStyle name="_PC_AIO_DS_GPS OTHER 4" xfId="0"/>
    <cellStyle name="_PC_AIO_DS_GPS OTHER 4 2" xfId="0"/>
    <cellStyle name="_PC_AIO_DS_GPS OTHER_By Region" xfId="0"/>
    <cellStyle name="_PC_AIO_DS_GPS OTHER_CORP SG&amp;A" xfId="0"/>
    <cellStyle name="_PC_AIO_DS_GPS OTHER_LCD" xfId="0"/>
    <cellStyle name="_PC_AIO_DS_GPS OTHER_PJ" xfId="0"/>
    <cellStyle name="_PC_AIO_DS_LCD" xfId="0"/>
    <cellStyle name="_PC_AIO_DS_LCD 2" xfId="0"/>
    <cellStyle name="_PC_AIO_DS_LCD 3" xfId="0"/>
    <cellStyle name="_PC_AIO_DS_LCD 4" xfId="0"/>
    <cellStyle name="_PC_AIO_DS_LCD_By Region" xfId="0"/>
    <cellStyle name="_PC_AIO_DS_LCD_CORP SG&amp;A" xfId="0"/>
    <cellStyle name="_PC_AIO_DS_LCD_LCD" xfId="0"/>
    <cellStyle name="_PC_AIO_DS_LCD_PJ" xfId="0"/>
    <cellStyle name="_PC_AIO_DS_PC Products" xfId="0"/>
    <cellStyle name="_PC_AIO_DS_PC Products 2" xfId="0"/>
    <cellStyle name="_PC_AIO_DS_PC Products 3" xfId="0"/>
    <cellStyle name="_PC_AIO_DS_PC Products 4" xfId="0"/>
    <cellStyle name="_PC_AIO_DS_PC Products 4 2" xfId="0"/>
    <cellStyle name="_PC_AIO_DS_PC Products_By Region" xfId="0"/>
    <cellStyle name="_PC_AIO_DS_PC Products_CORP SG&amp;A" xfId="0"/>
    <cellStyle name="_PC_AIO_DS_PC Products_LCD" xfId="0"/>
    <cellStyle name="_PC_AIO_DS_PC Products_PJ" xfId="0"/>
    <cellStyle name="_PC_AIO_DS_VSA 111014" xfId="0"/>
    <cellStyle name="_PC_AIO_DS_VSA 111014 2" xfId="0"/>
    <cellStyle name="_PC_AIO_DS_VSA 111014 3" xfId="0"/>
    <cellStyle name="_PC_AIO_DS_VSA 111014 4" xfId="0"/>
    <cellStyle name="_PC_AIO_DS_VSA 111014 4 2" xfId="0"/>
    <cellStyle name="_PC_AIO_DS_VSA 111014_By Region" xfId="0"/>
    <cellStyle name="_PC_AIO_DS_VSA 111014_CORP SG&amp;A" xfId="0"/>
    <cellStyle name="_PC_AIO_DS_VSA 111014_LCD" xfId="0"/>
    <cellStyle name="_PC_AIO_DS_VSA 111014_PJ" xfId="0"/>
    <cellStyle name="_PC_AIO_DS_VSA Roll-Up (LW)" xfId="0"/>
    <cellStyle name="_PC_AIO_DS_VSA Roll-Up (LW) 2" xfId="0"/>
    <cellStyle name="_PC_AIO_DS_VSA Roll-Up (LW) 3" xfId="0"/>
    <cellStyle name="_PC_AIO_DS_VSA Roll-Up (LW) 4" xfId="0"/>
    <cellStyle name="_PC_AIO_DS_VSA Roll-Up (LW) 4 2" xfId="0"/>
    <cellStyle name="_PC_AIO_DS_VSA Roll-Up (LW)_By Region" xfId="0"/>
    <cellStyle name="_PC_AIO_DS_VSA Roll-Up (LW)_CORP SG&amp;A" xfId="0"/>
    <cellStyle name="_PC_AIO_DS_VSA Roll-Up (LW)_LCD" xfId="0"/>
    <cellStyle name="_PC_AIO_DS_VSA Roll-Up (LW)_PJ" xfId="0"/>
    <cellStyle name="_PC_AIO_DVD_TV" xfId="0"/>
    <cellStyle name="_PC_AIO_DVD_TV 2" xfId="0"/>
    <cellStyle name="_PC_AIO_DVD_TV 3" xfId="0"/>
    <cellStyle name="_PC_AIO_DVD_TV 4" xfId="0"/>
    <cellStyle name="_PC_AIO_DVD_TV_By Region" xfId="0"/>
    <cellStyle name="_PC_AIO_DVD_TV_CORP SG&amp;A" xfId="0"/>
    <cellStyle name="_PC_AIO_DVD_TV_GPS OTHER" xfId="0"/>
    <cellStyle name="_PC_AIO_DVD_TV_GPS OTHER 2" xfId="0"/>
    <cellStyle name="_PC_AIO_DVD_TV_GPS OTHER 3" xfId="0"/>
    <cellStyle name="_PC_AIO_DVD_TV_GPS OTHER 4" xfId="0"/>
    <cellStyle name="_PC_AIO_DVD_TV_GPS OTHER 4 2" xfId="0"/>
    <cellStyle name="_PC_AIO_DVD_TV_GPS OTHER_By Region" xfId="0"/>
    <cellStyle name="_PC_AIO_DVD_TV_GPS OTHER_CORP SG&amp;A" xfId="0"/>
    <cellStyle name="_PC_AIO_DVD_TV_GPS OTHER_LCD" xfId="0"/>
    <cellStyle name="_PC_AIO_DVD_TV_GPS OTHER_PJ" xfId="0"/>
    <cellStyle name="_PC_AIO_DVD_TV_LCD" xfId="0"/>
    <cellStyle name="_PC_AIO_DVD_TV_LCD 2" xfId="0"/>
    <cellStyle name="_PC_AIO_DVD_TV_LCD 3" xfId="0"/>
    <cellStyle name="_PC_AIO_DVD_TV_LCD 4" xfId="0"/>
    <cellStyle name="_PC_AIO_DVD_TV_LCD_By Region" xfId="0"/>
    <cellStyle name="_PC_AIO_DVD_TV_LCD_CORP SG&amp;A" xfId="0"/>
    <cellStyle name="_PC_AIO_DVD_TV_LCD_LCD" xfId="0"/>
    <cellStyle name="_PC_AIO_DVD_TV_LCD_PJ" xfId="0"/>
    <cellStyle name="_PC_AIO_DVD_TV_PC Products" xfId="0"/>
    <cellStyle name="_PC_AIO_DVD_TV_PC Products 2" xfId="0"/>
    <cellStyle name="_PC_AIO_DVD_TV_PC Products 3" xfId="0"/>
    <cellStyle name="_PC_AIO_DVD_TV_PC Products 4" xfId="0"/>
    <cellStyle name="_PC_AIO_DVD_TV_PC Products 4 2" xfId="0"/>
    <cellStyle name="_PC_AIO_DVD_TV_PC Products_By Region" xfId="0"/>
    <cellStyle name="_PC_AIO_DVD_TV_PC Products_CORP SG&amp;A" xfId="0"/>
    <cellStyle name="_PC_AIO_DVD_TV_PC Products_LCD" xfId="0"/>
    <cellStyle name="_PC_AIO_DVD_TV_PC Products_PJ" xfId="0"/>
    <cellStyle name="_PC_AIO_DVD_TV_VSA 111014" xfId="0"/>
    <cellStyle name="_PC_AIO_DVD_TV_VSA 111014 2" xfId="0"/>
    <cellStyle name="_PC_AIO_DVD_TV_VSA 111014 3" xfId="0"/>
    <cellStyle name="_PC_AIO_DVD_TV_VSA 111014 4" xfId="0"/>
    <cellStyle name="_PC_AIO_DVD_TV_VSA 111014 4 2" xfId="0"/>
    <cellStyle name="_PC_AIO_DVD_TV_VSA 111014_By Region" xfId="0"/>
    <cellStyle name="_PC_AIO_DVD_TV_VSA 111014_CORP SG&amp;A" xfId="0"/>
    <cellStyle name="_PC_AIO_DVD_TV_VSA 111014_LCD" xfId="0"/>
    <cellStyle name="_PC_AIO_DVD_TV_VSA 111014_PJ" xfId="0"/>
    <cellStyle name="_PC_AIO_DVD_TV_VSA Roll-Up (LW)" xfId="0"/>
    <cellStyle name="_PC_AIO_DVD_TV_VSA Roll-Up (LW) 2" xfId="0"/>
    <cellStyle name="_PC_AIO_DVD_TV_VSA Roll-Up (LW) 3" xfId="0"/>
    <cellStyle name="_PC_AIO_DVD_TV_VSA Roll-Up (LW) 4" xfId="0"/>
    <cellStyle name="_PC_AIO_DVD_TV_VSA Roll-Up (LW) 4 2" xfId="0"/>
    <cellStyle name="_PC_AIO_DVD_TV_VSA Roll-Up (LW)_By Region" xfId="0"/>
    <cellStyle name="_PC_AIO_DVD_TV_VSA Roll-Up (LW)_CORP SG&amp;A" xfId="0"/>
    <cellStyle name="_PC_AIO_DVD_TV_VSA Roll-Up (LW)_LCD" xfId="0"/>
    <cellStyle name="_PC_AIO_DVD_TV_VSA Roll-Up (LW)_PJ" xfId="0"/>
    <cellStyle name="_PC_AIO_GPS OTHER" xfId="0"/>
    <cellStyle name="_PC_AIO_GPS OTHER 2" xfId="0"/>
    <cellStyle name="_PC_AIO_GPS OTHER 3" xfId="0"/>
    <cellStyle name="_PC_AIO_GPS OTHER 4" xfId="0"/>
    <cellStyle name="_PC_AIO_GPS OTHER 4 2" xfId="0"/>
    <cellStyle name="_PC_AIO_GPS OTHER_By Region" xfId="0"/>
    <cellStyle name="_PC_AIO_GPS OTHER_CORP SG&amp;A" xfId="0"/>
    <cellStyle name="_PC_AIO_GPS OTHER_LCD" xfId="0"/>
    <cellStyle name="_PC_AIO_GPS OTHER_PJ" xfId="0"/>
    <cellStyle name="_PC_AIO_LCD" xfId="0"/>
    <cellStyle name="_PC_AIO_LCD 2" xfId="0"/>
    <cellStyle name="_PC_AIO_LCD 3" xfId="0"/>
    <cellStyle name="_PC_AIO_LCD 4" xfId="0"/>
    <cellStyle name="_PC_AIO_LCD_1" xfId="0"/>
    <cellStyle name="_PC_AIO_LCD_1 2" xfId="0"/>
    <cellStyle name="_PC_AIO_LCD_1 3" xfId="0"/>
    <cellStyle name="_PC_AIO_LCD_1 4" xfId="0"/>
    <cellStyle name="_PC_AIO_LCD_1_By Region" xfId="0"/>
    <cellStyle name="_PC_AIO_LCD_1_CORP SG&amp;A" xfId="0"/>
    <cellStyle name="_PC_AIO_LCD_1_LCD" xfId="0"/>
    <cellStyle name="_PC_AIO_LCD_1_PJ" xfId="0"/>
    <cellStyle name="_PC_AIO_LCD_By Region" xfId="0"/>
    <cellStyle name="_PC_AIO_LCD_CORP SG&amp;A" xfId="0"/>
    <cellStyle name="_PC_AIO_LCD_GPS OTHER" xfId="0"/>
    <cellStyle name="_PC_AIO_LCD_GPS OTHER 2" xfId="0"/>
    <cellStyle name="_PC_AIO_LCD_GPS OTHER 3" xfId="0"/>
    <cellStyle name="_PC_AIO_LCD_GPS OTHER 4" xfId="0"/>
    <cellStyle name="_PC_AIO_LCD_GPS OTHER 4 2" xfId="0"/>
    <cellStyle name="_PC_AIO_LCD_GPS OTHER_By Region" xfId="0"/>
    <cellStyle name="_PC_AIO_LCD_GPS OTHER_CORP SG&amp;A" xfId="0"/>
    <cellStyle name="_PC_AIO_LCD_GPS OTHER_LCD" xfId="0"/>
    <cellStyle name="_PC_AIO_LCD_GPS OTHER_PJ" xfId="0"/>
    <cellStyle name="_PC_AIO_LCD_LCD" xfId="0"/>
    <cellStyle name="_PC_AIO_LCD_LCD 2" xfId="0"/>
    <cellStyle name="_PC_AIO_LCD_LCD 3" xfId="0"/>
    <cellStyle name="_PC_AIO_LCD_LCD 4" xfId="0"/>
    <cellStyle name="_PC_AIO_LCD_LCD_By Region" xfId="0"/>
    <cellStyle name="_PC_AIO_LCD_LCD_CORP SG&amp;A" xfId="0"/>
    <cellStyle name="_PC_AIO_LCD_LCD_LCD" xfId="0"/>
    <cellStyle name="_PC_AIO_LCD_LCD_PJ" xfId="0"/>
    <cellStyle name="_PC_AIO_LCD_PC Products" xfId="0"/>
    <cellStyle name="_PC_AIO_LCD_PC Products 2" xfId="0"/>
    <cellStyle name="_PC_AIO_LCD_PC Products 3" xfId="0"/>
    <cellStyle name="_PC_AIO_LCD_PC Products 4" xfId="0"/>
    <cellStyle name="_PC_AIO_LCD_PC Products 4 2" xfId="0"/>
    <cellStyle name="_PC_AIO_LCD_PC Products_By Region" xfId="0"/>
    <cellStyle name="_PC_AIO_LCD_PC Products_CORP SG&amp;A" xfId="0"/>
    <cellStyle name="_PC_AIO_LCD_PC Products_LCD" xfId="0"/>
    <cellStyle name="_PC_AIO_LCD_PC Products_PJ" xfId="0"/>
    <cellStyle name="_PC_AIO_LCD_VSA 111014" xfId="0"/>
    <cellStyle name="_PC_AIO_LCD_VSA 111014 2" xfId="0"/>
    <cellStyle name="_PC_AIO_LCD_VSA 111014 3" xfId="0"/>
    <cellStyle name="_PC_AIO_LCD_VSA 111014 4" xfId="0"/>
    <cellStyle name="_PC_AIO_LCD_VSA 111014 4 2" xfId="0"/>
    <cellStyle name="_PC_AIO_LCD_VSA 111014_By Region" xfId="0"/>
    <cellStyle name="_PC_AIO_LCD_VSA 111014_CORP SG&amp;A" xfId="0"/>
    <cellStyle name="_PC_AIO_LCD_VSA 111014_LCD" xfId="0"/>
    <cellStyle name="_PC_AIO_LCD_VSA 111014_PJ" xfId="0"/>
    <cellStyle name="_PC_AIO_LCD_VSA Roll-Up (LW)" xfId="0"/>
    <cellStyle name="_PC_AIO_LCD_VSA Roll-Up (LW) 2" xfId="0"/>
    <cellStyle name="_PC_AIO_LCD_VSA Roll-Up (LW) 3" xfId="0"/>
    <cellStyle name="_PC_AIO_LCD_VSA Roll-Up (LW) 4" xfId="0"/>
    <cellStyle name="_PC_AIO_LCD_VSA Roll-Up (LW) 4 2" xfId="0"/>
    <cellStyle name="_PC_AIO_LCD_VSA Roll-Up (LW)_By Region" xfId="0"/>
    <cellStyle name="_PC_AIO_LCD_VSA Roll-Up (LW)_CORP SG&amp;A" xfId="0"/>
    <cellStyle name="_PC_AIO_LCD_VSA Roll-Up (LW)_LCD" xfId="0"/>
    <cellStyle name="_PC_AIO_LCD_VSA Roll-Up (LW)_PJ" xfId="0"/>
    <cellStyle name="_PC_AIO_LCDTV" xfId="0"/>
    <cellStyle name="_PC_AIO_LCDTV 2" xfId="0"/>
    <cellStyle name="_PC_AIO_LCDTV 3" xfId="0"/>
    <cellStyle name="_PC_AIO_LCDTV 4" xfId="0"/>
    <cellStyle name="_PC_AIO_LCDTV_By Region" xfId="0"/>
    <cellStyle name="_PC_AIO_LCDTV_CORP SG&amp;A" xfId="0"/>
    <cellStyle name="_PC_AIO_LCDTV_GPS OTHER" xfId="0"/>
    <cellStyle name="_PC_AIO_LCDTV_GPS OTHER 2" xfId="0"/>
    <cellStyle name="_PC_AIO_LCDTV_GPS OTHER 3" xfId="0"/>
    <cellStyle name="_PC_AIO_LCDTV_GPS OTHER 4" xfId="0"/>
    <cellStyle name="_PC_AIO_LCDTV_GPS OTHER 4 2" xfId="0"/>
    <cellStyle name="_PC_AIO_LCDTV_GPS OTHER_By Region" xfId="0"/>
    <cellStyle name="_PC_AIO_LCDTV_GPS OTHER_CORP SG&amp;A" xfId="0"/>
    <cellStyle name="_PC_AIO_LCDTV_GPS OTHER_LCD" xfId="0"/>
    <cellStyle name="_PC_AIO_LCDTV_GPS OTHER_PJ" xfId="0"/>
    <cellStyle name="_PC_AIO_LCDTV_LCD" xfId="0"/>
    <cellStyle name="_PC_AIO_LCDTV_LCD 2" xfId="0"/>
    <cellStyle name="_PC_AIO_LCDTV_LCD 3" xfId="0"/>
    <cellStyle name="_PC_AIO_LCDTV_LCD 4" xfId="0"/>
    <cellStyle name="_PC_AIO_LCDTV_LCD_By Region" xfId="0"/>
    <cellStyle name="_PC_AIO_LCDTV_LCD_CORP SG&amp;A" xfId="0"/>
    <cellStyle name="_PC_AIO_LCDTV_LCD_LCD" xfId="0"/>
    <cellStyle name="_PC_AIO_LCDTV_LCD_PJ" xfId="0"/>
    <cellStyle name="_PC_AIO_LCDTV_PC Products" xfId="0"/>
    <cellStyle name="_PC_AIO_LCDTV_PC Products 2" xfId="0"/>
    <cellStyle name="_PC_AIO_LCDTV_PC Products 3" xfId="0"/>
    <cellStyle name="_PC_AIO_LCDTV_PC Products 4" xfId="0"/>
    <cellStyle name="_PC_AIO_LCDTV_PC Products 4 2" xfId="0"/>
    <cellStyle name="_PC_AIO_LCDTV_PC Products_By Region" xfId="0"/>
    <cellStyle name="_PC_AIO_LCDTV_PC Products_CORP SG&amp;A" xfId="0"/>
    <cellStyle name="_PC_AIO_LCDTV_PC Products_LCD" xfId="0"/>
    <cellStyle name="_PC_AIO_LCDTV_PC Products_PJ" xfId="0"/>
    <cellStyle name="_PC_AIO_LCDTV_VSA 111014" xfId="0"/>
    <cellStyle name="_PC_AIO_LCDTV_VSA 111014 2" xfId="0"/>
    <cellStyle name="_PC_AIO_LCDTV_VSA 111014 3" xfId="0"/>
    <cellStyle name="_PC_AIO_LCDTV_VSA 111014 4" xfId="0"/>
    <cellStyle name="_PC_AIO_LCDTV_VSA 111014 4 2" xfId="0"/>
    <cellStyle name="_PC_AIO_LCDTV_VSA 111014_By Region" xfId="0"/>
    <cellStyle name="_PC_AIO_LCDTV_VSA 111014_CORP SG&amp;A" xfId="0"/>
    <cellStyle name="_PC_AIO_LCDTV_VSA 111014_LCD" xfId="0"/>
    <cellStyle name="_PC_AIO_LCDTV_VSA 111014_PJ" xfId="0"/>
    <cellStyle name="_PC_AIO_LCDTV_VSA Roll-Up (LW)" xfId="0"/>
    <cellStyle name="_PC_AIO_LCDTV_VSA Roll-Up (LW) 2" xfId="0"/>
    <cellStyle name="_PC_AIO_LCDTV_VSA Roll-Up (LW) 3" xfId="0"/>
    <cellStyle name="_PC_AIO_LCDTV_VSA Roll-Up (LW) 4" xfId="0"/>
    <cellStyle name="_PC_AIO_LCDTV_VSA Roll-Up (LW) 4 2" xfId="0"/>
    <cellStyle name="_PC_AIO_LCDTV_VSA Roll-Up (LW)_By Region" xfId="0"/>
    <cellStyle name="_PC_AIO_LCDTV_VSA Roll-Up (LW)_CORP SG&amp;A" xfId="0"/>
    <cellStyle name="_PC_AIO_LCDTV_VSA Roll-Up (LW)_LCD" xfId="0"/>
    <cellStyle name="_PC_AIO_LCDTV_VSA Roll-Up (LW)_PJ" xfId="0"/>
    <cellStyle name="_PC_AIO_MNT" xfId="0"/>
    <cellStyle name="_PC_AIO_MNT 2" xfId="0"/>
    <cellStyle name="_PC_AIO_MNT 3" xfId="0"/>
    <cellStyle name="_PC_AIO_MNT 4" xfId="0"/>
    <cellStyle name="_PC_AIO_MNT_By Region" xfId="0"/>
    <cellStyle name="_PC_AIO_MNT_CORP SG&amp;A" xfId="0"/>
    <cellStyle name="_PC_AIO_MNT_GPS OTHER" xfId="0"/>
    <cellStyle name="_PC_AIO_MNT_GPS OTHER 2" xfId="0"/>
    <cellStyle name="_PC_AIO_MNT_GPS OTHER 3" xfId="0"/>
    <cellStyle name="_PC_AIO_MNT_GPS OTHER 4" xfId="0"/>
    <cellStyle name="_PC_AIO_MNT_GPS OTHER 4 2" xfId="0"/>
    <cellStyle name="_PC_AIO_MNT_GPS OTHER_By Region" xfId="0"/>
    <cellStyle name="_PC_AIO_MNT_GPS OTHER_CORP SG&amp;A" xfId="0"/>
    <cellStyle name="_PC_AIO_MNT_GPS OTHER_LCD" xfId="0"/>
    <cellStyle name="_PC_AIO_MNT_GPS OTHER_PJ" xfId="0"/>
    <cellStyle name="_PC_AIO_MNT_LCD" xfId="0"/>
    <cellStyle name="_PC_AIO_MNT_LCD 2" xfId="0"/>
    <cellStyle name="_PC_AIO_MNT_LCD 3" xfId="0"/>
    <cellStyle name="_PC_AIO_MNT_LCD 4" xfId="0"/>
    <cellStyle name="_PC_AIO_MNT_LCD_By Region" xfId="0"/>
    <cellStyle name="_PC_AIO_MNT_LCD_CORP SG&amp;A" xfId="0"/>
    <cellStyle name="_PC_AIO_MNT_LCD_LCD" xfId="0"/>
    <cellStyle name="_PC_AIO_MNT_LCD_PJ" xfId="0"/>
    <cellStyle name="_PC_AIO_MNT_PC Products" xfId="0"/>
    <cellStyle name="_PC_AIO_MNT_PC Products 2" xfId="0"/>
    <cellStyle name="_PC_AIO_MNT_PC Products 3" xfId="0"/>
    <cellStyle name="_PC_AIO_MNT_PC Products 4" xfId="0"/>
    <cellStyle name="_PC_AIO_MNT_PC Products 4 2" xfId="0"/>
    <cellStyle name="_PC_AIO_MNT_PC Products_By Region" xfId="0"/>
    <cellStyle name="_PC_AIO_MNT_PC Products_CORP SG&amp;A" xfId="0"/>
    <cellStyle name="_PC_AIO_MNT_PC Products_LCD" xfId="0"/>
    <cellStyle name="_PC_AIO_MNT_PC Products_PJ" xfId="0"/>
    <cellStyle name="_PC_AIO_MNT_VSA 111014" xfId="0"/>
    <cellStyle name="_PC_AIO_MNT_VSA 111014 2" xfId="0"/>
    <cellStyle name="_PC_AIO_MNT_VSA 111014 3" xfId="0"/>
    <cellStyle name="_PC_AIO_MNT_VSA 111014 4" xfId="0"/>
    <cellStyle name="_PC_AIO_MNT_VSA 111014 4 2" xfId="0"/>
    <cellStyle name="_PC_AIO_MNT_VSA 111014_By Region" xfId="0"/>
    <cellStyle name="_PC_AIO_MNT_VSA 111014_CORP SG&amp;A" xfId="0"/>
    <cellStyle name="_PC_AIO_MNT_VSA 111014_LCD" xfId="0"/>
    <cellStyle name="_PC_AIO_MNT_VSA 111014_PJ" xfId="0"/>
    <cellStyle name="_PC_AIO_MNT_VSA Roll-Up (LW)" xfId="0"/>
    <cellStyle name="_PC_AIO_MNT_VSA Roll-Up (LW) 2" xfId="0"/>
    <cellStyle name="_PC_AIO_MNT_VSA Roll-Up (LW) 3" xfId="0"/>
    <cellStyle name="_PC_AIO_MNT_VSA Roll-Up (LW) 4" xfId="0"/>
    <cellStyle name="_PC_AIO_MNT_VSA Roll-Up (LW) 4 2" xfId="0"/>
    <cellStyle name="_PC_AIO_MNT_VSA Roll-Up (LW)_By Region" xfId="0"/>
    <cellStyle name="_PC_AIO_MNT_VSA Roll-Up (LW)_CORP SG&amp;A" xfId="0"/>
    <cellStyle name="_PC_AIO_MNT_VSA Roll-Up (LW)_LCD" xfId="0"/>
    <cellStyle name="_PC_AIO_MNT_VSA Roll-Up (LW)_PJ" xfId="0"/>
    <cellStyle name="_PC_AIO_Other" xfId="0"/>
    <cellStyle name="_PC_AIO_Other 2" xfId="0"/>
    <cellStyle name="_PC_AIO_Other 3" xfId="0"/>
    <cellStyle name="_PC_AIO_Other 4" xfId="0"/>
    <cellStyle name="_PC_AIO_Other_By Region" xfId="0"/>
    <cellStyle name="_PC_AIO_Other_CORP SG&amp;A" xfId="0"/>
    <cellStyle name="_PC_AIO_Other_GPS OTHER" xfId="0"/>
    <cellStyle name="_PC_AIO_Other_GPS OTHER 2" xfId="0"/>
    <cellStyle name="_PC_AIO_Other_GPS OTHER 3" xfId="0"/>
    <cellStyle name="_PC_AIO_Other_GPS OTHER 4" xfId="0"/>
    <cellStyle name="_PC_AIO_Other_GPS OTHER 4 2" xfId="0"/>
    <cellStyle name="_PC_AIO_Other_GPS OTHER_By Region" xfId="0"/>
    <cellStyle name="_PC_AIO_Other_GPS OTHER_CORP SG&amp;A" xfId="0"/>
    <cellStyle name="_PC_AIO_Other_GPS OTHER_LCD" xfId="0"/>
    <cellStyle name="_PC_AIO_Other_GPS OTHER_PJ" xfId="0"/>
    <cellStyle name="_PC_AIO_Other_LCD" xfId="0"/>
    <cellStyle name="_PC_AIO_Other_LCD 2" xfId="0"/>
    <cellStyle name="_PC_AIO_Other_LCD 3" xfId="0"/>
    <cellStyle name="_PC_AIO_Other_LCD 4" xfId="0"/>
    <cellStyle name="_PC_AIO_Other_LCD_By Region" xfId="0"/>
    <cellStyle name="_PC_AIO_Other_LCD_CORP SG&amp;A" xfId="0"/>
    <cellStyle name="_PC_AIO_Other_LCD_LCD" xfId="0"/>
    <cellStyle name="_PC_AIO_Other_LCD_PJ" xfId="0"/>
    <cellStyle name="_PC_AIO_Other_PC Products" xfId="0"/>
    <cellStyle name="_PC_AIO_Other_PC Products 2" xfId="0"/>
    <cellStyle name="_PC_AIO_Other_PC Products 3" xfId="0"/>
    <cellStyle name="_PC_AIO_Other_PC Products 4" xfId="0"/>
    <cellStyle name="_PC_AIO_Other_PC Products 4 2" xfId="0"/>
    <cellStyle name="_PC_AIO_Other_PC Products_By Region" xfId="0"/>
    <cellStyle name="_PC_AIO_Other_PC Products_CORP SG&amp;A" xfId="0"/>
    <cellStyle name="_PC_AIO_Other_PC Products_LCD" xfId="0"/>
    <cellStyle name="_PC_AIO_Other_PC Products_PJ" xfId="0"/>
    <cellStyle name="_PC_AIO_Other_VSA 111014" xfId="0"/>
    <cellStyle name="_PC_AIO_Other_VSA 111014 2" xfId="0"/>
    <cellStyle name="_PC_AIO_Other_VSA 111014 3" xfId="0"/>
    <cellStyle name="_PC_AIO_Other_VSA 111014 4" xfId="0"/>
    <cellStyle name="_PC_AIO_Other_VSA 111014 4 2" xfId="0"/>
    <cellStyle name="_PC_AIO_Other_VSA 111014_By Region" xfId="0"/>
    <cellStyle name="_PC_AIO_Other_VSA 111014_CORP SG&amp;A" xfId="0"/>
    <cellStyle name="_PC_AIO_Other_VSA 111014_LCD" xfId="0"/>
    <cellStyle name="_PC_AIO_Other_VSA 111014_PJ" xfId="0"/>
    <cellStyle name="_PC_AIO_Other_VSA Roll-Up (LW)" xfId="0"/>
    <cellStyle name="_PC_AIO_Other_VSA Roll-Up (LW) 2" xfId="0"/>
    <cellStyle name="_PC_AIO_Other_VSA Roll-Up (LW) 3" xfId="0"/>
    <cellStyle name="_PC_AIO_Other_VSA Roll-Up (LW) 4" xfId="0"/>
    <cellStyle name="_PC_AIO_Other_VSA Roll-Up (LW) 4 2" xfId="0"/>
    <cellStyle name="_PC_AIO_Other_VSA Roll-Up (LW)_By Region" xfId="0"/>
    <cellStyle name="_PC_AIO_Other_VSA Roll-Up (LW)_CORP SG&amp;A" xfId="0"/>
    <cellStyle name="_PC_AIO_Other_VSA Roll-Up (LW)_LCD" xfId="0"/>
    <cellStyle name="_PC_AIO_Other_VSA Roll-Up (LW)_PJ" xfId="0"/>
    <cellStyle name="_PC_AIO_PC" xfId="0"/>
    <cellStyle name="_PC_AIO_PC 2" xfId="0"/>
    <cellStyle name="_PC_AIO_PC 3" xfId="0"/>
    <cellStyle name="_PC_AIO_PC 4" xfId="0"/>
    <cellStyle name="_PC_AIO_PC Products" xfId="0"/>
    <cellStyle name="_PC_AIO_PC Products 2" xfId="0"/>
    <cellStyle name="_PC_AIO_PC Products 3" xfId="0"/>
    <cellStyle name="_PC_AIO_PC Products 4" xfId="0"/>
    <cellStyle name="_PC_AIO_PC Products 4 2" xfId="0"/>
    <cellStyle name="_PC_AIO_PC Products_By Region" xfId="0"/>
    <cellStyle name="_PC_AIO_PC Products_CORP SG&amp;A" xfId="0"/>
    <cellStyle name="_PC_AIO_PC Products_LCD" xfId="0"/>
    <cellStyle name="_PC_AIO_PC Products_PJ" xfId="0"/>
    <cellStyle name="_PC_AIO_PC_By Region" xfId="0"/>
    <cellStyle name="_PC_AIO_PC_CORP SG&amp;A" xfId="0"/>
    <cellStyle name="_PC_AIO_PC_DT" xfId="0"/>
    <cellStyle name="_PC_AIO_PC_DT 2" xfId="0"/>
    <cellStyle name="_PC_AIO_PC_DT 3" xfId="0"/>
    <cellStyle name="_PC_AIO_PC_DT_By Region" xfId="0"/>
    <cellStyle name="_PC_AIO_PC_GPS OTHER" xfId="0"/>
    <cellStyle name="_PC_AIO_PC_GPS OTHER 2" xfId="0"/>
    <cellStyle name="_PC_AIO_PC_GPS OTHER 3" xfId="0"/>
    <cellStyle name="_PC_AIO_PC_GPS OTHER 4" xfId="0"/>
    <cellStyle name="_PC_AIO_PC_GPS OTHER 4 2" xfId="0"/>
    <cellStyle name="_PC_AIO_PC_GPS OTHER_By Region" xfId="0"/>
    <cellStyle name="_PC_AIO_PC_GPS OTHER_CORP SG&amp;A" xfId="0"/>
    <cellStyle name="_PC_AIO_PC_GPS OTHER_LCD" xfId="0"/>
    <cellStyle name="_PC_AIO_PC_GPS OTHER_PJ" xfId="0"/>
    <cellStyle name="_PC_AIO_PC_LCD" xfId="0"/>
    <cellStyle name="_PC_AIO_PC_LCD 2" xfId="0"/>
    <cellStyle name="_PC_AIO_PC_LCD 3" xfId="0"/>
    <cellStyle name="_PC_AIO_PC_LCD 4" xfId="0"/>
    <cellStyle name="_PC_AIO_PC_LCD_By Region" xfId="0"/>
    <cellStyle name="_PC_AIO_PC_LCD_CORP SG&amp;A" xfId="0"/>
    <cellStyle name="_PC_AIO_PC_LCD_LCD" xfId="0"/>
    <cellStyle name="_PC_AIO_PC_LCD_PJ" xfId="0"/>
    <cellStyle name="_PC_AIO_PC_PC Products" xfId="0"/>
    <cellStyle name="_PC_AIO_PC_PC Products 2" xfId="0"/>
    <cellStyle name="_PC_AIO_PC_PC Products 3" xfId="0"/>
    <cellStyle name="_PC_AIO_PC_PC Products 4" xfId="0"/>
    <cellStyle name="_PC_AIO_PC_PC Products 4 2" xfId="0"/>
    <cellStyle name="_PC_AIO_PC_PC Products_By Region" xfId="0"/>
    <cellStyle name="_PC_AIO_PC_PC Products_CORP SG&amp;A" xfId="0"/>
    <cellStyle name="_PC_AIO_PC_PC Products_LCD" xfId="0"/>
    <cellStyle name="_PC_AIO_PC_PC Products_PJ" xfId="0"/>
    <cellStyle name="_PC_AIO_PC_TV" xfId="0"/>
    <cellStyle name="_PC_AIO_PC_TV 2" xfId="0"/>
    <cellStyle name="_PC_AIO_PC_TV 3" xfId="0"/>
    <cellStyle name="_PC_AIO_PC_TV 4" xfId="0"/>
    <cellStyle name="_PC_AIO_PC_TV_By Region" xfId="0"/>
    <cellStyle name="_PC_AIO_PC_TV_CORP SG&amp;A" xfId="0"/>
    <cellStyle name="_PC_AIO_PC_TV_GPS OTHER" xfId="0"/>
    <cellStyle name="_PC_AIO_PC_TV_GPS OTHER 2" xfId="0"/>
    <cellStyle name="_PC_AIO_PC_TV_GPS OTHER 3" xfId="0"/>
    <cellStyle name="_PC_AIO_PC_TV_GPS OTHER 4" xfId="0"/>
    <cellStyle name="_PC_AIO_PC_TV_GPS OTHER 4 2" xfId="0"/>
    <cellStyle name="_PC_AIO_PC_TV_GPS OTHER_By Region" xfId="0"/>
    <cellStyle name="_PC_AIO_PC_TV_GPS OTHER_CORP SG&amp;A" xfId="0"/>
    <cellStyle name="_PC_AIO_PC_TV_GPS OTHER_LCD" xfId="0"/>
    <cellStyle name="_PC_AIO_PC_TV_GPS OTHER_PJ" xfId="0"/>
    <cellStyle name="_PC_AIO_PC_TV_LCD" xfId="0"/>
    <cellStyle name="_PC_AIO_PC_TV_LCD 2" xfId="0"/>
    <cellStyle name="_PC_AIO_PC_TV_LCD 3" xfId="0"/>
    <cellStyle name="_PC_AIO_PC_TV_LCD 4" xfId="0"/>
    <cellStyle name="_PC_AIO_PC_TV_LCD_By Region" xfId="0"/>
    <cellStyle name="_PC_AIO_PC_TV_LCD_CORP SG&amp;A" xfId="0"/>
    <cellStyle name="_PC_AIO_PC_TV_LCD_LCD" xfId="0"/>
    <cellStyle name="_PC_AIO_PC_TV_LCD_PJ" xfId="0"/>
    <cellStyle name="_PC_AIO_PC_TV_PC Products" xfId="0"/>
    <cellStyle name="_PC_AIO_PC_TV_PC Products 2" xfId="0"/>
    <cellStyle name="_PC_AIO_PC_TV_PC Products 3" xfId="0"/>
    <cellStyle name="_PC_AIO_PC_TV_PC Products 4" xfId="0"/>
    <cellStyle name="_PC_AIO_PC_TV_PC Products 4 2" xfId="0"/>
    <cellStyle name="_PC_AIO_PC_TV_PC Products_By Region" xfId="0"/>
    <cellStyle name="_PC_AIO_PC_TV_PC Products_CORP SG&amp;A" xfId="0"/>
    <cellStyle name="_PC_AIO_PC_TV_PC Products_LCD" xfId="0"/>
    <cellStyle name="_PC_AIO_PC_TV_PC Products_PJ" xfId="0"/>
    <cellStyle name="_PC_AIO_PC_TV_VSA 111014" xfId="0"/>
    <cellStyle name="_PC_AIO_PC_TV_VSA 111014 2" xfId="0"/>
    <cellStyle name="_PC_AIO_PC_TV_VSA 111014 3" xfId="0"/>
    <cellStyle name="_PC_AIO_PC_TV_VSA 111014 4" xfId="0"/>
    <cellStyle name="_PC_AIO_PC_TV_VSA 111014 4 2" xfId="0"/>
    <cellStyle name="_PC_AIO_PC_TV_VSA 111014_By Region" xfId="0"/>
    <cellStyle name="_PC_AIO_PC_TV_VSA 111014_CORP SG&amp;A" xfId="0"/>
    <cellStyle name="_PC_AIO_PC_TV_VSA 111014_LCD" xfId="0"/>
    <cellStyle name="_PC_AIO_PC_TV_VSA 111014_PJ" xfId="0"/>
    <cellStyle name="_PC_AIO_PC_TV_VSA Roll-Up (LW)" xfId="0"/>
    <cellStyle name="_PC_AIO_PC_TV_VSA Roll-Up (LW) 2" xfId="0"/>
    <cellStyle name="_PC_AIO_PC_TV_VSA Roll-Up (LW) 3" xfId="0"/>
    <cellStyle name="_PC_AIO_PC_TV_VSA Roll-Up (LW) 4" xfId="0"/>
    <cellStyle name="_PC_AIO_PC_TV_VSA Roll-Up (LW) 4 2" xfId="0"/>
    <cellStyle name="_PC_AIO_PC_TV_VSA Roll-Up (LW)_By Region" xfId="0"/>
    <cellStyle name="_PC_AIO_PC_TV_VSA Roll-Up (LW)_CORP SG&amp;A" xfId="0"/>
    <cellStyle name="_PC_AIO_PC_TV_VSA Roll-Up (LW)_LCD" xfId="0"/>
    <cellStyle name="_PC_AIO_PC_TV_VSA Roll-Up (LW)_PJ" xfId="0"/>
    <cellStyle name="_PC_AIO_PC_VSA 111014" xfId="0"/>
    <cellStyle name="_PC_AIO_PC_VSA 111014 2" xfId="0"/>
    <cellStyle name="_PC_AIO_PC_VSA 111014 3" xfId="0"/>
    <cellStyle name="_PC_AIO_PC_VSA 111014 4" xfId="0"/>
    <cellStyle name="_PC_AIO_PC_VSA 111014 4 2" xfId="0"/>
    <cellStyle name="_PC_AIO_PC_VSA 111014_By Region" xfId="0"/>
    <cellStyle name="_PC_AIO_PC_VSA 111014_CORP SG&amp;A" xfId="0"/>
    <cellStyle name="_PC_AIO_PC_VSA 111014_LCD" xfId="0"/>
    <cellStyle name="_PC_AIO_PC_VSA 111014_PJ" xfId="0"/>
    <cellStyle name="_PC_AIO_PC_VSA Roll-Up (LW)" xfId="0"/>
    <cellStyle name="_PC_AIO_PC_VSA Roll-Up (LW) 2" xfId="0"/>
    <cellStyle name="_PC_AIO_PC_VSA Roll-Up (LW) 3" xfId="0"/>
    <cellStyle name="_PC_AIO_PC_VSA Roll-Up (LW) 4" xfId="0"/>
    <cellStyle name="_PC_AIO_PC_VSA Roll-Up (LW) 4 2" xfId="0"/>
    <cellStyle name="_PC_AIO_PC_VSA Roll-Up (LW)_By Region" xfId="0"/>
    <cellStyle name="_PC_AIO_PC_VSA Roll-Up (LW)_CORP SG&amp;A" xfId="0"/>
    <cellStyle name="_PC_AIO_PC_VSA Roll-Up (LW)_LCD" xfId="0"/>
    <cellStyle name="_PC_AIO_PC_VSA Roll-Up (LW)_PJ" xfId="0"/>
    <cellStyle name="_PC_AIO_PJ" xfId="0"/>
    <cellStyle name="_PC_AIO_PJ 2" xfId="0"/>
    <cellStyle name="_PC_AIO_PJ 3" xfId="0"/>
    <cellStyle name="_PC_AIO_PJ 4" xfId="0"/>
    <cellStyle name="_PC_AIO_PJ_By Region" xfId="0"/>
    <cellStyle name="_PC_AIO_PJ_CORP SG&amp;A" xfId="0"/>
    <cellStyle name="_PC_AIO_PJ_GPS OTHER" xfId="0"/>
    <cellStyle name="_PC_AIO_PJ_GPS OTHER 2" xfId="0"/>
    <cellStyle name="_PC_AIO_PJ_GPS OTHER 3" xfId="0"/>
    <cellStyle name="_PC_AIO_PJ_GPS OTHER 4" xfId="0"/>
    <cellStyle name="_PC_AIO_PJ_GPS OTHER 4 2" xfId="0"/>
    <cellStyle name="_PC_AIO_PJ_GPS OTHER_By Region" xfId="0"/>
    <cellStyle name="_PC_AIO_PJ_GPS OTHER_CORP SG&amp;A" xfId="0"/>
    <cellStyle name="_PC_AIO_PJ_GPS OTHER_LCD" xfId="0"/>
    <cellStyle name="_PC_AIO_PJ_GPS OTHER_PJ" xfId="0"/>
    <cellStyle name="_PC_AIO_PJ_LCD" xfId="0"/>
    <cellStyle name="_PC_AIO_PJ_LCD 2" xfId="0"/>
    <cellStyle name="_PC_AIO_PJ_LCD 3" xfId="0"/>
    <cellStyle name="_PC_AIO_PJ_LCD 4" xfId="0"/>
    <cellStyle name="_PC_AIO_PJ_LCD_By Region" xfId="0"/>
    <cellStyle name="_PC_AIO_PJ_LCD_CORP SG&amp;A" xfId="0"/>
    <cellStyle name="_PC_AIO_PJ_LCD_LCD" xfId="0"/>
    <cellStyle name="_PC_AIO_PJ_LCD_PJ" xfId="0"/>
    <cellStyle name="_PC_AIO_PJ_PC Products" xfId="0"/>
    <cellStyle name="_PC_AIO_PJ_PC Products 2" xfId="0"/>
    <cellStyle name="_PC_AIO_PJ_PC Products 3" xfId="0"/>
    <cellStyle name="_PC_AIO_PJ_PC Products 4" xfId="0"/>
    <cellStyle name="_PC_AIO_PJ_PC Products 4 2" xfId="0"/>
    <cellStyle name="_PC_AIO_PJ_PC Products_By Region" xfId="0"/>
    <cellStyle name="_PC_AIO_PJ_PC Products_CORP SG&amp;A" xfId="0"/>
    <cellStyle name="_PC_AIO_PJ_PC Products_LCD" xfId="0"/>
    <cellStyle name="_PC_AIO_PJ_PC Products_PJ" xfId="0"/>
    <cellStyle name="_PC_AIO_PJ_VSA 111014" xfId="0"/>
    <cellStyle name="_PC_AIO_PJ_VSA 111014 2" xfId="0"/>
    <cellStyle name="_PC_AIO_PJ_VSA 111014 3" xfId="0"/>
    <cellStyle name="_PC_AIO_PJ_VSA 111014 4" xfId="0"/>
    <cellStyle name="_PC_AIO_PJ_VSA 111014 4 2" xfId="0"/>
    <cellStyle name="_PC_AIO_PJ_VSA 111014_By Region" xfId="0"/>
    <cellStyle name="_PC_AIO_PJ_VSA 111014_CORP SG&amp;A" xfId="0"/>
    <cellStyle name="_PC_AIO_PJ_VSA 111014_LCD" xfId="0"/>
    <cellStyle name="_PC_AIO_PJ_VSA 111014_PJ" xfId="0"/>
    <cellStyle name="_PC_AIO_PJ_VSA Roll-Up (LW)" xfId="0"/>
    <cellStyle name="_PC_AIO_PJ_VSA Roll-Up (LW) 2" xfId="0"/>
    <cellStyle name="_PC_AIO_PJ_VSA Roll-Up (LW) 3" xfId="0"/>
    <cellStyle name="_PC_AIO_PJ_VSA Roll-Up (LW) 4" xfId="0"/>
    <cellStyle name="_PC_AIO_PJ_VSA Roll-Up (LW) 4 2" xfId="0"/>
    <cellStyle name="_PC_AIO_PJ_VSA Roll-Up (LW)_By Region" xfId="0"/>
    <cellStyle name="_PC_AIO_PJ_VSA Roll-Up (LW)_CORP SG&amp;A" xfId="0"/>
    <cellStyle name="_PC_AIO_PJ_VSA Roll-Up (LW)_LCD" xfId="0"/>
    <cellStyle name="_PC_AIO_PJ_VSA Roll-Up (LW)_PJ" xfId="0"/>
    <cellStyle name="_PC_AIO_PMP(VPD)" xfId="0"/>
    <cellStyle name="_PC_AIO_PMP(VPD) 2" xfId="0"/>
    <cellStyle name="_PC_AIO_PMP(VPD) 3" xfId="0"/>
    <cellStyle name="_PC_AIO_PMP(VPD) 4" xfId="0"/>
    <cellStyle name="_PC_AIO_PMP(VPD)_By Region" xfId="0"/>
    <cellStyle name="_PC_AIO_PMP(VPD)_CORP SG&amp;A" xfId="0"/>
    <cellStyle name="_PC_AIO_PMP(VPD)_GPS OTHER" xfId="0"/>
    <cellStyle name="_PC_AIO_PMP(VPD)_GPS OTHER 2" xfId="0"/>
    <cellStyle name="_PC_AIO_PMP(VPD)_GPS OTHER 3" xfId="0"/>
    <cellStyle name="_PC_AIO_PMP(VPD)_GPS OTHER 4" xfId="0"/>
    <cellStyle name="_PC_AIO_PMP(VPD)_GPS OTHER 4 2" xfId="0"/>
    <cellStyle name="_PC_AIO_PMP(VPD)_GPS OTHER_By Region" xfId="0"/>
    <cellStyle name="_PC_AIO_PMP(VPD)_GPS OTHER_CORP SG&amp;A" xfId="0"/>
    <cellStyle name="_PC_AIO_PMP(VPD)_GPS OTHER_LCD" xfId="0"/>
    <cellStyle name="_PC_AIO_PMP(VPD)_GPS OTHER_PJ" xfId="0"/>
    <cellStyle name="_PC_AIO_PMP(VPD)_LCD" xfId="0"/>
    <cellStyle name="_PC_AIO_PMP(VPD)_LCD 2" xfId="0"/>
    <cellStyle name="_PC_AIO_PMP(VPD)_LCD 3" xfId="0"/>
    <cellStyle name="_PC_AIO_PMP(VPD)_LCD 4" xfId="0"/>
    <cellStyle name="_PC_AIO_PMP(VPD)_LCD_By Region" xfId="0"/>
    <cellStyle name="_PC_AIO_PMP(VPD)_LCD_CORP SG&amp;A" xfId="0"/>
    <cellStyle name="_PC_AIO_PMP(VPD)_LCD_LCD" xfId="0"/>
    <cellStyle name="_PC_AIO_PMP(VPD)_LCD_PJ" xfId="0"/>
    <cellStyle name="_PC_AIO_PMP(VPD)_PC Products" xfId="0"/>
    <cellStyle name="_PC_AIO_PMP(VPD)_PC Products 2" xfId="0"/>
    <cellStyle name="_PC_AIO_PMP(VPD)_PC Products 3" xfId="0"/>
    <cellStyle name="_PC_AIO_PMP(VPD)_PC Products 4" xfId="0"/>
    <cellStyle name="_PC_AIO_PMP(VPD)_PC Products 4 2" xfId="0"/>
    <cellStyle name="_PC_AIO_PMP(VPD)_PC Products_By Region" xfId="0"/>
    <cellStyle name="_PC_AIO_PMP(VPD)_PC Products_CORP SG&amp;A" xfId="0"/>
    <cellStyle name="_PC_AIO_PMP(VPD)_PC Products_LCD" xfId="0"/>
    <cellStyle name="_PC_AIO_PMP(VPD)_PC Products_PJ" xfId="0"/>
    <cellStyle name="_PC_AIO_PMP(VPD)_VSA 111014" xfId="0"/>
    <cellStyle name="_PC_AIO_PMP(VPD)_VSA 111014 2" xfId="0"/>
    <cellStyle name="_PC_AIO_PMP(VPD)_VSA 111014 3" xfId="0"/>
    <cellStyle name="_PC_AIO_PMP(VPD)_VSA 111014 4" xfId="0"/>
    <cellStyle name="_PC_AIO_PMP(VPD)_VSA 111014 4 2" xfId="0"/>
    <cellStyle name="_PC_AIO_PMP(VPD)_VSA 111014_By Region" xfId="0"/>
    <cellStyle name="_PC_AIO_PMP(VPD)_VSA 111014_CORP SG&amp;A" xfId="0"/>
    <cellStyle name="_PC_AIO_PMP(VPD)_VSA 111014_LCD" xfId="0"/>
    <cellStyle name="_PC_AIO_PMP(VPD)_VSA 111014_PJ" xfId="0"/>
    <cellStyle name="_PC_AIO_PMP(VPD)_VSA Roll-Up (LW)" xfId="0"/>
    <cellStyle name="_PC_AIO_PMP(VPD)_VSA Roll-Up (LW) 2" xfId="0"/>
    <cellStyle name="_PC_AIO_PMP(VPD)_VSA Roll-Up (LW) 3" xfId="0"/>
    <cellStyle name="_PC_AIO_PMP(VPD)_VSA Roll-Up (LW) 4" xfId="0"/>
    <cellStyle name="_PC_AIO_PMP(VPD)_VSA Roll-Up (LW) 4 2" xfId="0"/>
    <cellStyle name="_PC_AIO_PMP(VPD)_VSA Roll-Up (LW)_By Region" xfId="0"/>
    <cellStyle name="_PC_AIO_PMP(VPD)_VSA Roll-Up (LW)_CORP SG&amp;A" xfId="0"/>
    <cellStyle name="_PC_AIO_PMP(VPD)_VSA Roll-Up (LW)_LCD" xfId="0"/>
    <cellStyle name="_PC_AIO_PMP(VPD)_VSA Roll-Up (LW)_PJ" xfId="0"/>
    <cellStyle name="_PC_AIO_Pocket TV" xfId="0"/>
    <cellStyle name="_PC_AIO_Pocket TV 2" xfId="0"/>
    <cellStyle name="_PC_AIO_Pocket TV 3" xfId="0"/>
    <cellStyle name="_PC_AIO_Pocket TV 4" xfId="0"/>
    <cellStyle name="_PC_AIO_Pocket TV_By Region" xfId="0"/>
    <cellStyle name="_PC_AIO_Pocket TV_CORP SG&amp;A" xfId="0"/>
    <cellStyle name="_PC_AIO_Pocket TV_GPS OTHER" xfId="0"/>
    <cellStyle name="_PC_AIO_Pocket TV_GPS OTHER 2" xfId="0"/>
    <cellStyle name="_PC_AIO_Pocket TV_GPS OTHER 3" xfId="0"/>
    <cellStyle name="_PC_AIO_Pocket TV_GPS OTHER 4" xfId="0"/>
    <cellStyle name="_PC_AIO_Pocket TV_GPS OTHER 4 2" xfId="0"/>
    <cellStyle name="_PC_AIO_Pocket TV_GPS OTHER_By Region" xfId="0"/>
    <cellStyle name="_PC_AIO_Pocket TV_GPS OTHER_CORP SG&amp;A" xfId="0"/>
    <cellStyle name="_PC_AIO_Pocket TV_GPS OTHER_LCD" xfId="0"/>
    <cellStyle name="_PC_AIO_Pocket TV_GPS OTHER_PJ" xfId="0"/>
    <cellStyle name="_PC_AIO_Pocket TV_LCD" xfId="0"/>
    <cellStyle name="_PC_AIO_Pocket TV_LCD 2" xfId="0"/>
    <cellStyle name="_PC_AIO_Pocket TV_LCD 3" xfId="0"/>
    <cellStyle name="_PC_AIO_Pocket TV_LCD 4" xfId="0"/>
    <cellStyle name="_PC_AIO_Pocket TV_LCD_By Region" xfId="0"/>
    <cellStyle name="_PC_AIO_Pocket TV_LCD_CORP SG&amp;A" xfId="0"/>
    <cellStyle name="_PC_AIO_Pocket TV_LCD_LCD" xfId="0"/>
    <cellStyle name="_PC_AIO_Pocket TV_LCD_PJ" xfId="0"/>
    <cellStyle name="_PC_AIO_Pocket TV_PC Products" xfId="0"/>
    <cellStyle name="_PC_AIO_Pocket TV_PC Products 2" xfId="0"/>
    <cellStyle name="_PC_AIO_Pocket TV_PC Products 3" xfId="0"/>
    <cellStyle name="_PC_AIO_Pocket TV_PC Products 4" xfId="0"/>
    <cellStyle name="_PC_AIO_Pocket TV_PC Products 4 2" xfId="0"/>
    <cellStyle name="_PC_AIO_Pocket TV_PC Products_By Region" xfId="0"/>
    <cellStyle name="_PC_AIO_Pocket TV_PC Products_CORP SG&amp;A" xfId="0"/>
    <cellStyle name="_PC_AIO_Pocket TV_PC Products_LCD" xfId="0"/>
    <cellStyle name="_PC_AIO_Pocket TV_PC Products_PJ" xfId="0"/>
    <cellStyle name="_PC_AIO_Pocket TV_VSA 111014" xfId="0"/>
    <cellStyle name="_PC_AIO_Pocket TV_VSA 111014 2" xfId="0"/>
    <cellStyle name="_PC_AIO_Pocket TV_VSA 111014 3" xfId="0"/>
    <cellStyle name="_PC_AIO_Pocket TV_VSA 111014 4" xfId="0"/>
    <cellStyle name="_PC_AIO_Pocket TV_VSA 111014 4 2" xfId="0"/>
    <cellStyle name="_PC_AIO_Pocket TV_VSA 111014_By Region" xfId="0"/>
    <cellStyle name="_PC_AIO_Pocket TV_VSA 111014_CORP SG&amp;A" xfId="0"/>
    <cellStyle name="_PC_AIO_Pocket TV_VSA 111014_LCD" xfId="0"/>
    <cellStyle name="_PC_AIO_Pocket TV_VSA 111014_PJ" xfId="0"/>
    <cellStyle name="_PC_AIO_Pocket TV_VSA Roll-Up (LW)" xfId="0"/>
    <cellStyle name="_PC_AIO_Pocket TV_VSA Roll-Up (LW) 2" xfId="0"/>
    <cellStyle name="_PC_AIO_Pocket TV_VSA Roll-Up (LW) 3" xfId="0"/>
    <cellStyle name="_PC_AIO_Pocket TV_VSA Roll-Up (LW) 4" xfId="0"/>
    <cellStyle name="_PC_AIO_Pocket TV_VSA Roll-Up (LW) 4 2" xfId="0"/>
    <cellStyle name="_PC_AIO_Pocket TV_VSA Roll-Up (LW)_By Region" xfId="0"/>
    <cellStyle name="_PC_AIO_Pocket TV_VSA Roll-Up (LW)_CORP SG&amp;A" xfId="0"/>
    <cellStyle name="_PC_AIO_Pocket TV_VSA Roll-Up (LW)_LCD" xfId="0"/>
    <cellStyle name="_PC_AIO_Pocket TV_VSA Roll-Up (LW)_PJ" xfId="0"/>
    <cellStyle name="_PC_AIO_Pocket_TV" xfId="0"/>
    <cellStyle name="_PC_AIO_Pocket_TV 2" xfId="0"/>
    <cellStyle name="_PC_AIO_Pocket_TV 3" xfId="0"/>
    <cellStyle name="_PC_AIO_Pocket_TV 4" xfId="0"/>
    <cellStyle name="_PC_AIO_Pocket_TV_By Region" xfId="0"/>
    <cellStyle name="_PC_AIO_Pocket_TV_CORP SG&amp;A" xfId="0"/>
    <cellStyle name="_PC_AIO_Pocket_TV_GPS OTHER" xfId="0"/>
    <cellStyle name="_PC_AIO_Pocket_TV_GPS OTHER 2" xfId="0"/>
    <cellStyle name="_PC_AIO_Pocket_TV_GPS OTHER 3" xfId="0"/>
    <cellStyle name="_PC_AIO_Pocket_TV_GPS OTHER 4" xfId="0"/>
    <cellStyle name="_PC_AIO_Pocket_TV_GPS OTHER 4 2" xfId="0"/>
    <cellStyle name="_PC_AIO_Pocket_TV_GPS OTHER_By Region" xfId="0"/>
    <cellStyle name="_PC_AIO_Pocket_TV_GPS OTHER_CORP SG&amp;A" xfId="0"/>
    <cellStyle name="_PC_AIO_Pocket_TV_GPS OTHER_LCD" xfId="0"/>
    <cellStyle name="_PC_AIO_Pocket_TV_GPS OTHER_PJ" xfId="0"/>
    <cellStyle name="_PC_AIO_Pocket_TV_LCD" xfId="0"/>
    <cellStyle name="_PC_AIO_Pocket_TV_LCD 2" xfId="0"/>
    <cellStyle name="_PC_AIO_Pocket_TV_LCD 3" xfId="0"/>
    <cellStyle name="_PC_AIO_Pocket_TV_LCD 4" xfId="0"/>
    <cellStyle name="_PC_AIO_Pocket_TV_LCD_By Region" xfId="0"/>
    <cellStyle name="_PC_AIO_Pocket_TV_LCD_CORP SG&amp;A" xfId="0"/>
    <cellStyle name="_PC_AIO_Pocket_TV_LCD_LCD" xfId="0"/>
    <cellStyle name="_PC_AIO_Pocket_TV_LCD_PJ" xfId="0"/>
    <cellStyle name="_PC_AIO_Pocket_TV_PC Products" xfId="0"/>
    <cellStyle name="_PC_AIO_Pocket_TV_PC Products 2" xfId="0"/>
    <cellStyle name="_PC_AIO_Pocket_TV_PC Products 3" xfId="0"/>
    <cellStyle name="_PC_AIO_Pocket_TV_PC Products 4" xfId="0"/>
    <cellStyle name="_PC_AIO_Pocket_TV_PC Products 4 2" xfId="0"/>
    <cellStyle name="_PC_AIO_Pocket_TV_PC Products_By Region" xfId="0"/>
    <cellStyle name="_PC_AIO_Pocket_TV_PC Products_CORP SG&amp;A" xfId="0"/>
    <cellStyle name="_PC_AIO_Pocket_TV_PC Products_LCD" xfId="0"/>
    <cellStyle name="_PC_AIO_Pocket_TV_PC Products_PJ" xfId="0"/>
    <cellStyle name="_PC_AIO_Pocket_TV_VSA 111014" xfId="0"/>
    <cellStyle name="_PC_AIO_Pocket_TV_VSA 111014 2" xfId="0"/>
    <cellStyle name="_PC_AIO_Pocket_TV_VSA 111014 3" xfId="0"/>
    <cellStyle name="_PC_AIO_Pocket_TV_VSA 111014 4" xfId="0"/>
    <cellStyle name="_PC_AIO_Pocket_TV_VSA 111014 4 2" xfId="0"/>
    <cellStyle name="_PC_AIO_Pocket_TV_VSA 111014_By Region" xfId="0"/>
    <cellStyle name="_PC_AIO_Pocket_TV_VSA 111014_CORP SG&amp;A" xfId="0"/>
    <cellStyle name="_PC_AIO_Pocket_TV_VSA 111014_LCD" xfId="0"/>
    <cellStyle name="_PC_AIO_Pocket_TV_VSA 111014_PJ" xfId="0"/>
    <cellStyle name="_PC_AIO_Pocket_TV_VSA Roll-Up (LW)" xfId="0"/>
    <cellStyle name="_PC_AIO_Pocket_TV_VSA Roll-Up (LW) 2" xfId="0"/>
    <cellStyle name="_PC_AIO_Pocket_TV_VSA Roll-Up (LW) 3" xfId="0"/>
    <cellStyle name="_PC_AIO_Pocket_TV_VSA Roll-Up (LW) 4" xfId="0"/>
    <cellStyle name="_PC_AIO_Pocket_TV_VSA Roll-Up (LW) 4 2" xfId="0"/>
    <cellStyle name="_PC_AIO_Pocket_TV_VSA Roll-Up (LW)_By Region" xfId="0"/>
    <cellStyle name="_PC_AIO_Pocket_TV_VSA Roll-Up (LW)_CORP SG&amp;A" xfId="0"/>
    <cellStyle name="_PC_AIO_Pocket_TV_VSA Roll-Up (LW)_LCD" xfId="0"/>
    <cellStyle name="_PC_AIO_Pocket_TV_VSA Roll-Up (LW)_PJ" xfId="0"/>
    <cellStyle name="_PC_AIO_TV" xfId="0"/>
    <cellStyle name="_PC_AIO_TV 2" xfId="0"/>
    <cellStyle name="_PC_AIO_TV 3" xfId="0"/>
    <cellStyle name="_PC_AIO_TV 4" xfId="0"/>
    <cellStyle name="_PC_AIO_TV_By Region" xfId="0"/>
    <cellStyle name="_PC_AIO_TV_CORP SG&amp;A" xfId="0"/>
    <cellStyle name="_PC_AIO_TV_GPS OTHER" xfId="0"/>
    <cellStyle name="_PC_AIO_TV_GPS OTHER 2" xfId="0"/>
    <cellStyle name="_PC_AIO_TV_GPS OTHER 3" xfId="0"/>
    <cellStyle name="_PC_AIO_TV_GPS OTHER 4" xfId="0"/>
    <cellStyle name="_PC_AIO_TV_GPS OTHER 4 2" xfId="0"/>
    <cellStyle name="_PC_AIO_TV_GPS OTHER_By Region" xfId="0"/>
    <cellStyle name="_PC_AIO_TV_GPS OTHER_CORP SG&amp;A" xfId="0"/>
    <cellStyle name="_PC_AIO_TV_GPS OTHER_LCD" xfId="0"/>
    <cellStyle name="_PC_AIO_TV_GPS OTHER_PJ" xfId="0"/>
    <cellStyle name="_PC_AIO_TV_LCD" xfId="0"/>
    <cellStyle name="_PC_AIO_TV_LCD 2" xfId="0"/>
    <cellStyle name="_PC_AIO_TV_LCD 3" xfId="0"/>
    <cellStyle name="_PC_AIO_TV_LCD 4" xfId="0"/>
    <cellStyle name="_PC_AIO_TV_LCD_By Region" xfId="0"/>
    <cellStyle name="_PC_AIO_TV_LCD_CORP SG&amp;A" xfId="0"/>
    <cellStyle name="_PC_AIO_TV_LCD_LCD" xfId="0"/>
    <cellStyle name="_PC_AIO_TV_LCD_PJ" xfId="0"/>
    <cellStyle name="_PC_AIO_TV_PC Products" xfId="0"/>
    <cellStyle name="_PC_AIO_TV_PC Products 2" xfId="0"/>
    <cellStyle name="_PC_AIO_TV_PC Products 3" xfId="0"/>
    <cellStyle name="_PC_AIO_TV_PC Products 4" xfId="0"/>
    <cellStyle name="_PC_AIO_TV_PC Products 4 2" xfId="0"/>
    <cellStyle name="_PC_AIO_TV_PC Products_By Region" xfId="0"/>
    <cellStyle name="_PC_AIO_TV_PC Products_CORP SG&amp;A" xfId="0"/>
    <cellStyle name="_PC_AIO_TV_PC Products_LCD" xfId="0"/>
    <cellStyle name="_PC_AIO_TV_PC Products_PJ" xfId="0"/>
    <cellStyle name="_PC_AIO_TV_VSA 111014" xfId="0"/>
    <cellStyle name="_PC_AIO_TV_VSA 111014 2" xfId="0"/>
    <cellStyle name="_PC_AIO_TV_VSA 111014 3" xfId="0"/>
    <cellStyle name="_PC_AIO_TV_VSA 111014 4" xfId="0"/>
    <cellStyle name="_PC_AIO_TV_VSA 111014 4 2" xfId="0"/>
    <cellStyle name="_PC_AIO_TV_VSA 111014_By Region" xfId="0"/>
    <cellStyle name="_PC_AIO_TV_VSA 111014_CORP SG&amp;A" xfId="0"/>
    <cellStyle name="_PC_AIO_TV_VSA 111014_LCD" xfId="0"/>
    <cellStyle name="_PC_AIO_TV_VSA 111014_PJ" xfId="0"/>
    <cellStyle name="_PC_AIO_TV_VSA Roll-Up (LW)" xfId="0"/>
    <cellStyle name="_PC_AIO_TV_VSA Roll-Up (LW) 2" xfId="0"/>
    <cellStyle name="_PC_AIO_TV_VSA Roll-Up (LW) 3" xfId="0"/>
    <cellStyle name="_PC_AIO_TV_VSA Roll-Up (LW) 4" xfId="0"/>
    <cellStyle name="_PC_AIO_TV_VSA Roll-Up (LW) 4 2" xfId="0"/>
    <cellStyle name="_PC_AIO_TV_VSA Roll-Up (LW)_By Region" xfId="0"/>
    <cellStyle name="_PC_AIO_TV_VSA Roll-Up (LW)_CORP SG&amp;A" xfId="0"/>
    <cellStyle name="_PC_AIO_TV_VSA Roll-Up (LW)_LCD" xfId="0"/>
    <cellStyle name="_PC_AIO_TV_VSA Roll-Up (LW)_PJ" xfId="0"/>
    <cellStyle name="_PC_AIO_VD" xfId="0"/>
    <cellStyle name="_PC_AIO_VD 2" xfId="0"/>
    <cellStyle name="_PC_AIO_VD 3" xfId="0"/>
    <cellStyle name="_PC_AIO_VD 4" xfId="0"/>
    <cellStyle name="_PC_AIO_VD_By Region" xfId="0"/>
    <cellStyle name="_PC_AIO_VD_CORP SG&amp;A" xfId="0"/>
    <cellStyle name="_PC_AIO_VD_GPS OTHER" xfId="0"/>
    <cellStyle name="_PC_AIO_VD_GPS OTHER 2" xfId="0"/>
    <cellStyle name="_PC_AIO_VD_GPS OTHER 3" xfId="0"/>
    <cellStyle name="_PC_AIO_VD_GPS OTHER 4" xfId="0"/>
    <cellStyle name="_PC_AIO_VD_GPS OTHER 4 2" xfId="0"/>
    <cellStyle name="_PC_AIO_VD_GPS OTHER_By Region" xfId="0"/>
    <cellStyle name="_PC_AIO_VD_GPS OTHER_CORP SG&amp;A" xfId="0"/>
    <cellStyle name="_PC_AIO_VD_GPS OTHER_LCD" xfId="0"/>
    <cellStyle name="_PC_AIO_VD_GPS OTHER_PJ" xfId="0"/>
    <cellStyle name="_PC_AIO_VD_LCD" xfId="0"/>
    <cellStyle name="_PC_AIO_VD_LCD 2" xfId="0"/>
    <cellStyle name="_PC_AIO_VD_LCD 3" xfId="0"/>
    <cellStyle name="_PC_AIO_VD_LCD 4" xfId="0"/>
    <cellStyle name="_PC_AIO_VD_LCD_By Region" xfId="0"/>
    <cellStyle name="_PC_AIO_VD_LCD_CORP SG&amp;A" xfId="0"/>
    <cellStyle name="_PC_AIO_VD_LCD_LCD" xfId="0"/>
    <cellStyle name="_PC_AIO_VD_LCD_PJ" xfId="0"/>
    <cellStyle name="_PC_AIO_VD_PC Products" xfId="0"/>
    <cellStyle name="_PC_AIO_VD_PC Products 2" xfId="0"/>
    <cellStyle name="_PC_AIO_VD_PC Products 3" xfId="0"/>
    <cellStyle name="_PC_AIO_VD_PC Products 4" xfId="0"/>
    <cellStyle name="_PC_AIO_VD_PC Products 4 2" xfId="0"/>
    <cellStyle name="_PC_AIO_VD_PC Products_By Region" xfId="0"/>
    <cellStyle name="_PC_AIO_VD_PC Products_CORP SG&amp;A" xfId="0"/>
    <cellStyle name="_PC_AIO_VD_PC Products_LCD" xfId="0"/>
    <cellStyle name="_PC_AIO_VD_PC Products_PJ" xfId="0"/>
    <cellStyle name="_PC_AIO_VD_VSA 111014" xfId="0"/>
    <cellStyle name="_PC_AIO_VD_VSA 111014 2" xfId="0"/>
    <cellStyle name="_PC_AIO_VD_VSA 111014 3" xfId="0"/>
    <cellStyle name="_PC_AIO_VD_VSA 111014 4" xfId="0"/>
    <cellStyle name="_PC_AIO_VD_VSA 111014 4 2" xfId="0"/>
    <cellStyle name="_PC_AIO_VD_VSA 111014_By Region" xfId="0"/>
    <cellStyle name="_PC_AIO_VD_VSA 111014_CORP SG&amp;A" xfId="0"/>
    <cellStyle name="_PC_AIO_VD_VSA 111014_LCD" xfId="0"/>
    <cellStyle name="_PC_AIO_VD_VSA 111014_PJ" xfId="0"/>
    <cellStyle name="_PC_AIO_VD_VSA Roll-Up (LW)" xfId="0"/>
    <cellStyle name="_PC_AIO_VD_VSA Roll-Up (LW) 2" xfId="0"/>
    <cellStyle name="_PC_AIO_VD_VSA Roll-Up (LW) 3" xfId="0"/>
    <cellStyle name="_PC_AIO_VD_VSA Roll-Up (LW) 4" xfId="0"/>
    <cellStyle name="_PC_AIO_VD_VSA Roll-Up (LW) 4 2" xfId="0"/>
    <cellStyle name="_PC_AIO_VD_VSA Roll-Up (LW)_By Region" xfId="0"/>
    <cellStyle name="_PC_AIO_VD_VSA Roll-Up (LW)_CORP SG&amp;A" xfId="0"/>
    <cellStyle name="_PC_AIO_VD_VSA Roll-Up (LW)_LCD" xfId="0"/>
    <cellStyle name="_PC_AIO_VD_VSA Roll-Up (LW)_PJ" xfId="0"/>
    <cellStyle name="_PC_AIO_VSA 111014" xfId="0"/>
    <cellStyle name="_PC_AIO_VSA 111014 2" xfId="0"/>
    <cellStyle name="_PC_AIO_VSA 111014 3" xfId="0"/>
    <cellStyle name="_PC_AIO_VSA 111014 4" xfId="0"/>
    <cellStyle name="_PC_AIO_VSA 111014 4 2" xfId="0"/>
    <cellStyle name="_PC_AIO_VSA 111014_By Region" xfId="0"/>
    <cellStyle name="_PC_AIO_VSA 111014_CORP SG&amp;A" xfId="0"/>
    <cellStyle name="_PC_AIO_VSA 111014_LCD" xfId="0"/>
    <cellStyle name="_PC_AIO_VSA 111014_PJ" xfId="0"/>
    <cellStyle name="_PC_AIO_VSA Roll-Up (LW)" xfId="0"/>
    <cellStyle name="_PC_AIO_VSA Roll-Up (LW) 2" xfId="0"/>
    <cellStyle name="_PC_AIO_VSA Roll-Up (LW) 3" xfId="0"/>
    <cellStyle name="_PC_AIO_VSA Roll-Up (LW) 4" xfId="0"/>
    <cellStyle name="_PC_AIO_VSA Roll-Up (LW) 4 2" xfId="0"/>
    <cellStyle name="_PC_AIO_VSA Roll-Up (LW)_By Region" xfId="0"/>
    <cellStyle name="_PC_AIO_VSA Roll-Up (LW)_CORP SG&amp;A" xfId="0"/>
    <cellStyle name="_PC_AIO_VSA Roll-Up (LW)_LCD" xfId="0"/>
    <cellStyle name="_PC_AIO_VSA Roll-Up (LW)_PJ" xfId="0"/>
    <cellStyle name="_PC_AIO_VSE 2011 Budget" xfId="0"/>
    <cellStyle name="_PC_AIO_VSE 2011 Budget 2" xfId="0"/>
    <cellStyle name="_PC_AIO_VSE 2011 Budget 3" xfId="0"/>
    <cellStyle name="_PC_AIO_VSE 2011 Budget 4" xfId="0"/>
    <cellStyle name="_PC_AIO_VSE 2011 Budget_By Region" xfId="0"/>
    <cellStyle name="_PC_AIO_VSE 2011 Budget_CORP SG&amp;A" xfId="0"/>
    <cellStyle name="_PC_AIO_VSE 2011 Budget_GPS OTHER" xfId="0"/>
    <cellStyle name="_PC_AIO_VSE 2011 Budget_GPS OTHER 2" xfId="0"/>
    <cellStyle name="_PC_AIO_VSE 2011 Budget_GPS OTHER 3" xfId="0"/>
    <cellStyle name="_PC_AIO_VSE 2011 Budget_GPS OTHER 4" xfId="0"/>
    <cellStyle name="_PC_AIO_VSE 2011 Budget_GPS OTHER 4 2" xfId="0"/>
    <cellStyle name="_PC_AIO_VSE 2011 Budget_GPS OTHER_By Region" xfId="0"/>
    <cellStyle name="_PC_AIO_VSE 2011 Budget_GPS OTHER_CORP SG&amp;A" xfId="0"/>
    <cellStyle name="_PC_AIO_VSE 2011 Budget_GPS OTHER_LCD" xfId="0"/>
    <cellStyle name="_PC_AIO_VSE 2011 Budget_GPS OTHER_PJ" xfId="0"/>
    <cellStyle name="_PC_AIO_VSE 2011 Budget_LCD" xfId="0"/>
    <cellStyle name="_PC_AIO_VSE 2011 Budget_LCD 2" xfId="0"/>
    <cellStyle name="_PC_AIO_VSE 2011 Budget_LCD 3" xfId="0"/>
    <cellStyle name="_PC_AIO_VSE 2011 Budget_LCD 4" xfId="0"/>
    <cellStyle name="_PC_AIO_VSE 2011 Budget_LCD_By Region" xfId="0"/>
    <cellStyle name="_PC_AIO_VSE 2011 Budget_LCD_CORP SG&amp;A" xfId="0"/>
    <cellStyle name="_PC_AIO_VSE 2011 Budget_LCD_LCD" xfId="0"/>
    <cellStyle name="_PC_AIO_VSE 2011 Budget_LCD_PJ" xfId="0"/>
    <cellStyle name="_PC_AIO_VSE 2011 Budget_PC Products" xfId="0"/>
    <cellStyle name="_PC_AIO_VSE 2011 Budget_PC Products 2" xfId="0"/>
    <cellStyle name="_PC_AIO_VSE 2011 Budget_PC Products 3" xfId="0"/>
    <cellStyle name="_PC_AIO_VSE 2011 Budget_PC Products 4" xfId="0"/>
    <cellStyle name="_PC_AIO_VSE 2011 Budget_PC Products 4 2" xfId="0"/>
    <cellStyle name="_PC_AIO_VSE 2011 Budget_PC Products_By Region" xfId="0"/>
    <cellStyle name="_PC_AIO_VSE 2011 Budget_PC Products_CORP SG&amp;A" xfId="0"/>
    <cellStyle name="_PC_AIO_VSE 2011 Budget_PC Products_LCD" xfId="0"/>
    <cellStyle name="_PC_AIO_VSE 2011 Budget_PC Products_PJ" xfId="0"/>
    <cellStyle name="_PC_AIO_VSE 2011 Budget_VSA 111014" xfId="0"/>
    <cellStyle name="_PC_AIO_VSE 2011 Budget_VSA 111014 2" xfId="0"/>
    <cellStyle name="_PC_AIO_VSE 2011 Budget_VSA 111014 3" xfId="0"/>
    <cellStyle name="_PC_AIO_VSE 2011 Budget_VSA 111014 4" xfId="0"/>
    <cellStyle name="_PC_AIO_VSE 2011 Budget_VSA 111014 4 2" xfId="0"/>
    <cellStyle name="_PC_AIO_VSE 2011 Budget_VSA 111014_By Region" xfId="0"/>
    <cellStyle name="_PC_AIO_VSE 2011 Budget_VSA 111014_CORP SG&amp;A" xfId="0"/>
    <cellStyle name="_PC_AIO_VSE 2011 Budget_VSA 111014_LCD" xfId="0"/>
    <cellStyle name="_PC_AIO_VSE 2011 Budget_VSA 111014_PJ" xfId="0"/>
    <cellStyle name="_PC_AIO_VSE 2011 Budget_VSA Roll-Up (LW)" xfId="0"/>
    <cellStyle name="_PC_AIO_VSE 2011 Budget_VSA Roll-Up (LW) 2" xfId="0"/>
    <cellStyle name="_PC_AIO_VSE 2011 Budget_VSA Roll-Up (LW) 3" xfId="0"/>
    <cellStyle name="_PC_AIO_VSE 2011 Budget_VSA Roll-Up (LW) 4" xfId="0"/>
    <cellStyle name="_PC_AIO_VSE 2011 Budget_VSA Roll-Up (LW) 4 2" xfId="0"/>
    <cellStyle name="_PC_AIO_VSE 2011 Budget_VSA Roll-Up (LW)_By Region" xfId="0"/>
    <cellStyle name="_PC_AIO_VSE 2011 Budget_VSA Roll-Up (LW)_CORP SG&amp;A" xfId="0"/>
    <cellStyle name="_PC_AIO_VSE 2011 Budget_VSA Roll-Up (LW)_LCD" xfId="0"/>
    <cellStyle name="_PC_AIO_VSE 2011 Budget_VSA Roll-Up (LW)_PJ" xfId="0"/>
    <cellStyle name="_PC_AIO_VSE 2H  WFP review (Spring Global meeting)-conservative Adam working v3" xfId="0"/>
    <cellStyle name="_PC_AIO_VSE 2H  WFP review (Spring Global meeting)-conservative Adam working v3 2" xfId="0"/>
    <cellStyle name="_PC_AIO_VSE 2H  WFP review (Spring Global meeting)-conservative Adam working v3 3" xfId="0"/>
    <cellStyle name="_PC_AIO_VSE 2H Rebalance 110712" xfId="0"/>
    <cellStyle name="_PC_AIO_VSE 2H Rebalance 110712 2" xfId="0"/>
    <cellStyle name="_PC_AIO_VSE 2H Rebalance 110712 3" xfId="0"/>
    <cellStyle name="_PC_AIO_VSE 2H Rebalance 110712 4" xfId="0"/>
    <cellStyle name="_PC_AIO_VSE 2H Rebalance 110712_By Region" xfId="0"/>
    <cellStyle name="_PC_AIO_VSE 2H Rebalance 110712_CORP SG&amp;A" xfId="0"/>
    <cellStyle name="_PC_AIO_VSE WFP 101203" xfId="0"/>
    <cellStyle name="_PC_AIO_VSE WFP 101203 2" xfId="0"/>
    <cellStyle name="_PC_AIO_VSE WFP 101203 3" xfId="0"/>
    <cellStyle name="_PC_AIO_VSE WFP 101203 4" xfId="0"/>
    <cellStyle name="_PC_AIO_VSE WFP 101203_By Region" xfId="0"/>
    <cellStyle name="_PC_AIO_VSE WFP 101203_CORP SG&amp;A" xfId="0"/>
    <cellStyle name="_PC_AIO_VSE WFP 110311" xfId="0"/>
    <cellStyle name="_PC_AIO_VSE WFP 110311 2" xfId="0"/>
    <cellStyle name="_PC_AIO_VSE WFP 110311 3" xfId="0"/>
    <cellStyle name="_PC_AIO_VSE WFP 110311 4" xfId="0"/>
    <cellStyle name="_PC_AIO_VSE WFP 110311_By Region" xfId="0"/>
    <cellStyle name="_PC_AIO_VSE WFP 110311_CORP SG&amp;A" xfId="0"/>
    <cellStyle name="_PC_AIO_VSE WFP 110415" xfId="0"/>
    <cellStyle name="_PC_AIO_VSE WFP 110415 2" xfId="0"/>
    <cellStyle name="_PC_AIO_VSE WFP 110415 3" xfId="0"/>
    <cellStyle name="_PC_AIO_VSE WFP 110415 4" xfId="0"/>
    <cellStyle name="_PC_AIO_VSE WFP 110415_By Region" xfId="0"/>
    <cellStyle name="_PC_AIO_VSE WFP 110415_CORP SG&amp;A" xfId="0"/>
    <cellStyle name="_PC_AIO_VSE WFP_100409" xfId="0"/>
    <cellStyle name="_PC_AIO_VSE WFP_100409 2" xfId="0"/>
    <cellStyle name="_PC_AIO_VSE WFP_100409 3" xfId="0"/>
    <cellStyle name="_PC_AIO_VSE WFP_100409 4" xfId="0"/>
    <cellStyle name="_PC_AIO_VSE WFP_100409_By Region" xfId="0"/>
    <cellStyle name="_PC_AIO_VSE WFP_100409_CORP SG&amp;A" xfId="0"/>
    <cellStyle name="_PC_AIO_VSE WFP_100409_GPS OTHER" xfId="0"/>
    <cellStyle name="_PC_AIO_VSE WFP_100409_GPS OTHER 2" xfId="0"/>
    <cellStyle name="_PC_AIO_VSE WFP_100409_GPS OTHER 3" xfId="0"/>
    <cellStyle name="_PC_AIO_VSE WFP_100409_GPS OTHER 4" xfId="0"/>
    <cellStyle name="_PC_AIO_VSE WFP_100409_GPS OTHER 4 2" xfId="0"/>
    <cellStyle name="_PC_AIO_VSE WFP_100409_GPS OTHER_By Region" xfId="0"/>
    <cellStyle name="_PC_AIO_VSE WFP_100409_GPS OTHER_CORP SG&amp;A" xfId="0"/>
    <cellStyle name="_PC_AIO_VSE WFP_100409_GPS OTHER_LCD" xfId="0"/>
    <cellStyle name="_PC_AIO_VSE WFP_100409_GPS OTHER_PJ" xfId="0"/>
    <cellStyle name="_PC_AIO_VSE WFP_100409_LCD" xfId="0"/>
    <cellStyle name="_PC_AIO_VSE WFP_100409_LCD 2" xfId="0"/>
    <cellStyle name="_PC_AIO_VSE WFP_100409_LCD 3" xfId="0"/>
    <cellStyle name="_PC_AIO_VSE WFP_100409_LCD 4" xfId="0"/>
    <cellStyle name="_PC_AIO_VSE WFP_100409_LCD_By Region" xfId="0"/>
    <cellStyle name="_PC_AIO_VSE WFP_100409_LCD_CORP SG&amp;A" xfId="0"/>
    <cellStyle name="_PC_AIO_VSE WFP_100409_LCD_LCD" xfId="0"/>
    <cellStyle name="_PC_AIO_VSE WFP_100409_LCD_PJ" xfId="0"/>
    <cellStyle name="_PC_AIO_VSE WFP_100409_PC Products" xfId="0"/>
    <cellStyle name="_PC_AIO_VSE WFP_100409_PC Products 2" xfId="0"/>
    <cellStyle name="_PC_AIO_VSE WFP_100409_PC Products 3" xfId="0"/>
    <cellStyle name="_PC_AIO_VSE WFP_100409_PC Products 4" xfId="0"/>
    <cellStyle name="_PC_AIO_VSE WFP_100409_PC Products 4 2" xfId="0"/>
    <cellStyle name="_PC_AIO_VSE WFP_100409_PC Products_By Region" xfId="0"/>
    <cellStyle name="_PC_AIO_VSE WFP_100409_PC Products_CORP SG&amp;A" xfId="0"/>
    <cellStyle name="_PC_AIO_VSE WFP_100409_PC Products_LCD" xfId="0"/>
    <cellStyle name="_PC_AIO_VSE WFP_100409_PC Products_PJ" xfId="0"/>
    <cellStyle name="_PC_AIO_VSE WFP_100409_VSA 111014" xfId="0"/>
    <cellStyle name="_PC_AIO_VSE WFP_100409_VSA 111014 2" xfId="0"/>
    <cellStyle name="_PC_AIO_VSE WFP_100409_VSA 111014 3" xfId="0"/>
    <cellStyle name="_PC_AIO_VSE WFP_100409_VSA 111014 4" xfId="0"/>
    <cellStyle name="_PC_AIO_VSE WFP_100409_VSA 111014 4 2" xfId="0"/>
    <cellStyle name="_PC_AIO_VSE WFP_100409_VSA 111014_By Region" xfId="0"/>
    <cellStyle name="_PC_AIO_VSE WFP_100409_VSA 111014_CORP SG&amp;A" xfId="0"/>
    <cellStyle name="_PC_AIO_VSE WFP_100409_VSA 111014_LCD" xfId="0"/>
    <cellStyle name="_PC_AIO_VSE WFP_100409_VSA 111014_PJ" xfId="0"/>
    <cellStyle name="_PC_AIO_VSE WFP_100409_VSA Roll-Up (LW)" xfId="0"/>
    <cellStyle name="_PC_AIO_VSE WFP_100409_VSA Roll-Up (LW) 2" xfId="0"/>
    <cellStyle name="_PC_AIO_VSE WFP_100409_VSA Roll-Up (LW) 3" xfId="0"/>
    <cellStyle name="_PC_AIO_VSE WFP_100409_VSA Roll-Up (LW) 4" xfId="0"/>
    <cellStyle name="_PC_AIO_VSE WFP_100409_VSA Roll-Up (LW) 4 2" xfId="0"/>
    <cellStyle name="_PC_AIO_VSE WFP_100409_VSA Roll-Up (LW)_By Region" xfId="0"/>
    <cellStyle name="_PC_AIO_VSE WFP_100409_VSA Roll-Up (LW)_CORP SG&amp;A" xfId="0"/>
    <cellStyle name="_PC_AIO_VSE WFP_100409_VSA Roll-Up (LW)_LCD" xfId="0"/>
    <cellStyle name="_PC_AIO_VSE WFP_100409_VSA Roll-Up (LW)_PJ" xfId="0"/>
    <cellStyle name="_PC_AIO_VSE WFP_100421 v2" xfId="0"/>
    <cellStyle name="_PC_AIO_VSE WFP_100421 v2 2" xfId="0"/>
    <cellStyle name="_PC_AIO_VSE WFP_100421 v2 3" xfId="0"/>
    <cellStyle name="_PC_AIO_VSE WFP_100421 v2 4" xfId="0"/>
    <cellStyle name="_PC_AIO_VSE WFP_100421 v2_By Region" xfId="0"/>
    <cellStyle name="_PC_AIO_VSE WFP_100421 v2_CORP SG&amp;A" xfId="0"/>
    <cellStyle name="_PC_AIO_VSE WFP_100421 v2_GPS OTHER" xfId="0"/>
    <cellStyle name="_PC_AIO_VSE WFP_100421 v2_GPS OTHER 2" xfId="0"/>
    <cellStyle name="_PC_AIO_VSE WFP_100421 v2_GPS OTHER 3" xfId="0"/>
    <cellStyle name="_PC_AIO_VSE WFP_100421 v2_GPS OTHER 4" xfId="0"/>
    <cellStyle name="_PC_AIO_VSE WFP_100421 v2_GPS OTHER 4 2" xfId="0"/>
    <cellStyle name="_PC_AIO_VSE WFP_100421 v2_GPS OTHER_By Region" xfId="0"/>
    <cellStyle name="_PC_AIO_VSE WFP_100421 v2_GPS OTHER_CORP SG&amp;A" xfId="0"/>
    <cellStyle name="_PC_AIO_VSE WFP_100421 v2_GPS OTHER_LCD" xfId="0"/>
    <cellStyle name="_PC_AIO_VSE WFP_100421 v2_GPS OTHER_PJ" xfId="0"/>
    <cellStyle name="_PC_AIO_VSE WFP_100421 v2_LCD" xfId="0"/>
    <cellStyle name="_PC_AIO_VSE WFP_100421 v2_LCD 2" xfId="0"/>
    <cellStyle name="_PC_AIO_VSE WFP_100421 v2_LCD 3" xfId="0"/>
    <cellStyle name="_PC_AIO_VSE WFP_100421 v2_LCD 4" xfId="0"/>
    <cellStyle name="_PC_AIO_VSE WFP_100421 v2_LCD_By Region" xfId="0"/>
    <cellStyle name="_PC_AIO_VSE WFP_100421 v2_LCD_CORP SG&amp;A" xfId="0"/>
    <cellStyle name="_PC_AIO_VSE WFP_100421 v2_LCD_LCD" xfId="0"/>
    <cellStyle name="_PC_AIO_VSE WFP_100421 v2_LCD_PJ" xfId="0"/>
    <cellStyle name="_PC_AIO_VSE WFP_100421 v2_PC Products" xfId="0"/>
    <cellStyle name="_PC_AIO_VSE WFP_100421 v2_PC Products 2" xfId="0"/>
    <cellStyle name="_PC_AIO_VSE WFP_100421 v2_PC Products 3" xfId="0"/>
    <cellStyle name="_PC_AIO_VSE WFP_100421 v2_PC Products 4" xfId="0"/>
    <cellStyle name="_PC_AIO_VSE WFP_100421 v2_PC Products 4 2" xfId="0"/>
    <cellStyle name="_PC_AIO_VSE WFP_100421 v2_PC Products_By Region" xfId="0"/>
    <cellStyle name="_PC_AIO_VSE WFP_100421 v2_PC Products_CORP SG&amp;A" xfId="0"/>
    <cellStyle name="_PC_AIO_VSE WFP_100421 v2_PC Products_LCD" xfId="0"/>
    <cellStyle name="_PC_AIO_VSE WFP_100421 v2_PC Products_PJ" xfId="0"/>
    <cellStyle name="_PC_AIO_VSE WFP_100421 v2_VSA 111014" xfId="0"/>
    <cellStyle name="_PC_AIO_VSE WFP_100421 v2_VSA 111014 2" xfId="0"/>
    <cellStyle name="_PC_AIO_VSE WFP_100421 v2_VSA 111014 3" xfId="0"/>
    <cellStyle name="_PC_AIO_VSE WFP_100421 v2_VSA 111014 4" xfId="0"/>
    <cellStyle name="_PC_AIO_VSE WFP_100421 v2_VSA 111014 4 2" xfId="0"/>
    <cellStyle name="_PC_AIO_VSE WFP_100421 v2_VSA 111014_By Region" xfId="0"/>
    <cellStyle name="_PC_AIO_VSE WFP_100421 v2_VSA 111014_CORP SG&amp;A" xfId="0"/>
    <cellStyle name="_PC_AIO_VSE WFP_100421 v2_VSA 111014_LCD" xfId="0"/>
    <cellStyle name="_PC_AIO_VSE WFP_100421 v2_VSA 111014_PJ" xfId="0"/>
    <cellStyle name="_PC_AIO_VSE WFP_100421 v2_VSA Roll-Up (LW)" xfId="0"/>
    <cellStyle name="_PC_AIO_VSE WFP_100421 v2_VSA Roll-Up (LW) 2" xfId="0"/>
    <cellStyle name="_PC_AIO_VSE WFP_100421 v2_VSA Roll-Up (LW) 3" xfId="0"/>
    <cellStyle name="_PC_AIO_VSE WFP_100421 v2_VSA Roll-Up (LW) 4" xfId="0"/>
    <cellStyle name="_PC_AIO_VSE WFP_100421 v2_VSA Roll-Up (LW) 4 2" xfId="0"/>
    <cellStyle name="_PC_AIO_VSE WFP_100421 v2_VSA Roll-Up (LW)_By Region" xfId="0"/>
    <cellStyle name="_PC_AIO_VSE WFP_100421 v2_VSA Roll-Up (LW)_CORP SG&amp;A" xfId="0"/>
    <cellStyle name="_PC_AIO_VSE WFP_100421 v2_VSA Roll-Up (LW)_LCD" xfId="0"/>
    <cellStyle name="_PC_AIO_VSE WFP_100421 v2_VSA Roll-Up (LW)_PJ" xfId="0"/>
    <cellStyle name="_PC_AIO_VSE WFP_100507" xfId="0"/>
    <cellStyle name="_PC_AIO_VSE WFP_100507 2" xfId="0"/>
    <cellStyle name="_PC_AIO_VSE WFP_100507 3" xfId="0"/>
    <cellStyle name="_PC_AIO_VSE WFP_100507 4" xfId="0"/>
    <cellStyle name="_PC_AIO_VSE WFP_100507_By Region" xfId="0"/>
    <cellStyle name="_PC_AIO_VSE WFP_100507_CORP SG&amp;A" xfId="0"/>
    <cellStyle name="_PC_AIO_VSE WFP_100507_GPS OTHER" xfId="0"/>
    <cellStyle name="_PC_AIO_VSE WFP_100507_GPS OTHER 2" xfId="0"/>
    <cellStyle name="_PC_AIO_VSE WFP_100507_GPS OTHER 3" xfId="0"/>
    <cellStyle name="_PC_AIO_VSE WFP_100507_GPS OTHER 4" xfId="0"/>
    <cellStyle name="_PC_AIO_VSE WFP_100507_GPS OTHER 4 2" xfId="0"/>
    <cellStyle name="_PC_AIO_VSE WFP_100507_GPS OTHER_By Region" xfId="0"/>
    <cellStyle name="_PC_AIO_VSE WFP_100507_GPS OTHER_CORP SG&amp;A" xfId="0"/>
    <cellStyle name="_PC_AIO_VSE WFP_100507_GPS OTHER_LCD" xfId="0"/>
    <cellStyle name="_PC_AIO_VSE WFP_100507_GPS OTHER_PJ" xfId="0"/>
    <cellStyle name="_PC_AIO_VSE WFP_100507_LCD" xfId="0"/>
    <cellStyle name="_PC_AIO_VSE WFP_100507_LCD 2" xfId="0"/>
    <cellStyle name="_PC_AIO_VSE WFP_100507_LCD 3" xfId="0"/>
    <cellStyle name="_PC_AIO_VSE WFP_100507_LCD 4" xfId="0"/>
    <cellStyle name="_PC_AIO_VSE WFP_100507_LCD_By Region" xfId="0"/>
    <cellStyle name="_PC_AIO_VSE WFP_100507_LCD_CORP SG&amp;A" xfId="0"/>
    <cellStyle name="_PC_AIO_VSE WFP_100507_LCD_LCD" xfId="0"/>
    <cellStyle name="_PC_AIO_VSE WFP_100507_LCD_PJ" xfId="0"/>
    <cellStyle name="_PC_AIO_VSE WFP_100507_PC Products" xfId="0"/>
    <cellStyle name="_PC_AIO_VSE WFP_100507_PC Products 2" xfId="0"/>
    <cellStyle name="_PC_AIO_VSE WFP_100507_PC Products 3" xfId="0"/>
    <cellStyle name="_PC_AIO_VSE WFP_100507_PC Products 4" xfId="0"/>
    <cellStyle name="_PC_AIO_VSE WFP_100507_PC Products 4 2" xfId="0"/>
    <cellStyle name="_PC_AIO_VSE WFP_100507_PC Products_By Region" xfId="0"/>
    <cellStyle name="_PC_AIO_VSE WFP_100507_PC Products_CORP SG&amp;A" xfId="0"/>
    <cellStyle name="_PC_AIO_VSE WFP_100507_PC Products_LCD" xfId="0"/>
    <cellStyle name="_PC_AIO_VSE WFP_100507_PC Products_PJ" xfId="0"/>
    <cellStyle name="_PC_AIO_VSE WFP_100507_VSA 111014" xfId="0"/>
    <cellStyle name="_PC_AIO_VSE WFP_100507_VSA 111014 2" xfId="0"/>
    <cellStyle name="_PC_AIO_VSE WFP_100507_VSA 111014 3" xfId="0"/>
    <cellStyle name="_PC_AIO_VSE WFP_100507_VSA 111014 4" xfId="0"/>
    <cellStyle name="_PC_AIO_VSE WFP_100507_VSA 111014 4 2" xfId="0"/>
    <cellStyle name="_PC_AIO_VSE WFP_100507_VSA 111014_By Region" xfId="0"/>
    <cellStyle name="_PC_AIO_VSE WFP_100507_VSA 111014_CORP SG&amp;A" xfId="0"/>
    <cellStyle name="_PC_AIO_VSE WFP_100507_VSA 111014_LCD" xfId="0"/>
    <cellStyle name="_PC_AIO_VSE WFP_100507_VSA 111014_PJ" xfId="0"/>
    <cellStyle name="_PC_AIO_VSE WFP_100507_VSA Roll-Up (LW)" xfId="0"/>
    <cellStyle name="_PC_AIO_VSE WFP_100507_VSA Roll-Up (LW) 2" xfId="0"/>
    <cellStyle name="_PC_AIO_VSE WFP_100507_VSA Roll-Up (LW) 3" xfId="0"/>
    <cellStyle name="_PC_AIO_VSE WFP_100507_VSA Roll-Up (LW) 4" xfId="0"/>
    <cellStyle name="_PC_AIO_VSE WFP_100507_VSA Roll-Up (LW) 4 2" xfId="0"/>
    <cellStyle name="_PC_AIO_VSE WFP_100507_VSA Roll-Up (LW)_By Region" xfId="0"/>
    <cellStyle name="_PC_AIO_VSE WFP_100507_VSA Roll-Up (LW)_CORP SG&amp;A" xfId="0"/>
    <cellStyle name="_PC_AIO_VSE WFP_100507_VSA Roll-Up (LW)_LCD" xfId="0"/>
    <cellStyle name="_PC_AIO_VSE WFP_100507_VSA Roll-Up (LW)_PJ" xfId="0"/>
    <cellStyle name="_PC_AIO_VSE WFP_100608" xfId="0"/>
    <cellStyle name="_PC_AIO_VSE WFP_100608 2" xfId="0"/>
    <cellStyle name="_PC_AIO_VSE WFP_100608 3" xfId="0"/>
    <cellStyle name="_PC_AIO_VSE WFP_100608 4" xfId="0"/>
    <cellStyle name="_PC_AIO_VSE WFP_100608_By Region" xfId="0"/>
    <cellStyle name="_PC_AIO_VSE WFP_100608_CORP SG&amp;A" xfId="0"/>
    <cellStyle name="_PC_AIO_VSE WFP_100608_GPS OTHER" xfId="0"/>
    <cellStyle name="_PC_AIO_VSE WFP_100608_GPS OTHER 2" xfId="0"/>
    <cellStyle name="_PC_AIO_VSE WFP_100608_GPS OTHER 3" xfId="0"/>
    <cellStyle name="_PC_AIO_VSE WFP_100608_GPS OTHER 4" xfId="0"/>
    <cellStyle name="_PC_AIO_VSE WFP_100608_GPS OTHER 4 2" xfId="0"/>
    <cellStyle name="_PC_AIO_VSE WFP_100608_GPS OTHER_By Region" xfId="0"/>
    <cellStyle name="_PC_AIO_VSE WFP_100608_GPS OTHER_CORP SG&amp;A" xfId="0"/>
    <cellStyle name="_PC_AIO_VSE WFP_100608_GPS OTHER_LCD" xfId="0"/>
    <cellStyle name="_PC_AIO_VSE WFP_100608_GPS OTHER_PJ" xfId="0"/>
    <cellStyle name="_PC_AIO_VSE WFP_100608_LCD" xfId="0"/>
    <cellStyle name="_PC_AIO_VSE WFP_100608_LCD 2" xfId="0"/>
    <cellStyle name="_PC_AIO_VSE WFP_100608_LCD 3" xfId="0"/>
    <cellStyle name="_PC_AIO_VSE WFP_100608_LCD 4" xfId="0"/>
    <cellStyle name="_PC_AIO_VSE WFP_100608_LCD_By Region" xfId="0"/>
    <cellStyle name="_PC_AIO_VSE WFP_100608_LCD_CORP SG&amp;A" xfId="0"/>
    <cellStyle name="_PC_AIO_VSE WFP_100608_LCD_LCD" xfId="0"/>
    <cellStyle name="_PC_AIO_VSE WFP_100608_LCD_PJ" xfId="0"/>
    <cellStyle name="_PC_AIO_VSE WFP_100608_PC Products" xfId="0"/>
    <cellStyle name="_PC_AIO_VSE WFP_100608_PC Products 2" xfId="0"/>
    <cellStyle name="_PC_AIO_VSE WFP_100608_PC Products 3" xfId="0"/>
    <cellStyle name="_PC_AIO_VSE WFP_100608_PC Products 4" xfId="0"/>
    <cellStyle name="_PC_AIO_VSE WFP_100608_PC Products 4 2" xfId="0"/>
    <cellStyle name="_PC_AIO_VSE WFP_100608_PC Products_By Region" xfId="0"/>
    <cellStyle name="_PC_AIO_VSE WFP_100608_PC Products_CORP SG&amp;A" xfId="0"/>
    <cellStyle name="_PC_AIO_VSE WFP_100608_PC Products_LCD" xfId="0"/>
    <cellStyle name="_PC_AIO_VSE WFP_100608_PC Products_PJ" xfId="0"/>
    <cellStyle name="_PC_AIO_VSE WFP_100608_VSA 111014" xfId="0"/>
    <cellStyle name="_PC_AIO_VSE WFP_100608_VSA 111014 2" xfId="0"/>
    <cellStyle name="_PC_AIO_VSE WFP_100608_VSA 111014 3" xfId="0"/>
    <cellStyle name="_PC_AIO_VSE WFP_100608_VSA 111014 4" xfId="0"/>
    <cellStyle name="_PC_AIO_VSE WFP_100608_VSA 111014 4 2" xfId="0"/>
    <cellStyle name="_PC_AIO_VSE WFP_100608_VSA 111014_By Region" xfId="0"/>
    <cellStyle name="_PC_AIO_VSE WFP_100608_VSA 111014_CORP SG&amp;A" xfId="0"/>
    <cellStyle name="_PC_AIO_VSE WFP_100608_VSA 111014_LCD" xfId="0"/>
    <cellStyle name="_PC_AIO_VSE WFP_100608_VSA 111014_PJ" xfId="0"/>
    <cellStyle name="_PC_AIO_VSE WFP_100608_VSA Roll-Up (LW)" xfId="0"/>
    <cellStyle name="_PC_AIO_VSE WFP_100608_VSA Roll-Up (LW) 2" xfId="0"/>
    <cellStyle name="_PC_AIO_VSE WFP_100608_VSA Roll-Up (LW) 3" xfId="0"/>
    <cellStyle name="_PC_AIO_VSE WFP_100608_VSA Roll-Up (LW) 4" xfId="0"/>
    <cellStyle name="_PC_AIO_VSE WFP_100608_VSA Roll-Up (LW) 4 2" xfId="0"/>
    <cellStyle name="_PC_AIO_VSE WFP_100608_VSA Roll-Up (LW)_By Region" xfId="0"/>
    <cellStyle name="_PC_AIO_VSE WFP_100608_VSA Roll-Up (LW)_CORP SG&amp;A" xfId="0"/>
    <cellStyle name="_PC_AIO_VSE WFP_100608_VSA Roll-Up (LW)_LCD" xfId="0"/>
    <cellStyle name="_PC_AIO_VSE WFP_100608_VSA Roll-Up (LW)_PJ" xfId="0"/>
    <cellStyle name="_PC_AIO_VSE WFP_100625" xfId="0"/>
    <cellStyle name="_PC_AIO_VSE WFP_100625 2" xfId="0"/>
    <cellStyle name="_PC_AIO_VSE WFP_100625 3" xfId="0"/>
    <cellStyle name="_PC_AIO_VSE WFP_100625 4" xfId="0"/>
    <cellStyle name="_PC_AIO_VSE WFP_100625_By Region" xfId="0"/>
    <cellStyle name="_PC_AIO_VSE WFP_100625_CORP SG&amp;A" xfId="0"/>
    <cellStyle name="_PC_AIO_VSE WFP_100625_GPS OTHER" xfId="0"/>
    <cellStyle name="_PC_AIO_VSE WFP_100625_GPS OTHER 2" xfId="0"/>
    <cellStyle name="_PC_AIO_VSE WFP_100625_GPS OTHER 3" xfId="0"/>
    <cellStyle name="_PC_AIO_VSE WFP_100625_GPS OTHER 4" xfId="0"/>
    <cellStyle name="_PC_AIO_VSE WFP_100625_GPS OTHER 4 2" xfId="0"/>
    <cellStyle name="_PC_AIO_VSE WFP_100625_GPS OTHER_By Region" xfId="0"/>
    <cellStyle name="_PC_AIO_VSE WFP_100625_GPS OTHER_CORP SG&amp;A" xfId="0"/>
    <cellStyle name="_PC_AIO_VSE WFP_100625_GPS OTHER_LCD" xfId="0"/>
    <cellStyle name="_PC_AIO_VSE WFP_100625_GPS OTHER_PJ" xfId="0"/>
    <cellStyle name="_PC_AIO_VSE WFP_100625_LCD" xfId="0"/>
    <cellStyle name="_PC_AIO_VSE WFP_100625_LCD 2" xfId="0"/>
    <cellStyle name="_PC_AIO_VSE WFP_100625_LCD 3" xfId="0"/>
    <cellStyle name="_PC_AIO_VSE WFP_100625_LCD 4" xfId="0"/>
    <cellStyle name="_PC_AIO_VSE WFP_100625_LCD_By Region" xfId="0"/>
    <cellStyle name="_PC_AIO_VSE WFP_100625_LCD_CORP SG&amp;A" xfId="0"/>
    <cellStyle name="_PC_AIO_VSE WFP_100625_LCD_LCD" xfId="0"/>
    <cellStyle name="_PC_AIO_VSE WFP_100625_LCD_PJ" xfId="0"/>
    <cellStyle name="_PC_AIO_VSE WFP_100625_PC Products" xfId="0"/>
    <cellStyle name="_PC_AIO_VSE WFP_100625_PC Products 2" xfId="0"/>
    <cellStyle name="_PC_AIO_VSE WFP_100625_PC Products 3" xfId="0"/>
    <cellStyle name="_PC_AIO_VSE WFP_100625_PC Products 4" xfId="0"/>
    <cellStyle name="_PC_AIO_VSE WFP_100625_PC Products 4 2" xfId="0"/>
    <cellStyle name="_PC_AIO_VSE WFP_100625_PC Products_By Region" xfId="0"/>
    <cellStyle name="_PC_AIO_VSE WFP_100625_PC Products_CORP SG&amp;A" xfId="0"/>
    <cellStyle name="_PC_AIO_VSE WFP_100625_PC Products_LCD" xfId="0"/>
    <cellStyle name="_PC_AIO_VSE WFP_100625_PC Products_PJ" xfId="0"/>
    <cellStyle name="_PC_AIO_VSE WFP_100625_VSA 111014" xfId="0"/>
    <cellStyle name="_PC_AIO_VSE WFP_100625_VSA 111014 2" xfId="0"/>
    <cellStyle name="_PC_AIO_VSE WFP_100625_VSA 111014 3" xfId="0"/>
    <cellStyle name="_PC_AIO_VSE WFP_100625_VSA 111014 4" xfId="0"/>
    <cellStyle name="_PC_AIO_VSE WFP_100625_VSA 111014 4 2" xfId="0"/>
    <cellStyle name="_PC_AIO_VSE WFP_100625_VSA 111014_By Region" xfId="0"/>
    <cellStyle name="_PC_AIO_VSE WFP_100625_VSA 111014_CORP SG&amp;A" xfId="0"/>
    <cellStyle name="_PC_AIO_VSE WFP_100625_VSA 111014_LCD" xfId="0"/>
    <cellStyle name="_PC_AIO_VSE WFP_100625_VSA 111014_PJ" xfId="0"/>
    <cellStyle name="_PC_AIO_VSE WFP_100625_VSA Roll-Up (LW)" xfId="0"/>
    <cellStyle name="_PC_AIO_VSE WFP_100625_VSA Roll-Up (LW) 2" xfId="0"/>
    <cellStyle name="_PC_AIO_VSE WFP_100625_VSA Roll-Up (LW) 3" xfId="0"/>
    <cellStyle name="_PC_AIO_VSE WFP_100625_VSA Roll-Up (LW) 4" xfId="0"/>
    <cellStyle name="_PC_AIO_VSE WFP_100625_VSA Roll-Up (LW) 4 2" xfId="0"/>
    <cellStyle name="_PC_AIO_VSE WFP_100625_VSA Roll-Up (LW)_By Region" xfId="0"/>
    <cellStyle name="_PC_AIO_VSE WFP_100625_VSA Roll-Up (LW)_CORP SG&amp;A" xfId="0"/>
    <cellStyle name="_PC_AIO_VSE WFP_100625_VSA Roll-Up (LW)_LCD" xfId="0"/>
    <cellStyle name="_PC_AIO_VSE WFP_100625_VSA Roll-Up (LW)_PJ" xfId="0"/>
    <cellStyle name="_PC_AIO_VSE WFP_100708_3rd" xfId="0"/>
    <cellStyle name="_PC_AIO_VSE WFP_100708_3rd 2" xfId="0"/>
    <cellStyle name="_PC_AIO_VSE WFP_100708_3rd 3" xfId="0"/>
    <cellStyle name="_PC_AIO_VSE WFP_100708_3rd 4" xfId="0"/>
    <cellStyle name="_PC_AIO_VSE WFP_100708_3rd_By Region" xfId="0"/>
    <cellStyle name="_PC_AIO_VSE WFP_100708_3rd_CORP SG&amp;A" xfId="0"/>
    <cellStyle name="_PC_AIO_VSE WFP_100708_3rd_GPS OTHER" xfId="0"/>
    <cellStyle name="_PC_AIO_VSE WFP_100708_3rd_GPS OTHER 2" xfId="0"/>
    <cellStyle name="_PC_AIO_VSE WFP_100708_3rd_GPS OTHER 3" xfId="0"/>
    <cellStyle name="_PC_AIO_VSE WFP_100708_3rd_GPS OTHER 4" xfId="0"/>
    <cellStyle name="_PC_AIO_VSE WFP_100708_3rd_GPS OTHER 4 2" xfId="0"/>
    <cellStyle name="_PC_AIO_VSE WFP_100708_3rd_GPS OTHER_By Region" xfId="0"/>
    <cellStyle name="_PC_AIO_VSE WFP_100708_3rd_GPS OTHER_CORP SG&amp;A" xfId="0"/>
    <cellStyle name="_PC_AIO_VSE WFP_100708_3rd_GPS OTHER_LCD" xfId="0"/>
    <cellStyle name="_PC_AIO_VSE WFP_100708_3rd_GPS OTHER_PJ" xfId="0"/>
    <cellStyle name="_PC_AIO_VSE WFP_100708_3rd_LCD" xfId="0"/>
    <cellStyle name="_PC_AIO_VSE WFP_100708_3rd_LCD 2" xfId="0"/>
    <cellStyle name="_PC_AIO_VSE WFP_100708_3rd_LCD 3" xfId="0"/>
    <cellStyle name="_PC_AIO_VSE WFP_100708_3rd_LCD 4" xfId="0"/>
    <cellStyle name="_PC_AIO_VSE WFP_100708_3rd_LCD_By Region" xfId="0"/>
    <cellStyle name="_PC_AIO_VSE WFP_100708_3rd_LCD_CORP SG&amp;A" xfId="0"/>
    <cellStyle name="_PC_AIO_VSE WFP_100708_3rd_LCD_LCD" xfId="0"/>
    <cellStyle name="_PC_AIO_VSE WFP_100708_3rd_LCD_PJ" xfId="0"/>
    <cellStyle name="_PC_AIO_VSE WFP_100708_3rd_PC Products" xfId="0"/>
    <cellStyle name="_PC_AIO_VSE WFP_100708_3rd_PC Products 2" xfId="0"/>
    <cellStyle name="_PC_AIO_VSE WFP_100708_3rd_PC Products 3" xfId="0"/>
    <cellStyle name="_PC_AIO_VSE WFP_100708_3rd_PC Products 4" xfId="0"/>
    <cellStyle name="_PC_AIO_VSE WFP_100708_3rd_PC Products 4 2" xfId="0"/>
    <cellStyle name="_PC_AIO_VSE WFP_100708_3rd_PC Products_By Region" xfId="0"/>
    <cellStyle name="_PC_AIO_VSE WFP_100708_3rd_PC Products_CORP SG&amp;A" xfId="0"/>
    <cellStyle name="_PC_AIO_VSE WFP_100708_3rd_PC Products_LCD" xfId="0"/>
    <cellStyle name="_PC_AIO_VSE WFP_100708_3rd_PC Products_PJ" xfId="0"/>
    <cellStyle name="_PC_AIO_VSE WFP_100708_3rd_VSA 111014" xfId="0"/>
    <cellStyle name="_PC_AIO_VSE WFP_100708_3rd_VSA 111014 2" xfId="0"/>
    <cellStyle name="_PC_AIO_VSE WFP_100708_3rd_VSA 111014 3" xfId="0"/>
    <cellStyle name="_PC_AIO_VSE WFP_100708_3rd_VSA 111014 4" xfId="0"/>
    <cellStyle name="_PC_AIO_VSE WFP_100708_3rd_VSA 111014 4 2" xfId="0"/>
    <cellStyle name="_PC_AIO_VSE WFP_100708_3rd_VSA 111014_By Region" xfId="0"/>
    <cellStyle name="_PC_AIO_VSE WFP_100708_3rd_VSA 111014_CORP SG&amp;A" xfId="0"/>
    <cellStyle name="_PC_AIO_VSE WFP_100708_3rd_VSA 111014_LCD" xfId="0"/>
    <cellStyle name="_PC_AIO_VSE WFP_100708_3rd_VSA 111014_PJ" xfId="0"/>
    <cellStyle name="_PC_AIO_VSE WFP_100708_3rd_VSA Roll-Up (LW)" xfId="0"/>
    <cellStyle name="_PC_AIO_VSE WFP_100708_3rd_VSA Roll-Up (LW) 2" xfId="0"/>
    <cellStyle name="_PC_AIO_VSE WFP_100708_3rd_VSA Roll-Up (LW) 3" xfId="0"/>
    <cellStyle name="_PC_AIO_VSE WFP_100708_3rd_VSA Roll-Up (LW) 4" xfId="0"/>
    <cellStyle name="_PC_AIO_VSE WFP_100708_3rd_VSA Roll-Up (LW) 4 2" xfId="0"/>
    <cellStyle name="_PC_AIO_VSE WFP_100708_3rd_VSA Roll-Up (LW)_By Region" xfId="0"/>
    <cellStyle name="_PC_AIO_VSE WFP_100708_3rd_VSA Roll-Up (LW)_CORP SG&amp;A" xfId="0"/>
    <cellStyle name="_PC_AIO_VSE WFP_100708_3rd_VSA Roll-Up (LW)_LCD" xfId="0"/>
    <cellStyle name="_PC_AIO_VSE WFP_100708_3rd_VSA Roll-Up (LW)_PJ" xfId="0"/>
    <cellStyle name="_PC_AIO_VSE WFP_100726" xfId="0"/>
    <cellStyle name="_PC_AIO_VSE WFP_100726 2" xfId="0"/>
    <cellStyle name="_PC_AIO_VSE WFP_100726 3" xfId="0"/>
    <cellStyle name="_PC_AIO_VSE WFP_100726 4" xfId="0"/>
    <cellStyle name="_PC_AIO_VSE WFP_100726-1" xfId="0"/>
    <cellStyle name="_PC_AIO_VSE WFP_100726-1 2" xfId="0"/>
    <cellStyle name="_PC_AIO_VSE WFP_100726-1 3" xfId="0"/>
    <cellStyle name="_PC_AIO_VSE WFP_100726-1 4" xfId="0"/>
    <cellStyle name="_PC_AIO_VSE WFP_100726-1_By Region" xfId="0"/>
    <cellStyle name="_PC_AIO_VSE WFP_100726-1_CORP SG&amp;A" xfId="0"/>
    <cellStyle name="_PC_AIO_VSE WFP_100726-1_GPS OTHER" xfId="0"/>
    <cellStyle name="_PC_AIO_VSE WFP_100726-1_GPS OTHER 2" xfId="0"/>
    <cellStyle name="_PC_AIO_VSE WFP_100726-1_GPS OTHER 3" xfId="0"/>
    <cellStyle name="_PC_AIO_VSE WFP_100726-1_GPS OTHER 4" xfId="0"/>
    <cellStyle name="_PC_AIO_VSE WFP_100726-1_GPS OTHER 4 2" xfId="0"/>
    <cellStyle name="_PC_AIO_VSE WFP_100726-1_GPS OTHER_By Region" xfId="0"/>
    <cellStyle name="_PC_AIO_VSE WFP_100726-1_GPS OTHER_CORP SG&amp;A" xfId="0"/>
    <cellStyle name="_PC_AIO_VSE WFP_100726-1_GPS OTHER_LCD" xfId="0"/>
    <cellStyle name="_PC_AIO_VSE WFP_100726-1_GPS OTHER_PJ" xfId="0"/>
    <cellStyle name="_PC_AIO_VSE WFP_100726-1_LCD" xfId="0"/>
    <cellStyle name="_PC_AIO_VSE WFP_100726-1_LCD 2" xfId="0"/>
    <cellStyle name="_PC_AIO_VSE WFP_100726-1_LCD 3" xfId="0"/>
    <cellStyle name="_PC_AIO_VSE WFP_100726-1_LCD 4" xfId="0"/>
    <cellStyle name="_PC_AIO_VSE WFP_100726-1_LCD_By Region" xfId="0"/>
    <cellStyle name="_PC_AIO_VSE WFP_100726-1_LCD_CORP SG&amp;A" xfId="0"/>
    <cellStyle name="_PC_AIO_VSE WFP_100726-1_LCD_LCD" xfId="0"/>
    <cellStyle name="_PC_AIO_VSE WFP_100726-1_LCD_PJ" xfId="0"/>
    <cellStyle name="_PC_AIO_VSE WFP_100726-1_PC Products" xfId="0"/>
    <cellStyle name="_PC_AIO_VSE WFP_100726-1_PC Products 2" xfId="0"/>
    <cellStyle name="_PC_AIO_VSE WFP_100726-1_PC Products 3" xfId="0"/>
    <cellStyle name="_PC_AIO_VSE WFP_100726-1_PC Products 4" xfId="0"/>
    <cellStyle name="_PC_AIO_VSE WFP_100726-1_PC Products 4 2" xfId="0"/>
    <cellStyle name="_PC_AIO_VSE WFP_100726-1_PC Products_By Region" xfId="0"/>
    <cellStyle name="_PC_AIO_VSE WFP_100726-1_PC Products_CORP SG&amp;A" xfId="0"/>
    <cellStyle name="_PC_AIO_VSE WFP_100726-1_PC Products_LCD" xfId="0"/>
    <cellStyle name="_PC_AIO_VSE WFP_100726-1_PC Products_PJ" xfId="0"/>
    <cellStyle name="_PC_AIO_VSE WFP_100726-1_VSA 111014" xfId="0"/>
    <cellStyle name="_PC_AIO_VSE WFP_100726-1_VSA 111014 2" xfId="0"/>
    <cellStyle name="_PC_AIO_VSE WFP_100726-1_VSA 111014 3" xfId="0"/>
    <cellStyle name="_PC_AIO_VSE WFP_100726-1_VSA 111014 4" xfId="0"/>
    <cellStyle name="_PC_AIO_VSE WFP_100726-1_VSA 111014 4 2" xfId="0"/>
    <cellStyle name="_PC_AIO_VSE WFP_100726-1_VSA 111014_By Region" xfId="0"/>
    <cellStyle name="_PC_AIO_VSE WFP_100726-1_VSA 111014_CORP SG&amp;A" xfId="0"/>
    <cellStyle name="_PC_AIO_VSE WFP_100726-1_VSA 111014_LCD" xfId="0"/>
    <cellStyle name="_PC_AIO_VSE WFP_100726-1_VSA 111014_PJ" xfId="0"/>
    <cellStyle name="_PC_AIO_VSE WFP_100726-1_VSA Roll-Up (LW)" xfId="0"/>
    <cellStyle name="_PC_AIO_VSE WFP_100726-1_VSA Roll-Up (LW) 2" xfId="0"/>
    <cellStyle name="_PC_AIO_VSE WFP_100726-1_VSA Roll-Up (LW) 3" xfId="0"/>
    <cellStyle name="_PC_AIO_VSE WFP_100726-1_VSA Roll-Up (LW) 4" xfId="0"/>
    <cellStyle name="_PC_AIO_VSE WFP_100726-1_VSA Roll-Up (LW) 4 2" xfId="0"/>
    <cellStyle name="_PC_AIO_VSE WFP_100726-1_VSA Roll-Up (LW)_By Region" xfId="0"/>
    <cellStyle name="_PC_AIO_VSE WFP_100726-1_VSA Roll-Up (LW)_CORP SG&amp;A" xfId="0"/>
    <cellStyle name="_PC_AIO_VSE WFP_100726-1_VSA Roll-Up (LW)_LCD" xfId="0"/>
    <cellStyle name="_PC_AIO_VSE WFP_100726-1_VSA Roll-Up (LW)_PJ" xfId="0"/>
    <cellStyle name="_PC_AIO_VSE WFP_100726-2-yc" xfId="0"/>
    <cellStyle name="_PC_AIO_VSE WFP_100726-2-yc 2" xfId="0"/>
    <cellStyle name="_PC_AIO_VSE WFP_100726-2-yc 3" xfId="0"/>
    <cellStyle name="_PC_AIO_VSE WFP_100726-2-yc 4" xfId="0"/>
    <cellStyle name="_PC_AIO_VSE WFP_100726-2-yc_By Region" xfId="0"/>
    <cellStyle name="_PC_AIO_VSE WFP_100726-2-yc_CORP SG&amp;A" xfId="0"/>
    <cellStyle name="_PC_AIO_VSE WFP_100726-2-yc_GPS OTHER" xfId="0"/>
    <cellStyle name="_PC_AIO_VSE WFP_100726-2-yc_GPS OTHER 2" xfId="0"/>
    <cellStyle name="_PC_AIO_VSE WFP_100726-2-yc_GPS OTHER 3" xfId="0"/>
    <cellStyle name="_PC_AIO_VSE WFP_100726-2-yc_GPS OTHER 4" xfId="0"/>
    <cellStyle name="_PC_AIO_VSE WFP_100726-2-yc_GPS OTHER 4 2" xfId="0"/>
    <cellStyle name="_PC_AIO_VSE WFP_100726-2-yc_GPS OTHER_By Region" xfId="0"/>
    <cellStyle name="_PC_AIO_VSE WFP_100726-2-yc_GPS OTHER_CORP SG&amp;A" xfId="0"/>
    <cellStyle name="_PC_AIO_VSE WFP_100726-2-yc_GPS OTHER_LCD" xfId="0"/>
    <cellStyle name="_PC_AIO_VSE WFP_100726-2-yc_GPS OTHER_PJ" xfId="0"/>
    <cellStyle name="_PC_AIO_VSE WFP_100726-2-yc_LCD" xfId="0"/>
    <cellStyle name="_PC_AIO_VSE WFP_100726-2-yc_LCD 2" xfId="0"/>
    <cellStyle name="_PC_AIO_VSE WFP_100726-2-yc_LCD 3" xfId="0"/>
    <cellStyle name="_PC_AIO_VSE WFP_100726-2-yc_LCD 4" xfId="0"/>
    <cellStyle name="_PC_AIO_VSE WFP_100726-2-yc_LCD_By Region" xfId="0"/>
    <cellStyle name="_PC_AIO_VSE WFP_100726-2-yc_LCD_CORP SG&amp;A" xfId="0"/>
    <cellStyle name="_PC_AIO_VSE WFP_100726-2-yc_LCD_LCD" xfId="0"/>
    <cellStyle name="_PC_AIO_VSE WFP_100726-2-yc_LCD_PJ" xfId="0"/>
    <cellStyle name="_PC_AIO_VSE WFP_100726-2-yc_PC Products" xfId="0"/>
    <cellStyle name="_PC_AIO_VSE WFP_100726-2-yc_PC Products 2" xfId="0"/>
    <cellStyle name="_PC_AIO_VSE WFP_100726-2-yc_PC Products 3" xfId="0"/>
    <cellStyle name="_PC_AIO_VSE WFP_100726-2-yc_PC Products 4" xfId="0"/>
    <cellStyle name="_PC_AIO_VSE WFP_100726-2-yc_PC Products 4 2" xfId="0"/>
    <cellStyle name="_PC_AIO_VSE WFP_100726-2-yc_PC Products_By Region" xfId="0"/>
    <cellStyle name="_PC_AIO_VSE WFP_100726-2-yc_PC Products_CORP SG&amp;A" xfId="0"/>
    <cellStyle name="_PC_AIO_VSE WFP_100726-2-yc_PC Products_LCD" xfId="0"/>
    <cellStyle name="_PC_AIO_VSE WFP_100726-2-yc_PC Products_PJ" xfId="0"/>
    <cellStyle name="_PC_AIO_VSE WFP_100726-2-yc_VSA 111014" xfId="0"/>
    <cellStyle name="_PC_AIO_VSE WFP_100726-2-yc_VSA 111014 2" xfId="0"/>
    <cellStyle name="_PC_AIO_VSE WFP_100726-2-yc_VSA 111014 3" xfId="0"/>
    <cellStyle name="_PC_AIO_VSE WFP_100726-2-yc_VSA 111014 4" xfId="0"/>
    <cellStyle name="_PC_AIO_VSE WFP_100726-2-yc_VSA 111014 4 2" xfId="0"/>
    <cellStyle name="_PC_AIO_VSE WFP_100726-2-yc_VSA 111014_By Region" xfId="0"/>
    <cellStyle name="_PC_AIO_VSE WFP_100726-2-yc_VSA 111014_CORP SG&amp;A" xfId="0"/>
    <cellStyle name="_PC_AIO_VSE WFP_100726-2-yc_VSA 111014_LCD" xfId="0"/>
    <cellStyle name="_PC_AIO_VSE WFP_100726-2-yc_VSA 111014_PJ" xfId="0"/>
    <cellStyle name="_PC_AIO_VSE WFP_100726-2-yc_VSA Roll-Up (LW)" xfId="0"/>
    <cellStyle name="_PC_AIO_VSE WFP_100726-2-yc_VSA Roll-Up (LW) 2" xfId="0"/>
    <cellStyle name="_PC_AIO_VSE WFP_100726-2-yc_VSA Roll-Up (LW) 3" xfId="0"/>
    <cellStyle name="_PC_AIO_VSE WFP_100726-2-yc_VSA Roll-Up (LW) 4" xfId="0"/>
    <cellStyle name="_PC_AIO_VSE WFP_100726-2-yc_VSA Roll-Up (LW) 4 2" xfId="0"/>
    <cellStyle name="_PC_AIO_VSE WFP_100726-2-yc_VSA Roll-Up (LW)_By Region" xfId="0"/>
    <cellStyle name="_PC_AIO_VSE WFP_100726-2-yc_VSA Roll-Up (LW)_CORP SG&amp;A" xfId="0"/>
    <cellStyle name="_PC_AIO_VSE WFP_100726-2-yc_VSA Roll-Up (LW)_LCD" xfId="0"/>
    <cellStyle name="_PC_AIO_VSE WFP_100726-2-yc_VSA Roll-Up (LW)_PJ" xfId="0"/>
    <cellStyle name="_PC_AIO_VSE WFP_100726_By Region" xfId="0"/>
    <cellStyle name="_PC_AIO_VSE WFP_100726_CORP SG&amp;A" xfId="0"/>
    <cellStyle name="_PC_AIO_VSE WFP_100726_GPS OTHER" xfId="0"/>
    <cellStyle name="_PC_AIO_VSE WFP_100726_GPS OTHER 2" xfId="0"/>
    <cellStyle name="_PC_AIO_VSE WFP_100726_GPS OTHER 3" xfId="0"/>
    <cellStyle name="_PC_AIO_VSE WFP_100726_GPS OTHER 4" xfId="0"/>
    <cellStyle name="_PC_AIO_VSE WFP_100726_GPS OTHER 4 2" xfId="0"/>
    <cellStyle name="_PC_AIO_VSE WFP_100726_GPS OTHER_By Region" xfId="0"/>
    <cellStyle name="_PC_AIO_VSE WFP_100726_GPS OTHER_CORP SG&amp;A" xfId="0"/>
    <cellStyle name="_PC_AIO_VSE WFP_100726_GPS OTHER_LCD" xfId="0"/>
    <cellStyle name="_PC_AIO_VSE WFP_100726_GPS OTHER_PJ" xfId="0"/>
    <cellStyle name="_PC_AIO_VSE WFP_100726_LCD" xfId="0"/>
    <cellStyle name="_PC_AIO_VSE WFP_100726_LCD 2" xfId="0"/>
    <cellStyle name="_PC_AIO_VSE WFP_100726_LCD 3" xfId="0"/>
    <cellStyle name="_PC_AIO_VSE WFP_100726_LCD 4" xfId="0"/>
    <cellStyle name="_PC_AIO_VSE WFP_100726_LCD_By Region" xfId="0"/>
    <cellStyle name="_PC_AIO_VSE WFP_100726_LCD_CORP SG&amp;A" xfId="0"/>
    <cellStyle name="_PC_AIO_VSE WFP_100726_LCD_LCD" xfId="0"/>
    <cellStyle name="_PC_AIO_VSE WFP_100726_LCD_PJ" xfId="0"/>
    <cellStyle name="_PC_AIO_VSE WFP_100726_PC Products" xfId="0"/>
    <cellStyle name="_PC_AIO_VSE WFP_100726_PC Products 2" xfId="0"/>
    <cellStyle name="_PC_AIO_VSE WFP_100726_PC Products 3" xfId="0"/>
    <cellStyle name="_PC_AIO_VSE WFP_100726_PC Products 4" xfId="0"/>
    <cellStyle name="_PC_AIO_VSE WFP_100726_PC Products 4 2" xfId="0"/>
    <cellStyle name="_PC_AIO_VSE WFP_100726_PC Products_By Region" xfId="0"/>
    <cellStyle name="_PC_AIO_VSE WFP_100726_PC Products_CORP SG&amp;A" xfId="0"/>
    <cellStyle name="_PC_AIO_VSE WFP_100726_PC Products_LCD" xfId="0"/>
    <cellStyle name="_PC_AIO_VSE WFP_100726_PC Products_PJ" xfId="0"/>
    <cellStyle name="_PC_AIO_VSE WFP_100726_VSA 111014" xfId="0"/>
    <cellStyle name="_PC_AIO_VSE WFP_100726_VSA 111014 2" xfId="0"/>
    <cellStyle name="_PC_AIO_VSE WFP_100726_VSA 111014 3" xfId="0"/>
    <cellStyle name="_PC_AIO_VSE WFP_100726_VSA 111014 4" xfId="0"/>
    <cellStyle name="_PC_AIO_VSE WFP_100726_VSA 111014 4 2" xfId="0"/>
    <cellStyle name="_PC_AIO_VSE WFP_100726_VSA 111014_By Region" xfId="0"/>
    <cellStyle name="_PC_AIO_VSE WFP_100726_VSA 111014_CORP SG&amp;A" xfId="0"/>
    <cellStyle name="_PC_AIO_VSE WFP_100726_VSA 111014_LCD" xfId="0"/>
    <cellStyle name="_PC_AIO_VSE WFP_100726_VSA 111014_PJ" xfId="0"/>
    <cellStyle name="_PC_AIO_VSE WFP_100726_VSA Roll-Up (LW)" xfId="0"/>
    <cellStyle name="_PC_AIO_VSE WFP_100726_VSA Roll-Up (LW) 2" xfId="0"/>
    <cellStyle name="_PC_AIO_VSE WFP_100726_VSA Roll-Up (LW) 3" xfId="0"/>
    <cellStyle name="_PC_AIO_VSE WFP_100726_VSA Roll-Up (LW) 4" xfId="0"/>
    <cellStyle name="_PC_AIO_VSE WFP_100726_VSA Roll-Up (LW) 4 2" xfId="0"/>
    <cellStyle name="_PC_AIO_VSE WFP_100726_VSA Roll-Up (LW)_By Region" xfId="0"/>
    <cellStyle name="_PC_AIO_VSE WFP_100726_VSA Roll-Up (LW)_CORP SG&amp;A" xfId="0"/>
    <cellStyle name="_PC_AIO_VSE WFP_100726_VSA Roll-Up (LW)_LCD" xfId="0"/>
    <cellStyle name="_PC_AIO_VSE WFP_100726_VSA Roll-Up (LW)_PJ" xfId="0"/>
    <cellStyle name="_PC_AIO_VSE WFP_100827-1" xfId="0"/>
    <cellStyle name="_PC_AIO_VSE WFP_100827-1 2" xfId="0"/>
    <cellStyle name="_PC_AIO_VSE WFP_100827-1 3" xfId="0"/>
    <cellStyle name="_PC_AIO_VSE WFP_100827-1 4" xfId="0"/>
    <cellStyle name="_PC_AIO_VSE WFP_100827-1_By Region" xfId="0"/>
    <cellStyle name="_PC_AIO_VSE WFP_100827-1_CORP SG&amp;A" xfId="0"/>
    <cellStyle name="_PC_AIO_VSE WFP_100827-1_GPS OTHER" xfId="0"/>
    <cellStyle name="_PC_AIO_VSE WFP_100827-1_GPS OTHER 2" xfId="0"/>
    <cellStyle name="_PC_AIO_VSE WFP_100827-1_GPS OTHER 3" xfId="0"/>
    <cellStyle name="_PC_AIO_VSE WFP_100827-1_GPS OTHER 4" xfId="0"/>
    <cellStyle name="_PC_AIO_VSE WFP_100827-1_GPS OTHER 4 2" xfId="0"/>
    <cellStyle name="_PC_AIO_VSE WFP_100827-1_GPS OTHER_By Region" xfId="0"/>
    <cellStyle name="_PC_AIO_VSE WFP_100827-1_GPS OTHER_CORP SG&amp;A" xfId="0"/>
    <cellStyle name="_PC_AIO_VSE WFP_100827-1_GPS OTHER_LCD" xfId="0"/>
    <cellStyle name="_PC_AIO_VSE WFP_100827-1_GPS OTHER_PJ" xfId="0"/>
    <cellStyle name="_PC_AIO_VSE WFP_100827-1_LCD" xfId="0"/>
    <cellStyle name="_PC_AIO_VSE WFP_100827-1_LCD 2" xfId="0"/>
    <cellStyle name="_PC_AIO_VSE WFP_100827-1_LCD 3" xfId="0"/>
    <cellStyle name="_PC_AIO_VSE WFP_100827-1_LCD 4" xfId="0"/>
    <cellStyle name="_PC_AIO_VSE WFP_100827-1_LCD_By Region" xfId="0"/>
    <cellStyle name="_PC_AIO_VSE WFP_100827-1_LCD_CORP SG&amp;A" xfId="0"/>
    <cellStyle name="_PC_AIO_VSE WFP_100827-1_LCD_LCD" xfId="0"/>
    <cellStyle name="_PC_AIO_VSE WFP_100827-1_LCD_PJ" xfId="0"/>
    <cellStyle name="_PC_AIO_VSE WFP_100827-1_PC Products" xfId="0"/>
    <cellStyle name="_PC_AIO_VSE WFP_100827-1_PC Products 2" xfId="0"/>
    <cellStyle name="_PC_AIO_VSE WFP_100827-1_PC Products 3" xfId="0"/>
    <cellStyle name="_PC_AIO_VSE WFP_100827-1_PC Products 4" xfId="0"/>
    <cellStyle name="_PC_AIO_VSE WFP_100827-1_PC Products 4 2" xfId="0"/>
    <cellStyle name="_PC_AIO_VSE WFP_100827-1_PC Products_By Region" xfId="0"/>
    <cellStyle name="_PC_AIO_VSE WFP_100827-1_PC Products_CORP SG&amp;A" xfId="0"/>
    <cellStyle name="_PC_AIO_VSE WFP_100827-1_PC Products_LCD" xfId="0"/>
    <cellStyle name="_PC_AIO_VSE WFP_100827-1_PC Products_PJ" xfId="0"/>
    <cellStyle name="_PC_AIO_VSE WFP_100827-1_VSA 111014" xfId="0"/>
    <cellStyle name="_PC_AIO_VSE WFP_100827-1_VSA 111014 2" xfId="0"/>
    <cellStyle name="_PC_AIO_VSE WFP_100827-1_VSA 111014 3" xfId="0"/>
    <cellStyle name="_PC_AIO_VSE WFP_100827-1_VSA 111014 4" xfId="0"/>
    <cellStyle name="_PC_AIO_VSE WFP_100827-1_VSA 111014 4 2" xfId="0"/>
    <cellStyle name="_PC_AIO_VSE WFP_100827-1_VSA 111014_By Region" xfId="0"/>
    <cellStyle name="_PC_AIO_VSE WFP_100827-1_VSA 111014_CORP SG&amp;A" xfId="0"/>
    <cellStyle name="_PC_AIO_VSE WFP_100827-1_VSA 111014_LCD" xfId="0"/>
    <cellStyle name="_PC_AIO_VSE WFP_100827-1_VSA 111014_PJ" xfId="0"/>
    <cellStyle name="_PC_AIO_VSE WFP_100827-1_VSA Roll-Up (LW)" xfId="0"/>
    <cellStyle name="_PC_AIO_VSE WFP_100827-1_VSA Roll-Up (LW) 2" xfId="0"/>
    <cellStyle name="_PC_AIO_VSE WFP_100827-1_VSA Roll-Up (LW) 3" xfId="0"/>
    <cellStyle name="_PC_AIO_VSE WFP_100827-1_VSA Roll-Up (LW) 4" xfId="0"/>
    <cellStyle name="_PC_AIO_VSE WFP_100827-1_VSA Roll-Up (LW) 4 2" xfId="0"/>
    <cellStyle name="_PC_AIO_VSE WFP_100827-1_VSA Roll-Up (LW)_By Region" xfId="0"/>
    <cellStyle name="_PC_AIO_VSE WFP_100827-1_VSA Roll-Up (LW)_CORP SG&amp;A" xfId="0"/>
    <cellStyle name="_PC_AIO_VSE WFP_100827-1_VSA Roll-Up (LW)_LCD" xfId="0"/>
    <cellStyle name="_PC_AIO_VSE WFP_100827-1_VSA Roll-Up (LW)_PJ" xfId="0"/>
    <cellStyle name="_PC_AIO_VSE WFP_101001" xfId="0"/>
    <cellStyle name="_PC_AIO_VSE WFP_101001 2" xfId="0"/>
    <cellStyle name="_PC_AIO_VSE WFP_101001 3" xfId="0"/>
    <cellStyle name="_PC_AIO_VSE WFP_101001 4" xfId="0"/>
    <cellStyle name="_PC_AIO_VSE WFP_101001_By Region" xfId="0"/>
    <cellStyle name="_PC_AIO_VSE WFP_101001_CORP SG&amp;A" xfId="0"/>
    <cellStyle name="_PC_AIO_VSE WFP_101001_GPS OTHER" xfId="0"/>
    <cellStyle name="_PC_AIO_VSE WFP_101001_GPS OTHER 2" xfId="0"/>
    <cellStyle name="_PC_AIO_VSE WFP_101001_GPS OTHER 3" xfId="0"/>
    <cellStyle name="_PC_AIO_VSE WFP_101001_GPS OTHER 4" xfId="0"/>
    <cellStyle name="_PC_AIO_VSE WFP_101001_GPS OTHER 4 2" xfId="0"/>
    <cellStyle name="_PC_AIO_VSE WFP_101001_GPS OTHER_By Region" xfId="0"/>
    <cellStyle name="_PC_AIO_VSE WFP_101001_GPS OTHER_CORP SG&amp;A" xfId="0"/>
    <cellStyle name="_PC_AIO_VSE WFP_101001_GPS OTHER_LCD" xfId="0"/>
    <cellStyle name="_PC_AIO_VSE WFP_101001_GPS OTHER_PJ" xfId="0"/>
    <cellStyle name="_PC_AIO_VSE WFP_101001_LCD" xfId="0"/>
    <cellStyle name="_PC_AIO_VSE WFP_101001_LCD 2" xfId="0"/>
    <cellStyle name="_PC_AIO_VSE WFP_101001_LCD 3" xfId="0"/>
    <cellStyle name="_PC_AIO_VSE WFP_101001_LCD 4" xfId="0"/>
    <cellStyle name="_PC_AIO_VSE WFP_101001_LCD_By Region" xfId="0"/>
    <cellStyle name="_PC_AIO_VSE WFP_101001_LCD_CORP SG&amp;A" xfId="0"/>
    <cellStyle name="_PC_AIO_VSE WFP_101001_LCD_LCD" xfId="0"/>
    <cellStyle name="_PC_AIO_VSE WFP_101001_LCD_PJ" xfId="0"/>
    <cellStyle name="_PC_AIO_VSE WFP_101001_PC Products" xfId="0"/>
    <cellStyle name="_PC_AIO_VSE WFP_101001_PC Products 2" xfId="0"/>
    <cellStyle name="_PC_AIO_VSE WFP_101001_PC Products 3" xfId="0"/>
    <cellStyle name="_PC_AIO_VSE WFP_101001_PC Products 4" xfId="0"/>
    <cellStyle name="_PC_AIO_VSE WFP_101001_PC Products 4 2" xfId="0"/>
    <cellStyle name="_PC_AIO_VSE WFP_101001_PC Products_By Region" xfId="0"/>
    <cellStyle name="_PC_AIO_VSE WFP_101001_PC Products_CORP SG&amp;A" xfId="0"/>
    <cellStyle name="_PC_AIO_VSE WFP_101001_PC Products_LCD" xfId="0"/>
    <cellStyle name="_PC_AIO_VSE WFP_101001_PC Products_PJ" xfId="0"/>
    <cellStyle name="_PC_AIO_VSE WFP_101001_VSA 111014" xfId="0"/>
    <cellStyle name="_PC_AIO_VSE WFP_101001_VSA 111014 2" xfId="0"/>
    <cellStyle name="_PC_AIO_VSE WFP_101001_VSA 111014 3" xfId="0"/>
    <cellStyle name="_PC_AIO_VSE WFP_101001_VSA 111014 4" xfId="0"/>
    <cellStyle name="_PC_AIO_VSE WFP_101001_VSA 111014 4 2" xfId="0"/>
    <cellStyle name="_PC_AIO_VSE WFP_101001_VSA 111014_By Region" xfId="0"/>
    <cellStyle name="_PC_AIO_VSE WFP_101001_VSA 111014_CORP SG&amp;A" xfId="0"/>
    <cellStyle name="_PC_AIO_VSE WFP_101001_VSA 111014_LCD" xfId="0"/>
    <cellStyle name="_PC_AIO_VSE WFP_101001_VSA 111014_PJ" xfId="0"/>
    <cellStyle name="_PC_AIO_VSE WFP_101001_VSA Roll-Up (LW)" xfId="0"/>
    <cellStyle name="_PC_AIO_VSE WFP_101001_VSA Roll-Up (LW) 2" xfId="0"/>
    <cellStyle name="_PC_AIO_VSE WFP_101001_VSA Roll-Up (LW) 3" xfId="0"/>
    <cellStyle name="_PC_AIO_VSE WFP_101001_VSA Roll-Up (LW) 4" xfId="0"/>
    <cellStyle name="_PC_AIO_VSE WFP_101001_VSA Roll-Up (LW) 4 2" xfId="0"/>
    <cellStyle name="_PC_AIO_VSE WFP_101001_VSA Roll-Up (LW)_By Region" xfId="0"/>
    <cellStyle name="_PC_AIO_VSE WFP_101001_VSA Roll-Up (LW)_CORP SG&amp;A" xfId="0"/>
    <cellStyle name="_PC_AIO_VSE WFP_101001_VSA Roll-Up (LW)_LCD" xfId="0"/>
    <cellStyle name="_PC_AIO_VSE WFP_101001_VSA Roll-Up (LW)_PJ" xfId="0"/>
    <cellStyle name="_PC_AIO_VSE WFP_101029-with more ViewPad 7" xfId="0"/>
    <cellStyle name="_PC_AIO_VSE WFP_101029-with more ViewPad 7 2" xfId="0"/>
    <cellStyle name="_PC_AIO_VSE WFP_101029-with more ViewPad 7 3" xfId="0"/>
    <cellStyle name="_PC_AIO_VSE WFP_101029-with more ViewPad 7 4" xfId="0"/>
    <cellStyle name="_PC_AIO_VSE WFP_101029-with more ViewPad 7_By Region" xfId="0"/>
    <cellStyle name="_PC_AIO_VSE WFP_101029-with more ViewPad 7_CORP SG&amp;A" xfId="0"/>
    <cellStyle name="_PC_AIO_VSE WFP_101029-with more ViewPad 7_GPS OTHER" xfId="0"/>
    <cellStyle name="_PC_AIO_VSE WFP_101029-with more ViewPad 7_GPS OTHER 2" xfId="0"/>
    <cellStyle name="_PC_AIO_VSE WFP_101029-with more ViewPad 7_GPS OTHER 3" xfId="0"/>
    <cellStyle name="_PC_AIO_VSE WFP_101029-with more ViewPad 7_GPS OTHER 4" xfId="0"/>
    <cellStyle name="_PC_AIO_VSE WFP_101029-with more ViewPad 7_GPS OTHER 4 2" xfId="0"/>
    <cellStyle name="_PC_AIO_VSE WFP_101029-with more ViewPad 7_GPS OTHER_By Region" xfId="0"/>
    <cellStyle name="_PC_AIO_VSE WFP_101029-with more ViewPad 7_GPS OTHER_CORP SG&amp;A" xfId="0"/>
    <cellStyle name="_PC_AIO_VSE WFP_101029-with more ViewPad 7_GPS OTHER_LCD" xfId="0"/>
    <cellStyle name="_PC_AIO_VSE WFP_101029-with more ViewPad 7_GPS OTHER_PJ" xfId="0"/>
    <cellStyle name="_PC_AIO_VSE WFP_101029-with more ViewPad 7_LCD" xfId="0"/>
    <cellStyle name="_PC_AIO_VSE WFP_101029-with more ViewPad 7_LCD 2" xfId="0"/>
    <cellStyle name="_PC_AIO_VSE WFP_101029-with more ViewPad 7_LCD 3" xfId="0"/>
    <cellStyle name="_PC_AIO_VSE WFP_101029-with more ViewPad 7_LCD 4" xfId="0"/>
    <cellStyle name="_PC_AIO_VSE WFP_101029-with more ViewPad 7_LCD_By Region" xfId="0"/>
    <cellStyle name="_PC_AIO_VSE WFP_101029-with more ViewPad 7_LCD_CORP SG&amp;A" xfId="0"/>
    <cellStyle name="_PC_AIO_VSE WFP_101029-with more ViewPad 7_LCD_LCD" xfId="0"/>
    <cellStyle name="_PC_AIO_VSE WFP_101029-with more ViewPad 7_LCD_PJ" xfId="0"/>
    <cellStyle name="_PC_AIO_VSE WFP_101029-with more ViewPad 7_PC Products" xfId="0"/>
    <cellStyle name="_PC_AIO_VSE WFP_101029-with more ViewPad 7_PC Products 2" xfId="0"/>
    <cellStyle name="_PC_AIO_VSE WFP_101029-with more ViewPad 7_PC Products 3" xfId="0"/>
    <cellStyle name="_PC_AIO_VSE WFP_101029-with more ViewPad 7_PC Products 4" xfId="0"/>
    <cellStyle name="_PC_AIO_VSE WFP_101029-with more ViewPad 7_PC Products 4 2" xfId="0"/>
    <cellStyle name="_PC_AIO_VSE WFP_101029-with more ViewPad 7_PC Products_By Region" xfId="0"/>
    <cellStyle name="_PC_AIO_VSE WFP_101029-with more ViewPad 7_PC Products_CORP SG&amp;A" xfId="0"/>
    <cellStyle name="_PC_AIO_VSE WFP_101029-with more ViewPad 7_PC Products_LCD" xfId="0"/>
    <cellStyle name="_PC_AIO_VSE WFP_101029-with more ViewPad 7_PC Products_PJ" xfId="0"/>
    <cellStyle name="_PC_AIO_VSE WFP_101029-with more ViewPad 7_VSA 111014" xfId="0"/>
    <cellStyle name="_PC_AIO_VSE WFP_101029-with more ViewPad 7_VSA 111014 2" xfId="0"/>
    <cellStyle name="_PC_AIO_VSE WFP_101029-with more ViewPad 7_VSA 111014 3" xfId="0"/>
    <cellStyle name="_PC_AIO_VSE WFP_101029-with more ViewPad 7_VSA 111014 4" xfId="0"/>
    <cellStyle name="_PC_AIO_VSE WFP_101029-with more ViewPad 7_VSA 111014 4 2" xfId="0"/>
    <cellStyle name="_PC_AIO_VSE WFP_101029-with more ViewPad 7_VSA 111014_By Region" xfId="0"/>
    <cellStyle name="_PC_AIO_VSE WFP_101029-with more ViewPad 7_VSA 111014_CORP SG&amp;A" xfId="0"/>
    <cellStyle name="_PC_AIO_VSE WFP_101029-with more ViewPad 7_VSA 111014_LCD" xfId="0"/>
    <cellStyle name="_PC_AIO_VSE WFP_101029-with more ViewPad 7_VSA 111014_PJ" xfId="0"/>
    <cellStyle name="_PC_AIO_VSE WFP_101029-with more ViewPad 7_VSA Roll-Up (LW)" xfId="0"/>
    <cellStyle name="_PC_AIO_VSE WFP_101029-with more ViewPad 7_VSA Roll-Up (LW) 2" xfId="0"/>
    <cellStyle name="_PC_AIO_VSE WFP_101029-with more ViewPad 7_VSA Roll-Up (LW) 3" xfId="0"/>
    <cellStyle name="_PC_AIO_VSE WFP_101029-with more ViewPad 7_VSA Roll-Up (LW) 4" xfId="0"/>
    <cellStyle name="_PC_AIO_VSE WFP_101029-with more ViewPad 7_VSA Roll-Up (LW) 4 2" xfId="0"/>
    <cellStyle name="_PC_AIO_VSE WFP_101029-with more ViewPad 7_VSA Roll-Up (LW)_By Region" xfId="0"/>
    <cellStyle name="_PC_AIO_VSE WFP_101029-with more ViewPad 7_VSA Roll-Up (LW)_CORP SG&amp;A" xfId="0"/>
    <cellStyle name="_PC_AIO_VSE WFP_101029-with more ViewPad 7_VSA Roll-Up (LW)_LCD" xfId="0"/>
    <cellStyle name="_PC_AIO_VSE WFP_101029-with more ViewPad 7_VSA Roll-Up (LW)_PJ" xfId="0"/>
    <cellStyle name="_PC_NB" xfId="0"/>
    <cellStyle name="_PC_NB 2" xfId="0"/>
    <cellStyle name="_PC_NB 3" xfId="0"/>
    <cellStyle name="_PC_NB 4" xfId="0"/>
    <cellStyle name="_PC_NB 5" xfId="0"/>
    <cellStyle name="_PC_NB_By Region" xfId="0"/>
    <cellStyle name="_PC_NB_CIS" xfId="0"/>
    <cellStyle name="_PC_NB_CIS 2" xfId="0"/>
    <cellStyle name="_PC_NB_CIS 3" xfId="0"/>
    <cellStyle name="_PC_NB_CIS 4" xfId="0"/>
    <cellStyle name="_PC_NB_CIS_By Region" xfId="0"/>
    <cellStyle name="_PC_NB_CIS_CORP SG&amp;A" xfId="0"/>
    <cellStyle name="_PC_NB_CIS_GPS OTHER" xfId="0"/>
    <cellStyle name="_PC_NB_CIS_GPS OTHER 2" xfId="0"/>
    <cellStyle name="_PC_NB_CIS_GPS OTHER 3" xfId="0"/>
    <cellStyle name="_PC_NB_CIS_GPS OTHER 4" xfId="0"/>
    <cellStyle name="_PC_NB_CIS_GPS OTHER 4 2" xfId="0"/>
    <cellStyle name="_PC_NB_CIS_GPS OTHER_By Region" xfId="0"/>
    <cellStyle name="_PC_NB_CIS_GPS OTHER_CORP SG&amp;A" xfId="0"/>
    <cellStyle name="_PC_NB_CIS_GPS OTHER_LCD" xfId="0"/>
    <cellStyle name="_PC_NB_CIS_GPS OTHER_PJ" xfId="0"/>
    <cellStyle name="_PC_NB_CIS_LCD" xfId="0"/>
    <cellStyle name="_PC_NB_CIS_LCD 2" xfId="0"/>
    <cellStyle name="_PC_NB_CIS_LCD 3" xfId="0"/>
    <cellStyle name="_PC_NB_CIS_LCD 4" xfId="0"/>
    <cellStyle name="_PC_NB_CIS_LCD_By Region" xfId="0"/>
    <cellStyle name="_PC_NB_CIS_LCD_CORP SG&amp;A" xfId="0"/>
    <cellStyle name="_PC_NB_CIS_LCD_LCD" xfId="0"/>
    <cellStyle name="_PC_NB_CIS_LCD_PJ" xfId="0"/>
    <cellStyle name="_PC_NB_CIS_PC Products" xfId="0"/>
    <cellStyle name="_PC_NB_CIS_PC Products 2" xfId="0"/>
    <cellStyle name="_PC_NB_CIS_PC Products 3" xfId="0"/>
    <cellStyle name="_PC_NB_CIS_PC Products 4" xfId="0"/>
    <cellStyle name="_PC_NB_CIS_PC Products 4 2" xfId="0"/>
    <cellStyle name="_PC_NB_CIS_PC Products_By Region" xfId="0"/>
    <cellStyle name="_PC_NB_CIS_PC Products_CORP SG&amp;A" xfId="0"/>
    <cellStyle name="_PC_NB_CIS_PC Products_LCD" xfId="0"/>
    <cellStyle name="_PC_NB_CIS_PC Products_PJ" xfId="0"/>
    <cellStyle name="_PC_NB_CIS_VSA 111014" xfId="0"/>
    <cellStyle name="_PC_NB_CIS_VSA 111014 2" xfId="0"/>
    <cellStyle name="_PC_NB_CIS_VSA 111014 3" xfId="0"/>
    <cellStyle name="_PC_NB_CIS_VSA 111014 4" xfId="0"/>
    <cellStyle name="_PC_NB_CIS_VSA 111014 4 2" xfId="0"/>
    <cellStyle name="_PC_NB_CIS_VSA 111014_By Region" xfId="0"/>
    <cellStyle name="_PC_NB_CIS_VSA 111014_CORP SG&amp;A" xfId="0"/>
    <cellStyle name="_PC_NB_CIS_VSA 111014_LCD" xfId="0"/>
    <cellStyle name="_PC_NB_CIS_VSA 111014_PJ" xfId="0"/>
    <cellStyle name="_PC_NB_CIS_VSA Roll-Up (LW)" xfId="0"/>
    <cellStyle name="_PC_NB_CIS_VSA Roll-Up (LW) 2" xfId="0"/>
    <cellStyle name="_PC_NB_CIS_VSA Roll-Up (LW) 3" xfId="0"/>
    <cellStyle name="_PC_NB_CIS_VSA Roll-Up (LW) 4" xfId="0"/>
    <cellStyle name="_PC_NB_CIS_VSA Roll-Up (LW) 4 2" xfId="0"/>
    <cellStyle name="_PC_NB_CIS_VSA Roll-Up (LW)_By Region" xfId="0"/>
    <cellStyle name="_PC_NB_CIS_VSA Roll-Up (LW)_CORP SG&amp;A" xfId="0"/>
    <cellStyle name="_PC_NB_CIS_VSA Roll-Up (LW)_LCD" xfId="0"/>
    <cellStyle name="_PC_NB_CIS_VSA Roll-Up (LW)_PJ" xfId="0"/>
    <cellStyle name="_PC_NB_CORP SG&amp;A" xfId="0"/>
    <cellStyle name="_PC_NB_CRT" xfId="0"/>
    <cellStyle name="_PC_NB_CRT 2" xfId="0"/>
    <cellStyle name="_PC_NB_CRT 3" xfId="0"/>
    <cellStyle name="_PC_NB_CRT 4" xfId="0"/>
    <cellStyle name="_PC_NB_CRT_By Region" xfId="0"/>
    <cellStyle name="_PC_NB_CRT_CORP SG&amp;A" xfId="0"/>
    <cellStyle name="_PC_NB_CRT_GPS OTHER" xfId="0"/>
    <cellStyle name="_PC_NB_CRT_GPS OTHER 2" xfId="0"/>
    <cellStyle name="_PC_NB_CRT_GPS OTHER 3" xfId="0"/>
    <cellStyle name="_PC_NB_CRT_GPS OTHER 4" xfId="0"/>
    <cellStyle name="_PC_NB_CRT_GPS OTHER 4 2" xfId="0"/>
    <cellStyle name="_PC_NB_CRT_GPS OTHER_By Region" xfId="0"/>
    <cellStyle name="_PC_NB_CRT_GPS OTHER_CORP SG&amp;A" xfId="0"/>
    <cellStyle name="_PC_NB_CRT_GPS OTHER_LCD" xfId="0"/>
    <cellStyle name="_PC_NB_CRT_GPS OTHER_PJ" xfId="0"/>
    <cellStyle name="_PC_NB_CRT_LCD" xfId="0"/>
    <cellStyle name="_PC_NB_CRT_LCD 2" xfId="0"/>
    <cellStyle name="_PC_NB_CRT_LCD 3" xfId="0"/>
    <cellStyle name="_PC_NB_CRT_LCD 4" xfId="0"/>
    <cellStyle name="_PC_NB_CRT_LCD_By Region" xfId="0"/>
    <cellStyle name="_PC_NB_CRT_LCD_CORP SG&amp;A" xfId="0"/>
    <cellStyle name="_PC_NB_CRT_LCD_LCD" xfId="0"/>
    <cellStyle name="_PC_NB_CRT_LCD_PJ" xfId="0"/>
    <cellStyle name="_PC_NB_CRT_PC Products" xfId="0"/>
    <cellStyle name="_PC_NB_CRT_PC Products 2" xfId="0"/>
    <cellStyle name="_PC_NB_CRT_PC Products 3" xfId="0"/>
    <cellStyle name="_PC_NB_CRT_PC Products 4" xfId="0"/>
    <cellStyle name="_PC_NB_CRT_PC Products 4 2" xfId="0"/>
    <cellStyle name="_PC_NB_CRT_PC Products_By Region" xfId="0"/>
    <cellStyle name="_PC_NB_CRT_PC Products_CORP SG&amp;A" xfId="0"/>
    <cellStyle name="_PC_NB_CRT_PC Products_LCD" xfId="0"/>
    <cellStyle name="_PC_NB_CRT_PC Products_PJ" xfId="0"/>
    <cellStyle name="_PC_NB_CRT_VSA 111014" xfId="0"/>
    <cellStyle name="_PC_NB_CRT_VSA 111014 2" xfId="0"/>
    <cellStyle name="_PC_NB_CRT_VSA 111014 3" xfId="0"/>
    <cellStyle name="_PC_NB_CRT_VSA 111014 4" xfId="0"/>
    <cellStyle name="_PC_NB_CRT_VSA 111014 4 2" xfId="0"/>
    <cellStyle name="_PC_NB_CRT_VSA 111014_By Region" xfId="0"/>
    <cellStyle name="_PC_NB_CRT_VSA 111014_CORP SG&amp;A" xfId="0"/>
    <cellStyle name="_PC_NB_CRT_VSA 111014_LCD" xfId="0"/>
    <cellStyle name="_PC_NB_CRT_VSA 111014_PJ" xfId="0"/>
    <cellStyle name="_PC_NB_CRT_VSA Roll-Up (LW)" xfId="0"/>
    <cellStyle name="_PC_NB_CRT_VSA Roll-Up (LW) 2" xfId="0"/>
    <cellStyle name="_PC_NB_CRT_VSA Roll-Up (LW) 3" xfId="0"/>
    <cellStyle name="_PC_NB_CRT_VSA Roll-Up (LW) 4" xfId="0"/>
    <cellStyle name="_PC_NB_CRT_VSA Roll-Up (LW) 4 2" xfId="0"/>
    <cellStyle name="_PC_NB_CRT_VSA Roll-Up (LW)_By Region" xfId="0"/>
    <cellStyle name="_PC_NB_CRT_VSA Roll-Up (LW)_CORP SG&amp;A" xfId="0"/>
    <cellStyle name="_PC_NB_CRT_VSA Roll-Up (LW)_LCD" xfId="0"/>
    <cellStyle name="_PC_NB_CRT_VSA Roll-Up (LW)_PJ" xfId="0"/>
    <cellStyle name="_PC_NB_Diff" xfId="0"/>
    <cellStyle name="_PC_NB_Diff 2" xfId="0"/>
    <cellStyle name="_PC_NB_Diff 3" xfId="0"/>
    <cellStyle name="_PC_NB_Diff 4" xfId="0"/>
    <cellStyle name="_PC_NB_Diff_By Region" xfId="0"/>
    <cellStyle name="_PC_NB_Diff_CORP SG&amp;A" xfId="0"/>
    <cellStyle name="_PC_NB_Diff_GPS OTHER" xfId="0"/>
    <cellStyle name="_PC_NB_Diff_GPS OTHER 2" xfId="0"/>
    <cellStyle name="_PC_NB_Diff_GPS OTHER 3" xfId="0"/>
    <cellStyle name="_PC_NB_Diff_GPS OTHER 4" xfId="0"/>
    <cellStyle name="_PC_NB_Diff_GPS OTHER 4 2" xfId="0"/>
    <cellStyle name="_PC_NB_Diff_GPS OTHER_By Region" xfId="0"/>
    <cellStyle name="_PC_NB_Diff_GPS OTHER_CORP SG&amp;A" xfId="0"/>
    <cellStyle name="_PC_NB_Diff_GPS OTHER_LCD" xfId="0"/>
    <cellStyle name="_PC_NB_Diff_GPS OTHER_PJ" xfId="0"/>
    <cellStyle name="_PC_NB_Diff_LCD" xfId="0"/>
    <cellStyle name="_PC_NB_Diff_LCD 2" xfId="0"/>
    <cellStyle name="_PC_NB_Diff_LCD 3" xfId="0"/>
    <cellStyle name="_PC_NB_Diff_LCD 4" xfId="0"/>
    <cellStyle name="_PC_NB_Diff_LCD_By Region" xfId="0"/>
    <cellStyle name="_PC_NB_Diff_LCD_CORP SG&amp;A" xfId="0"/>
    <cellStyle name="_PC_NB_Diff_LCD_LCD" xfId="0"/>
    <cellStyle name="_PC_NB_Diff_LCD_PJ" xfId="0"/>
    <cellStyle name="_PC_NB_Diff_PC Products" xfId="0"/>
    <cellStyle name="_PC_NB_Diff_PC Products 2" xfId="0"/>
    <cellStyle name="_PC_NB_Diff_PC Products 3" xfId="0"/>
    <cellStyle name="_PC_NB_Diff_PC Products 4" xfId="0"/>
    <cellStyle name="_PC_NB_Diff_PC Products 4 2" xfId="0"/>
    <cellStyle name="_PC_NB_Diff_PC Products_By Region" xfId="0"/>
    <cellStyle name="_PC_NB_Diff_PC Products_CORP SG&amp;A" xfId="0"/>
    <cellStyle name="_PC_NB_Diff_PC Products_LCD" xfId="0"/>
    <cellStyle name="_PC_NB_Diff_PC Products_PJ" xfId="0"/>
    <cellStyle name="_PC_NB_Diff_VSA 111014" xfId="0"/>
    <cellStyle name="_PC_NB_Diff_VSA 111014 2" xfId="0"/>
    <cellStyle name="_PC_NB_Diff_VSA 111014 3" xfId="0"/>
    <cellStyle name="_PC_NB_Diff_VSA 111014 4" xfId="0"/>
    <cellStyle name="_PC_NB_Diff_VSA 111014 4 2" xfId="0"/>
    <cellStyle name="_PC_NB_Diff_VSA 111014_By Region" xfId="0"/>
    <cellStyle name="_PC_NB_Diff_VSA 111014_CORP SG&amp;A" xfId="0"/>
    <cellStyle name="_PC_NB_Diff_VSA 111014_LCD" xfId="0"/>
    <cellStyle name="_PC_NB_Diff_VSA 111014_PJ" xfId="0"/>
    <cellStyle name="_PC_NB_Diff_VSA Roll-Up (LW)" xfId="0"/>
    <cellStyle name="_PC_NB_Diff_VSA Roll-Up (LW) 2" xfId="0"/>
    <cellStyle name="_PC_NB_Diff_VSA Roll-Up (LW) 3" xfId="0"/>
    <cellStyle name="_PC_NB_Diff_VSA Roll-Up (LW) 4" xfId="0"/>
    <cellStyle name="_PC_NB_Diff_VSA Roll-Up (LW) 4 2" xfId="0"/>
    <cellStyle name="_PC_NB_Diff_VSA Roll-Up (LW)_By Region" xfId="0"/>
    <cellStyle name="_PC_NB_Diff_VSA Roll-Up (LW)_CORP SG&amp;A" xfId="0"/>
    <cellStyle name="_PC_NB_Diff_VSA Roll-Up (LW)_LCD" xfId="0"/>
    <cellStyle name="_PC_NB_Diff_VSA Roll-Up (LW)_PJ" xfId="0"/>
    <cellStyle name="_PC_NB_Digital Product" xfId="0"/>
    <cellStyle name="_PC_NB_Digital Product 2" xfId="0"/>
    <cellStyle name="_PC_NB_Digital Product 3" xfId="0"/>
    <cellStyle name="_PC_NB_Digital Product 4" xfId="0"/>
    <cellStyle name="_PC_NB_Digital Product_By Region" xfId="0"/>
    <cellStyle name="_PC_NB_Digital Product_CORP SG&amp;A" xfId="0"/>
    <cellStyle name="_PC_NB_Digital Product_GPS OTHER" xfId="0"/>
    <cellStyle name="_PC_NB_Digital Product_GPS OTHER 2" xfId="0"/>
    <cellStyle name="_PC_NB_Digital Product_GPS OTHER 3" xfId="0"/>
    <cellStyle name="_PC_NB_Digital Product_GPS OTHER 4" xfId="0"/>
    <cellStyle name="_PC_NB_Digital Product_GPS OTHER 4 2" xfId="0"/>
    <cellStyle name="_PC_NB_Digital Product_GPS OTHER_By Region" xfId="0"/>
    <cellStyle name="_PC_NB_Digital Product_GPS OTHER_CORP SG&amp;A" xfId="0"/>
    <cellStyle name="_PC_NB_Digital Product_GPS OTHER_LCD" xfId="0"/>
    <cellStyle name="_PC_NB_Digital Product_GPS OTHER_PJ" xfId="0"/>
    <cellStyle name="_PC_NB_Digital Product_LCD" xfId="0"/>
    <cellStyle name="_PC_NB_Digital Product_LCD 2" xfId="0"/>
    <cellStyle name="_PC_NB_Digital Product_LCD 3" xfId="0"/>
    <cellStyle name="_PC_NB_Digital Product_LCD 4" xfId="0"/>
    <cellStyle name="_PC_NB_Digital Product_LCD_By Region" xfId="0"/>
    <cellStyle name="_PC_NB_Digital Product_LCD_CORP SG&amp;A" xfId="0"/>
    <cellStyle name="_PC_NB_Digital Product_LCD_LCD" xfId="0"/>
    <cellStyle name="_PC_NB_Digital Product_LCD_PJ" xfId="0"/>
    <cellStyle name="_PC_NB_Digital Product_PC Products" xfId="0"/>
    <cellStyle name="_PC_NB_Digital Product_PC Products 2" xfId="0"/>
    <cellStyle name="_PC_NB_Digital Product_PC Products 3" xfId="0"/>
    <cellStyle name="_PC_NB_Digital Product_PC Products 4" xfId="0"/>
    <cellStyle name="_PC_NB_Digital Product_PC Products 4 2" xfId="0"/>
    <cellStyle name="_PC_NB_Digital Product_PC Products_By Region" xfId="0"/>
    <cellStyle name="_PC_NB_Digital Product_PC Products_CORP SG&amp;A" xfId="0"/>
    <cellStyle name="_PC_NB_Digital Product_PC Products_LCD" xfId="0"/>
    <cellStyle name="_PC_NB_Digital Product_PC Products_PJ" xfId="0"/>
    <cellStyle name="_PC_NB_Digital Product_VSA 111014" xfId="0"/>
    <cellStyle name="_PC_NB_Digital Product_VSA 111014 2" xfId="0"/>
    <cellStyle name="_PC_NB_Digital Product_VSA 111014 3" xfId="0"/>
    <cellStyle name="_PC_NB_Digital Product_VSA 111014 4" xfId="0"/>
    <cellStyle name="_PC_NB_Digital Product_VSA 111014 4 2" xfId="0"/>
    <cellStyle name="_PC_NB_Digital Product_VSA 111014_By Region" xfId="0"/>
    <cellStyle name="_PC_NB_Digital Product_VSA 111014_CORP SG&amp;A" xfId="0"/>
    <cellStyle name="_PC_NB_Digital Product_VSA 111014_LCD" xfId="0"/>
    <cellStyle name="_PC_NB_Digital Product_VSA 111014_PJ" xfId="0"/>
    <cellStyle name="_PC_NB_Digital Product_VSA Roll-Up (LW)" xfId="0"/>
    <cellStyle name="_PC_NB_Digital Product_VSA Roll-Up (LW) 2" xfId="0"/>
    <cellStyle name="_PC_NB_Digital Product_VSA Roll-Up (LW) 3" xfId="0"/>
    <cellStyle name="_PC_NB_Digital Product_VSA Roll-Up (LW) 4" xfId="0"/>
    <cellStyle name="_PC_NB_Digital Product_VSA Roll-Up (LW) 4 2" xfId="0"/>
    <cellStyle name="_PC_NB_Digital Product_VSA Roll-Up (LW)_By Region" xfId="0"/>
    <cellStyle name="_PC_NB_Digital Product_VSA Roll-Up (LW)_CORP SG&amp;A" xfId="0"/>
    <cellStyle name="_PC_NB_Digital Product_VSA Roll-Up (LW)_LCD" xfId="0"/>
    <cellStyle name="_PC_NB_Digital Product_VSA Roll-Up (LW)_PJ" xfId="0"/>
    <cellStyle name="_PC_NB_Digital Signage" xfId="0"/>
    <cellStyle name="_PC_NB_Digital Signage 2" xfId="0"/>
    <cellStyle name="_PC_NB_Digital Signage 3" xfId="0"/>
    <cellStyle name="_PC_NB_Digital Signage 4" xfId="0"/>
    <cellStyle name="_PC_NB_Digital Signage_By Region" xfId="0"/>
    <cellStyle name="_PC_NB_Digital Signage_CORP SG&amp;A" xfId="0"/>
    <cellStyle name="_PC_NB_Digital Signage_GPS OTHER" xfId="0"/>
    <cellStyle name="_PC_NB_Digital Signage_GPS OTHER 2" xfId="0"/>
    <cellStyle name="_PC_NB_Digital Signage_GPS OTHER 3" xfId="0"/>
    <cellStyle name="_PC_NB_Digital Signage_GPS OTHER 4" xfId="0"/>
    <cellStyle name="_PC_NB_Digital Signage_GPS OTHER 4 2" xfId="0"/>
    <cellStyle name="_PC_NB_Digital Signage_GPS OTHER_By Region" xfId="0"/>
    <cellStyle name="_PC_NB_Digital Signage_GPS OTHER_CORP SG&amp;A" xfId="0"/>
    <cellStyle name="_PC_NB_Digital Signage_GPS OTHER_LCD" xfId="0"/>
    <cellStyle name="_PC_NB_Digital Signage_GPS OTHER_PJ" xfId="0"/>
    <cellStyle name="_PC_NB_Digital Signage_LCD" xfId="0"/>
    <cellStyle name="_PC_NB_Digital Signage_LCD 2" xfId="0"/>
    <cellStyle name="_PC_NB_Digital Signage_LCD 3" xfId="0"/>
    <cellStyle name="_PC_NB_Digital Signage_LCD 4" xfId="0"/>
    <cellStyle name="_PC_NB_Digital Signage_LCD_By Region" xfId="0"/>
    <cellStyle name="_PC_NB_Digital Signage_LCD_CORP SG&amp;A" xfId="0"/>
    <cellStyle name="_PC_NB_Digital Signage_LCD_LCD" xfId="0"/>
    <cellStyle name="_PC_NB_Digital Signage_LCD_PJ" xfId="0"/>
    <cellStyle name="_PC_NB_Digital Signage_PC Products" xfId="0"/>
    <cellStyle name="_PC_NB_Digital Signage_PC Products 2" xfId="0"/>
    <cellStyle name="_PC_NB_Digital Signage_PC Products 3" xfId="0"/>
    <cellStyle name="_PC_NB_Digital Signage_PC Products 4" xfId="0"/>
    <cellStyle name="_PC_NB_Digital Signage_PC Products 4 2" xfId="0"/>
    <cellStyle name="_PC_NB_Digital Signage_PC Products_By Region" xfId="0"/>
    <cellStyle name="_PC_NB_Digital Signage_PC Products_CORP SG&amp;A" xfId="0"/>
    <cellStyle name="_PC_NB_Digital Signage_PC Products_LCD" xfId="0"/>
    <cellStyle name="_PC_NB_Digital Signage_PC Products_PJ" xfId="0"/>
    <cellStyle name="_PC_NB_Digital Signage_VSA 111014" xfId="0"/>
    <cellStyle name="_PC_NB_Digital Signage_VSA 111014 2" xfId="0"/>
    <cellStyle name="_PC_NB_Digital Signage_VSA 111014 3" xfId="0"/>
    <cellStyle name="_PC_NB_Digital Signage_VSA 111014 4" xfId="0"/>
    <cellStyle name="_PC_NB_Digital Signage_VSA 111014 4 2" xfId="0"/>
    <cellStyle name="_PC_NB_Digital Signage_VSA 111014_By Region" xfId="0"/>
    <cellStyle name="_PC_NB_Digital Signage_VSA 111014_CORP SG&amp;A" xfId="0"/>
    <cellStyle name="_PC_NB_Digital Signage_VSA 111014_LCD" xfId="0"/>
    <cellStyle name="_PC_NB_Digital Signage_VSA 111014_PJ" xfId="0"/>
    <cellStyle name="_PC_NB_Digital Signage_VSA Roll-Up (LW)" xfId="0"/>
    <cellStyle name="_PC_NB_Digital Signage_VSA Roll-Up (LW) 2" xfId="0"/>
    <cellStyle name="_PC_NB_Digital Signage_VSA Roll-Up (LW) 3" xfId="0"/>
    <cellStyle name="_PC_NB_Digital Signage_VSA Roll-Up (LW) 4" xfId="0"/>
    <cellStyle name="_PC_NB_Digital Signage_VSA Roll-Up (LW) 4 2" xfId="0"/>
    <cellStyle name="_PC_NB_Digital Signage_VSA Roll-Up (LW)_By Region" xfId="0"/>
    <cellStyle name="_PC_NB_Digital Signage_VSA Roll-Up (LW)_CORP SG&amp;A" xfId="0"/>
    <cellStyle name="_PC_NB_Digital Signage_VSA Roll-Up (LW)_LCD" xfId="0"/>
    <cellStyle name="_PC_NB_Digital Signage_VSA Roll-Up (LW)_PJ" xfId="0"/>
    <cellStyle name="_PC_NB_DMA(VMP)" xfId="0"/>
    <cellStyle name="_PC_NB_DMA(VMP) 2" xfId="0"/>
    <cellStyle name="_PC_NB_DMA(VMP) 3" xfId="0"/>
    <cellStyle name="_PC_NB_DMA(VMP) 4" xfId="0"/>
    <cellStyle name="_PC_NB_DMA(VMP)_By Region" xfId="0"/>
    <cellStyle name="_PC_NB_DMA(VMP)_CORP SG&amp;A" xfId="0"/>
    <cellStyle name="_PC_NB_DMA(VMP)_GPS OTHER" xfId="0"/>
    <cellStyle name="_PC_NB_DMA(VMP)_GPS OTHER 2" xfId="0"/>
    <cellStyle name="_PC_NB_DMA(VMP)_GPS OTHER 3" xfId="0"/>
    <cellStyle name="_PC_NB_DMA(VMP)_GPS OTHER 4" xfId="0"/>
    <cellStyle name="_PC_NB_DMA(VMP)_GPS OTHER 4 2" xfId="0"/>
    <cellStyle name="_PC_NB_DMA(VMP)_GPS OTHER_By Region" xfId="0"/>
    <cellStyle name="_PC_NB_DMA(VMP)_GPS OTHER_CORP SG&amp;A" xfId="0"/>
    <cellStyle name="_PC_NB_DMA(VMP)_GPS OTHER_LCD" xfId="0"/>
    <cellStyle name="_PC_NB_DMA(VMP)_GPS OTHER_PJ" xfId="0"/>
    <cellStyle name="_PC_NB_DMA(VMP)_LCD" xfId="0"/>
    <cellStyle name="_PC_NB_DMA(VMP)_LCD 2" xfId="0"/>
    <cellStyle name="_PC_NB_DMA(VMP)_LCD 3" xfId="0"/>
    <cellStyle name="_PC_NB_DMA(VMP)_LCD 4" xfId="0"/>
    <cellStyle name="_PC_NB_DMA(VMP)_LCD_By Region" xfId="0"/>
    <cellStyle name="_PC_NB_DMA(VMP)_LCD_CORP SG&amp;A" xfId="0"/>
    <cellStyle name="_PC_NB_DMA(VMP)_LCD_LCD" xfId="0"/>
    <cellStyle name="_PC_NB_DMA(VMP)_LCD_PJ" xfId="0"/>
    <cellStyle name="_PC_NB_DMA(VMP)_PC Products" xfId="0"/>
    <cellStyle name="_PC_NB_DMA(VMP)_PC Products 2" xfId="0"/>
    <cellStyle name="_PC_NB_DMA(VMP)_PC Products 3" xfId="0"/>
    <cellStyle name="_PC_NB_DMA(VMP)_PC Products 4" xfId="0"/>
    <cellStyle name="_PC_NB_DMA(VMP)_PC Products 4 2" xfId="0"/>
    <cellStyle name="_PC_NB_DMA(VMP)_PC Products_By Region" xfId="0"/>
    <cellStyle name="_PC_NB_DMA(VMP)_PC Products_CORP SG&amp;A" xfId="0"/>
    <cellStyle name="_PC_NB_DMA(VMP)_PC Products_LCD" xfId="0"/>
    <cellStyle name="_PC_NB_DMA(VMP)_PC Products_PJ" xfId="0"/>
    <cellStyle name="_PC_NB_DMA(VMP)_VSA 111014" xfId="0"/>
    <cellStyle name="_PC_NB_DMA(VMP)_VSA 111014 2" xfId="0"/>
    <cellStyle name="_PC_NB_DMA(VMP)_VSA 111014 3" xfId="0"/>
    <cellStyle name="_PC_NB_DMA(VMP)_VSA 111014 4" xfId="0"/>
    <cellStyle name="_PC_NB_DMA(VMP)_VSA 111014 4 2" xfId="0"/>
    <cellStyle name="_PC_NB_DMA(VMP)_VSA 111014_By Region" xfId="0"/>
    <cellStyle name="_PC_NB_DMA(VMP)_VSA 111014_CORP SG&amp;A" xfId="0"/>
    <cellStyle name="_PC_NB_DMA(VMP)_VSA 111014_LCD" xfId="0"/>
    <cellStyle name="_PC_NB_DMA(VMP)_VSA 111014_PJ" xfId="0"/>
    <cellStyle name="_PC_NB_DMA(VMP)_VSA Roll-Up (LW)" xfId="0"/>
    <cellStyle name="_PC_NB_DMA(VMP)_VSA Roll-Up (LW) 2" xfId="0"/>
    <cellStyle name="_PC_NB_DMA(VMP)_VSA Roll-Up (LW) 3" xfId="0"/>
    <cellStyle name="_PC_NB_DMA(VMP)_VSA Roll-Up (LW) 4" xfId="0"/>
    <cellStyle name="_PC_NB_DMA(VMP)_VSA Roll-Up (LW) 4 2" xfId="0"/>
    <cellStyle name="_PC_NB_DMA(VMP)_VSA Roll-Up (LW)_By Region" xfId="0"/>
    <cellStyle name="_PC_NB_DMA(VMP)_VSA Roll-Up (LW)_CORP SG&amp;A" xfId="0"/>
    <cellStyle name="_PC_NB_DMA(VMP)_VSA Roll-Up (LW)_LCD" xfId="0"/>
    <cellStyle name="_PC_NB_DMA(VMP)_VSA Roll-Up (LW)_PJ" xfId="0"/>
    <cellStyle name="_PC_NB_DPF" xfId="0"/>
    <cellStyle name="_PC_NB_DPF 2" xfId="0"/>
    <cellStyle name="_PC_NB_DPF 3" xfId="0"/>
    <cellStyle name="_PC_NB_DPF 4" xfId="0"/>
    <cellStyle name="_PC_NB_DPF_By Region" xfId="0"/>
    <cellStyle name="_PC_NB_DPF_CORP SG&amp;A" xfId="0"/>
    <cellStyle name="_PC_NB_DPF_GPS OTHER" xfId="0"/>
    <cellStyle name="_PC_NB_DPF_GPS OTHER 2" xfId="0"/>
    <cellStyle name="_PC_NB_DPF_GPS OTHER 3" xfId="0"/>
    <cellStyle name="_PC_NB_DPF_GPS OTHER 4" xfId="0"/>
    <cellStyle name="_PC_NB_DPF_GPS OTHER 4 2" xfId="0"/>
    <cellStyle name="_PC_NB_DPF_GPS OTHER_By Region" xfId="0"/>
    <cellStyle name="_PC_NB_DPF_GPS OTHER_CORP SG&amp;A" xfId="0"/>
    <cellStyle name="_PC_NB_DPF_GPS OTHER_LCD" xfId="0"/>
    <cellStyle name="_PC_NB_DPF_GPS OTHER_PJ" xfId="0"/>
    <cellStyle name="_PC_NB_DPF_LCD" xfId="0"/>
    <cellStyle name="_PC_NB_DPF_LCD 2" xfId="0"/>
    <cellStyle name="_PC_NB_DPF_LCD 3" xfId="0"/>
    <cellStyle name="_PC_NB_DPF_LCD 4" xfId="0"/>
    <cellStyle name="_PC_NB_DPF_LCD_By Region" xfId="0"/>
    <cellStyle name="_PC_NB_DPF_LCD_CORP SG&amp;A" xfId="0"/>
    <cellStyle name="_PC_NB_DPF_LCD_LCD" xfId="0"/>
    <cellStyle name="_PC_NB_DPF_LCD_PJ" xfId="0"/>
    <cellStyle name="_PC_NB_DPF_PC Products" xfId="0"/>
    <cellStyle name="_PC_NB_DPF_PC Products 2" xfId="0"/>
    <cellStyle name="_PC_NB_DPF_PC Products 3" xfId="0"/>
    <cellStyle name="_PC_NB_DPF_PC Products 4" xfId="0"/>
    <cellStyle name="_PC_NB_DPF_PC Products 4 2" xfId="0"/>
    <cellStyle name="_PC_NB_DPF_PC Products_By Region" xfId="0"/>
    <cellStyle name="_PC_NB_DPF_PC Products_CORP SG&amp;A" xfId="0"/>
    <cellStyle name="_PC_NB_DPF_PC Products_LCD" xfId="0"/>
    <cellStyle name="_PC_NB_DPF_PC Products_PJ" xfId="0"/>
    <cellStyle name="_PC_NB_DPF_VSA 111014" xfId="0"/>
    <cellStyle name="_PC_NB_DPF_VSA 111014 2" xfId="0"/>
    <cellStyle name="_PC_NB_DPF_VSA 111014 3" xfId="0"/>
    <cellStyle name="_PC_NB_DPF_VSA 111014 4" xfId="0"/>
    <cellStyle name="_PC_NB_DPF_VSA 111014 4 2" xfId="0"/>
    <cellStyle name="_PC_NB_DPF_VSA 111014_By Region" xfId="0"/>
    <cellStyle name="_PC_NB_DPF_VSA 111014_CORP SG&amp;A" xfId="0"/>
    <cellStyle name="_PC_NB_DPF_VSA 111014_LCD" xfId="0"/>
    <cellStyle name="_PC_NB_DPF_VSA 111014_PJ" xfId="0"/>
    <cellStyle name="_PC_NB_DPF_VSA Roll-Up (LW)" xfId="0"/>
    <cellStyle name="_PC_NB_DPF_VSA Roll-Up (LW) 2" xfId="0"/>
    <cellStyle name="_PC_NB_DPF_VSA Roll-Up (LW) 3" xfId="0"/>
    <cellStyle name="_PC_NB_DPF_VSA Roll-Up (LW) 4" xfId="0"/>
    <cellStyle name="_PC_NB_DPF_VSA Roll-Up (LW) 4 2" xfId="0"/>
    <cellStyle name="_PC_NB_DPF_VSA Roll-Up (LW)_By Region" xfId="0"/>
    <cellStyle name="_PC_NB_DPF_VSA Roll-Up (LW)_CORP SG&amp;A" xfId="0"/>
    <cellStyle name="_PC_NB_DPF_VSA Roll-Up (LW)_LCD" xfId="0"/>
    <cellStyle name="_PC_NB_DPF_VSA Roll-Up (LW)_PJ" xfId="0"/>
    <cellStyle name="_PC_NB_DS" xfId="0"/>
    <cellStyle name="_PC_NB_DS 2" xfId="0"/>
    <cellStyle name="_PC_NB_DS 3" xfId="0"/>
    <cellStyle name="_PC_NB_DS 4" xfId="0"/>
    <cellStyle name="_PC_NB_DS_By Region" xfId="0"/>
    <cellStyle name="_PC_NB_DS_CORP SG&amp;A" xfId="0"/>
    <cellStyle name="_PC_NB_DS_GPS OTHER" xfId="0"/>
    <cellStyle name="_PC_NB_DS_GPS OTHER 2" xfId="0"/>
    <cellStyle name="_PC_NB_DS_GPS OTHER 3" xfId="0"/>
    <cellStyle name="_PC_NB_DS_GPS OTHER 4" xfId="0"/>
    <cellStyle name="_PC_NB_DS_GPS OTHER 4 2" xfId="0"/>
    <cellStyle name="_PC_NB_DS_GPS OTHER_By Region" xfId="0"/>
    <cellStyle name="_PC_NB_DS_GPS OTHER_CORP SG&amp;A" xfId="0"/>
    <cellStyle name="_PC_NB_DS_GPS OTHER_LCD" xfId="0"/>
    <cellStyle name="_PC_NB_DS_GPS OTHER_PJ" xfId="0"/>
    <cellStyle name="_PC_NB_DS_LCD" xfId="0"/>
    <cellStyle name="_PC_NB_DS_LCD 2" xfId="0"/>
    <cellStyle name="_PC_NB_DS_LCD 3" xfId="0"/>
    <cellStyle name="_PC_NB_DS_LCD 4" xfId="0"/>
    <cellStyle name="_PC_NB_DS_LCD_By Region" xfId="0"/>
    <cellStyle name="_PC_NB_DS_LCD_CORP SG&amp;A" xfId="0"/>
    <cellStyle name="_PC_NB_DS_LCD_LCD" xfId="0"/>
    <cellStyle name="_PC_NB_DS_LCD_PJ" xfId="0"/>
    <cellStyle name="_PC_NB_DS_PC Products" xfId="0"/>
    <cellStyle name="_PC_NB_DS_PC Products 2" xfId="0"/>
    <cellStyle name="_PC_NB_DS_PC Products 3" xfId="0"/>
    <cellStyle name="_PC_NB_DS_PC Products 4" xfId="0"/>
    <cellStyle name="_PC_NB_DS_PC Products 4 2" xfId="0"/>
    <cellStyle name="_PC_NB_DS_PC Products_By Region" xfId="0"/>
    <cellStyle name="_PC_NB_DS_PC Products_CORP SG&amp;A" xfId="0"/>
    <cellStyle name="_PC_NB_DS_PC Products_LCD" xfId="0"/>
    <cellStyle name="_PC_NB_DS_PC Products_PJ" xfId="0"/>
    <cellStyle name="_PC_NB_DS_VSA 111014" xfId="0"/>
    <cellStyle name="_PC_NB_DS_VSA 111014 2" xfId="0"/>
    <cellStyle name="_PC_NB_DS_VSA 111014 3" xfId="0"/>
    <cellStyle name="_PC_NB_DS_VSA 111014 4" xfId="0"/>
    <cellStyle name="_PC_NB_DS_VSA 111014 4 2" xfId="0"/>
    <cellStyle name="_PC_NB_DS_VSA 111014_By Region" xfId="0"/>
    <cellStyle name="_PC_NB_DS_VSA 111014_CORP SG&amp;A" xfId="0"/>
    <cellStyle name="_PC_NB_DS_VSA 111014_LCD" xfId="0"/>
    <cellStyle name="_PC_NB_DS_VSA 111014_PJ" xfId="0"/>
    <cellStyle name="_PC_NB_DS_VSA Roll-Up (LW)" xfId="0"/>
    <cellStyle name="_PC_NB_DS_VSA Roll-Up (LW) 2" xfId="0"/>
    <cellStyle name="_PC_NB_DS_VSA Roll-Up (LW) 3" xfId="0"/>
    <cellStyle name="_PC_NB_DS_VSA Roll-Up (LW) 4" xfId="0"/>
    <cellStyle name="_PC_NB_DS_VSA Roll-Up (LW) 4 2" xfId="0"/>
    <cellStyle name="_PC_NB_DS_VSA Roll-Up (LW)_By Region" xfId="0"/>
    <cellStyle name="_PC_NB_DS_VSA Roll-Up (LW)_CORP SG&amp;A" xfId="0"/>
    <cellStyle name="_PC_NB_DS_VSA Roll-Up (LW)_LCD" xfId="0"/>
    <cellStyle name="_PC_NB_DS_VSA Roll-Up (LW)_PJ" xfId="0"/>
    <cellStyle name="_PC_NB_DVD_TV" xfId="0"/>
    <cellStyle name="_PC_NB_DVD_TV 2" xfId="0"/>
    <cellStyle name="_PC_NB_DVD_TV 3" xfId="0"/>
    <cellStyle name="_PC_NB_DVD_TV 4" xfId="0"/>
    <cellStyle name="_PC_NB_DVD_TV_By Region" xfId="0"/>
    <cellStyle name="_PC_NB_DVD_TV_CORP SG&amp;A" xfId="0"/>
    <cellStyle name="_PC_NB_DVD_TV_GPS OTHER" xfId="0"/>
    <cellStyle name="_PC_NB_DVD_TV_GPS OTHER 2" xfId="0"/>
    <cellStyle name="_PC_NB_DVD_TV_GPS OTHER 3" xfId="0"/>
    <cellStyle name="_PC_NB_DVD_TV_GPS OTHER 4" xfId="0"/>
    <cellStyle name="_PC_NB_DVD_TV_GPS OTHER 4 2" xfId="0"/>
    <cellStyle name="_PC_NB_DVD_TV_GPS OTHER_By Region" xfId="0"/>
    <cellStyle name="_PC_NB_DVD_TV_GPS OTHER_CORP SG&amp;A" xfId="0"/>
    <cellStyle name="_PC_NB_DVD_TV_GPS OTHER_LCD" xfId="0"/>
    <cellStyle name="_PC_NB_DVD_TV_GPS OTHER_PJ" xfId="0"/>
    <cellStyle name="_PC_NB_DVD_TV_LCD" xfId="0"/>
    <cellStyle name="_PC_NB_DVD_TV_LCD 2" xfId="0"/>
    <cellStyle name="_PC_NB_DVD_TV_LCD 3" xfId="0"/>
    <cellStyle name="_PC_NB_DVD_TV_LCD 4" xfId="0"/>
    <cellStyle name="_PC_NB_DVD_TV_LCD_By Region" xfId="0"/>
    <cellStyle name="_PC_NB_DVD_TV_LCD_CORP SG&amp;A" xfId="0"/>
    <cellStyle name="_PC_NB_DVD_TV_LCD_LCD" xfId="0"/>
    <cellStyle name="_PC_NB_DVD_TV_LCD_PJ" xfId="0"/>
    <cellStyle name="_PC_NB_DVD_TV_PC Products" xfId="0"/>
    <cellStyle name="_PC_NB_DVD_TV_PC Products 2" xfId="0"/>
    <cellStyle name="_PC_NB_DVD_TV_PC Products 3" xfId="0"/>
    <cellStyle name="_PC_NB_DVD_TV_PC Products 4" xfId="0"/>
    <cellStyle name="_PC_NB_DVD_TV_PC Products 4 2" xfId="0"/>
    <cellStyle name="_PC_NB_DVD_TV_PC Products_By Region" xfId="0"/>
    <cellStyle name="_PC_NB_DVD_TV_PC Products_CORP SG&amp;A" xfId="0"/>
    <cellStyle name="_PC_NB_DVD_TV_PC Products_LCD" xfId="0"/>
    <cellStyle name="_PC_NB_DVD_TV_PC Products_PJ" xfId="0"/>
    <cellStyle name="_PC_NB_DVD_TV_VSA 111014" xfId="0"/>
    <cellStyle name="_PC_NB_DVD_TV_VSA 111014 2" xfId="0"/>
    <cellStyle name="_PC_NB_DVD_TV_VSA 111014 3" xfId="0"/>
    <cellStyle name="_PC_NB_DVD_TV_VSA 111014 4" xfId="0"/>
    <cellStyle name="_PC_NB_DVD_TV_VSA 111014 4 2" xfId="0"/>
    <cellStyle name="_PC_NB_DVD_TV_VSA 111014_By Region" xfId="0"/>
    <cellStyle name="_PC_NB_DVD_TV_VSA 111014_CORP SG&amp;A" xfId="0"/>
    <cellStyle name="_PC_NB_DVD_TV_VSA 111014_LCD" xfId="0"/>
    <cellStyle name="_PC_NB_DVD_TV_VSA 111014_PJ" xfId="0"/>
    <cellStyle name="_PC_NB_DVD_TV_VSA Roll-Up (LW)" xfId="0"/>
    <cellStyle name="_PC_NB_DVD_TV_VSA Roll-Up (LW) 2" xfId="0"/>
    <cellStyle name="_PC_NB_DVD_TV_VSA Roll-Up (LW) 3" xfId="0"/>
    <cellStyle name="_PC_NB_DVD_TV_VSA Roll-Up (LW) 4" xfId="0"/>
    <cellStyle name="_PC_NB_DVD_TV_VSA Roll-Up (LW) 4 2" xfId="0"/>
    <cellStyle name="_PC_NB_DVD_TV_VSA Roll-Up (LW)_By Region" xfId="0"/>
    <cellStyle name="_PC_NB_DVD_TV_VSA Roll-Up (LW)_CORP SG&amp;A" xfId="0"/>
    <cellStyle name="_PC_NB_DVD_TV_VSA Roll-Up (LW)_LCD" xfId="0"/>
    <cellStyle name="_PC_NB_DVD_TV_VSA Roll-Up (LW)_PJ" xfId="0"/>
    <cellStyle name="_PC_NB_GPS OTHER" xfId="0"/>
    <cellStyle name="_PC_NB_GPS OTHER 2" xfId="0"/>
    <cellStyle name="_PC_NB_GPS OTHER 3" xfId="0"/>
    <cellStyle name="_PC_NB_GPS OTHER 4" xfId="0"/>
    <cellStyle name="_PC_NB_GPS OTHER 4 2" xfId="0"/>
    <cellStyle name="_PC_NB_GPS OTHER_By Region" xfId="0"/>
    <cellStyle name="_PC_NB_GPS OTHER_CORP SG&amp;A" xfId="0"/>
    <cellStyle name="_PC_NB_GPS OTHER_LCD" xfId="0"/>
    <cellStyle name="_PC_NB_GPS OTHER_PJ" xfId="0"/>
    <cellStyle name="_PC_NB_LCD" xfId="0"/>
    <cellStyle name="_PC_NB_LCD 2" xfId="0"/>
    <cellStyle name="_PC_NB_LCD 3" xfId="0"/>
    <cellStyle name="_PC_NB_LCD 4" xfId="0"/>
    <cellStyle name="_PC_NB_LCD_1" xfId="0"/>
    <cellStyle name="_PC_NB_LCD_1 2" xfId="0"/>
    <cellStyle name="_PC_NB_LCD_1 3" xfId="0"/>
    <cellStyle name="_PC_NB_LCD_1 4" xfId="0"/>
    <cellStyle name="_PC_NB_LCD_1_By Region" xfId="0"/>
    <cellStyle name="_PC_NB_LCD_1_CORP SG&amp;A" xfId="0"/>
    <cellStyle name="_PC_NB_LCD_1_LCD" xfId="0"/>
    <cellStyle name="_PC_NB_LCD_1_PJ" xfId="0"/>
    <cellStyle name="_PC_NB_LCD_By Region" xfId="0"/>
    <cellStyle name="_PC_NB_LCD_CORP SG&amp;A" xfId="0"/>
    <cellStyle name="_PC_NB_LCD_GPS OTHER" xfId="0"/>
    <cellStyle name="_PC_NB_LCD_GPS OTHER 2" xfId="0"/>
    <cellStyle name="_PC_NB_LCD_GPS OTHER 3" xfId="0"/>
    <cellStyle name="_PC_NB_LCD_GPS OTHER 4" xfId="0"/>
    <cellStyle name="_PC_NB_LCD_GPS OTHER 4 2" xfId="0"/>
    <cellStyle name="_PC_NB_LCD_GPS OTHER_By Region" xfId="0"/>
    <cellStyle name="_PC_NB_LCD_GPS OTHER_CORP SG&amp;A" xfId="0"/>
    <cellStyle name="_PC_NB_LCD_GPS OTHER_LCD" xfId="0"/>
    <cellStyle name="_PC_NB_LCD_GPS OTHER_PJ" xfId="0"/>
    <cellStyle name="_PC_NB_LCD_LCD" xfId="0"/>
    <cellStyle name="_PC_NB_LCD_LCD 2" xfId="0"/>
    <cellStyle name="_PC_NB_LCD_LCD 3" xfId="0"/>
    <cellStyle name="_PC_NB_LCD_LCD 4" xfId="0"/>
    <cellStyle name="_PC_NB_LCD_LCD_By Region" xfId="0"/>
    <cellStyle name="_PC_NB_LCD_LCD_CORP SG&amp;A" xfId="0"/>
    <cellStyle name="_PC_NB_LCD_LCD_LCD" xfId="0"/>
    <cellStyle name="_PC_NB_LCD_LCD_PJ" xfId="0"/>
    <cellStyle name="_PC_NB_LCD_PC Products" xfId="0"/>
    <cellStyle name="_PC_NB_LCD_PC Products 2" xfId="0"/>
    <cellStyle name="_PC_NB_LCD_PC Products 3" xfId="0"/>
    <cellStyle name="_PC_NB_LCD_PC Products 4" xfId="0"/>
    <cellStyle name="_PC_NB_LCD_PC Products 4 2" xfId="0"/>
    <cellStyle name="_PC_NB_LCD_PC Products_By Region" xfId="0"/>
    <cellStyle name="_PC_NB_LCD_PC Products_CORP SG&amp;A" xfId="0"/>
    <cellStyle name="_PC_NB_LCD_PC Products_LCD" xfId="0"/>
    <cellStyle name="_PC_NB_LCD_PC Products_PJ" xfId="0"/>
    <cellStyle name="_PC_NB_LCD_VSA 111014" xfId="0"/>
    <cellStyle name="_PC_NB_LCD_VSA 111014 2" xfId="0"/>
    <cellStyle name="_PC_NB_LCD_VSA 111014 3" xfId="0"/>
    <cellStyle name="_PC_NB_LCD_VSA 111014 4" xfId="0"/>
    <cellStyle name="_PC_NB_LCD_VSA 111014 4 2" xfId="0"/>
    <cellStyle name="_PC_NB_LCD_VSA 111014_By Region" xfId="0"/>
    <cellStyle name="_PC_NB_LCD_VSA 111014_CORP SG&amp;A" xfId="0"/>
    <cellStyle name="_PC_NB_LCD_VSA 111014_LCD" xfId="0"/>
    <cellStyle name="_PC_NB_LCD_VSA 111014_PJ" xfId="0"/>
    <cellStyle name="_PC_NB_LCD_VSA Roll-Up (LW)" xfId="0"/>
    <cellStyle name="_PC_NB_LCD_VSA Roll-Up (LW) 2" xfId="0"/>
    <cellStyle name="_PC_NB_LCD_VSA Roll-Up (LW) 3" xfId="0"/>
    <cellStyle name="_PC_NB_LCD_VSA Roll-Up (LW) 4" xfId="0"/>
    <cellStyle name="_PC_NB_LCD_VSA Roll-Up (LW) 4 2" xfId="0"/>
    <cellStyle name="_PC_NB_LCD_VSA Roll-Up (LW)_By Region" xfId="0"/>
    <cellStyle name="_PC_NB_LCD_VSA Roll-Up (LW)_CORP SG&amp;A" xfId="0"/>
    <cellStyle name="_PC_NB_LCD_VSA Roll-Up (LW)_LCD" xfId="0"/>
    <cellStyle name="_PC_NB_LCD_VSA Roll-Up (LW)_PJ" xfId="0"/>
    <cellStyle name="_PC_NB_LCDTV" xfId="0"/>
    <cellStyle name="_PC_NB_LCDTV 2" xfId="0"/>
    <cellStyle name="_PC_NB_LCDTV 3" xfId="0"/>
    <cellStyle name="_PC_NB_LCDTV 4" xfId="0"/>
    <cellStyle name="_PC_NB_LCDTV_By Region" xfId="0"/>
    <cellStyle name="_PC_NB_LCDTV_CORP SG&amp;A" xfId="0"/>
    <cellStyle name="_PC_NB_LCDTV_GPS OTHER" xfId="0"/>
    <cellStyle name="_PC_NB_LCDTV_GPS OTHER 2" xfId="0"/>
    <cellStyle name="_PC_NB_LCDTV_GPS OTHER 3" xfId="0"/>
    <cellStyle name="_PC_NB_LCDTV_GPS OTHER 4" xfId="0"/>
    <cellStyle name="_PC_NB_LCDTV_GPS OTHER 4 2" xfId="0"/>
    <cellStyle name="_PC_NB_LCDTV_GPS OTHER_By Region" xfId="0"/>
    <cellStyle name="_PC_NB_LCDTV_GPS OTHER_CORP SG&amp;A" xfId="0"/>
    <cellStyle name="_PC_NB_LCDTV_GPS OTHER_LCD" xfId="0"/>
    <cellStyle name="_PC_NB_LCDTV_GPS OTHER_PJ" xfId="0"/>
    <cellStyle name="_PC_NB_LCDTV_LCD" xfId="0"/>
    <cellStyle name="_PC_NB_LCDTV_LCD 2" xfId="0"/>
    <cellStyle name="_PC_NB_LCDTV_LCD 3" xfId="0"/>
    <cellStyle name="_PC_NB_LCDTV_LCD 4" xfId="0"/>
    <cellStyle name="_PC_NB_LCDTV_LCD_By Region" xfId="0"/>
    <cellStyle name="_PC_NB_LCDTV_LCD_CORP SG&amp;A" xfId="0"/>
    <cellStyle name="_PC_NB_LCDTV_LCD_LCD" xfId="0"/>
    <cellStyle name="_PC_NB_LCDTV_LCD_PJ" xfId="0"/>
    <cellStyle name="_PC_NB_LCDTV_PC Products" xfId="0"/>
    <cellStyle name="_PC_NB_LCDTV_PC Products 2" xfId="0"/>
    <cellStyle name="_PC_NB_LCDTV_PC Products 3" xfId="0"/>
    <cellStyle name="_PC_NB_LCDTV_PC Products 4" xfId="0"/>
    <cellStyle name="_PC_NB_LCDTV_PC Products 4 2" xfId="0"/>
    <cellStyle name="_PC_NB_LCDTV_PC Products_By Region" xfId="0"/>
    <cellStyle name="_PC_NB_LCDTV_PC Products_CORP SG&amp;A" xfId="0"/>
    <cellStyle name="_PC_NB_LCDTV_PC Products_LCD" xfId="0"/>
    <cellStyle name="_PC_NB_LCDTV_PC Products_PJ" xfId="0"/>
    <cellStyle name="_PC_NB_LCDTV_VSA 111014" xfId="0"/>
    <cellStyle name="_PC_NB_LCDTV_VSA 111014 2" xfId="0"/>
    <cellStyle name="_PC_NB_LCDTV_VSA 111014 3" xfId="0"/>
    <cellStyle name="_PC_NB_LCDTV_VSA 111014 4" xfId="0"/>
    <cellStyle name="_PC_NB_LCDTV_VSA 111014 4 2" xfId="0"/>
    <cellStyle name="_PC_NB_LCDTV_VSA 111014_By Region" xfId="0"/>
    <cellStyle name="_PC_NB_LCDTV_VSA 111014_CORP SG&amp;A" xfId="0"/>
    <cellStyle name="_PC_NB_LCDTV_VSA 111014_LCD" xfId="0"/>
    <cellStyle name="_PC_NB_LCDTV_VSA 111014_PJ" xfId="0"/>
    <cellStyle name="_PC_NB_LCDTV_VSA Roll-Up (LW)" xfId="0"/>
    <cellStyle name="_PC_NB_LCDTV_VSA Roll-Up (LW) 2" xfId="0"/>
    <cellStyle name="_PC_NB_LCDTV_VSA Roll-Up (LW) 3" xfId="0"/>
    <cellStyle name="_PC_NB_LCDTV_VSA Roll-Up (LW) 4" xfId="0"/>
    <cellStyle name="_PC_NB_LCDTV_VSA Roll-Up (LW) 4 2" xfId="0"/>
    <cellStyle name="_PC_NB_LCDTV_VSA Roll-Up (LW)_By Region" xfId="0"/>
    <cellStyle name="_PC_NB_LCDTV_VSA Roll-Up (LW)_CORP SG&amp;A" xfId="0"/>
    <cellStyle name="_PC_NB_LCDTV_VSA Roll-Up (LW)_LCD" xfId="0"/>
    <cellStyle name="_PC_NB_LCDTV_VSA Roll-Up (LW)_PJ" xfId="0"/>
    <cellStyle name="_PC_NB_MNT" xfId="0"/>
    <cellStyle name="_PC_NB_MNT 2" xfId="0"/>
    <cellStyle name="_PC_NB_MNT 3" xfId="0"/>
    <cellStyle name="_PC_NB_MNT 4" xfId="0"/>
    <cellStyle name="_PC_NB_MNT_By Region" xfId="0"/>
    <cellStyle name="_PC_NB_MNT_CORP SG&amp;A" xfId="0"/>
    <cellStyle name="_PC_NB_MNT_GPS OTHER" xfId="0"/>
    <cellStyle name="_PC_NB_MNT_GPS OTHER 2" xfId="0"/>
    <cellStyle name="_PC_NB_MNT_GPS OTHER 3" xfId="0"/>
    <cellStyle name="_PC_NB_MNT_GPS OTHER 4" xfId="0"/>
    <cellStyle name="_PC_NB_MNT_GPS OTHER 4 2" xfId="0"/>
    <cellStyle name="_PC_NB_MNT_GPS OTHER_By Region" xfId="0"/>
    <cellStyle name="_PC_NB_MNT_GPS OTHER_CORP SG&amp;A" xfId="0"/>
    <cellStyle name="_PC_NB_MNT_GPS OTHER_LCD" xfId="0"/>
    <cellStyle name="_PC_NB_MNT_GPS OTHER_PJ" xfId="0"/>
    <cellStyle name="_PC_NB_MNT_LCD" xfId="0"/>
    <cellStyle name="_PC_NB_MNT_LCD 2" xfId="0"/>
    <cellStyle name="_PC_NB_MNT_LCD 3" xfId="0"/>
    <cellStyle name="_PC_NB_MNT_LCD 4" xfId="0"/>
    <cellStyle name="_PC_NB_MNT_LCD_By Region" xfId="0"/>
    <cellStyle name="_PC_NB_MNT_LCD_CORP SG&amp;A" xfId="0"/>
    <cellStyle name="_PC_NB_MNT_LCD_LCD" xfId="0"/>
    <cellStyle name="_PC_NB_MNT_LCD_PJ" xfId="0"/>
    <cellStyle name="_PC_NB_MNT_PC Products" xfId="0"/>
    <cellStyle name="_PC_NB_MNT_PC Products 2" xfId="0"/>
    <cellStyle name="_PC_NB_MNT_PC Products 3" xfId="0"/>
    <cellStyle name="_PC_NB_MNT_PC Products 4" xfId="0"/>
    <cellStyle name="_PC_NB_MNT_PC Products 4 2" xfId="0"/>
    <cellStyle name="_PC_NB_MNT_PC Products_By Region" xfId="0"/>
    <cellStyle name="_PC_NB_MNT_PC Products_CORP SG&amp;A" xfId="0"/>
    <cellStyle name="_PC_NB_MNT_PC Products_LCD" xfId="0"/>
    <cellStyle name="_PC_NB_MNT_PC Products_PJ" xfId="0"/>
    <cellStyle name="_PC_NB_MNT_VSA 111014" xfId="0"/>
    <cellStyle name="_PC_NB_MNT_VSA 111014 2" xfId="0"/>
    <cellStyle name="_PC_NB_MNT_VSA 111014 3" xfId="0"/>
    <cellStyle name="_PC_NB_MNT_VSA 111014 4" xfId="0"/>
    <cellStyle name="_PC_NB_MNT_VSA 111014 4 2" xfId="0"/>
    <cellStyle name="_PC_NB_MNT_VSA 111014_By Region" xfId="0"/>
    <cellStyle name="_PC_NB_MNT_VSA 111014_CORP SG&amp;A" xfId="0"/>
    <cellStyle name="_PC_NB_MNT_VSA 111014_LCD" xfId="0"/>
    <cellStyle name="_PC_NB_MNT_VSA 111014_PJ" xfId="0"/>
    <cellStyle name="_PC_NB_MNT_VSA Roll-Up (LW)" xfId="0"/>
    <cellStyle name="_PC_NB_MNT_VSA Roll-Up (LW) 2" xfId="0"/>
    <cellStyle name="_PC_NB_MNT_VSA Roll-Up (LW) 3" xfId="0"/>
    <cellStyle name="_PC_NB_MNT_VSA Roll-Up (LW) 4" xfId="0"/>
    <cellStyle name="_PC_NB_MNT_VSA Roll-Up (LW) 4 2" xfId="0"/>
    <cellStyle name="_PC_NB_MNT_VSA Roll-Up (LW)_By Region" xfId="0"/>
    <cellStyle name="_PC_NB_MNT_VSA Roll-Up (LW)_CORP SG&amp;A" xfId="0"/>
    <cellStyle name="_PC_NB_MNT_VSA Roll-Up (LW)_LCD" xfId="0"/>
    <cellStyle name="_PC_NB_MNT_VSA Roll-Up (LW)_PJ" xfId="0"/>
    <cellStyle name="_PC_NB_Other" xfId="0"/>
    <cellStyle name="_PC_NB_Other 2" xfId="0"/>
    <cellStyle name="_PC_NB_Other 3" xfId="0"/>
    <cellStyle name="_PC_NB_Other 4" xfId="0"/>
    <cellStyle name="_PC_NB_Other_By Region" xfId="0"/>
    <cellStyle name="_PC_NB_Other_CORP SG&amp;A" xfId="0"/>
    <cellStyle name="_PC_NB_Other_GPS OTHER" xfId="0"/>
    <cellStyle name="_PC_NB_Other_GPS OTHER 2" xfId="0"/>
    <cellStyle name="_PC_NB_Other_GPS OTHER 3" xfId="0"/>
    <cellStyle name="_PC_NB_Other_GPS OTHER 4" xfId="0"/>
    <cellStyle name="_PC_NB_Other_GPS OTHER 4 2" xfId="0"/>
    <cellStyle name="_PC_NB_Other_GPS OTHER_By Region" xfId="0"/>
    <cellStyle name="_PC_NB_Other_GPS OTHER_CORP SG&amp;A" xfId="0"/>
    <cellStyle name="_PC_NB_Other_GPS OTHER_LCD" xfId="0"/>
    <cellStyle name="_PC_NB_Other_GPS OTHER_PJ" xfId="0"/>
    <cellStyle name="_PC_NB_Other_LCD" xfId="0"/>
    <cellStyle name="_PC_NB_Other_LCD 2" xfId="0"/>
    <cellStyle name="_PC_NB_Other_LCD 3" xfId="0"/>
    <cellStyle name="_PC_NB_Other_LCD 4" xfId="0"/>
    <cellStyle name="_PC_NB_Other_LCD_By Region" xfId="0"/>
    <cellStyle name="_PC_NB_Other_LCD_CORP SG&amp;A" xfId="0"/>
    <cellStyle name="_PC_NB_Other_LCD_LCD" xfId="0"/>
    <cellStyle name="_PC_NB_Other_LCD_PJ" xfId="0"/>
    <cellStyle name="_PC_NB_Other_PC Products" xfId="0"/>
    <cellStyle name="_PC_NB_Other_PC Products 2" xfId="0"/>
    <cellStyle name="_PC_NB_Other_PC Products 3" xfId="0"/>
    <cellStyle name="_PC_NB_Other_PC Products 4" xfId="0"/>
    <cellStyle name="_PC_NB_Other_PC Products 4 2" xfId="0"/>
    <cellStyle name="_PC_NB_Other_PC Products_By Region" xfId="0"/>
    <cellStyle name="_PC_NB_Other_PC Products_CORP SG&amp;A" xfId="0"/>
    <cellStyle name="_PC_NB_Other_PC Products_LCD" xfId="0"/>
    <cellStyle name="_PC_NB_Other_PC Products_PJ" xfId="0"/>
    <cellStyle name="_PC_NB_Other_VSA 111014" xfId="0"/>
    <cellStyle name="_PC_NB_Other_VSA 111014 2" xfId="0"/>
    <cellStyle name="_PC_NB_Other_VSA 111014 3" xfId="0"/>
    <cellStyle name="_PC_NB_Other_VSA 111014 4" xfId="0"/>
    <cellStyle name="_PC_NB_Other_VSA 111014 4 2" xfId="0"/>
    <cellStyle name="_PC_NB_Other_VSA 111014_By Region" xfId="0"/>
    <cellStyle name="_PC_NB_Other_VSA 111014_CORP SG&amp;A" xfId="0"/>
    <cellStyle name="_PC_NB_Other_VSA 111014_LCD" xfId="0"/>
    <cellStyle name="_PC_NB_Other_VSA 111014_PJ" xfId="0"/>
    <cellStyle name="_PC_NB_Other_VSA Roll-Up (LW)" xfId="0"/>
    <cellStyle name="_PC_NB_Other_VSA Roll-Up (LW) 2" xfId="0"/>
    <cellStyle name="_PC_NB_Other_VSA Roll-Up (LW) 3" xfId="0"/>
    <cellStyle name="_PC_NB_Other_VSA Roll-Up (LW) 4" xfId="0"/>
    <cellStyle name="_PC_NB_Other_VSA Roll-Up (LW) 4 2" xfId="0"/>
    <cellStyle name="_PC_NB_Other_VSA Roll-Up (LW)_By Region" xfId="0"/>
    <cellStyle name="_PC_NB_Other_VSA Roll-Up (LW)_CORP SG&amp;A" xfId="0"/>
    <cellStyle name="_PC_NB_Other_VSA Roll-Up (LW)_LCD" xfId="0"/>
    <cellStyle name="_PC_NB_Other_VSA Roll-Up (LW)_PJ" xfId="0"/>
    <cellStyle name="_PC_NB_PC" xfId="0"/>
    <cellStyle name="_PC_NB_PC 2" xfId="0"/>
    <cellStyle name="_PC_NB_PC 3" xfId="0"/>
    <cellStyle name="_PC_NB_PC 4" xfId="0"/>
    <cellStyle name="_PC_NB_PC Products" xfId="0"/>
    <cellStyle name="_PC_NB_PC Products 2" xfId="0"/>
    <cellStyle name="_PC_NB_PC Products 3" xfId="0"/>
    <cellStyle name="_PC_NB_PC Products 4" xfId="0"/>
    <cellStyle name="_PC_NB_PC Products 4 2" xfId="0"/>
    <cellStyle name="_PC_NB_PC Products_By Region" xfId="0"/>
    <cellStyle name="_PC_NB_PC Products_CORP SG&amp;A" xfId="0"/>
    <cellStyle name="_PC_NB_PC Products_LCD" xfId="0"/>
    <cellStyle name="_PC_NB_PC Products_PJ" xfId="0"/>
    <cellStyle name="_PC_NB_PC_By Region" xfId="0"/>
    <cellStyle name="_PC_NB_PC_CORP SG&amp;A" xfId="0"/>
    <cellStyle name="_PC_NB_PC_DT" xfId="0"/>
    <cellStyle name="_PC_NB_PC_DT 2" xfId="0"/>
    <cellStyle name="_PC_NB_PC_DT 3" xfId="0"/>
    <cellStyle name="_PC_NB_PC_DT_By Region" xfId="0"/>
    <cellStyle name="_PC_NB_PC_GPS OTHER" xfId="0"/>
    <cellStyle name="_PC_NB_PC_GPS OTHER 2" xfId="0"/>
    <cellStyle name="_PC_NB_PC_GPS OTHER 3" xfId="0"/>
    <cellStyle name="_PC_NB_PC_GPS OTHER 4" xfId="0"/>
    <cellStyle name="_PC_NB_PC_GPS OTHER 4 2" xfId="0"/>
    <cellStyle name="_PC_NB_PC_GPS OTHER_By Region" xfId="0"/>
    <cellStyle name="_PC_NB_PC_GPS OTHER_CORP SG&amp;A" xfId="0"/>
    <cellStyle name="_PC_NB_PC_GPS OTHER_LCD" xfId="0"/>
    <cellStyle name="_PC_NB_PC_GPS OTHER_PJ" xfId="0"/>
    <cellStyle name="_PC_NB_PC_LCD" xfId="0"/>
    <cellStyle name="_PC_NB_PC_LCD 2" xfId="0"/>
    <cellStyle name="_PC_NB_PC_LCD 3" xfId="0"/>
    <cellStyle name="_PC_NB_PC_LCD 4" xfId="0"/>
    <cellStyle name="_PC_NB_PC_LCD_By Region" xfId="0"/>
    <cellStyle name="_PC_NB_PC_LCD_CORP SG&amp;A" xfId="0"/>
    <cellStyle name="_PC_NB_PC_LCD_LCD" xfId="0"/>
    <cellStyle name="_PC_NB_PC_LCD_PJ" xfId="0"/>
    <cellStyle name="_PC_NB_PC_PC Products" xfId="0"/>
    <cellStyle name="_PC_NB_PC_PC Products 2" xfId="0"/>
    <cellStyle name="_PC_NB_PC_PC Products 3" xfId="0"/>
    <cellStyle name="_PC_NB_PC_PC Products 4" xfId="0"/>
    <cellStyle name="_PC_NB_PC_PC Products 4 2" xfId="0"/>
    <cellStyle name="_PC_NB_PC_PC Products_By Region" xfId="0"/>
    <cellStyle name="_PC_NB_PC_PC Products_CORP SG&amp;A" xfId="0"/>
    <cellStyle name="_PC_NB_PC_PC Products_LCD" xfId="0"/>
    <cellStyle name="_PC_NB_PC_PC Products_PJ" xfId="0"/>
    <cellStyle name="_PC_NB_PC_TV" xfId="0"/>
    <cellStyle name="_PC_NB_PC_TV 2" xfId="0"/>
    <cellStyle name="_PC_NB_PC_TV 3" xfId="0"/>
    <cellStyle name="_PC_NB_PC_TV 4" xfId="0"/>
    <cellStyle name="_PC_NB_PC_TV_By Region" xfId="0"/>
    <cellStyle name="_PC_NB_PC_TV_CORP SG&amp;A" xfId="0"/>
    <cellStyle name="_PC_NB_PC_TV_GPS OTHER" xfId="0"/>
    <cellStyle name="_PC_NB_PC_TV_GPS OTHER 2" xfId="0"/>
    <cellStyle name="_PC_NB_PC_TV_GPS OTHER 3" xfId="0"/>
    <cellStyle name="_PC_NB_PC_TV_GPS OTHER 4" xfId="0"/>
    <cellStyle name="_PC_NB_PC_TV_GPS OTHER 4 2" xfId="0"/>
    <cellStyle name="_PC_NB_PC_TV_GPS OTHER_By Region" xfId="0"/>
    <cellStyle name="_PC_NB_PC_TV_GPS OTHER_CORP SG&amp;A" xfId="0"/>
    <cellStyle name="_PC_NB_PC_TV_GPS OTHER_LCD" xfId="0"/>
    <cellStyle name="_PC_NB_PC_TV_GPS OTHER_PJ" xfId="0"/>
    <cellStyle name="_PC_NB_PC_TV_LCD" xfId="0"/>
    <cellStyle name="_PC_NB_PC_TV_LCD 2" xfId="0"/>
    <cellStyle name="_PC_NB_PC_TV_LCD 3" xfId="0"/>
    <cellStyle name="_PC_NB_PC_TV_LCD 4" xfId="0"/>
    <cellStyle name="_PC_NB_PC_TV_LCD_By Region" xfId="0"/>
    <cellStyle name="_PC_NB_PC_TV_LCD_CORP SG&amp;A" xfId="0"/>
    <cellStyle name="_PC_NB_PC_TV_LCD_LCD" xfId="0"/>
    <cellStyle name="_PC_NB_PC_TV_LCD_PJ" xfId="0"/>
    <cellStyle name="_PC_NB_PC_TV_PC Products" xfId="0"/>
    <cellStyle name="_PC_NB_PC_TV_PC Products 2" xfId="0"/>
    <cellStyle name="_PC_NB_PC_TV_PC Products 3" xfId="0"/>
    <cellStyle name="_PC_NB_PC_TV_PC Products 4" xfId="0"/>
    <cellStyle name="_PC_NB_PC_TV_PC Products 4 2" xfId="0"/>
    <cellStyle name="_PC_NB_PC_TV_PC Products_By Region" xfId="0"/>
    <cellStyle name="_PC_NB_PC_TV_PC Products_CORP SG&amp;A" xfId="0"/>
    <cellStyle name="_PC_NB_PC_TV_PC Products_LCD" xfId="0"/>
    <cellStyle name="_PC_NB_PC_TV_PC Products_PJ" xfId="0"/>
    <cellStyle name="_PC_NB_PC_TV_VSA 111014" xfId="0"/>
    <cellStyle name="_PC_NB_PC_TV_VSA 111014 2" xfId="0"/>
    <cellStyle name="_PC_NB_PC_TV_VSA 111014 3" xfId="0"/>
    <cellStyle name="_PC_NB_PC_TV_VSA 111014 4" xfId="0"/>
    <cellStyle name="_PC_NB_PC_TV_VSA 111014 4 2" xfId="0"/>
    <cellStyle name="_PC_NB_PC_TV_VSA 111014_By Region" xfId="0"/>
    <cellStyle name="_PC_NB_PC_TV_VSA 111014_CORP SG&amp;A" xfId="0"/>
    <cellStyle name="_PC_NB_PC_TV_VSA 111014_LCD" xfId="0"/>
    <cellStyle name="_PC_NB_PC_TV_VSA 111014_PJ" xfId="0"/>
    <cellStyle name="_PC_NB_PC_TV_VSA Roll-Up (LW)" xfId="0"/>
    <cellStyle name="_PC_NB_PC_TV_VSA Roll-Up (LW) 2" xfId="0"/>
    <cellStyle name="_PC_NB_PC_TV_VSA Roll-Up (LW) 3" xfId="0"/>
    <cellStyle name="_PC_NB_PC_TV_VSA Roll-Up (LW) 4" xfId="0"/>
    <cellStyle name="_PC_NB_PC_TV_VSA Roll-Up (LW) 4 2" xfId="0"/>
    <cellStyle name="_PC_NB_PC_TV_VSA Roll-Up (LW)_By Region" xfId="0"/>
    <cellStyle name="_PC_NB_PC_TV_VSA Roll-Up (LW)_CORP SG&amp;A" xfId="0"/>
    <cellStyle name="_PC_NB_PC_TV_VSA Roll-Up (LW)_LCD" xfId="0"/>
    <cellStyle name="_PC_NB_PC_TV_VSA Roll-Up (LW)_PJ" xfId="0"/>
    <cellStyle name="_PC_NB_PC_VSA 111014" xfId="0"/>
    <cellStyle name="_PC_NB_PC_VSA 111014 2" xfId="0"/>
    <cellStyle name="_PC_NB_PC_VSA 111014 3" xfId="0"/>
    <cellStyle name="_PC_NB_PC_VSA 111014 4" xfId="0"/>
    <cellStyle name="_PC_NB_PC_VSA 111014 4 2" xfId="0"/>
    <cellStyle name="_PC_NB_PC_VSA 111014_By Region" xfId="0"/>
    <cellStyle name="_PC_NB_PC_VSA 111014_CORP SG&amp;A" xfId="0"/>
    <cellStyle name="_PC_NB_PC_VSA 111014_LCD" xfId="0"/>
    <cellStyle name="_PC_NB_PC_VSA 111014_PJ" xfId="0"/>
    <cellStyle name="_PC_NB_PC_VSA Roll-Up (LW)" xfId="0"/>
    <cellStyle name="_PC_NB_PC_VSA Roll-Up (LW) 2" xfId="0"/>
    <cellStyle name="_PC_NB_PC_VSA Roll-Up (LW) 3" xfId="0"/>
    <cellStyle name="_PC_NB_PC_VSA Roll-Up (LW) 4" xfId="0"/>
    <cellStyle name="_PC_NB_PC_VSA Roll-Up (LW) 4 2" xfId="0"/>
    <cellStyle name="_PC_NB_PC_VSA Roll-Up (LW)_By Region" xfId="0"/>
    <cellStyle name="_PC_NB_PC_VSA Roll-Up (LW)_CORP SG&amp;A" xfId="0"/>
    <cellStyle name="_PC_NB_PC_VSA Roll-Up (LW)_LCD" xfId="0"/>
    <cellStyle name="_PC_NB_PC_VSA Roll-Up (LW)_PJ" xfId="0"/>
    <cellStyle name="_PC_NB_PJ" xfId="0"/>
    <cellStyle name="_PC_NB_PJ 2" xfId="0"/>
    <cellStyle name="_PC_NB_PJ 3" xfId="0"/>
    <cellStyle name="_PC_NB_PJ 4" xfId="0"/>
    <cellStyle name="_PC_NB_PJ_By Region" xfId="0"/>
    <cellStyle name="_PC_NB_PJ_CORP SG&amp;A" xfId="0"/>
    <cellStyle name="_PC_NB_PJ_GPS OTHER" xfId="0"/>
    <cellStyle name="_PC_NB_PJ_GPS OTHER 2" xfId="0"/>
    <cellStyle name="_PC_NB_PJ_GPS OTHER 3" xfId="0"/>
    <cellStyle name="_PC_NB_PJ_GPS OTHER 4" xfId="0"/>
    <cellStyle name="_PC_NB_PJ_GPS OTHER 4 2" xfId="0"/>
    <cellStyle name="_PC_NB_PJ_GPS OTHER_By Region" xfId="0"/>
    <cellStyle name="_PC_NB_PJ_GPS OTHER_CORP SG&amp;A" xfId="0"/>
    <cellStyle name="_PC_NB_PJ_GPS OTHER_LCD" xfId="0"/>
    <cellStyle name="_PC_NB_PJ_GPS OTHER_PJ" xfId="0"/>
    <cellStyle name="_PC_NB_PJ_LCD" xfId="0"/>
    <cellStyle name="_PC_NB_PJ_LCD 2" xfId="0"/>
    <cellStyle name="_PC_NB_PJ_LCD 3" xfId="0"/>
    <cellStyle name="_PC_NB_PJ_LCD 4" xfId="0"/>
    <cellStyle name="_PC_NB_PJ_LCD_By Region" xfId="0"/>
    <cellStyle name="_PC_NB_PJ_LCD_CORP SG&amp;A" xfId="0"/>
    <cellStyle name="_PC_NB_PJ_LCD_LCD" xfId="0"/>
    <cellStyle name="_PC_NB_PJ_LCD_PJ" xfId="0"/>
    <cellStyle name="_PC_NB_PJ_PC Products" xfId="0"/>
    <cellStyle name="_PC_NB_PJ_PC Products 2" xfId="0"/>
    <cellStyle name="_PC_NB_PJ_PC Products 3" xfId="0"/>
    <cellStyle name="_PC_NB_PJ_PC Products 4" xfId="0"/>
    <cellStyle name="_PC_NB_PJ_PC Products 4 2" xfId="0"/>
    <cellStyle name="_PC_NB_PJ_PC Products_By Region" xfId="0"/>
    <cellStyle name="_PC_NB_PJ_PC Products_CORP SG&amp;A" xfId="0"/>
    <cellStyle name="_PC_NB_PJ_PC Products_LCD" xfId="0"/>
    <cellStyle name="_PC_NB_PJ_PC Products_PJ" xfId="0"/>
    <cellStyle name="_PC_NB_PJ_VSA 111014" xfId="0"/>
    <cellStyle name="_PC_NB_PJ_VSA 111014 2" xfId="0"/>
    <cellStyle name="_PC_NB_PJ_VSA 111014 3" xfId="0"/>
    <cellStyle name="_PC_NB_PJ_VSA 111014 4" xfId="0"/>
    <cellStyle name="_PC_NB_PJ_VSA 111014 4 2" xfId="0"/>
    <cellStyle name="_PC_NB_PJ_VSA 111014_By Region" xfId="0"/>
    <cellStyle name="_PC_NB_PJ_VSA 111014_CORP SG&amp;A" xfId="0"/>
    <cellStyle name="_PC_NB_PJ_VSA 111014_LCD" xfId="0"/>
    <cellStyle name="_PC_NB_PJ_VSA 111014_PJ" xfId="0"/>
    <cellStyle name="_PC_NB_PJ_VSA Roll-Up (LW)" xfId="0"/>
    <cellStyle name="_PC_NB_PJ_VSA Roll-Up (LW) 2" xfId="0"/>
    <cellStyle name="_PC_NB_PJ_VSA Roll-Up (LW) 3" xfId="0"/>
    <cellStyle name="_PC_NB_PJ_VSA Roll-Up (LW) 4" xfId="0"/>
    <cellStyle name="_PC_NB_PJ_VSA Roll-Up (LW) 4 2" xfId="0"/>
    <cellStyle name="_PC_NB_PJ_VSA Roll-Up (LW)_By Region" xfId="0"/>
    <cellStyle name="_PC_NB_PJ_VSA Roll-Up (LW)_CORP SG&amp;A" xfId="0"/>
    <cellStyle name="_PC_NB_PJ_VSA Roll-Up (LW)_LCD" xfId="0"/>
    <cellStyle name="_PC_NB_PJ_VSA Roll-Up (LW)_PJ" xfId="0"/>
    <cellStyle name="_PC_NB_PMP(VPD)" xfId="0"/>
    <cellStyle name="_PC_NB_PMP(VPD) 2" xfId="0"/>
    <cellStyle name="_PC_NB_PMP(VPD) 3" xfId="0"/>
    <cellStyle name="_PC_NB_PMP(VPD) 4" xfId="0"/>
    <cellStyle name="_PC_NB_PMP(VPD)_By Region" xfId="0"/>
    <cellStyle name="_PC_NB_PMP(VPD)_CORP SG&amp;A" xfId="0"/>
    <cellStyle name="_PC_NB_PMP(VPD)_GPS OTHER" xfId="0"/>
    <cellStyle name="_PC_NB_PMP(VPD)_GPS OTHER 2" xfId="0"/>
    <cellStyle name="_PC_NB_PMP(VPD)_GPS OTHER 3" xfId="0"/>
    <cellStyle name="_PC_NB_PMP(VPD)_GPS OTHER 4" xfId="0"/>
    <cellStyle name="_PC_NB_PMP(VPD)_GPS OTHER 4 2" xfId="0"/>
    <cellStyle name="_PC_NB_PMP(VPD)_GPS OTHER_By Region" xfId="0"/>
    <cellStyle name="_PC_NB_PMP(VPD)_GPS OTHER_CORP SG&amp;A" xfId="0"/>
    <cellStyle name="_PC_NB_PMP(VPD)_GPS OTHER_LCD" xfId="0"/>
    <cellStyle name="_PC_NB_PMP(VPD)_GPS OTHER_PJ" xfId="0"/>
    <cellStyle name="_PC_NB_PMP(VPD)_LCD" xfId="0"/>
    <cellStyle name="_PC_NB_PMP(VPD)_LCD 2" xfId="0"/>
    <cellStyle name="_PC_NB_PMP(VPD)_LCD 3" xfId="0"/>
    <cellStyle name="_PC_NB_PMP(VPD)_LCD 4" xfId="0"/>
    <cellStyle name="_PC_NB_PMP(VPD)_LCD_By Region" xfId="0"/>
    <cellStyle name="_PC_NB_PMP(VPD)_LCD_CORP SG&amp;A" xfId="0"/>
    <cellStyle name="_PC_NB_PMP(VPD)_LCD_LCD" xfId="0"/>
    <cellStyle name="_PC_NB_PMP(VPD)_LCD_PJ" xfId="0"/>
    <cellStyle name="_PC_NB_PMP(VPD)_PC Products" xfId="0"/>
    <cellStyle name="_PC_NB_PMP(VPD)_PC Products 2" xfId="0"/>
    <cellStyle name="_PC_NB_PMP(VPD)_PC Products 3" xfId="0"/>
    <cellStyle name="_PC_NB_PMP(VPD)_PC Products 4" xfId="0"/>
    <cellStyle name="_PC_NB_PMP(VPD)_PC Products 4 2" xfId="0"/>
    <cellStyle name="_PC_NB_PMP(VPD)_PC Products_By Region" xfId="0"/>
    <cellStyle name="_PC_NB_PMP(VPD)_PC Products_CORP SG&amp;A" xfId="0"/>
    <cellStyle name="_PC_NB_PMP(VPD)_PC Products_LCD" xfId="0"/>
    <cellStyle name="_PC_NB_PMP(VPD)_PC Products_PJ" xfId="0"/>
    <cellStyle name="_PC_NB_PMP(VPD)_VSA 111014" xfId="0"/>
    <cellStyle name="_PC_NB_PMP(VPD)_VSA 111014 2" xfId="0"/>
    <cellStyle name="_PC_NB_PMP(VPD)_VSA 111014 3" xfId="0"/>
    <cellStyle name="_PC_NB_PMP(VPD)_VSA 111014 4" xfId="0"/>
    <cellStyle name="_PC_NB_PMP(VPD)_VSA 111014 4 2" xfId="0"/>
    <cellStyle name="_PC_NB_PMP(VPD)_VSA 111014_By Region" xfId="0"/>
    <cellStyle name="_PC_NB_PMP(VPD)_VSA 111014_CORP SG&amp;A" xfId="0"/>
    <cellStyle name="_PC_NB_PMP(VPD)_VSA 111014_LCD" xfId="0"/>
    <cellStyle name="_PC_NB_PMP(VPD)_VSA 111014_PJ" xfId="0"/>
    <cellStyle name="_PC_NB_PMP(VPD)_VSA Roll-Up (LW)" xfId="0"/>
    <cellStyle name="_PC_NB_PMP(VPD)_VSA Roll-Up (LW) 2" xfId="0"/>
    <cellStyle name="_PC_NB_PMP(VPD)_VSA Roll-Up (LW) 3" xfId="0"/>
    <cellStyle name="_PC_NB_PMP(VPD)_VSA Roll-Up (LW) 4" xfId="0"/>
    <cellStyle name="_PC_NB_PMP(VPD)_VSA Roll-Up (LW) 4 2" xfId="0"/>
    <cellStyle name="_PC_NB_PMP(VPD)_VSA Roll-Up (LW)_By Region" xfId="0"/>
    <cellStyle name="_PC_NB_PMP(VPD)_VSA Roll-Up (LW)_CORP SG&amp;A" xfId="0"/>
    <cellStyle name="_PC_NB_PMP(VPD)_VSA Roll-Up (LW)_LCD" xfId="0"/>
    <cellStyle name="_PC_NB_PMP(VPD)_VSA Roll-Up (LW)_PJ" xfId="0"/>
    <cellStyle name="_PC_NB_Pocket TV" xfId="0"/>
    <cellStyle name="_PC_NB_Pocket TV 2" xfId="0"/>
    <cellStyle name="_PC_NB_Pocket TV 3" xfId="0"/>
    <cellStyle name="_PC_NB_Pocket TV 4" xfId="0"/>
    <cellStyle name="_PC_NB_Pocket TV_By Region" xfId="0"/>
    <cellStyle name="_PC_NB_Pocket TV_CORP SG&amp;A" xfId="0"/>
    <cellStyle name="_PC_NB_Pocket TV_GPS OTHER" xfId="0"/>
    <cellStyle name="_PC_NB_Pocket TV_GPS OTHER 2" xfId="0"/>
    <cellStyle name="_PC_NB_Pocket TV_GPS OTHER 3" xfId="0"/>
    <cellStyle name="_PC_NB_Pocket TV_GPS OTHER 4" xfId="0"/>
    <cellStyle name="_PC_NB_Pocket TV_GPS OTHER 4 2" xfId="0"/>
    <cellStyle name="_PC_NB_Pocket TV_GPS OTHER_By Region" xfId="0"/>
    <cellStyle name="_PC_NB_Pocket TV_GPS OTHER_CORP SG&amp;A" xfId="0"/>
    <cellStyle name="_PC_NB_Pocket TV_GPS OTHER_LCD" xfId="0"/>
    <cellStyle name="_PC_NB_Pocket TV_GPS OTHER_PJ" xfId="0"/>
    <cellStyle name="_PC_NB_Pocket TV_LCD" xfId="0"/>
    <cellStyle name="_PC_NB_Pocket TV_LCD 2" xfId="0"/>
    <cellStyle name="_PC_NB_Pocket TV_LCD 3" xfId="0"/>
    <cellStyle name="_PC_NB_Pocket TV_LCD 4" xfId="0"/>
    <cellStyle name="_PC_NB_Pocket TV_LCD_By Region" xfId="0"/>
    <cellStyle name="_PC_NB_Pocket TV_LCD_CORP SG&amp;A" xfId="0"/>
    <cellStyle name="_PC_NB_Pocket TV_LCD_LCD" xfId="0"/>
    <cellStyle name="_PC_NB_Pocket TV_LCD_PJ" xfId="0"/>
    <cellStyle name="_PC_NB_Pocket TV_PC Products" xfId="0"/>
    <cellStyle name="_PC_NB_Pocket TV_PC Products 2" xfId="0"/>
    <cellStyle name="_PC_NB_Pocket TV_PC Products 3" xfId="0"/>
    <cellStyle name="_PC_NB_Pocket TV_PC Products 4" xfId="0"/>
    <cellStyle name="_PC_NB_Pocket TV_PC Products 4 2" xfId="0"/>
    <cellStyle name="_PC_NB_Pocket TV_PC Products_By Region" xfId="0"/>
    <cellStyle name="_PC_NB_Pocket TV_PC Products_CORP SG&amp;A" xfId="0"/>
    <cellStyle name="_PC_NB_Pocket TV_PC Products_LCD" xfId="0"/>
    <cellStyle name="_PC_NB_Pocket TV_PC Products_PJ" xfId="0"/>
    <cellStyle name="_PC_NB_Pocket TV_VSA 111014" xfId="0"/>
    <cellStyle name="_PC_NB_Pocket TV_VSA 111014 2" xfId="0"/>
    <cellStyle name="_PC_NB_Pocket TV_VSA 111014 3" xfId="0"/>
    <cellStyle name="_PC_NB_Pocket TV_VSA 111014 4" xfId="0"/>
    <cellStyle name="_PC_NB_Pocket TV_VSA 111014 4 2" xfId="0"/>
    <cellStyle name="_PC_NB_Pocket TV_VSA 111014_By Region" xfId="0"/>
    <cellStyle name="_PC_NB_Pocket TV_VSA 111014_CORP SG&amp;A" xfId="0"/>
    <cellStyle name="_PC_NB_Pocket TV_VSA 111014_LCD" xfId="0"/>
    <cellStyle name="_PC_NB_Pocket TV_VSA 111014_PJ" xfId="0"/>
    <cellStyle name="_PC_NB_Pocket TV_VSA Roll-Up (LW)" xfId="0"/>
    <cellStyle name="_PC_NB_Pocket TV_VSA Roll-Up (LW) 2" xfId="0"/>
    <cellStyle name="_PC_NB_Pocket TV_VSA Roll-Up (LW) 3" xfId="0"/>
    <cellStyle name="_PC_NB_Pocket TV_VSA Roll-Up (LW) 4" xfId="0"/>
    <cellStyle name="_PC_NB_Pocket TV_VSA Roll-Up (LW) 4 2" xfId="0"/>
    <cellStyle name="_PC_NB_Pocket TV_VSA Roll-Up (LW)_By Region" xfId="0"/>
    <cellStyle name="_PC_NB_Pocket TV_VSA Roll-Up (LW)_CORP SG&amp;A" xfId="0"/>
    <cellStyle name="_PC_NB_Pocket TV_VSA Roll-Up (LW)_LCD" xfId="0"/>
    <cellStyle name="_PC_NB_Pocket TV_VSA Roll-Up (LW)_PJ" xfId="0"/>
    <cellStyle name="_PC_NB_Pocket_TV" xfId="0"/>
    <cellStyle name="_PC_NB_Pocket_TV 2" xfId="0"/>
    <cellStyle name="_PC_NB_Pocket_TV 3" xfId="0"/>
    <cellStyle name="_PC_NB_Pocket_TV 4" xfId="0"/>
    <cellStyle name="_PC_NB_Pocket_TV_By Region" xfId="0"/>
    <cellStyle name="_PC_NB_Pocket_TV_CORP SG&amp;A" xfId="0"/>
    <cellStyle name="_PC_NB_Pocket_TV_GPS OTHER" xfId="0"/>
    <cellStyle name="_PC_NB_Pocket_TV_GPS OTHER 2" xfId="0"/>
    <cellStyle name="_PC_NB_Pocket_TV_GPS OTHER 3" xfId="0"/>
    <cellStyle name="_PC_NB_Pocket_TV_GPS OTHER 4" xfId="0"/>
    <cellStyle name="_PC_NB_Pocket_TV_GPS OTHER 4 2" xfId="0"/>
    <cellStyle name="_PC_NB_Pocket_TV_GPS OTHER_By Region" xfId="0"/>
    <cellStyle name="_PC_NB_Pocket_TV_GPS OTHER_CORP SG&amp;A" xfId="0"/>
    <cellStyle name="_PC_NB_Pocket_TV_GPS OTHER_LCD" xfId="0"/>
    <cellStyle name="_PC_NB_Pocket_TV_GPS OTHER_PJ" xfId="0"/>
    <cellStyle name="_PC_NB_Pocket_TV_LCD" xfId="0"/>
    <cellStyle name="_PC_NB_Pocket_TV_LCD 2" xfId="0"/>
    <cellStyle name="_PC_NB_Pocket_TV_LCD 3" xfId="0"/>
    <cellStyle name="_PC_NB_Pocket_TV_LCD 4" xfId="0"/>
    <cellStyle name="_PC_NB_Pocket_TV_LCD_By Region" xfId="0"/>
    <cellStyle name="_PC_NB_Pocket_TV_LCD_CORP SG&amp;A" xfId="0"/>
    <cellStyle name="_PC_NB_Pocket_TV_LCD_LCD" xfId="0"/>
    <cellStyle name="_PC_NB_Pocket_TV_LCD_PJ" xfId="0"/>
    <cellStyle name="_PC_NB_Pocket_TV_PC Products" xfId="0"/>
    <cellStyle name="_PC_NB_Pocket_TV_PC Products 2" xfId="0"/>
    <cellStyle name="_PC_NB_Pocket_TV_PC Products 3" xfId="0"/>
    <cellStyle name="_PC_NB_Pocket_TV_PC Products 4" xfId="0"/>
    <cellStyle name="_PC_NB_Pocket_TV_PC Products 4 2" xfId="0"/>
    <cellStyle name="_PC_NB_Pocket_TV_PC Products_By Region" xfId="0"/>
    <cellStyle name="_PC_NB_Pocket_TV_PC Products_CORP SG&amp;A" xfId="0"/>
    <cellStyle name="_PC_NB_Pocket_TV_PC Products_LCD" xfId="0"/>
    <cellStyle name="_PC_NB_Pocket_TV_PC Products_PJ" xfId="0"/>
    <cellStyle name="_PC_NB_Pocket_TV_VSA 111014" xfId="0"/>
    <cellStyle name="_PC_NB_Pocket_TV_VSA 111014 2" xfId="0"/>
    <cellStyle name="_PC_NB_Pocket_TV_VSA 111014 3" xfId="0"/>
    <cellStyle name="_PC_NB_Pocket_TV_VSA 111014 4" xfId="0"/>
    <cellStyle name="_PC_NB_Pocket_TV_VSA 111014 4 2" xfId="0"/>
    <cellStyle name="_PC_NB_Pocket_TV_VSA 111014_By Region" xfId="0"/>
    <cellStyle name="_PC_NB_Pocket_TV_VSA 111014_CORP SG&amp;A" xfId="0"/>
    <cellStyle name="_PC_NB_Pocket_TV_VSA 111014_LCD" xfId="0"/>
    <cellStyle name="_PC_NB_Pocket_TV_VSA 111014_PJ" xfId="0"/>
    <cellStyle name="_PC_NB_Pocket_TV_VSA Roll-Up (LW)" xfId="0"/>
    <cellStyle name="_PC_NB_Pocket_TV_VSA Roll-Up (LW) 2" xfId="0"/>
    <cellStyle name="_PC_NB_Pocket_TV_VSA Roll-Up (LW) 3" xfId="0"/>
    <cellStyle name="_PC_NB_Pocket_TV_VSA Roll-Up (LW) 4" xfId="0"/>
    <cellStyle name="_PC_NB_Pocket_TV_VSA Roll-Up (LW) 4 2" xfId="0"/>
    <cellStyle name="_PC_NB_Pocket_TV_VSA Roll-Up (LW)_By Region" xfId="0"/>
    <cellStyle name="_PC_NB_Pocket_TV_VSA Roll-Up (LW)_CORP SG&amp;A" xfId="0"/>
    <cellStyle name="_PC_NB_Pocket_TV_VSA Roll-Up (LW)_LCD" xfId="0"/>
    <cellStyle name="_PC_NB_Pocket_TV_VSA Roll-Up (LW)_PJ" xfId="0"/>
    <cellStyle name="_PC_NB_TV" xfId="0"/>
    <cellStyle name="_PC_NB_TV 2" xfId="0"/>
    <cellStyle name="_PC_NB_TV 3" xfId="0"/>
    <cellStyle name="_PC_NB_TV 4" xfId="0"/>
    <cellStyle name="_PC_NB_TV_By Region" xfId="0"/>
    <cellStyle name="_PC_NB_TV_CORP SG&amp;A" xfId="0"/>
    <cellStyle name="_PC_NB_TV_GPS OTHER" xfId="0"/>
    <cellStyle name="_PC_NB_TV_GPS OTHER 2" xfId="0"/>
    <cellStyle name="_PC_NB_TV_GPS OTHER 3" xfId="0"/>
    <cellStyle name="_PC_NB_TV_GPS OTHER 4" xfId="0"/>
    <cellStyle name="_PC_NB_TV_GPS OTHER 4 2" xfId="0"/>
    <cellStyle name="_PC_NB_TV_GPS OTHER_By Region" xfId="0"/>
    <cellStyle name="_PC_NB_TV_GPS OTHER_CORP SG&amp;A" xfId="0"/>
    <cellStyle name="_PC_NB_TV_GPS OTHER_LCD" xfId="0"/>
    <cellStyle name="_PC_NB_TV_GPS OTHER_PJ" xfId="0"/>
    <cellStyle name="_PC_NB_TV_PC Products" xfId="0"/>
    <cellStyle name="_PC_NB_TV_PC Products 2" xfId="0"/>
    <cellStyle name="_PC_NB_TV_PC Products 3" xfId="0"/>
    <cellStyle name="_PC_NB_TV_PC Products 4" xfId="0"/>
    <cellStyle name="_PC_NB_TV_PC Products 4 2" xfId="0"/>
    <cellStyle name="_PC_NB_TV_PC Products_By Region" xfId="0"/>
    <cellStyle name="_PC_NB_TV_PC Products_CORP SG&amp;A" xfId="0"/>
    <cellStyle name="_PC_NB_TV_PC Products_LCD" xfId="0"/>
    <cellStyle name="_PC_NB_TV_PC Products_PJ" xfId="0"/>
    <cellStyle name="_PC_NB_TV_VSA 111014" xfId="0"/>
    <cellStyle name="_PC_NB_TV_VSA 111014 2" xfId="0"/>
    <cellStyle name="_PC_NB_TV_VSA 111014 3" xfId="0"/>
    <cellStyle name="_PC_NB_TV_VSA 111014 4" xfId="0"/>
    <cellStyle name="_PC_NB_TV_VSA 111014 4 2" xfId="0"/>
    <cellStyle name="_PC_NB_TV_VSA 111014_By Region" xfId="0"/>
    <cellStyle name="_PC_NB_TV_VSA 111014_CORP SG&amp;A" xfId="0"/>
    <cellStyle name="_PC_NB_TV_VSA 111014_LCD" xfId="0"/>
    <cellStyle name="_PC_NB_TV_VSA 111014_PJ" xfId="0"/>
    <cellStyle name="_PC_NB_TV_VSA Roll-Up (LW)" xfId="0"/>
    <cellStyle name="_PC_NB_TV_VSA Roll-Up (LW) 2" xfId="0"/>
    <cellStyle name="_PC_NB_TV_VSA Roll-Up (LW) 3" xfId="0"/>
    <cellStyle name="_PC_NB_TV_VSA Roll-Up (LW) 4" xfId="0"/>
    <cellStyle name="_PC_NB_TV_VSA Roll-Up (LW) 4 2" xfId="0"/>
    <cellStyle name="_PC_NB_TV_VSA Roll-Up (LW)_By Region" xfId="0"/>
    <cellStyle name="_PC_NB_TV_VSA Roll-Up (LW)_CORP SG&amp;A" xfId="0"/>
    <cellStyle name="_PC_NB_TV_VSA Roll-Up (LW)_LCD" xfId="0"/>
    <cellStyle name="_PC_NB_TV_VSA Roll-Up (LW)_PJ" xfId="0"/>
    <cellStyle name="_PC_NB_VD" xfId="0"/>
    <cellStyle name="_PC_NB_VD 2" xfId="0"/>
    <cellStyle name="_PC_NB_VD 3" xfId="0"/>
    <cellStyle name="_PC_NB_VD 4" xfId="0"/>
    <cellStyle name="_PC_NB_VD_By Region" xfId="0"/>
    <cellStyle name="_PC_NB_VD_CORP SG&amp;A" xfId="0"/>
    <cellStyle name="_PC_NB_VD_GPS OTHER" xfId="0"/>
    <cellStyle name="_PC_NB_VD_GPS OTHER 2" xfId="0"/>
    <cellStyle name="_PC_NB_VD_GPS OTHER 3" xfId="0"/>
    <cellStyle name="_PC_NB_VD_GPS OTHER 4" xfId="0"/>
    <cellStyle name="_PC_NB_VD_GPS OTHER 4 2" xfId="0"/>
    <cellStyle name="_PC_NB_VD_GPS OTHER_By Region" xfId="0"/>
    <cellStyle name="_PC_NB_VD_GPS OTHER_CORP SG&amp;A" xfId="0"/>
    <cellStyle name="_PC_NB_VD_GPS OTHER_LCD" xfId="0"/>
    <cellStyle name="_PC_NB_VD_GPS OTHER_PJ" xfId="0"/>
    <cellStyle name="_PC_NB_VD_PC Products" xfId="0"/>
    <cellStyle name="_PC_NB_VD_PC Products 2" xfId="0"/>
    <cellStyle name="_PC_NB_VD_PC Products 3" xfId="0"/>
    <cellStyle name="_PC_NB_VD_PC Products 4" xfId="0"/>
    <cellStyle name="_PC_NB_VD_PC Products 4 2" xfId="0"/>
    <cellStyle name="_PC_NB_VD_PC Products_By Region" xfId="0"/>
    <cellStyle name="_PC_NB_VD_PC Products_CORP SG&amp;A" xfId="0"/>
    <cellStyle name="_PC_NB_VD_PC Products_LCD" xfId="0"/>
    <cellStyle name="_PC_NB_VD_PC Products_PJ" xfId="0"/>
    <cellStyle name="_PC_NB_VD_VSA 111014" xfId="0"/>
    <cellStyle name="_PC_NB_VD_VSA 111014 2" xfId="0"/>
    <cellStyle name="_PC_NB_VD_VSA 111014 3" xfId="0"/>
    <cellStyle name="_PC_NB_VD_VSA 111014 4" xfId="0"/>
    <cellStyle name="_PC_NB_VD_VSA 111014 4 2" xfId="0"/>
    <cellStyle name="_PC_NB_VD_VSA 111014_By Region" xfId="0"/>
    <cellStyle name="_PC_NB_VD_VSA 111014_CORP SG&amp;A" xfId="0"/>
    <cellStyle name="_PC_NB_VD_VSA 111014_LCD" xfId="0"/>
    <cellStyle name="_PC_NB_VD_VSA 111014_PJ" xfId="0"/>
    <cellStyle name="_PC_NB_VD_VSA Roll-Up (LW)" xfId="0"/>
    <cellStyle name="_PC_NB_VD_VSA Roll-Up (LW) 2" xfId="0"/>
    <cellStyle name="_PC_NB_VD_VSA Roll-Up (LW) 3" xfId="0"/>
    <cellStyle name="_PC_NB_VD_VSA Roll-Up (LW) 4" xfId="0"/>
    <cellStyle name="_PC_NB_VD_VSA Roll-Up (LW) 4 2" xfId="0"/>
    <cellStyle name="_PC_NB_VD_VSA Roll-Up (LW)_By Region" xfId="0"/>
    <cellStyle name="_PC_NB_VD_VSA Roll-Up (LW)_CORP SG&amp;A" xfId="0"/>
    <cellStyle name="_PC_NB_VD_VSA Roll-Up (LW)_LCD" xfId="0"/>
    <cellStyle name="_PC_NB_VD_VSA Roll-Up (LW)_PJ" xfId="0"/>
    <cellStyle name="_PC_NB_VSA 111014" xfId="0"/>
    <cellStyle name="_PC_NB_VSA 111014 2" xfId="0"/>
    <cellStyle name="_PC_NB_VSA 111014 3" xfId="0"/>
    <cellStyle name="_PC_NB_VSA 111014 4" xfId="0"/>
    <cellStyle name="_PC_NB_VSA 111014 4 2" xfId="0"/>
    <cellStyle name="_PC_NB_VSA 111014_By Region" xfId="0"/>
    <cellStyle name="_PC_NB_VSA 111014_CORP SG&amp;A" xfId="0"/>
    <cellStyle name="_PC_NB_VSA 111014_LCD" xfId="0"/>
    <cellStyle name="_PC_NB_VSA 111014_PJ" xfId="0"/>
    <cellStyle name="_PC_NB_VSA Roll-Up (LW)" xfId="0"/>
    <cellStyle name="_PC_NB_VSA Roll-Up (LW) 2" xfId="0"/>
    <cellStyle name="_PC_NB_VSA Roll-Up (LW) 3" xfId="0"/>
    <cellStyle name="_PC_NB_VSA Roll-Up (LW) 4" xfId="0"/>
    <cellStyle name="_PC_NB_VSA Roll-Up (LW) 4 2" xfId="0"/>
    <cellStyle name="_PC_NB_VSA Roll-Up (LW)_By Region" xfId="0"/>
    <cellStyle name="_PC_NB_VSA Roll-Up (LW)_CORP SG&amp;A" xfId="0"/>
    <cellStyle name="_PC_NB_VSA Roll-Up (LW)_LCD" xfId="0"/>
    <cellStyle name="_PC_NB_VSA Roll-Up (LW)_PJ" xfId="0"/>
    <cellStyle name="_PC_NB_VSE 2011 Budget" xfId="0"/>
    <cellStyle name="_PC_NB_VSE 2011 Budget 2" xfId="0"/>
    <cellStyle name="_PC_NB_VSE 2011 Budget 3" xfId="0"/>
    <cellStyle name="_PC_NB_VSE 2011 Budget 4" xfId="0"/>
    <cellStyle name="_PC_NB_VSE 2011 Budget_By Region" xfId="0"/>
    <cellStyle name="_PC_NB_VSE 2011 Budget_CORP SG&amp;A" xfId="0"/>
    <cellStyle name="_PC_NB_VSE 2011 Budget_GPS OTHER" xfId="0"/>
    <cellStyle name="_PC_NB_VSE 2011 Budget_GPS OTHER 2" xfId="0"/>
    <cellStyle name="_PC_NB_VSE 2011 Budget_GPS OTHER 3" xfId="0"/>
    <cellStyle name="_PC_NB_VSE 2011 Budget_GPS OTHER 4" xfId="0"/>
    <cellStyle name="_PC_NB_VSE 2011 Budget_GPS OTHER 4 2" xfId="0"/>
    <cellStyle name="_PC_NB_VSE 2011 Budget_GPS OTHER_By Region" xfId="0"/>
    <cellStyle name="_PC_NB_VSE 2011 Budget_GPS OTHER_CORP SG&amp;A" xfId="0"/>
    <cellStyle name="_PC_NB_VSE 2011 Budget_GPS OTHER_LCD" xfId="0"/>
    <cellStyle name="_PC_NB_VSE 2011 Budget_GPS OTHER_PJ" xfId="0"/>
    <cellStyle name="_PC_NB_VSE 2011 Budget_PC Products" xfId="0"/>
    <cellStyle name="_PC_NB_VSE 2011 Budget_PC Products 2" xfId="0"/>
    <cellStyle name="_PC_NB_VSE 2011 Budget_PC Products 3" xfId="0"/>
    <cellStyle name="_PC_NB_VSE 2011 Budget_PC Products 4" xfId="0"/>
    <cellStyle name="_PC_NB_VSE 2011 Budget_PC Products 4 2" xfId="0"/>
    <cellStyle name="_PC_NB_VSE 2011 Budget_PC Products_By Region" xfId="0"/>
    <cellStyle name="_PC_NB_VSE 2011 Budget_PC Products_CORP SG&amp;A" xfId="0"/>
    <cellStyle name="_PC_NB_VSE 2011 Budget_PC Products_LCD" xfId="0"/>
    <cellStyle name="_PC_NB_VSE 2011 Budget_PC Products_PJ" xfId="0"/>
    <cellStyle name="_PC_NB_VSE 2011 Budget_VSA 111014" xfId="0"/>
    <cellStyle name="_PC_NB_VSE 2011 Budget_VSA 111014 2" xfId="0"/>
    <cellStyle name="_PC_NB_VSE 2011 Budget_VSA 111014 3" xfId="0"/>
    <cellStyle name="_PC_NB_VSE 2011 Budget_VSA 111014 4" xfId="0"/>
    <cellStyle name="_PC_NB_VSE 2011 Budget_VSA 111014 4 2" xfId="0"/>
    <cellStyle name="_PC_NB_VSE 2011 Budget_VSA 111014_By Region" xfId="0"/>
    <cellStyle name="_PC_NB_VSE 2011 Budget_VSA 111014_CORP SG&amp;A" xfId="0"/>
    <cellStyle name="_PC_NB_VSE 2011 Budget_VSA 111014_LCD" xfId="0"/>
    <cellStyle name="_PC_NB_VSE 2011 Budget_VSA 111014_PJ" xfId="0"/>
    <cellStyle name="_PC_NB_VSE 2011 Budget_VSA Roll-Up (LW)" xfId="0"/>
    <cellStyle name="_PC_NB_VSE 2011 Budget_VSA Roll-Up (LW) 2" xfId="0"/>
    <cellStyle name="_PC_NB_VSE 2011 Budget_VSA Roll-Up (LW) 3" xfId="0"/>
    <cellStyle name="_PC_NB_VSE 2011 Budget_VSA Roll-Up (LW) 4" xfId="0"/>
    <cellStyle name="_PC_NB_VSE 2011 Budget_VSA Roll-Up (LW) 4 2" xfId="0"/>
    <cellStyle name="_PC_NB_VSE 2011 Budget_VSA Roll-Up (LW)_By Region" xfId="0"/>
    <cellStyle name="_PC_NB_VSE 2011 Budget_VSA Roll-Up (LW)_CORP SG&amp;A" xfId="0"/>
    <cellStyle name="_PC_NB_VSE 2011 Budget_VSA Roll-Up (LW)_LCD" xfId="0"/>
    <cellStyle name="_PC_NB_VSE 2011 Budget_VSA Roll-Up (LW)_PJ" xfId="0"/>
    <cellStyle name="_PC_NB_VSE 2H  WFP review (Spring Global meeting)-conservative Adam working v3" xfId="0"/>
    <cellStyle name="_PC_NB_VSE 2H  WFP review (Spring Global meeting)-conservative Adam working v3 2" xfId="0"/>
    <cellStyle name="_PC_NB_VSE 2H  WFP review (Spring Global meeting)-conservative Adam working v3 3" xfId="0"/>
    <cellStyle name="_PC_NB_VSE 2H Rebalance 110712" xfId="0"/>
    <cellStyle name="_PC_NB_VSE 2H Rebalance 110712 2" xfId="0"/>
    <cellStyle name="_PC_NB_VSE 2H Rebalance 110712 3" xfId="0"/>
    <cellStyle name="_PC_NB_VSE 2H Rebalance 110712 4" xfId="0"/>
    <cellStyle name="_PC_NB_VSE 2H Rebalance 110712_By Region" xfId="0"/>
    <cellStyle name="_PC_NB_VSE 2H Rebalance 110712_CORP SG&amp;A" xfId="0"/>
    <cellStyle name="_PC_NB_VSE WFP 101203" xfId="0"/>
    <cellStyle name="_PC_NB_VSE WFP 101203 2" xfId="0"/>
    <cellStyle name="_PC_NB_VSE WFP 101203 3" xfId="0"/>
    <cellStyle name="_PC_NB_VSE WFP 101203 4" xfId="0"/>
    <cellStyle name="_PC_NB_VSE WFP 101203_By Region" xfId="0"/>
    <cellStyle name="_PC_NB_VSE WFP 101203_CORP SG&amp;A" xfId="0"/>
    <cellStyle name="_PC_NB_VSE WFP 110311" xfId="0"/>
    <cellStyle name="_PC_NB_VSE WFP 110311 2" xfId="0"/>
    <cellStyle name="_PC_NB_VSE WFP 110311 3" xfId="0"/>
    <cellStyle name="_PC_NB_VSE WFP 110311 4" xfId="0"/>
    <cellStyle name="_PC_NB_VSE WFP 110311_By Region" xfId="0"/>
    <cellStyle name="_PC_NB_VSE WFP 110311_CORP SG&amp;A" xfId="0"/>
    <cellStyle name="_PC_NB_VSE WFP 110415" xfId="0"/>
    <cellStyle name="_PC_NB_VSE WFP 110415 2" xfId="0"/>
    <cellStyle name="_PC_NB_VSE WFP 110415 3" xfId="0"/>
    <cellStyle name="_PC_NB_VSE WFP 110415 4" xfId="0"/>
    <cellStyle name="_PC_NB_VSE WFP 110415_By Region" xfId="0"/>
    <cellStyle name="_PC_NB_VSE WFP 110415_CORP SG&amp;A" xfId="0"/>
    <cellStyle name="_PC_NB_VSE WFP_100409" xfId="0"/>
    <cellStyle name="_PC_NB_VSE WFP_100409 2" xfId="0"/>
    <cellStyle name="_PC_NB_VSE WFP_100409 3" xfId="0"/>
    <cellStyle name="_PC_NB_VSE WFP_100409 4" xfId="0"/>
    <cellStyle name="_PC_NB_VSE WFP_100409_By Region" xfId="0"/>
    <cellStyle name="_PC_NB_VSE WFP_100409_CORP SG&amp;A" xfId="0"/>
    <cellStyle name="_PC_NB_VSE WFP_100409_GPS OTHER" xfId="0"/>
    <cellStyle name="_PC_NB_VSE WFP_100409_GPS OTHER 2" xfId="0"/>
    <cellStyle name="_PC_NB_VSE WFP_100409_GPS OTHER 3" xfId="0"/>
    <cellStyle name="_PC_NB_VSE WFP_100409_GPS OTHER 4" xfId="0"/>
    <cellStyle name="_PC_NB_VSE WFP_100409_GPS OTHER 4 2" xfId="0"/>
    <cellStyle name="_PC_NB_VSE WFP_100409_GPS OTHER_By Region" xfId="0"/>
    <cellStyle name="_PC_NB_VSE WFP_100409_GPS OTHER_CORP SG&amp;A" xfId="0"/>
    <cellStyle name="_PC_NB_VSE WFP_100409_GPS OTHER_LCD" xfId="0"/>
    <cellStyle name="_PC_NB_VSE WFP_100409_GPS OTHER_PJ" xfId="0"/>
    <cellStyle name="_PC_NB_VSE WFP_100409_PC Products" xfId="0"/>
    <cellStyle name="_PC_NB_VSE WFP_100409_PC Products 2" xfId="0"/>
    <cellStyle name="_PC_NB_VSE WFP_100409_PC Products 3" xfId="0"/>
    <cellStyle name="_PC_NB_VSE WFP_100409_PC Products 4" xfId="0"/>
    <cellStyle name="_PC_NB_VSE WFP_100409_PC Products 4 2" xfId="0"/>
    <cellStyle name="_PC_NB_VSE WFP_100409_PC Products_By Region" xfId="0"/>
    <cellStyle name="_PC_NB_VSE WFP_100409_PC Products_CORP SG&amp;A" xfId="0"/>
    <cellStyle name="_PC_NB_VSE WFP_100409_PC Products_LCD" xfId="0"/>
    <cellStyle name="_PC_NB_VSE WFP_100409_PC Products_PJ" xfId="0"/>
    <cellStyle name="_PC_NB_VSE WFP_100409_VSA 111014" xfId="0"/>
    <cellStyle name="_PC_NB_VSE WFP_100409_VSA 111014 2" xfId="0"/>
    <cellStyle name="_PC_NB_VSE WFP_100409_VSA 111014 3" xfId="0"/>
    <cellStyle name="_PC_NB_VSE WFP_100409_VSA 111014 4" xfId="0"/>
    <cellStyle name="_PC_NB_VSE WFP_100409_VSA 111014 4 2" xfId="0"/>
    <cellStyle name="_PC_NB_VSE WFP_100409_VSA 111014_By Region" xfId="0"/>
    <cellStyle name="_PC_NB_VSE WFP_100409_VSA 111014_CORP SG&amp;A" xfId="0"/>
    <cellStyle name="_PC_NB_VSE WFP_100409_VSA 111014_LCD" xfId="0"/>
    <cellStyle name="_PC_NB_VSE WFP_100409_VSA 111014_PJ" xfId="0"/>
    <cellStyle name="_PC_NB_VSE WFP_100409_VSA Roll-Up (LW)" xfId="0"/>
    <cellStyle name="_PC_NB_VSE WFP_100409_VSA Roll-Up (LW) 2" xfId="0"/>
    <cellStyle name="_PC_NB_VSE WFP_100409_VSA Roll-Up (LW) 3" xfId="0"/>
    <cellStyle name="_PC_NB_VSE WFP_100409_VSA Roll-Up (LW) 4" xfId="0"/>
    <cellStyle name="_PC_NB_VSE WFP_100409_VSA Roll-Up (LW) 4 2" xfId="0"/>
    <cellStyle name="_PC_NB_VSE WFP_100409_VSA Roll-Up (LW)_By Region" xfId="0"/>
    <cellStyle name="_PC_NB_VSE WFP_100409_VSA Roll-Up (LW)_CORP SG&amp;A" xfId="0"/>
    <cellStyle name="_PC_NB_VSE WFP_100409_VSA Roll-Up (LW)_LCD" xfId="0"/>
    <cellStyle name="_PC_NB_VSE WFP_100409_VSA Roll-Up (LW)_PJ" xfId="0"/>
    <cellStyle name="_PC_NB_VSE WFP_100421 v2" xfId="0"/>
    <cellStyle name="_PC_NB_VSE WFP_100421 v2 2" xfId="0"/>
    <cellStyle name="_PC_NB_VSE WFP_100421 v2 3" xfId="0"/>
    <cellStyle name="_PC_NB_VSE WFP_100421 v2 4" xfId="0"/>
    <cellStyle name="_PC_NB_VSE WFP_100421 v2_By Region" xfId="0"/>
    <cellStyle name="_PC_NB_VSE WFP_100421 v2_CORP SG&amp;A" xfId="0"/>
    <cellStyle name="_PC_NB_VSE WFP_100421 v2_GPS OTHER" xfId="0"/>
    <cellStyle name="_PC_NB_VSE WFP_100421 v2_GPS OTHER 2" xfId="0"/>
    <cellStyle name="_PC_NB_VSE WFP_100421 v2_GPS OTHER 3" xfId="0"/>
    <cellStyle name="_PC_NB_VSE WFP_100421 v2_GPS OTHER 4" xfId="0"/>
    <cellStyle name="_PC_NB_VSE WFP_100421 v2_GPS OTHER 4 2" xfId="0"/>
    <cellStyle name="_PC_NB_VSE WFP_100421 v2_GPS OTHER_By Region" xfId="0"/>
    <cellStyle name="_PC_NB_VSE WFP_100421 v2_GPS OTHER_CORP SG&amp;A" xfId="0"/>
    <cellStyle name="_PC_NB_VSE WFP_100421 v2_GPS OTHER_LCD" xfId="0"/>
    <cellStyle name="_PC_NB_VSE WFP_100421 v2_GPS OTHER_PJ" xfId="0"/>
    <cellStyle name="_PC_NB_VSE WFP_100421 v2_PC Products" xfId="0"/>
    <cellStyle name="_PC_NB_VSE WFP_100421 v2_PC Products 2" xfId="0"/>
    <cellStyle name="_PC_NB_VSE WFP_100421 v2_PC Products 3" xfId="0"/>
    <cellStyle name="_PC_NB_VSE WFP_100421 v2_PC Products 4" xfId="0"/>
    <cellStyle name="_PC_NB_VSE WFP_100421 v2_PC Products 4 2" xfId="0"/>
    <cellStyle name="_PC_NB_VSE WFP_100421 v2_PC Products_By Region" xfId="0"/>
    <cellStyle name="_PC_NB_VSE WFP_100421 v2_PC Products_CORP SG&amp;A" xfId="0"/>
    <cellStyle name="_PC_NB_VSE WFP_100421 v2_PC Products_LCD" xfId="0"/>
    <cellStyle name="_PC_NB_VSE WFP_100421 v2_PC Products_PJ" xfId="0"/>
    <cellStyle name="_PC_NB_VSE WFP_100421 v2_VSA 111014" xfId="0"/>
    <cellStyle name="_PC_NB_VSE WFP_100421 v2_VSA 111014 2" xfId="0"/>
    <cellStyle name="_PC_NB_VSE WFP_100421 v2_VSA 111014 3" xfId="0"/>
    <cellStyle name="_PC_NB_VSE WFP_100421 v2_VSA 111014 4" xfId="0"/>
    <cellStyle name="_PC_NB_VSE WFP_100421 v2_VSA 111014 4 2" xfId="0"/>
    <cellStyle name="_PC_NB_VSE WFP_100421 v2_VSA 111014_By Region" xfId="0"/>
    <cellStyle name="_PC_NB_VSE WFP_100421 v2_VSA 111014_CORP SG&amp;A" xfId="0"/>
    <cellStyle name="_PC_NB_VSE WFP_100421 v2_VSA 111014_LCD" xfId="0"/>
    <cellStyle name="_PC_NB_VSE WFP_100421 v2_VSA 111014_PJ" xfId="0"/>
    <cellStyle name="_PC_NB_VSE WFP_100421 v2_VSA Roll-Up (LW)" xfId="0"/>
    <cellStyle name="_PC_NB_VSE WFP_100421 v2_VSA Roll-Up (LW) 2" xfId="0"/>
    <cellStyle name="_PC_NB_VSE WFP_100421 v2_VSA Roll-Up (LW) 3" xfId="0"/>
    <cellStyle name="_PC_NB_VSE WFP_100421 v2_VSA Roll-Up (LW) 4" xfId="0"/>
    <cellStyle name="_PC_NB_VSE WFP_100421 v2_VSA Roll-Up (LW) 4 2" xfId="0"/>
    <cellStyle name="_PC_NB_VSE WFP_100421 v2_VSA Roll-Up (LW)_By Region" xfId="0"/>
    <cellStyle name="_PC_NB_VSE WFP_100421 v2_VSA Roll-Up (LW)_CORP SG&amp;A" xfId="0"/>
    <cellStyle name="_PC_NB_VSE WFP_100421 v2_VSA Roll-Up (LW)_LCD" xfId="0"/>
    <cellStyle name="_PC_NB_VSE WFP_100421 v2_VSA Roll-Up (LW)_PJ" xfId="0"/>
    <cellStyle name="_PC_NB_VSE WFP_100507" xfId="0"/>
    <cellStyle name="_PC_NB_VSE WFP_100507 2" xfId="0"/>
    <cellStyle name="_PC_NB_VSE WFP_100507 3" xfId="0"/>
    <cellStyle name="_PC_NB_VSE WFP_100507 4" xfId="0"/>
    <cellStyle name="_PC_NB_VSE WFP_100507_By Region" xfId="0"/>
    <cellStyle name="_PC_NB_VSE WFP_100507_CORP SG&amp;A" xfId="0"/>
    <cellStyle name="_PC_NB_VSE WFP_100507_GPS OTHER" xfId="0"/>
    <cellStyle name="_PC_NB_VSE WFP_100507_GPS OTHER 2" xfId="0"/>
    <cellStyle name="_PC_NB_VSE WFP_100507_GPS OTHER 3" xfId="0"/>
    <cellStyle name="_PC_NB_VSE WFP_100507_GPS OTHER 4" xfId="0"/>
    <cellStyle name="_PC_NB_VSE WFP_100507_GPS OTHER 4 2" xfId="0"/>
    <cellStyle name="_PC_NB_VSE WFP_100507_GPS OTHER_By Region" xfId="0"/>
    <cellStyle name="_PC_NB_VSE WFP_100507_GPS OTHER_CORP SG&amp;A" xfId="0"/>
    <cellStyle name="_PC_NB_VSE WFP_100507_GPS OTHER_LCD" xfId="0"/>
    <cellStyle name="_PC_NB_VSE WFP_100507_GPS OTHER_PJ" xfId="0"/>
    <cellStyle name="_PC_NB_VSE WFP_100507_PC Products" xfId="0"/>
    <cellStyle name="_PC_NB_VSE WFP_100507_PC Products 2" xfId="0"/>
    <cellStyle name="_PC_NB_VSE WFP_100507_PC Products 3" xfId="0"/>
    <cellStyle name="_PC_NB_VSE WFP_100507_PC Products 4" xfId="0"/>
    <cellStyle name="_PC_NB_VSE WFP_100507_PC Products 4 2" xfId="0"/>
    <cellStyle name="_PC_NB_VSE WFP_100507_PC Products_By Region" xfId="0"/>
    <cellStyle name="_PC_NB_VSE WFP_100507_PC Products_CORP SG&amp;A" xfId="0"/>
    <cellStyle name="_PC_NB_VSE WFP_100507_PC Products_LCD" xfId="0"/>
    <cellStyle name="_PC_NB_VSE WFP_100507_PC Products_PJ" xfId="0"/>
    <cellStyle name="_PC_NB_VSE WFP_100507_VSA 111014" xfId="0"/>
    <cellStyle name="_PC_NB_VSE WFP_100507_VSA 111014 2" xfId="0"/>
    <cellStyle name="_PC_NB_VSE WFP_100507_VSA 111014 3" xfId="0"/>
    <cellStyle name="_PC_NB_VSE WFP_100507_VSA 111014 4" xfId="0"/>
    <cellStyle name="_PC_NB_VSE WFP_100507_VSA 111014 4 2" xfId="0"/>
    <cellStyle name="_PC_NB_VSE WFP_100507_VSA 111014_By Region" xfId="0"/>
    <cellStyle name="_PC_NB_VSE WFP_100507_VSA 111014_CORP SG&amp;A" xfId="0"/>
    <cellStyle name="_PC_NB_VSE WFP_100507_VSA 111014_LCD" xfId="0"/>
    <cellStyle name="_PC_NB_VSE WFP_100507_VSA 111014_PJ" xfId="0"/>
    <cellStyle name="_PC_NB_VSE WFP_100507_VSA Roll-Up (LW)" xfId="0"/>
    <cellStyle name="_PC_NB_VSE WFP_100507_VSA Roll-Up (LW) 2" xfId="0"/>
    <cellStyle name="_PC_NB_VSE WFP_100507_VSA Roll-Up (LW) 3" xfId="0"/>
    <cellStyle name="_PC_NB_VSE WFP_100507_VSA Roll-Up (LW) 4" xfId="0"/>
    <cellStyle name="_PC_NB_VSE WFP_100507_VSA Roll-Up (LW) 4 2" xfId="0"/>
    <cellStyle name="_PC_NB_VSE WFP_100507_VSA Roll-Up (LW)_By Region" xfId="0"/>
    <cellStyle name="_PC_NB_VSE WFP_100507_VSA Roll-Up (LW)_CORP SG&amp;A" xfId="0"/>
    <cellStyle name="_PC_NB_VSE WFP_100507_VSA Roll-Up (LW)_LCD" xfId="0"/>
    <cellStyle name="_PC_NB_VSE WFP_100507_VSA Roll-Up (LW)_PJ" xfId="0"/>
    <cellStyle name="_PC_NB_VSE WFP_100608" xfId="0"/>
    <cellStyle name="_PC_NB_VSE WFP_100608 2" xfId="0"/>
    <cellStyle name="_PC_NB_VSE WFP_100608 3" xfId="0"/>
    <cellStyle name="_PC_NB_VSE WFP_100608 4" xfId="0"/>
    <cellStyle name="_PC_NB_VSE WFP_100608_By Region" xfId="0"/>
    <cellStyle name="_PC_NB_VSE WFP_100608_CORP SG&amp;A" xfId="0"/>
    <cellStyle name="_PC_NB_VSE WFP_100608_GPS OTHER" xfId="0"/>
    <cellStyle name="_PC_NB_VSE WFP_100608_GPS OTHER 2" xfId="0"/>
    <cellStyle name="_PC_NB_VSE WFP_100608_GPS OTHER 3" xfId="0"/>
    <cellStyle name="_PC_NB_VSE WFP_100608_GPS OTHER 4" xfId="0"/>
    <cellStyle name="_PC_NB_VSE WFP_100608_GPS OTHER 4 2" xfId="0"/>
    <cellStyle name="_PC_NB_VSE WFP_100608_GPS OTHER_By Region" xfId="0"/>
    <cellStyle name="_PC_NB_VSE WFP_100608_GPS OTHER_CORP SG&amp;A" xfId="0"/>
    <cellStyle name="_PC_NB_VSE WFP_100608_GPS OTHER_LCD" xfId="0"/>
    <cellStyle name="_PC_NB_VSE WFP_100608_GPS OTHER_PJ" xfId="0"/>
    <cellStyle name="_PC_NB_VSE WFP_100608_PC Products" xfId="0"/>
    <cellStyle name="_PC_NB_VSE WFP_100608_PC Products 2" xfId="0"/>
    <cellStyle name="_PC_NB_VSE WFP_100608_PC Products 3" xfId="0"/>
    <cellStyle name="_PC_NB_VSE WFP_100608_PC Products 4" xfId="0"/>
    <cellStyle name="_PC_NB_VSE WFP_100608_PC Products 4 2" xfId="0"/>
    <cellStyle name="_PC_NB_VSE WFP_100608_PC Products_By Region" xfId="0"/>
    <cellStyle name="_PC_NB_VSE WFP_100608_PC Products_CORP SG&amp;A" xfId="0"/>
    <cellStyle name="_PC_NB_VSE WFP_100608_PC Products_LCD" xfId="0"/>
    <cellStyle name="_PC_NB_VSE WFP_100608_PC Products_PJ" xfId="0"/>
    <cellStyle name="_PC_NB_VSE WFP_100608_VSA 111014" xfId="0"/>
    <cellStyle name="_PC_NB_VSE WFP_100608_VSA 111014 2" xfId="0"/>
    <cellStyle name="_PC_NB_VSE WFP_100608_VSA 111014 3" xfId="0"/>
    <cellStyle name="_PC_NB_VSE WFP_100608_VSA 111014 4" xfId="0"/>
    <cellStyle name="_PC_NB_VSE WFP_100608_VSA 111014 4 2" xfId="0"/>
    <cellStyle name="_PC_NB_VSE WFP_100608_VSA 111014_By Region" xfId="0"/>
    <cellStyle name="_PC_NB_VSE WFP_100608_VSA 111014_CORP SG&amp;A" xfId="0"/>
    <cellStyle name="_PC_NB_VSE WFP_100608_VSA 111014_LCD" xfId="0"/>
    <cellStyle name="_PC_NB_VSE WFP_100608_VSA 111014_PJ" xfId="0"/>
    <cellStyle name="_PC_NB_VSE WFP_100608_VSA Roll-Up (LW)" xfId="0"/>
    <cellStyle name="_PC_NB_VSE WFP_100608_VSA Roll-Up (LW) 2" xfId="0"/>
    <cellStyle name="_PC_NB_VSE WFP_100608_VSA Roll-Up (LW) 3" xfId="0"/>
    <cellStyle name="_PC_NB_VSE WFP_100608_VSA Roll-Up (LW) 4" xfId="0"/>
    <cellStyle name="_PC_NB_VSE WFP_100608_VSA Roll-Up (LW) 4 2" xfId="0"/>
    <cellStyle name="_PC_NB_VSE WFP_100608_VSA Roll-Up (LW)_By Region" xfId="0"/>
    <cellStyle name="_PC_NB_VSE WFP_100608_VSA Roll-Up (LW)_CORP SG&amp;A" xfId="0"/>
    <cellStyle name="_PC_NB_VSE WFP_100608_VSA Roll-Up (LW)_LCD" xfId="0"/>
    <cellStyle name="_PC_NB_VSE WFP_100608_VSA Roll-Up (LW)_PJ" xfId="0"/>
    <cellStyle name="_PC_NB_VSE WFP_100625" xfId="0"/>
    <cellStyle name="_PC_NB_VSE WFP_100625 2" xfId="0"/>
    <cellStyle name="_PC_NB_VSE WFP_100625 3" xfId="0"/>
    <cellStyle name="_PC_NB_VSE WFP_100625 4" xfId="0"/>
    <cellStyle name="_PC_NB_VSE WFP_100625_By Region" xfId="0"/>
    <cellStyle name="_PC_NB_VSE WFP_100625_CORP SG&amp;A" xfId="0"/>
    <cellStyle name="_PC_NB_VSE WFP_100625_GPS OTHER" xfId="0"/>
    <cellStyle name="_PC_NB_VSE WFP_100625_GPS OTHER 2" xfId="0"/>
    <cellStyle name="_PC_NB_VSE WFP_100625_GPS OTHER 3" xfId="0"/>
    <cellStyle name="_PC_NB_VSE WFP_100625_GPS OTHER 4" xfId="0"/>
    <cellStyle name="_PC_NB_VSE WFP_100625_GPS OTHER 4 2" xfId="0"/>
    <cellStyle name="_PC_NB_VSE WFP_100625_GPS OTHER_By Region" xfId="0"/>
    <cellStyle name="_PC_NB_VSE WFP_100625_GPS OTHER_CORP SG&amp;A" xfId="0"/>
    <cellStyle name="_PC_NB_VSE WFP_100625_GPS OTHER_LCD" xfId="0"/>
    <cellStyle name="_PC_NB_VSE WFP_100625_GPS OTHER_PJ" xfId="0"/>
    <cellStyle name="_PC_NB_VSE WFP_100625_PC Products" xfId="0"/>
    <cellStyle name="_PC_NB_VSE WFP_100625_PC Products 2" xfId="0"/>
    <cellStyle name="_PC_NB_VSE WFP_100625_PC Products 3" xfId="0"/>
    <cellStyle name="_PC_NB_VSE WFP_100625_PC Products 4" xfId="0"/>
    <cellStyle name="_PC_NB_VSE WFP_100625_PC Products 4 2" xfId="0"/>
    <cellStyle name="_PC_NB_VSE WFP_100625_PC Products_By Region" xfId="0"/>
    <cellStyle name="_PC_NB_VSE WFP_100625_PC Products_CORP SG&amp;A" xfId="0"/>
    <cellStyle name="_PC_NB_VSE WFP_100625_PC Products_LCD" xfId="0"/>
    <cellStyle name="_PC_NB_VSE WFP_100625_PC Products_PJ" xfId="0"/>
    <cellStyle name="_PC_NB_VSE WFP_100625_VSA 111014" xfId="0"/>
    <cellStyle name="_PC_NB_VSE WFP_100625_VSA 111014 2" xfId="0"/>
    <cellStyle name="_PC_NB_VSE WFP_100625_VSA 111014 3" xfId="0"/>
    <cellStyle name="_PC_NB_VSE WFP_100625_VSA 111014 4" xfId="0"/>
    <cellStyle name="_PC_NB_VSE WFP_100625_VSA 111014 4 2" xfId="0"/>
    <cellStyle name="_PC_NB_VSE WFP_100625_VSA 111014_By Region" xfId="0"/>
    <cellStyle name="_PC_NB_VSE WFP_100625_VSA 111014_CORP SG&amp;A" xfId="0"/>
    <cellStyle name="_PC_NB_VSE WFP_100625_VSA 111014_LCD" xfId="0"/>
    <cellStyle name="_PC_NB_VSE WFP_100625_VSA 111014_PJ" xfId="0"/>
    <cellStyle name="_PC_NB_VSE WFP_100625_VSA Roll-Up (LW)" xfId="0"/>
    <cellStyle name="_PC_NB_VSE WFP_100625_VSA Roll-Up (LW) 2" xfId="0"/>
    <cellStyle name="_PC_NB_VSE WFP_100625_VSA Roll-Up (LW) 3" xfId="0"/>
    <cellStyle name="_PC_NB_VSE WFP_100625_VSA Roll-Up (LW) 4" xfId="0"/>
    <cellStyle name="_PC_NB_VSE WFP_100625_VSA Roll-Up (LW) 4 2" xfId="0"/>
    <cellStyle name="_PC_NB_VSE WFP_100625_VSA Roll-Up (LW)_By Region" xfId="0"/>
    <cellStyle name="_PC_NB_VSE WFP_100625_VSA Roll-Up (LW)_CORP SG&amp;A" xfId="0"/>
    <cellStyle name="_PC_NB_VSE WFP_100625_VSA Roll-Up (LW)_LCD" xfId="0"/>
    <cellStyle name="_PC_NB_VSE WFP_100625_VSA Roll-Up (LW)_PJ" xfId="0"/>
    <cellStyle name="_PC_NB_VSE WFP_100708_3rd" xfId="0"/>
    <cellStyle name="_PC_NB_VSE WFP_100708_3rd 2" xfId="0"/>
    <cellStyle name="_PC_NB_VSE WFP_100708_3rd 3" xfId="0"/>
    <cellStyle name="_PC_NB_VSE WFP_100708_3rd 4" xfId="0"/>
    <cellStyle name="_PC_NB_VSE WFP_100708_3rd_By Region" xfId="0"/>
    <cellStyle name="_PC_NB_VSE WFP_100708_3rd_CORP SG&amp;A" xfId="0"/>
    <cellStyle name="_PC_NB_VSE WFP_100708_3rd_GPS OTHER" xfId="0"/>
    <cellStyle name="_PC_NB_VSE WFP_100708_3rd_GPS OTHER 2" xfId="0"/>
    <cellStyle name="_PC_NB_VSE WFP_100708_3rd_GPS OTHER 3" xfId="0"/>
    <cellStyle name="_PC_NB_VSE WFP_100708_3rd_GPS OTHER 4" xfId="0"/>
    <cellStyle name="_PC_NB_VSE WFP_100708_3rd_GPS OTHER 4 2" xfId="0"/>
    <cellStyle name="_PC_NB_VSE WFP_100708_3rd_GPS OTHER_By Region" xfId="0"/>
    <cellStyle name="_PC_NB_VSE WFP_100708_3rd_GPS OTHER_CORP SG&amp;A" xfId="0"/>
    <cellStyle name="_PC_NB_VSE WFP_100708_3rd_GPS OTHER_LCD" xfId="0"/>
    <cellStyle name="_PC_NB_VSE WFP_100708_3rd_GPS OTHER_PJ" xfId="0"/>
    <cellStyle name="_PC_NB_VSE WFP_100708_3rd_PC Products" xfId="0"/>
    <cellStyle name="_PC_NB_VSE WFP_100708_3rd_PC Products 2" xfId="0"/>
    <cellStyle name="_PC_NB_VSE WFP_100708_3rd_PC Products 3" xfId="0"/>
    <cellStyle name="_PC_NB_VSE WFP_100708_3rd_PC Products 4" xfId="0"/>
    <cellStyle name="_PC_NB_VSE WFP_100708_3rd_PC Products 4 2" xfId="0"/>
    <cellStyle name="_PC_NB_VSE WFP_100708_3rd_PC Products_By Region" xfId="0"/>
    <cellStyle name="_PC_NB_VSE WFP_100708_3rd_PC Products_CORP SG&amp;A" xfId="0"/>
    <cellStyle name="_PC_NB_VSE WFP_100708_3rd_PC Products_LCD" xfId="0"/>
    <cellStyle name="_PC_NB_VSE WFP_100708_3rd_PC Products_PJ" xfId="0"/>
    <cellStyle name="_PC_NB_VSE WFP_100708_3rd_VSA 111014" xfId="0"/>
    <cellStyle name="_PC_NB_VSE WFP_100708_3rd_VSA 111014 2" xfId="0"/>
    <cellStyle name="_PC_NB_VSE WFP_100708_3rd_VSA 111014 3" xfId="0"/>
    <cellStyle name="_PC_NB_VSE WFP_100708_3rd_VSA 111014 4" xfId="0"/>
    <cellStyle name="_PC_NB_VSE WFP_100708_3rd_VSA 111014 4 2" xfId="0"/>
    <cellStyle name="_PC_NB_VSE WFP_100708_3rd_VSA 111014_By Region" xfId="0"/>
    <cellStyle name="_PC_NB_VSE WFP_100708_3rd_VSA 111014_CORP SG&amp;A" xfId="0"/>
    <cellStyle name="_PC_NB_VSE WFP_100708_3rd_VSA 111014_LCD" xfId="0"/>
    <cellStyle name="_PC_NB_VSE WFP_100708_3rd_VSA 111014_PJ" xfId="0"/>
    <cellStyle name="_PC_NB_VSE WFP_100708_3rd_VSA Roll-Up (LW)" xfId="0"/>
    <cellStyle name="_PC_NB_VSE WFP_100708_3rd_VSA Roll-Up (LW) 2" xfId="0"/>
    <cellStyle name="_PC_NB_VSE WFP_100708_3rd_VSA Roll-Up (LW) 3" xfId="0"/>
    <cellStyle name="_PC_NB_VSE WFP_100708_3rd_VSA Roll-Up (LW) 4" xfId="0"/>
    <cellStyle name="_PC_NB_VSE WFP_100708_3rd_VSA Roll-Up (LW) 4 2" xfId="0"/>
    <cellStyle name="_PC_NB_VSE WFP_100708_3rd_VSA Roll-Up (LW)_By Region" xfId="0"/>
    <cellStyle name="_PC_NB_VSE WFP_100708_3rd_VSA Roll-Up (LW)_CORP SG&amp;A" xfId="0"/>
    <cellStyle name="_PC_NB_VSE WFP_100708_3rd_VSA Roll-Up (LW)_LCD" xfId="0"/>
    <cellStyle name="_PC_NB_VSE WFP_100708_3rd_VSA Roll-Up (LW)_PJ" xfId="0"/>
    <cellStyle name="_PC_NB_VSE WFP_100726" xfId="0"/>
    <cellStyle name="_PC_NB_VSE WFP_100726 2" xfId="0"/>
    <cellStyle name="_PC_NB_VSE WFP_100726 3" xfId="0"/>
    <cellStyle name="_PC_NB_VSE WFP_100726 4" xfId="0"/>
    <cellStyle name="_PC_NB_VSE WFP_100726-1" xfId="0"/>
    <cellStyle name="_PC_NB_VSE WFP_100726-1 2" xfId="0"/>
    <cellStyle name="_PC_NB_VSE WFP_100726-1 3" xfId="0"/>
    <cellStyle name="_PC_NB_VSE WFP_100726-1 4" xfId="0"/>
    <cellStyle name="_PC_NB_VSE WFP_100726-1_By Region" xfId="0"/>
    <cellStyle name="_PC_NB_VSE WFP_100726-1_CORP SG&amp;A" xfId="0"/>
    <cellStyle name="_PC_NB_VSE WFP_100726-1_GPS OTHER" xfId="0"/>
    <cellStyle name="_PC_NB_VSE WFP_100726-1_GPS OTHER 2" xfId="0"/>
    <cellStyle name="_PC_NB_VSE WFP_100726-1_GPS OTHER 3" xfId="0"/>
    <cellStyle name="_PC_NB_VSE WFP_100726-1_GPS OTHER 4" xfId="0"/>
    <cellStyle name="_PC_NB_VSE WFP_100726-1_GPS OTHER 4 2" xfId="0"/>
    <cellStyle name="_PC_NB_VSE WFP_100726-1_GPS OTHER_By Region" xfId="0"/>
    <cellStyle name="_PC_NB_VSE WFP_100726-1_GPS OTHER_CORP SG&amp;A" xfId="0"/>
    <cellStyle name="_PC_NB_VSE WFP_100726-1_GPS OTHER_LCD" xfId="0"/>
    <cellStyle name="_PC_NB_VSE WFP_100726-1_GPS OTHER_PJ" xfId="0"/>
    <cellStyle name="_PC_NB_VSE WFP_100726-1_PC Products" xfId="0"/>
    <cellStyle name="_PC_NB_VSE WFP_100726-1_PC Products 2" xfId="0"/>
    <cellStyle name="_PC_NB_VSE WFP_100726-1_PC Products 3" xfId="0"/>
    <cellStyle name="_PC_NB_VSE WFP_100726-1_PC Products 4" xfId="0"/>
    <cellStyle name="_PC_NB_VSE WFP_100726-1_PC Products 4 2" xfId="0"/>
    <cellStyle name="_PC_NB_VSE WFP_100726-1_PC Products_By Region" xfId="0"/>
    <cellStyle name="_PC_NB_VSE WFP_100726-1_PC Products_CORP SG&amp;A" xfId="0"/>
    <cellStyle name="_PC_NB_VSE WFP_100726-1_PC Products_LCD" xfId="0"/>
    <cellStyle name="_PC_NB_VSE WFP_100726-1_PC Products_PJ" xfId="0"/>
    <cellStyle name="_PC_NB_VSE WFP_100726-1_VSA 111014" xfId="0"/>
    <cellStyle name="_PC_NB_VSE WFP_100726-1_VSA 111014 2" xfId="0"/>
    <cellStyle name="_PC_NB_VSE WFP_100726-1_VSA 111014 3" xfId="0"/>
    <cellStyle name="_PC_NB_VSE WFP_100726-1_VSA 111014 4" xfId="0"/>
    <cellStyle name="_PC_NB_VSE WFP_100726-1_VSA 111014 4 2" xfId="0"/>
    <cellStyle name="_PC_NB_VSE WFP_100726-1_VSA 111014_By Region" xfId="0"/>
    <cellStyle name="_PC_NB_VSE WFP_100726-1_VSA 111014_CORP SG&amp;A" xfId="0"/>
    <cellStyle name="_PC_NB_VSE WFP_100726-1_VSA 111014_LCD" xfId="0"/>
    <cellStyle name="_PC_NB_VSE WFP_100726-1_VSA 111014_PJ" xfId="0"/>
    <cellStyle name="_PC_NB_VSE WFP_100726-1_VSA Roll-Up (LW)" xfId="0"/>
    <cellStyle name="_PC_NB_VSE WFP_100726-1_VSA Roll-Up (LW) 2" xfId="0"/>
    <cellStyle name="_PC_NB_VSE WFP_100726-1_VSA Roll-Up (LW) 3" xfId="0"/>
    <cellStyle name="_PC_NB_VSE WFP_100726-1_VSA Roll-Up (LW) 4" xfId="0"/>
    <cellStyle name="_PC_NB_VSE WFP_100726-1_VSA Roll-Up (LW) 4 2" xfId="0"/>
    <cellStyle name="_PC_NB_VSE WFP_100726-1_VSA Roll-Up (LW)_By Region" xfId="0"/>
    <cellStyle name="_PC_NB_VSE WFP_100726-1_VSA Roll-Up (LW)_CORP SG&amp;A" xfId="0"/>
    <cellStyle name="_PC_NB_VSE WFP_100726-1_VSA Roll-Up (LW)_LCD" xfId="0"/>
    <cellStyle name="_PC_NB_VSE WFP_100726-1_VSA Roll-Up (LW)_PJ" xfId="0"/>
    <cellStyle name="_PC_NB_VSE WFP_100726-2-yc" xfId="0"/>
    <cellStyle name="_PC_NB_VSE WFP_100726-2-yc 2" xfId="0"/>
    <cellStyle name="_PC_NB_VSE WFP_100726-2-yc 3" xfId="0"/>
    <cellStyle name="_PC_NB_VSE WFP_100726-2-yc 4" xfId="0"/>
    <cellStyle name="_PC_NB_VSE WFP_100726-2-yc_By Region" xfId="0"/>
    <cellStyle name="_PC_NB_VSE WFP_100726-2-yc_CORP SG&amp;A" xfId="0"/>
    <cellStyle name="_PC_NB_VSE WFP_100726-2-yc_GPS OTHER" xfId="0"/>
    <cellStyle name="_PC_NB_VSE WFP_100726-2-yc_GPS OTHER 2" xfId="0"/>
    <cellStyle name="_PC_NB_VSE WFP_100726-2-yc_GPS OTHER 3" xfId="0"/>
    <cellStyle name="_PC_NB_VSE WFP_100726-2-yc_GPS OTHER 4" xfId="0"/>
    <cellStyle name="_PC_NB_VSE WFP_100726-2-yc_GPS OTHER 4 2" xfId="0"/>
    <cellStyle name="_PC_NB_VSE WFP_100726-2-yc_GPS OTHER_By Region" xfId="0"/>
    <cellStyle name="_PC_NB_VSE WFP_100726-2-yc_GPS OTHER_CORP SG&amp;A" xfId="0"/>
    <cellStyle name="_PC_NB_VSE WFP_100726-2-yc_GPS OTHER_LCD" xfId="0"/>
    <cellStyle name="_PC_NB_VSE WFP_100726-2-yc_GPS OTHER_PJ" xfId="0"/>
    <cellStyle name="_PC_NB_VSE WFP_100726-2-yc_PC Products" xfId="0"/>
    <cellStyle name="_PC_NB_VSE WFP_100726-2-yc_PC Products 2" xfId="0"/>
    <cellStyle name="_PC_NB_VSE WFP_100726-2-yc_PC Products 3" xfId="0"/>
    <cellStyle name="_PC_NB_VSE WFP_100726-2-yc_PC Products 4" xfId="0"/>
    <cellStyle name="_PC_NB_VSE WFP_100726-2-yc_PC Products 4 2" xfId="0"/>
    <cellStyle name="_PC_NB_VSE WFP_100726-2-yc_PC Products_By Region" xfId="0"/>
    <cellStyle name="_PC_NB_VSE WFP_100726-2-yc_PC Products_CORP SG&amp;A" xfId="0"/>
    <cellStyle name="_PC_NB_VSE WFP_100726-2-yc_PC Products_LCD" xfId="0"/>
    <cellStyle name="_PC_NB_VSE WFP_100726-2-yc_PC Products_PJ" xfId="0"/>
    <cellStyle name="_PC_NB_VSE WFP_100726-2-yc_VSA 111014" xfId="0"/>
    <cellStyle name="_PC_NB_VSE WFP_100726-2-yc_VSA 111014 2" xfId="0"/>
    <cellStyle name="_PC_NB_VSE WFP_100726-2-yc_VSA 111014 3" xfId="0"/>
    <cellStyle name="_PC_NB_VSE WFP_100726-2-yc_VSA 111014 4" xfId="0"/>
    <cellStyle name="_PC_NB_VSE WFP_100726-2-yc_VSA 111014 4 2" xfId="0"/>
    <cellStyle name="_PC_NB_VSE WFP_100726-2-yc_VSA 111014_By Region" xfId="0"/>
    <cellStyle name="_PC_NB_VSE WFP_100726-2-yc_VSA 111014_CORP SG&amp;A" xfId="0"/>
    <cellStyle name="_PC_NB_VSE WFP_100726-2-yc_VSA 111014_LCD" xfId="0"/>
    <cellStyle name="_PC_NB_VSE WFP_100726-2-yc_VSA 111014_PJ" xfId="0"/>
    <cellStyle name="_PC_NB_VSE WFP_100726-2-yc_VSA Roll-Up (LW)" xfId="0"/>
    <cellStyle name="_PC_NB_VSE WFP_100726-2-yc_VSA Roll-Up (LW) 2" xfId="0"/>
    <cellStyle name="_PC_NB_VSE WFP_100726-2-yc_VSA Roll-Up (LW) 3" xfId="0"/>
    <cellStyle name="_PC_NB_VSE WFP_100726-2-yc_VSA Roll-Up (LW) 4" xfId="0"/>
    <cellStyle name="_PC_NB_VSE WFP_100726-2-yc_VSA Roll-Up (LW) 4 2" xfId="0"/>
    <cellStyle name="_PC_NB_VSE WFP_100726-2-yc_VSA Roll-Up (LW)_By Region" xfId="0"/>
    <cellStyle name="_PC_NB_VSE WFP_100726-2-yc_VSA Roll-Up (LW)_CORP SG&amp;A" xfId="0"/>
    <cellStyle name="_PC_NB_VSE WFP_100726-2-yc_VSA Roll-Up (LW)_LCD" xfId="0"/>
    <cellStyle name="_PC_NB_VSE WFP_100726-2-yc_VSA Roll-Up (LW)_PJ" xfId="0"/>
    <cellStyle name="_PC_NB_VSE WFP_100726_By Region" xfId="0"/>
    <cellStyle name="_PC_NB_VSE WFP_100726_CORP SG&amp;A" xfId="0"/>
    <cellStyle name="_PC_NB_VSE WFP_100726_GPS OTHER" xfId="0"/>
    <cellStyle name="_PC_NB_VSE WFP_100726_GPS OTHER 2" xfId="0"/>
    <cellStyle name="_PC_NB_VSE WFP_100726_GPS OTHER 3" xfId="0"/>
    <cellStyle name="_PC_NB_VSE WFP_100726_GPS OTHER 4" xfId="0"/>
    <cellStyle name="_PC_NB_VSE WFP_100726_GPS OTHER 4 2" xfId="0"/>
    <cellStyle name="_PC_NB_VSE WFP_100726_GPS OTHER_By Region" xfId="0"/>
    <cellStyle name="_PC_NB_VSE WFP_100726_GPS OTHER_CORP SG&amp;A" xfId="0"/>
    <cellStyle name="_PC_NB_VSE WFP_100726_GPS OTHER_LCD" xfId="0"/>
    <cellStyle name="_PC_NB_VSE WFP_100726_GPS OTHER_PJ" xfId="0"/>
    <cellStyle name="_PC_NB_VSE WFP_100726_PC Products" xfId="0"/>
    <cellStyle name="_PC_NB_VSE WFP_100726_PC Products 2" xfId="0"/>
    <cellStyle name="_PC_NB_VSE WFP_100726_PC Products 3" xfId="0"/>
    <cellStyle name="_PC_NB_VSE WFP_100726_PC Products 4" xfId="0"/>
    <cellStyle name="_PC_NB_VSE WFP_100726_PC Products 4 2" xfId="0"/>
    <cellStyle name="_PC_NB_VSE WFP_100726_PC Products_By Region" xfId="0"/>
    <cellStyle name="_PC_NB_VSE WFP_100726_PC Products_CORP SG&amp;A" xfId="0"/>
    <cellStyle name="_PC_NB_VSE WFP_100726_PC Products_LCD" xfId="0"/>
    <cellStyle name="_PC_NB_VSE WFP_100726_PC Products_PJ" xfId="0"/>
    <cellStyle name="_PC_NB_VSE WFP_100726_VSA 111014" xfId="0"/>
    <cellStyle name="_PC_NB_VSE WFP_100726_VSA 111014 2" xfId="0"/>
    <cellStyle name="_PC_NB_VSE WFP_100726_VSA 111014 3" xfId="0"/>
    <cellStyle name="_PC_NB_VSE WFP_100726_VSA 111014 4" xfId="0"/>
    <cellStyle name="_PC_NB_VSE WFP_100726_VSA 111014 4 2" xfId="0"/>
    <cellStyle name="_PC_NB_VSE WFP_100726_VSA 111014_By Region" xfId="0"/>
    <cellStyle name="_PC_NB_VSE WFP_100726_VSA 111014_CORP SG&amp;A" xfId="0"/>
    <cellStyle name="_PC_NB_VSE WFP_100726_VSA 111014_LCD" xfId="0"/>
    <cellStyle name="_PC_NB_VSE WFP_100726_VSA 111014_PJ" xfId="0"/>
    <cellStyle name="_PC_NB_VSE WFP_100726_VSA Roll-Up (LW)" xfId="0"/>
    <cellStyle name="_PC_NB_VSE WFP_100726_VSA Roll-Up (LW) 2" xfId="0"/>
    <cellStyle name="_PC_NB_VSE WFP_100726_VSA Roll-Up (LW) 3" xfId="0"/>
    <cellStyle name="_PC_NB_VSE WFP_100726_VSA Roll-Up (LW) 4" xfId="0"/>
    <cellStyle name="_PC_NB_VSE WFP_100726_VSA Roll-Up (LW) 4 2" xfId="0"/>
    <cellStyle name="_PC_NB_VSE WFP_100726_VSA Roll-Up (LW)_By Region" xfId="0"/>
    <cellStyle name="_PC_NB_VSE WFP_100726_VSA Roll-Up (LW)_CORP SG&amp;A" xfId="0"/>
    <cellStyle name="_PC_NB_VSE WFP_100726_VSA Roll-Up (LW)_LCD" xfId="0"/>
    <cellStyle name="_PC_NB_VSE WFP_100726_VSA Roll-Up (LW)_PJ" xfId="0"/>
    <cellStyle name="_PC_NB_VSE WFP_100827-1" xfId="0"/>
    <cellStyle name="_PC_NB_VSE WFP_100827-1 2" xfId="0"/>
    <cellStyle name="_PC_NB_VSE WFP_100827-1 3" xfId="0"/>
    <cellStyle name="_PC_NB_VSE WFP_100827-1 4" xfId="0"/>
    <cellStyle name="_PC_NB_VSE WFP_100827-1_By Region" xfId="0"/>
    <cellStyle name="_PC_NB_VSE WFP_100827-1_CORP SG&amp;A" xfId="0"/>
    <cellStyle name="_PC_NB_VSE WFP_100827-1_GPS OTHER" xfId="0"/>
    <cellStyle name="_PC_NB_VSE WFP_100827-1_GPS OTHER 2" xfId="0"/>
    <cellStyle name="_PC_NB_VSE WFP_100827-1_GPS OTHER 3" xfId="0"/>
    <cellStyle name="_PC_NB_VSE WFP_100827-1_GPS OTHER 4" xfId="0"/>
    <cellStyle name="_PC_NB_VSE WFP_100827-1_GPS OTHER 4 2" xfId="0"/>
    <cellStyle name="_PC_NB_VSE WFP_100827-1_GPS OTHER_By Region" xfId="0"/>
    <cellStyle name="_PC_NB_VSE WFP_100827-1_GPS OTHER_CORP SG&amp;A" xfId="0"/>
    <cellStyle name="_PC_NB_VSE WFP_100827-1_GPS OTHER_LCD" xfId="0"/>
    <cellStyle name="_PC_NB_VSE WFP_100827-1_GPS OTHER_PJ" xfId="0"/>
    <cellStyle name="_PC_NB_VSE WFP_100827-1_PC Products" xfId="0"/>
    <cellStyle name="_PC_NB_VSE WFP_100827-1_PC Products 2" xfId="0"/>
    <cellStyle name="_PC_NB_VSE WFP_100827-1_PC Products 3" xfId="0"/>
    <cellStyle name="_PC_NB_VSE WFP_100827-1_PC Products 4" xfId="0"/>
    <cellStyle name="_PC_NB_VSE WFP_100827-1_PC Products 4 2" xfId="0"/>
    <cellStyle name="_PC_NB_VSE WFP_100827-1_PC Products_By Region" xfId="0"/>
    <cellStyle name="_PC_NB_VSE WFP_100827-1_PC Products_CORP SG&amp;A" xfId="0"/>
    <cellStyle name="_PC_NB_VSE WFP_100827-1_PC Products_LCD" xfId="0"/>
    <cellStyle name="_PC_NB_VSE WFP_100827-1_PC Products_PJ" xfId="0"/>
    <cellStyle name="_PC_NB_VSE WFP_100827-1_VSA 111014" xfId="0"/>
    <cellStyle name="_PC_NB_VSE WFP_100827-1_VSA 111014 2" xfId="0"/>
    <cellStyle name="_PC_NB_VSE WFP_100827-1_VSA 111014 3" xfId="0"/>
    <cellStyle name="_PC_NB_VSE WFP_100827-1_VSA 111014 4" xfId="0"/>
    <cellStyle name="_PC_NB_VSE WFP_100827-1_VSA 111014 4 2" xfId="0"/>
    <cellStyle name="_PC_NB_VSE WFP_100827-1_VSA 111014_By Region" xfId="0"/>
    <cellStyle name="_PC_NB_VSE WFP_100827-1_VSA 111014_CORP SG&amp;A" xfId="0"/>
    <cellStyle name="_PC_NB_VSE WFP_100827-1_VSA 111014_LCD" xfId="0"/>
    <cellStyle name="_PC_NB_VSE WFP_100827-1_VSA 111014_PJ" xfId="0"/>
    <cellStyle name="_PC_NB_VSE WFP_100827-1_VSA Roll-Up (LW)" xfId="0"/>
    <cellStyle name="_PC_NB_VSE WFP_100827-1_VSA Roll-Up (LW) 2" xfId="0"/>
    <cellStyle name="_PC_NB_VSE WFP_100827-1_VSA Roll-Up (LW) 3" xfId="0"/>
    <cellStyle name="_PC_NB_VSE WFP_100827-1_VSA Roll-Up (LW) 4" xfId="0"/>
    <cellStyle name="_PC_NB_VSE WFP_100827-1_VSA Roll-Up (LW) 4 2" xfId="0"/>
    <cellStyle name="_PC_NB_VSE WFP_100827-1_VSA Roll-Up (LW)_By Region" xfId="0"/>
    <cellStyle name="_PC_NB_VSE WFP_100827-1_VSA Roll-Up (LW)_CORP SG&amp;A" xfId="0"/>
    <cellStyle name="_PC_NB_VSE WFP_100827-1_VSA Roll-Up (LW)_LCD" xfId="0"/>
    <cellStyle name="_PC_NB_VSE WFP_100827-1_VSA Roll-Up (LW)_PJ" xfId="0"/>
    <cellStyle name="_PC_NB_VSE WFP_101001" xfId="0"/>
    <cellStyle name="_PC_NB_VSE WFP_101001 2" xfId="0"/>
    <cellStyle name="_PC_NB_VSE WFP_101001 3" xfId="0"/>
    <cellStyle name="_PC_NB_VSE WFP_101001 4" xfId="0"/>
    <cellStyle name="_PC_NB_VSE WFP_101001_By Region" xfId="0"/>
    <cellStyle name="_PC_NB_VSE WFP_101001_CORP SG&amp;A" xfId="0"/>
    <cellStyle name="_PC_NB_VSE WFP_101001_GPS OTHER" xfId="0"/>
    <cellStyle name="_PC_NB_VSE WFP_101001_GPS OTHER 2" xfId="0"/>
    <cellStyle name="_PC_NB_VSE WFP_101001_GPS OTHER 3" xfId="0"/>
    <cellStyle name="_PC_NB_VSE WFP_101001_GPS OTHER 4" xfId="0"/>
    <cellStyle name="_PC_NB_VSE WFP_101001_GPS OTHER 4 2" xfId="0"/>
    <cellStyle name="_PC_NB_VSE WFP_101001_GPS OTHER_By Region" xfId="0"/>
    <cellStyle name="_PC_NB_VSE WFP_101001_GPS OTHER_CORP SG&amp;A" xfId="0"/>
    <cellStyle name="_PC_NB_VSE WFP_101001_GPS OTHER_LCD" xfId="0"/>
    <cellStyle name="_PC_NB_VSE WFP_101001_GPS OTHER_PJ" xfId="0"/>
    <cellStyle name="_PC_NB_VSE WFP_101001_PC Products" xfId="0"/>
    <cellStyle name="_PC_NB_VSE WFP_101001_PC Products 2" xfId="0"/>
    <cellStyle name="_PC_NB_VSE WFP_101001_PC Products 3" xfId="0"/>
    <cellStyle name="_PC_NB_VSE WFP_101001_PC Products 4" xfId="0"/>
    <cellStyle name="_PC_NB_VSE WFP_101001_PC Products 4 2" xfId="0"/>
    <cellStyle name="_PC_NB_VSE WFP_101001_PC Products_By Region" xfId="0"/>
    <cellStyle name="_PC_NB_VSE WFP_101001_PC Products_CORP SG&amp;A" xfId="0"/>
    <cellStyle name="_PC_NB_VSE WFP_101001_PC Products_LCD" xfId="0"/>
    <cellStyle name="_PC_NB_VSE WFP_101001_PC Products_PJ" xfId="0"/>
    <cellStyle name="_PC_NB_VSE WFP_101001_VSA 111014" xfId="0"/>
    <cellStyle name="_PC_NB_VSE WFP_101001_VSA 111014 2" xfId="0"/>
    <cellStyle name="_PC_NB_VSE WFP_101001_VSA 111014 3" xfId="0"/>
    <cellStyle name="_PC_NB_VSE WFP_101001_VSA 111014 4" xfId="0"/>
    <cellStyle name="_PC_NB_VSE WFP_101001_VSA 111014 4 2" xfId="0"/>
    <cellStyle name="_PC_NB_VSE WFP_101001_VSA 111014_By Region" xfId="0"/>
    <cellStyle name="_PC_NB_VSE WFP_101001_VSA 111014_CORP SG&amp;A" xfId="0"/>
    <cellStyle name="_PC_NB_VSE WFP_101001_VSA 111014_LCD" xfId="0"/>
    <cellStyle name="_PC_NB_VSE WFP_101001_VSA 111014_PJ" xfId="0"/>
    <cellStyle name="_PC_NB_VSE WFP_101001_VSA Roll-Up (LW)" xfId="0"/>
    <cellStyle name="_PC_NB_VSE WFP_101001_VSA Roll-Up (LW) 2" xfId="0"/>
    <cellStyle name="_PC_NB_VSE WFP_101001_VSA Roll-Up (LW) 3" xfId="0"/>
    <cellStyle name="_PC_NB_VSE WFP_101001_VSA Roll-Up (LW) 4" xfId="0"/>
    <cellStyle name="_PC_NB_VSE WFP_101001_VSA Roll-Up (LW) 4 2" xfId="0"/>
    <cellStyle name="_PC_NB_VSE WFP_101001_VSA Roll-Up (LW)_By Region" xfId="0"/>
    <cellStyle name="_PC_NB_VSE WFP_101001_VSA Roll-Up (LW)_CORP SG&amp;A" xfId="0"/>
    <cellStyle name="_PC_NB_VSE WFP_101001_VSA Roll-Up (LW)_LCD" xfId="0"/>
    <cellStyle name="_PC_NB_VSE WFP_101001_VSA Roll-Up (LW)_PJ" xfId="0"/>
    <cellStyle name="_PC_NB_VSE WFP_101029-with more ViewPad 7" xfId="0"/>
    <cellStyle name="_PC_NB_VSE WFP_101029-with more ViewPad 7 2" xfId="0"/>
    <cellStyle name="_PC_NB_VSE WFP_101029-with more ViewPad 7 3" xfId="0"/>
    <cellStyle name="_PC_NB_VSE WFP_101029-with more ViewPad 7 4" xfId="0"/>
    <cellStyle name="_PC_NB_VSE WFP_101029-with more ViewPad 7_By Region" xfId="0"/>
    <cellStyle name="_PC_NB_VSE WFP_101029-with more ViewPad 7_CORP SG&amp;A" xfId="0"/>
    <cellStyle name="_PC_NB_VSE WFP_101029-with more ViewPad 7_GPS OTHER" xfId="0"/>
    <cellStyle name="_PC_NB_VSE WFP_101029-with more ViewPad 7_GPS OTHER 2" xfId="0"/>
    <cellStyle name="_PC_NB_VSE WFP_101029-with more ViewPad 7_GPS OTHER 3" xfId="0"/>
    <cellStyle name="_PC_NB_VSE WFP_101029-with more ViewPad 7_GPS OTHER 4" xfId="0"/>
    <cellStyle name="_PC_NB_VSE WFP_101029-with more ViewPad 7_GPS OTHER 4 2" xfId="0"/>
    <cellStyle name="_PC_NB_VSE WFP_101029-with more ViewPad 7_GPS OTHER_By Region" xfId="0"/>
    <cellStyle name="_PC_NB_VSE WFP_101029-with more ViewPad 7_GPS OTHER_CORP SG&amp;A" xfId="0"/>
    <cellStyle name="_PC_NB_VSE WFP_101029-with more ViewPad 7_GPS OTHER_LCD" xfId="0"/>
    <cellStyle name="_PC_NB_VSE WFP_101029-with more ViewPad 7_GPS OTHER_PJ" xfId="0"/>
    <cellStyle name="_PC_NB_VSE WFP_101029-with more ViewPad 7_PC Products" xfId="0"/>
    <cellStyle name="_PC_NB_VSE WFP_101029-with more ViewPad 7_PC Products 2" xfId="0"/>
    <cellStyle name="_PC_NB_VSE WFP_101029-with more ViewPad 7_PC Products 3" xfId="0"/>
    <cellStyle name="_PC_NB_VSE WFP_101029-with more ViewPad 7_PC Products 4" xfId="0"/>
    <cellStyle name="_PC_NB_VSE WFP_101029-with more ViewPad 7_PC Products 4 2" xfId="0"/>
    <cellStyle name="_PC_NB_VSE WFP_101029-with more ViewPad 7_PC Products_By Region" xfId="0"/>
    <cellStyle name="_PC_NB_VSE WFP_101029-with more ViewPad 7_PC Products_CORP SG&amp;A" xfId="0"/>
    <cellStyle name="_PC_NB_VSE WFP_101029-with more ViewPad 7_PC Products_LCD" xfId="0"/>
    <cellStyle name="_PC_NB_VSE WFP_101029-with more ViewPad 7_PC Products_PJ" xfId="0"/>
    <cellStyle name="_PC_NB_VSE WFP_101029-with more ViewPad 7_VSA 111014" xfId="0"/>
    <cellStyle name="_PC_NB_VSE WFP_101029-with more ViewPad 7_VSA 111014 2" xfId="0"/>
    <cellStyle name="_PC_NB_VSE WFP_101029-with more ViewPad 7_VSA 111014 3" xfId="0"/>
    <cellStyle name="_PC_NB_VSE WFP_101029-with more ViewPad 7_VSA 111014 4" xfId="0"/>
    <cellStyle name="_PC_NB_VSE WFP_101029-with more ViewPad 7_VSA 111014 4 2" xfId="0"/>
    <cellStyle name="_PC_NB_VSE WFP_101029-with more ViewPad 7_VSA 111014_By Region" xfId="0"/>
    <cellStyle name="_PC_NB_VSE WFP_101029-with more ViewPad 7_VSA 111014_CORP SG&amp;A" xfId="0"/>
    <cellStyle name="_PC_NB_VSE WFP_101029-with more ViewPad 7_VSA 111014_LCD" xfId="0"/>
    <cellStyle name="_PC_NB_VSE WFP_101029-with more ViewPad 7_VSA 111014_PJ" xfId="0"/>
    <cellStyle name="_PC_NB_VSE WFP_101029-with more ViewPad 7_VSA Roll-Up (LW)" xfId="0"/>
    <cellStyle name="_PC_NB_VSE WFP_101029-with more ViewPad 7_VSA Roll-Up (LW) 2" xfId="0"/>
    <cellStyle name="_PC_NB_VSE WFP_101029-with more ViewPad 7_VSA Roll-Up (LW) 3" xfId="0"/>
    <cellStyle name="_PC_NB_VSE WFP_101029-with more ViewPad 7_VSA Roll-Up (LW) 4" xfId="0"/>
    <cellStyle name="_PC_NB_VSE WFP_101029-with more ViewPad 7_VSA Roll-Up (LW) 4 2" xfId="0"/>
    <cellStyle name="_PC_NB_VSE WFP_101029-with more ViewPad 7_VSA Roll-Up (LW)_By Region" xfId="0"/>
    <cellStyle name="_PC_NB_VSE WFP_101029-with more ViewPad 7_VSA Roll-Up (LW)_CORP SG&amp;A" xfId="0"/>
    <cellStyle name="_PC_NB_VSE WFP_101029-with more ViewPad 7_VSA Roll-Up (LW)_LCD" xfId="0"/>
    <cellStyle name="_PC_NB_VSE WFP_101029-with more ViewPad 7_VSA Roll-Up (LW)_PJ" xfId="0"/>
    <cellStyle name="_PJ" xfId="0"/>
    <cellStyle name="_PJ 2" xfId="0"/>
    <cellStyle name="_PJ 3" xfId="0"/>
    <cellStyle name="_PJ 4" xfId="0"/>
    <cellStyle name="_PJ 5" xfId="0"/>
    <cellStyle name="_PJ DCR" xfId="0"/>
    <cellStyle name="_PJ DCR 2" xfId="0"/>
    <cellStyle name="_PJ DCR_VSE DCR Planning Model and Trend Charts 20100118" xfId="0"/>
    <cellStyle name="_PJ DCR_VSE DCR Planning Model and Trend Charts 20100118 2" xfId="0"/>
    <cellStyle name="_PJ DCR_VSE DCR Planning Model and Trend Charts 20100315" xfId="0"/>
    <cellStyle name="_PJ DCR_VSE DCR Planning Model and Trend Charts 20100315 2" xfId="0"/>
    <cellStyle name="_PJ_By Region" xfId="0"/>
    <cellStyle name="_PJ_CIS" xfId="0"/>
    <cellStyle name="_PJ_CIS 2" xfId="0"/>
    <cellStyle name="_PJ_CIS 3" xfId="0"/>
    <cellStyle name="_PJ_CIS 4" xfId="0"/>
    <cellStyle name="_PJ_CIS_By Region" xfId="0"/>
    <cellStyle name="_PJ_CIS_CORP SG&amp;A" xfId="0"/>
    <cellStyle name="_PJ_CIS_GPS OTHER" xfId="0"/>
    <cellStyle name="_PJ_CIS_GPS OTHER 2" xfId="0"/>
    <cellStyle name="_PJ_CIS_GPS OTHER 3" xfId="0"/>
    <cellStyle name="_PJ_CIS_GPS OTHER 4" xfId="0"/>
    <cellStyle name="_PJ_CIS_GPS OTHER 4 2" xfId="0"/>
    <cellStyle name="_PJ_CIS_GPS OTHER_By Region" xfId="0"/>
    <cellStyle name="_PJ_CIS_GPS OTHER_CORP SG&amp;A" xfId="0"/>
    <cellStyle name="_PJ_CIS_GPS OTHER_LCD" xfId="0"/>
    <cellStyle name="_PJ_CIS_GPS OTHER_PJ" xfId="0"/>
    <cellStyle name="_PJ_CIS_PC Products" xfId="0"/>
    <cellStyle name="_PJ_CIS_PC Products 2" xfId="0"/>
    <cellStyle name="_PJ_CIS_PC Products 3" xfId="0"/>
    <cellStyle name="_PJ_CIS_PC Products 4" xfId="0"/>
    <cellStyle name="_PJ_CIS_PC Products 4 2" xfId="0"/>
    <cellStyle name="_PJ_CIS_PC Products_By Region" xfId="0"/>
    <cellStyle name="_PJ_CIS_PC Products_CORP SG&amp;A" xfId="0"/>
    <cellStyle name="_PJ_CIS_PC Products_LCD" xfId="0"/>
    <cellStyle name="_PJ_CIS_PC Products_PJ" xfId="0"/>
    <cellStyle name="_PJ_CIS_VSA 111014" xfId="0"/>
    <cellStyle name="_PJ_CIS_VSA 111014 2" xfId="0"/>
    <cellStyle name="_PJ_CIS_VSA 111014 3" xfId="0"/>
    <cellStyle name="_PJ_CIS_VSA 111014 4" xfId="0"/>
    <cellStyle name="_PJ_CIS_VSA 111014 4 2" xfId="0"/>
    <cellStyle name="_PJ_CIS_VSA 111014_By Region" xfId="0"/>
    <cellStyle name="_PJ_CIS_VSA 111014_CORP SG&amp;A" xfId="0"/>
    <cellStyle name="_PJ_CIS_VSA 111014_LCD" xfId="0"/>
    <cellStyle name="_PJ_CIS_VSA 111014_PJ" xfId="0"/>
    <cellStyle name="_PJ_CIS_VSA Roll-Up (LW)" xfId="0"/>
    <cellStyle name="_PJ_CIS_VSA Roll-Up (LW) 2" xfId="0"/>
    <cellStyle name="_PJ_CIS_VSA Roll-Up (LW) 3" xfId="0"/>
    <cellStyle name="_PJ_CIS_VSA Roll-Up (LW) 4" xfId="0"/>
    <cellStyle name="_PJ_CIS_VSA Roll-Up (LW) 4 2" xfId="0"/>
    <cellStyle name="_PJ_CIS_VSA Roll-Up (LW)_By Region" xfId="0"/>
    <cellStyle name="_PJ_CIS_VSA Roll-Up (LW)_CORP SG&amp;A" xfId="0"/>
    <cellStyle name="_PJ_CIS_VSA Roll-Up (LW)_LCD" xfId="0"/>
    <cellStyle name="_PJ_CIS_VSA Roll-Up (LW)_PJ" xfId="0"/>
    <cellStyle name="_PJ_CORP SG&amp;A" xfId="0"/>
    <cellStyle name="_PJ_CRT" xfId="0"/>
    <cellStyle name="_PJ_CRT 2" xfId="0"/>
    <cellStyle name="_PJ_CRT 3" xfId="0"/>
    <cellStyle name="_PJ_CRT 4" xfId="0"/>
    <cellStyle name="_PJ_CRT_By Region" xfId="0"/>
    <cellStyle name="_PJ_CRT_CORP SG&amp;A" xfId="0"/>
    <cellStyle name="_PJ_CRT_GPS OTHER" xfId="0"/>
    <cellStyle name="_PJ_CRT_GPS OTHER 2" xfId="0"/>
    <cellStyle name="_PJ_CRT_GPS OTHER 3" xfId="0"/>
    <cellStyle name="_PJ_CRT_GPS OTHER 4" xfId="0"/>
    <cellStyle name="_PJ_CRT_GPS OTHER 4 2" xfId="0"/>
    <cellStyle name="_PJ_CRT_GPS OTHER_By Region" xfId="0"/>
    <cellStyle name="_PJ_CRT_GPS OTHER_CORP SG&amp;A" xfId="0"/>
    <cellStyle name="_PJ_CRT_GPS OTHER_LCD" xfId="0"/>
    <cellStyle name="_PJ_CRT_GPS OTHER_PJ" xfId="0"/>
    <cellStyle name="_PJ_CRT_PC Products" xfId="0"/>
    <cellStyle name="_PJ_CRT_PC Products 2" xfId="0"/>
    <cellStyle name="_PJ_CRT_PC Products 3" xfId="0"/>
    <cellStyle name="_PJ_CRT_PC Products 4" xfId="0"/>
    <cellStyle name="_PJ_CRT_PC Products 4 2" xfId="0"/>
    <cellStyle name="_PJ_CRT_PC Products_By Region" xfId="0"/>
    <cellStyle name="_PJ_CRT_PC Products_CORP SG&amp;A" xfId="0"/>
    <cellStyle name="_PJ_CRT_PC Products_LCD" xfId="0"/>
    <cellStyle name="_PJ_CRT_PC Products_PJ" xfId="0"/>
    <cellStyle name="_PJ_CRT_VSA 111014" xfId="0"/>
    <cellStyle name="_PJ_CRT_VSA 111014 2" xfId="0"/>
    <cellStyle name="_PJ_CRT_VSA 111014 3" xfId="0"/>
    <cellStyle name="_PJ_CRT_VSA 111014 4" xfId="0"/>
    <cellStyle name="_PJ_CRT_VSA 111014 4 2" xfId="0"/>
    <cellStyle name="_PJ_CRT_VSA 111014_By Region" xfId="0"/>
    <cellStyle name="_PJ_CRT_VSA 111014_CORP SG&amp;A" xfId="0"/>
    <cellStyle name="_PJ_CRT_VSA 111014_LCD" xfId="0"/>
    <cellStyle name="_PJ_CRT_VSA 111014_PJ" xfId="0"/>
    <cellStyle name="_PJ_CRT_VSA Roll-Up (LW)" xfId="0"/>
    <cellStyle name="_PJ_CRT_VSA Roll-Up (LW) 2" xfId="0"/>
    <cellStyle name="_PJ_CRT_VSA Roll-Up (LW) 3" xfId="0"/>
    <cellStyle name="_PJ_CRT_VSA Roll-Up (LW) 4" xfId="0"/>
    <cellStyle name="_PJ_CRT_VSA Roll-Up (LW) 4 2" xfId="0"/>
    <cellStyle name="_PJ_CRT_VSA Roll-Up (LW)_By Region" xfId="0"/>
    <cellStyle name="_PJ_CRT_VSA Roll-Up (LW)_CORP SG&amp;A" xfId="0"/>
    <cellStyle name="_PJ_CRT_VSA Roll-Up (LW)_LCD" xfId="0"/>
    <cellStyle name="_PJ_CRT_VSA Roll-Up (LW)_PJ" xfId="0"/>
    <cellStyle name="_PJ_Diff" xfId="0"/>
    <cellStyle name="_PJ_Diff 2" xfId="0"/>
    <cellStyle name="_PJ_Diff 3" xfId="0"/>
    <cellStyle name="_PJ_Diff 4" xfId="0"/>
    <cellStyle name="_PJ_Diff_By Region" xfId="0"/>
    <cellStyle name="_PJ_Diff_CORP SG&amp;A" xfId="0"/>
    <cellStyle name="_PJ_Diff_GPS OTHER" xfId="0"/>
    <cellStyle name="_PJ_Diff_GPS OTHER 2" xfId="0"/>
    <cellStyle name="_PJ_Diff_GPS OTHER 3" xfId="0"/>
    <cellStyle name="_PJ_Diff_GPS OTHER 4" xfId="0"/>
    <cellStyle name="_PJ_Diff_GPS OTHER 4 2" xfId="0"/>
    <cellStyle name="_PJ_Diff_GPS OTHER_By Region" xfId="0"/>
    <cellStyle name="_PJ_Diff_GPS OTHER_CORP SG&amp;A" xfId="0"/>
    <cellStyle name="_PJ_Diff_GPS OTHER_LCD" xfId="0"/>
    <cellStyle name="_PJ_Diff_GPS OTHER_PJ" xfId="0"/>
    <cellStyle name="_PJ_Diff_PC Products" xfId="0"/>
    <cellStyle name="_PJ_Diff_PC Products 2" xfId="0"/>
    <cellStyle name="_PJ_Diff_PC Products 3" xfId="0"/>
    <cellStyle name="_PJ_Diff_PC Products 4" xfId="0"/>
    <cellStyle name="_PJ_Diff_PC Products 4 2" xfId="0"/>
    <cellStyle name="_PJ_Diff_PC Products_By Region" xfId="0"/>
    <cellStyle name="_PJ_Diff_PC Products_CORP SG&amp;A" xfId="0"/>
    <cellStyle name="_PJ_Diff_PC Products_LCD" xfId="0"/>
    <cellStyle name="_PJ_Diff_PC Products_PJ" xfId="0"/>
    <cellStyle name="_PJ_Diff_VSA 111014" xfId="0"/>
    <cellStyle name="_PJ_Diff_VSA 111014 2" xfId="0"/>
    <cellStyle name="_PJ_Diff_VSA 111014 3" xfId="0"/>
    <cellStyle name="_PJ_Diff_VSA 111014 4" xfId="0"/>
    <cellStyle name="_PJ_Diff_VSA 111014 4 2" xfId="0"/>
    <cellStyle name="_PJ_Diff_VSA 111014_By Region" xfId="0"/>
    <cellStyle name="_PJ_Diff_VSA 111014_CORP SG&amp;A" xfId="0"/>
    <cellStyle name="_PJ_Diff_VSA 111014_LCD" xfId="0"/>
    <cellStyle name="_PJ_Diff_VSA 111014_PJ" xfId="0"/>
    <cellStyle name="_PJ_Diff_VSA Roll-Up (LW)" xfId="0"/>
    <cellStyle name="_PJ_Diff_VSA Roll-Up (LW) 2" xfId="0"/>
    <cellStyle name="_PJ_Diff_VSA Roll-Up (LW) 3" xfId="0"/>
    <cellStyle name="_PJ_Diff_VSA Roll-Up (LW) 4" xfId="0"/>
    <cellStyle name="_PJ_Diff_VSA Roll-Up (LW) 4 2" xfId="0"/>
    <cellStyle name="_PJ_Diff_VSA Roll-Up (LW)_By Region" xfId="0"/>
    <cellStyle name="_PJ_Diff_VSA Roll-Up (LW)_CORP SG&amp;A" xfId="0"/>
    <cellStyle name="_PJ_Diff_VSA Roll-Up (LW)_LCD" xfId="0"/>
    <cellStyle name="_PJ_Diff_VSA Roll-Up (LW)_PJ" xfId="0"/>
    <cellStyle name="_PJ_Digital Product" xfId="0"/>
    <cellStyle name="_PJ_Digital Product 2" xfId="0"/>
    <cellStyle name="_PJ_Digital Product 3" xfId="0"/>
    <cellStyle name="_PJ_Digital Product 4" xfId="0"/>
    <cellStyle name="_PJ_Digital Product_By Region" xfId="0"/>
    <cellStyle name="_PJ_Digital Product_CORP SG&amp;A" xfId="0"/>
    <cellStyle name="_PJ_Digital Product_GPS OTHER" xfId="0"/>
    <cellStyle name="_PJ_Digital Product_GPS OTHER 2" xfId="0"/>
    <cellStyle name="_PJ_Digital Product_GPS OTHER 3" xfId="0"/>
    <cellStyle name="_PJ_Digital Product_GPS OTHER 4" xfId="0"/>
    <cellStyle name="_PJ_Digital Product_GPS OTHER 4 2" xfId="0"/>
    <cellStyle name="_PJ_Digital Product_GPS OTHER_By Region" xfId="0"/>
    <cellStyle name="_PJ_Digital Product_GPS OTHER_CORP SG&amp;A" xfId="0"/>
    <cellStyle name="_PJ_Digital Product_GPS OTHER_LCD" xfId="0"/>
    <cellStyle name="_PJ_Digital Product_GPS OTHER_PJ" xfId="0"/>
    <cellStyle name="_PJ_Digital Product_PC Products" xfId="0"/>
    <cellStyle name="_PJ_Digital Product_PC Products 2" xfId="0"/>
    <cellStyle name="_PJ_Digital Product_PC Products 3" xfId="0"/>
    <cellStyle name="_PJ_Digital Product_PC Products 4" xfId="0"/>
    <cellStyle name="_PJ_Digital Product_PC Products 4 2" xfId="0"/>
    <cellStyle name="_PJ_Digital Product_PC Products_By Region" xfId="0"/>
    <cellStyle name="_PJ_Digital Product_PC Products_CORP SG&amp;A" xfId="0"/>
    <cellStyle name="_PJ_Digital Product_PC Products_LCD" xfId="0"/>
    <cellStyle name="_PJ_Digital Product_PC Products_PJ" xfId="0"/>
    <cellStyle name="_PJ_Digital Product_VSA 111014" xfId="0"/>
    <cellStyle name="_PJ_Digital Product_VSA 111014 2" xfId="0"/>
    <cellStyle name="_PJ_Digital Product_VSA 111014 3" xfId="0"/>
    <cellStyle name="_PJ_Digital Product_VSA 111014 4" xfId="0"/>
    <cellStyle name="_PJ_Digital Product_VSA 111014 4 2" xfId="0"/>
    <cellStyle name="_PJ_Digital Product_VSA 111014_By Region" xfId="0"/>
    <cellStyle name="_PJ_Digital Product_VSA 111014_CORP SG&amp;A" xfId="0"/>
    <cellStyle name="_PJ_Digital Product_VSA 111014_LCD" xfId="0"/>
    <cellStyle name="_PJ_Digital Product_VSA 111014_PJ" xfId="0"/>
    <cellStyle name="_PJ_Digital Product_VSA Roll-Up (LW)" xfId="0"/>
    <cellStyle name="_PJ_Digital Product_VSA Roll-Up (LW) 2" xfId="0"/>
    <cellStyle name="_PJ_Digital Product_VSA Roll-Up (LW) 3" xfId="0"/>
    <cellStyle name="_PJ_Digital Product_VSA Roll-Up (LW) 4" xfId="0"/>
    <cellStyle name="_PJ_Digital Product_VSA Roll-Up (LW) 4 2" xfId="0"/>
    <cellStyle name="_PJ_Digital Product_VSA Roll-Up (LW)_By Region" xfId="0"/>
    <cellStyle name="_PJ_Digital Product_VSA Roll-Up (LW)_CORP SG&amp;A" xfId="0"/>
    <cellStyle name="_PJ_Digital Product_VSA Roll-Up (LW)_LCD" xfId="0"/>
    <cellStyle name="_PJ_Digital Product_VSA Roll-Up (LW)_PJ" xfId="0"/>
    <cellStyle name="_PJ_Digital Signage" xfId="0"/>
    <cellStyle name="_PJ_Digital Signage 2" xfId="0"/>
    <cellStyle name="_PJ_Digital Signage 3" xfId="0"/>
    <cellStyle name="_PJ_Digital Signage 4" xfId="0"/>
    <cellStyle name="_PJ_Digital Signage_By Region" xfId="0"/>
    <cellStyle name="_PJ_Digital Signage_CORP SG&amp;A" xfId="0"/>
    <cellStyle name="_PJ_Digital Signage_GPS OTHER" xfId="0"/>
    <cellStyle name="_PJ_Digital Signage_GPS OTHER 2" xfId="0"/>
    <cellStyle name="_PJ_Digital Signage_GPS OTHER 3" xfId="0"/>
    <cellStyle name="_PJ_Digital Signage_GPS OTHER 4" xfId="0"/>
    <cellStyle name="_PJ_Digital Signage_GPS OTHER 4 2" xfId="0"/>
    <cellStyle name="_PJ_Digital Signage_GPS OTHER_By Region" xfId="0"/>
    <cellStyle name="_PJ_Digital Signage_GPS OTHER_CORP SG&amp;A" xfId="0"/>
    <cellStyle name="_PJ_Digital Signage_GPS OTHER_LCD" xfId="0"/>
    <cellStyle name="_PJ_Digital Signage_GPS OTHER_PJ" xfId="0"/>
    <cellStyle name="_PJ_Digital Signage_PC Products" xfId="0"/>
    <cellStyle name="_PJ_Digital Signage_PC Products 2" xfId="0"/>
    <cellStyle name="_PJ_Digital Signage_PC Products 3" xfId="0"/>
    <cellStyle name="_PJ_Digital Signage_PC Products 4" xfId="0"/>
    <cellStyle name="_PJ_Digital Signage_PC Products 4 2" xfId="0"/>
    <cellStyle name="_PJ_Digital Signage_PC Products_By Region" xfId="0"/>
    <cellStyle name="_PJ_Digital Signage_PC Products_CORP SG&amp;A" xfId="0"/>
    <cellStyle name="_PJ_Digital Signage_PC Products_LCD" xfId="0"/>
    <cellStyle name="_PJ_Digital Signage_PC Products_PJ" xfId="0"/>
    <cellStyle name="_PJ_Digital Signage_VSA 111014" xfId="0"/>
    <cellStyle name="_PJ_Digital Signage_VSA 111014 2" xfId="0"/>
    <cellStyle name="_PJ_Digital Signage_VSA 111014 3" xfId="0"/>
    <cellStyle name="_PJ_Digital Signage_VSA 111014 4" xfId="0"/>
    <cellStyle name="_PJ_Digital Signage_VSA 111014 4 2" xfId="0"/>
    <cellStyle name="_PJ_Digital Signage_VSA 111014_By Region" xfId="0"/>
    <cellStyle name="_PJ_Digital Signage_VSA 111014_CORP SG&amp;A" xfId="0"/>
    <cellStyle name="_PJ_Digital Signage_VSA 111014_LCD" xfId="0"/>
    <cellStyle name="_PJ_Digital Signage_VSA 111014_PJ" xfId="0"/>
    <cellStyle name="_PJ_Digital Signage_VSA Roll-Up (LW)" xfId="0"/>
    <cellStyle name="_PJ_Digital Signage_VSA Roll-Up (LW) 2" xfId="0"/>
    <cellStyle name="_PJ_Digital Signage_VSA Roll-Up (LW) 3" xfId="0"/>
    <cellStyle name="_PJ_Digital Signage_VSA Roll-Up (LW) 4" xfId="0"/>
    <cellStyle name="_PJ_Digital Signage_VSA Roll-Up (LW) 4 2" xfId="0"/>
    <cellStyle name="_PJ_Digital Signage_VSA Roll-Up (LW)_By Region" xfId="0"/>
    <cellStyle name="_PJ_Digital Signage_VSA Roll-Up (LW)_CORP SG&amp;A" xfId="0"/>
    <cellStyle name="_PJ_Digital Signage_VSA Roll-Up (LW)_LCD" xfId="0"/>
    <cellStyle name="_PJ_Digital Signage_VSA Roll-Up (LW)_PJ" xfId="0"/>
    <cellStyle name="_PJ_DMA(VMP)" xfId="0"/>
    <cellStyle name="_PJ_DMA(VMP) 2" xfId="0"/>
    <cellStyle name="_PJ_DMA(VMP) 3" xfId="0"/>
    <cellStyle name="_PJ_DMA(VMP) 4" xfId="0"/>
    <cellStyle name="_PJ_DMA(VMP)_By Region" xfId="0"/>
    <cellStyle name="_PJ_DMA(VMP)_CORP SG&amp;A" xfId="0"/>
    <cellStyle name="_PJ_DMA(VMP)_GPS OTHER" xfId="0"/>
    <cellStyle name="_PJ_DMA(VMP)_GPS OTHER 2" xfId="0"/>
    <cellStyle name="_PJ_DMA(VMP)_GPS OTHER 3" xfId="0"/>
    <cellStyle name="_PJ_DMA(VMP)_GPS OTHER 4" xfId="0"/>
    <cellStyle name="_PJ_DMA(VMP)_GPS OTHER 4 2" xfId="0"/>
    <cellStyle name="_PJ_DMA(VMP)_GPS OTHER_By Region" xfId="0"/>
    <cellStyle name="_PJ_DMA(VMP)_GPS OTHER_CORP SG&amp;A" xfId="0"/>
    <cellStyle name="_PJ_DMA(VMP)_GPS OTHER_LCD" xfId="0"/>
    <cellStyle name="_PJ_DMA(VMP)_GPS OTHER_PJ" xfId="0"/>
    <cellStyle name="_PJ_DMA(VMP)_PC Products" xfId="0"/>
    <cellStyle name="_PJ_DMA(VMP)_PC Products 2" xfId="0"/>
    <cellStyle name="_PJ_DMA(VMP)_PC Products 3" xfId="0"/>
    <cellStyle name="_PJ_DMA(VMP)_PC Products 4" xfId="0"/>
    <cellStyle name="_PJ_DMA(VMP)_PC Products 4 2" xfId="0"/>
    <cellStyle name="_PJ_DMA(VMP)_PC Products_By Region" xfId="0"/>
    <cellStyle name="_PJ_DMA(VMP)_PC Products_CORP SG&amp;A" xfId="0"/>
    <cellStyle name="_PJ_DMA(VMP)_PC Products_LCD" xfId="0"/>
    <cellStyle name="_PJ_DMA(VMP)_PC Products_PJ" xfId="0"/>
    <cellStyle name="_PJ_DMA(VMP)_VSA 111014" xfId="0"/>
    <cellStyle name="_PJ_DMA(VMP)_VSA 111014 2" xfId="0"/>
    <cellStyle name="_PJ_DMA(VMP)_VSA 111014 3" xfId="0"/>
    <cellStyle name="_PJ_DMA(VMP)_VSA 111014 4" xfId="0"/>
    <cellStyle name="_PJ_DMA(VMP)_VSA 111014 4 2" xfId="0"/>
    <cellStyle name="_PJ_DMA(VMP)_VSA 111014_By Region" xfId="0"/>
    <cellStyle name="_PJ_DMA(VMP)_VSA 111014_CORP SG&amp;A" xfId="0"/>
    <cellStyle name="_PJ_DMA(VMP)_VSA 111014_LCD" xfId="0"/>
    <cellStyle name="_PJ_DMA(VMP)_VSA 111014_PJ" xfId="0"/>
    <cellStyle name="_PJ_DMA(VMP)_VSA Roll-Up (LW)" xfId="0"/>
    <cellStyle name="_PJ_DMA(VMP)_VSA Roll-Up (LW) 2" xfId="0"/>
    <cellStyle name="_PJ_DMA(VMP)_VSA Roll-Up (LW) 3" xfId="0"/>
    <cellStyle name="_PJ_DMA(VMP)_VSA Roll-Up (LW) 4" xfId="0"/>
    <cellStyle name="_PJ_DMA(VMP)_VSA Roll-Up (LW) 4 2" xfId="0"/>
    <cellStyle name="_PJ_DMA(VMP)_VSA Roll-Up (LW)_By Region" xfId="0"/>
    <cellStyle name="_PJ_DMA(VMP)_VSA Roll-Up (LW)_CORP SG&amp;A" xfId="0"/>
    <cellStyle name="_PJ_DMA(VMP)_VSA Roll-Up (LW)_LCD" xfId="0"/>
    <cellStyle name="_PJ_DMA(VMP)_VSA Roll-Up (LW)_PJ" xfId="0"/>
    <cellStyle name="_PJ_DPF" xfId="0"/>
    <cellStyle name="_PJ_DPF 2" xfId="0"/>
    <cellStyle name="_PJ_DPF 3" xfId="0"/>
    <cellStyle name="_PJ_DPF 4" xfId="0"/>
    <cellStyle name="_PJ_DPF_By Region" xfId="0"/>
    <cellStyle name="_PJ_DPF_CORP SG&amp;A" xfId="0"/>
    <cellStyle name="_PJ_DPF_GPS OTHER" xfId="0"/>
    <cellStyle name="_PJ_DPF_GPS OTHER 2" xfId="0"/>
    <cellStyle name="_PJ_DPF_GPS OTHER 3" xfId="0"/>
    <cellStyle name="_PJ_DPF_GPS OTHER 4" xfId="0"/>
    <cellStyle name="_PJ_DPF_GPS OTHER 4 2" xfId="0"/>
    <cellStyle name="_PJ_DPF_GPS OTHER_By Region" xfId="0"/>
    <cellStyle name="_PJ_DPF_GPS OTHER_CORP SG&amp;A" xfId="0"/>
    <cellStyle name="_PJ_DPF_GPS OTHER_LCD" xfId="0"/>
    <cellStyle name="_PJ_DPF_GPS OTHER_PJ" xfId="0"/>
    <cellStyle name="_PJ_DPF_PC Products" xfId="0"/>
    <cellStyle name="_PJ_DPF_PC Products 2" xfId="0"/>
    <cellStyle name="_PJ_DPF_PC Products 3" xfId="0"/>
    <cellStyle name="_PJ_DPF_PC Products 4" xfId="0"/>
    <cellStyle name="_PJ_DPF_PC Products 4 2" xfId="0"/>
    <cellStyle name="_PJ_DPF_PC Products_By Region" xfId="0"/>
    <cellStyle name="_PJ_DPF_PC Products_CORP SG&amp;A" xfId="0"/>
    <cellStyle name="_PJ_DPF_PC Products_LCD" xfId="0"/>
    <cellStyle name="_PJ_DPF_PC Products_PJ" xfId="0"/>
    <cellStyle name="_PJ_DPF_VSA 111014" xfId="0"/>
    <cellStyle name="_PJ_DPF_VSA 111014 2" xfId="0"/>
    <cellStyle name="_PJ_DPF_VSA 111014 3" xfId="0"/>
    <cellStyle name="_PJ_DPF_VSA 111014 4" xfId="0"/>
    <cellStyle name="_PJ_DPF_VSA 111014 4 2" xfId="0"/>
    <cellStyle name="_PJ_DPF_VSA 111014_By Region" xfId="0"/>
    <cellStyle name="_PJ_DPF_VSA 111014_CORP SG&amp;A" xfId="0"/>
    <cellStyle name="_PJ_DPF_VSA 111014_LCD" xfId="0"/>
    <cellStyle name="_PJ_DPF_VSA 111014_PJ" xfId="0"/>
    <cellStyle name="_PJ_DPF_VSA Roll-Up (LW)" xfId="0"/>
    <cellStyle name="_PJ_DPF_VSA Roll-Up (LW) 2" xfId="0"/>
    <cellStyle name="_PJ_DPF_VSA Roll-Up (LW) 3" xfId="0"/>
    <cellStyle name="_PJ_DPF_VSA Roll-Up (LW) 4" xfId="0"/>
    <cellStyle name="_PJ_DPF_VSA Roll-Up (LW) 4 2" xfId="0"/>
    <cellStyle name="_PJ_DPF_VSA Roll-Up (LW)_By Region" xfId="0"/>
    <cellStyle name="_PJ_DPF_VSA Roll-Up (LW)_CORP SG&amp;A" xfId="0"/>
    <cellStyle name="_PJ_DPF_VSA Roll-Up (LW)_LCD" xfId="0"/>
    <cellStyle name="_PJ_DPF_VSA Roll-Up (LW)_PJ" xfId="0"/>
    <cellStyle name="_PJ_DS" xfId="0"/>
    <cellStyle name="_PJ_DS 2" xfId="0"/>
    <cellStyle name="_PJ_DS 3" xfId="0"/>
    <cellStyle name="_PJ_DS 4" xfId="0"/>
    <cellStyle name="_PJ_DS_By Region" xfId="0"/>
    <cellStyle name="_PJ_DS_CORP SG&amp;A" xfId="0"/>
    <cellStyle name="_PJ_DS_GPS OTHER" xfId="0"/>
    <cellStyle name="_PJ_DS_GPS OTHER 2" xfId="0"/>
    <cellStyle name="_PJ_DS_GPS OTHER 3" xfId="0"/>
    <cellStyle name="_PJ_DS_GPS OTHER 4" xfId="0"/>
    <cellStyle name="_PJ_DS_GPS OTHER 4 2" xfId="0"/>
    <cellStyle name="_PJ_DS_GPS OTHER_By Region" xfId="0"/>
    <cellStyle name="_PJ_DS_GPS OTHER_CORP SG&amp;A" xfId="0"/>
    <cellStyle name="_PJ_DS_GPS OTHER_LCD" xfId="0"/>
    <cellStyle name="_PJ_DS_GPS OTHER_PJ" xfId="0"/>
    <cellStyle name="_PJ_DS_PC Products" xfId="0"/>
    <cellStyle name="_PJ_DS_PC Products 2" xfId="0"/>
    <cellStyle name="_PJ_DS_PC Products 3" xfId="0"/>
    <cellStyle name="_PJ_DS_PC Products 4" xfId="0"/>
    <cellStyle name="_PJ_DS_PC Products 4 2" xfId="0"/>
    <cellStyle name="_PJ_DS_PC Products_By Region" xfId="0"/>
    <cellStyle name="_PJ_DS_PC Products_CORP SG&amp;A" xfId="0"/>
    <cellStyle name="_PJ_DS_PC Products_LCD" xfId="0"/>
    <cellStyle name="_PJ_DS_PC Products_PJ" xfId="0"/>
    <cellStyle name="_PJ_DS_VSA 111014" xfId="0"/>
    <cellStyle name="_PJ_DS_VSA 111014 2" xfId="0"/>
    <cellStyle name="_PJ_DS_VSA 111014 3" xfId="0"/>
    <cellStyle name="_PJ_DS_VSA 111014 4" xfId="0"/>
    <cellStyle name="_PJ_DS_VSA 111014 4 2" xfId="0"/>
    <cellStyle name="_PJ_DS_VSA 111014_By Region" xfId="0"/>
    <cellStyle name="_PJ_DS_VSA 111014_CORP SG&amp;A" xfId="0"/>
    <cellStyle name="_PJ_DS_VSA 111014_LCD" xfId="0"/>
    <cellStyle name="_PJ_DS_VSA 111014_PJ" xfId="0"/>
    <cellStyle name="_PJ_DS_VSA Roll-Up (LW)" xfId="0"/>
    <cellStyle name="_PJ_DS_VSA Roll-Up (LW) 2" xfId="0"/>
    <cellStyle name="_PJ_DS_VSA Roll-Up (LW) 3" xfId="0"/>
    <cellStyle name="_PJ_DS_VSA Roll-Up (LW) 4" xfId="0"/>
    <cellStyle name="_PJ_DS_VSA Roll-Up (LW) 4 2" xfId="0"/>
    <cellStyle name="_PJ_DS_VSA Roll-Up (LW)_By Region" xfId="0"/>
    <cellStyle name="_PJ_DS_VSA Roll-Up (LW)_CORP SG&amp;A" xfId="0"/>
    <cellStyle name="_PJ_DS_VSA Roll-Up (LW)_LCD" xfId="0"/>
    <cellStyle name="_PJ_DS_VSA Roll-Up (LW)_PJ" xfId="0"/>
    <cellStyle name="_PJ_DVD_TV" xfId="0"/>
    <cellStyle name="_PJ_DVD_TV 2" xfId="0"/>
    <cellStyle name="_PJ_DVD_TV 3" xfId="0"/>
    <cellStyle name="_PJ_DVD_TV 4" xfId="0"/>
    <cellStyle name="_PJ_DVD_TV_By Region" xfId="0"/>
    <cellStyle name="_PJ_DVD_TV_CORP SG&amp;A" xfId="0"/>
    <cellStyle name="_PJ_DVD_TV_GPS OTHER" xfId="0"/>
    <cellStyle name="_PJ_DVD_TV_GPS OTHER 2" xfId="0"/>
    <cellStyle name="_PJ_DVD_TV_GPS OTHER 3" xfId="0"/>
    <cellStyle name="_PJ_DVD_TV_GPS OTHER 4" xfId="0"/>
    <cellStyle name="_PJ_DVD_TV_GPS OTHER 4 2" xfId="0"/>
    <cellStyle name="_PJ_DVD_TV_GPS OTHER_By Region" xfId="0"/>
    <cellStyle name="_PJ_DVD_TV_GPS OTHER_CORP SG&amp;A" xfId="0"/>
    <cellStyle name="_PJ_DVD_TV_GPS OTHER_LCD" xfId="0"/>
    <cellStyle name="_PJ_DVD_TV_GPS OTHER_PJ" xfId="0"/>
    <cellStyle name="_PJ_DVD_TV_PC Products" xfId="0"/>
    <cellStyle name="_PJ_DVD_TV_PC Products 2" xfId="0"/>
    <cellStyle name="_PJ_DVD_TV_PC Products 3" xfId="0"/>
    <cellStyle name="_PJ_DVD_TV_PC Products 4" xfId="0"/>
    <cellStyle name="_PJ_DVD_TV_PC Products 4 2" xfId="0"/>
    <cellStyle name="_PJ_DVD_TV_PC Products_By Region" xfId="0"/>
    <cellStyle name="_PJ_DVD_TV_PC Products_CORP SG&amp;A" xfId="0"/>
    <cellStyle name="_PJ_DVD_TV_PC Products_LCD" xfId="0"/>
    <cellStyle name="_PJ_DVD_TV_PC Products_PJ" xfId="0"/>
    <cellStyle name="_PJ_DVD_TV_VSA 111014" xfId="0"/>
    <cellStyle name="_PJ_DVD_TV_VSA 111014 2" xfId="0"/>
    <cellStyle name="_PJ_DVD_TV_VSA 111014 3" xfId="0"/>
    <cellStyle name="_PJ_DVD_TV_VSA 111014 4" xfId="0"/>
    <cellStyle name="_PJ_DVD_TV_VSA 111014 4 2" xfId="0"/>
    <cellStyle name="_PJ_DVD_TV_VSA 111014_By Region" xfId="0"/>
    <cellStyle name="_PJ_DVD_TV_VSA 111014_CORP SG&amp;A" xfId="0"/>
    <cellStyle name="_PJ_DVD_TV_VSA 111014_LCD" xfId="0"/>
    <cellStyle name="_PJ_DVD_TV_VSA 111014_PJ" xfId="0"/>
    <cellStyle name="_PJ_DVD_TV_VSA Roll-Up (LW)" xfId="0"/>
    <cellStyle name="_PJ_DVD_TV_VSA Roll-Up (LW) 2" xfId="0"/>
    <cellStyle name="_PJ_DVD_TV_VSA Roll-Up (LW) 3" xfId="0"/>
    <cellStyle name="_PJ_DVD_TV_VSA Roll-Up (LW) 4" xfId="0"/>
    <cellStyle name="_PJ_DVD_TV_VSA Roll-Up (LW) 4 2" xfId="0"/>
    <cellStyle name="_PJ_DVD_TV_VSA Roll-Up (LW)_By Region" xfId="0"/>
    <cellStyle name="_PJ_DVD_TV_VSA Roll-Up (LW)_CORP SG&amp;A" xfId="0"/>
    <cellStyle name="_PJ_DVD_TV_VSA Roll-Up (LW)_LCD" xfId="0"/>
    <cellStyle name="_PJ_DVD_TV_VSA Roll-Up (LW)_PJ" xfId="0"/>
    <cellStyle name="_PJ_GPS OTHER" xfId="0"/>
    <cellStyle name="_PJ_GPS OTHER 2" xfId="0"/>
    <cellStyle name="_PJ_GPS OTHER 3" xfId="0"/>
    <cellStyle name="_PJ_GPS OTHER 4" xfId="0"/>
    <cellStyle name="_PJ_GPS OTHER 4 2" xfId="0"/>
    <cellStyle name="_PJ_GPS OTHER_By Region" xfId="0"/>
    <cellStyle name="_PJ_GPS OTHER_CORP SG&amp;A" xfId="0"/>
    <cellStyle name="_PJ_GPS OTHER_LCD" xfId="0"/>
    <cellStyle name="_PJ_GPS OTHER_PJ" xfId="0"/>
    <cellStyle name="_PJ_LCD" xfId="0"/>
    <cellStyle name="_PJ_LCD 2" xfId="0"/>
    <cellStyle name="_PJ_LCD 3" xfId="0"/>
    <cellStyle name="_PJ_LCD 4" xfId="0"/>
    <cellStyle name="_PJ_LCD_By Region" xfId="0"/>
    <cellStyle name="_PJ_LCD_CORP SG&amp;A" xfId="0"/>
    <cellStyle name="_PJ_LCD_GPS OTHER" xfId="0"/>
    <cellStyle name="_PJ_LCD_GPS OTHER 2" xfId="0"/>
    <cellStyle name="_PJ_LCD_GPS OTHER 3" xfId="0"/>
    <cellStyle name="_PJ_LCD_GPS OTHER 4" xfId="0"/>
    <cellStyle name="_PJ_LCD_GPS OTHER 4 2" xfId="0"/>
    <cellStyle name="_PJ_LCD_GPS OTHER_By Region" xfId="0"/>
    <cellStyle name="_PJ_LCD_GPS OTHER_CORP SG&amp;A" xfId="0"/>
    <cellStyle name="_PJ_LCD_GPS OTHER_LCD" xfId="0"/>
    <cellStyle name="_PJ_LCD_GPS OTHER_PJ" xfId="0"/>
    <cellStyle name="_PJ_LCD_PC Products" xfId="0"/>
    <cellStyle name="_PJ_LCD_PC Products 2" xfId="0"/>
    <cellStyle name="_PJ_LCD_PC Products 3" xfId="0"/>
    <cellStyle name="_PJ_LCD_PC Products 4" xfId="0"/>
    <cellStyle name="_PJ_LCD_PC Products 4 2" xfId="0"/>
    <cellStyle name="_PJ_LCD_PC Products_By Region" xfId="0"/>
    <cellStyle name="_PJ_LCD_PC Products_CORP SG&amp;A" xfId="0"/>
    <cellStyle name="_PJ_LCD_PC Products_LCD" xfId="0"/>
    <cellStyle name="_PJ_LCD_PC Products_PJ" xfId="0"/>
    <cellStyle name="_PJ_LCD_VSA 111014" xfId="0"/>
    <cellStyle name="_PJ_LCD_VSA 111014 2" xfId="0"/>
    <cellStyle name="_PJ_LCD_VSA 111014 3" xfId="0"/>
    <cellStyle name="_PJ_LCD_VSA 111014 4" xfId="0"/>
    <cellStyle name="_PJ_LCD_VSA 111014 4 2" xfId="0"/>
    <cellStyle name="_PJ_LCD_VSA 111014_By Region" xfId="0"/>
    <cellStyle name="_PJ_LCD_VSA 111014_CORP SG&amp;A" xfId="0"/>
    <cellStyle name="_PJ_LCD_VSA 111014_LCD" xfId="0"/>
    <cellStyle name="_PJ_LCD_VSA 111014_PJ" xfId="0"/>
    <cellStyle name="_PJ_LCD_VSA Roll-Up (LW)" xfId="0"/>
    <cellStyle name="_PJ_LCD_VSA Roll-Up (LW) 2" xfId="0"/>
    <cellStyle name="_PJ_LCD_VSA Roll-Up (LW) 3" xfId="0"/>
    <cellStyle name="_PJ_LCD_VSA Roll-Up (LW) 4" xfId="0"/>
    <cellStyle name="_PJ_LCD_VSA Roll-Up (LW) 4 2" xfId="0"/>
    <cellStyle name="_PJ_LCD_VSA Roll-Up (LW)_By Region" xfId="0"/>
    <cellStyle name="_PJ_LCD_VSA Roll-Up (LW)_CORP SG&amp;A" xfId="0"/>
    <cellStyle name="_PJ_LCD_VSA Roll-Up (LW)_LCD" xfId="0"/>
    <cellStyle name="_PJ_LCD_VSA Roll-Up (LW)_PJ" xfId="0"/>
    <cellStyle name="_PJ_LCDTV" xfId="0"/>
    <cellStyle name="_PJ_LCDTV 2" xfId="0"/>
    <cellStyle name="_PJ_LCDTV 3" xfId="0"/>
    <cellStyle name="_PJ_LCDTV 4" xfId="0"/>
    <cellStyle name="_PJ_LCDTV_By Region" xfId="0"/>
    <cellStyle name="_PJ_LCDTV_CORP SG&amp;A" xfId="0"/>
    <cellStyle name="_PJ_LCDTV_GPS OTHER" xfId="0"/>
    <cellStyle name="_PJ_LCDTV_GPS OTHER 2" xfId="0"/>
    <cellStyle name="_PJ_LCDTV_GPS OTHER 3" xfId="0"/>
    <cellStyle name="_PJ_LCDTV_GPS OTHER 4" xfId="0"/>
    <cellStyle name="_PJ_LCDTV_GPS OTHER 4 2" xfId="0"/>
    <cellStyle name="_PJ_LCDTV_GPS OTHER_By Region" xfId="0"/>
    <cellStyle name="_PJ_LCDTV_GPS OTHER_CORP SG&amp;A" xfId="0"/>
    <cellStyle name="_PJ_LCDTV_GPS OTHER_LCD" xfId="0"/>
    <cellStyle name="_PJ_LCDTV_GPS OTHER_PJ" xfId="0"/>
    <cellStyle name="_PJ_LCDTV_PC Products" xfId="0"/>
    <cellStyle name="_PJ_LCDTV_PC Products 2" xfId="0"/>
    <cellStyle name="_PJ_LCDTV_PC Products 3" xfId="0"/>
    <cellStyle name="_PJ_LCDTV_PC Products 4" xfId="0"/>
    <cellStyle name="_PJ_LCDTV_PC Products 4 2" xfId="0"/>
    <cellStyle name="_PJ_LCDTV_PC Products_By Region" xfId="0"/>
    <cellStyle name="_PJ_LCDTV_PC Products_CORP SG&amp;A" xfId="0"/>
    <cellStyle name="_PJ_LCDTV_PC Products_LCD" xfId="0"/>
    <cellStyle name="_PJ_LCDTV_PC Products_PJ" xfId="0"/>
    <cellStyle name="_PJ_LCDTV_VSA 111014" xfId="0"/>
    <cellStyle name="_PJ_LCDTV_VSA 111014 2" xfId="0"/>
    <cellStyle name="_PJ_LCDTV_VSA 111014 3" xfId="0"/>
    <cellStyle name="_PJ_LCDTV_VSA 111014 4" xfId="0"/>
    <cellStyle name="_PJ_LCDTV_VSA 111014 4 2" xfId="0"/>
    <cellStyle name="_PJ_LCDTV_VSA 111014_By Region" xfId="0"/>
    <cellStyle name="_PJ_LCDTV_VSA 111014_CORP SG&amp;A" xfId="0"/>
    <cellStyle name="_PJ_LCDTV_VSA 111014_LCD" xfId="0"/>
    <cellStyle name="_PJ_LCDTV_VSA 111014_PJ" xfId="0"/>
    <cellStyle name="_PJ_LCDTV_VSA Roll-Up (LW)" xfId="0"/>
    <cellStyle name="_PJ_LCDTV_VSA Roll-Up (LW) 2" xfId="0"/>
    <cellStyle name="_PJ_LCDTV_VSA Roll-Up (LW) 3" xfId="0"/>
    <cellStyle name="_PJ_LCDTV_VSA Roll-Up (LW) 4" xfId="0"/>
    <cellStyle name="_PJ_LCDTV_VSA Roll-Up (LW) 4 2" xfId="0"/>
    <cellStyle name="_PJ_LCDTV_VSA Roll-Up (LW)_By Region" xfId="0"/>
    <cellStyle name="_PJ_LCDTV_VSA Roll-Up (LW)_CORP SG&amp;A" xfId="0"/>
    <cellStyle name="_PJ_LCDTV_VSA Roll-Up (LW)_LCD" xfId="0"/>
    <cellStyle name="_PJ_LCDTV_VSA Roll-Up (LW)_PJ" xfId="0"/>
    <cellStyle name="_PJ_MNT" xfId="0"/>
    <cellStyle name="_PJ_MNT 2" xfId="0"/>
    <cellStyle name="_PJ_MNT 3" xfId="0"/>
    <cellStyle name="_PJ_MNT 4" xfId="0"/>
    <cellStyle name="_PJ_MNT_By Region" xfId="0"/>
    <cellStyle name="_PJ_MNT_CORP SG&amp;A" xfId="0"/>
    <cellStyle name="_PJ_MNT_GPS OTHER" xfId="0"/>
    <cellStyle name="_PJ_MNT_GPS OTHER 2" xfId="0"/>
    <cellStyle name="_PJ_MNT_GPS OTHER 3" xfId="0"/>
    <cellStyle name="_PJ_MNT_GPS OTHER 4" xfId="0"/>
    <cellStyle name="_PJ_MNT_GPS OTHER 4 2" xfId="0"/>
    <cellStyle name="_PJ_MNT_GPS OTHER_By Region" xfId="0"/>
    <cellStyle name="_PJ_MNT_GPS OTHER_CORP SG&amp;A" xfId="0"/>
    <cellStyle name="_PJ_MNT_GPS OTHER_LCD" xfId="0"/>
    <cellStyle name="_PJ_MNT_GPS OTHER_PJ" xfId="0"/>
    <cellStyle name="_PJ_MNT_PC Products" xfId="0"/>
    <cellStyle name="_PJ_MNT_PC Products 2" xfId="0"/>
    <cellStyle name="_PJ_MNT_PC Products 3" xfId="0"/>
    <cellStyle name="_PJ_MNT_PC Products 4" xfId="0"/>
    <cellStyle name="_PJ_MNT_PC Products 4 2" xfId="0"/>
    <cellStyle name="_PJ_MNT_PC Products_By Region" xfId="0"/>
    <cellStyle name="_PJ_MNT_PC Products_CORP SG&amp;A" xfId="0"/>
    <cellStyle name="_PJ_MNT_PC Products_LCD" xfId="0"/>
    <cellStyle name="_PJ_MNT_PC Products_PJ" xfId="0"/>
    <cellStyle name="_PJ_MNT_VSA 111014" xfId="0"/>
    <cellStyle name="_PJ_MNT_VSA 111014 2" xfId="0"/>
    <cellStyle name="_PJ_MNT_VSA 111014 3" xfId="0"/>
    <cellStyle name="_PJ_MNT_VSA 111014 4" xfId="0"/>
    <cellStyle name="_PJ_MNT_VSA 111014 4 2" xfId="0"/>
    <cellStyle name="_PJ_MNT_VSA 111014_By Region" xfId="0"/>
    <cellStyle name="_PJ_MNT_VSA 111014_CORP SG&amp;A" xfId="0"/>
    <cellStyle name="_PJ_MNT_VSA 111014_LCD" xfId="0"/>
    <cellStyle name="_PJ_MNT_VSA 111014_PJ" xfId="0"/>
    <cellStyle name="_PJ_MNT_VSA Roll-Up (LW)" xfId="0"/>
    <cellStyle name="_PJ_MNT_VSA Roll-Up (LW) 2" xfId="0"/>
    <cellStyle name="_PJ_MNT_VSA Roll-Up (LW) 3" xfId="0"/>
    <cellStyle name="_PJ_MNT_VSA Roll-Up (LW) 4" xfId="0"/>
    <cellStyle name="_PJ_MNT_VSA Roll-Up (LW) 4 2" xfId="0"/>
    <cellStyle name="_PJ_MNT_VSA Roll-Up (LW)_By Region" xfId="0"/>
    <cellStyle name="_PJ_MNT_VSA Roll-Up (LW)_CORP SG&amp;A" xfId="0"/>
    <cellStyle name="_PJ_MNT_VSA Roll-Up (LW)_LCD" xfId="0"/>
    <cellStyle name="_PJ_MNT_VSA Roll-Up (LW)_PJ" xfId="0"/>
    <cellStyle name="_PJ_Other" xfId="0"/>
    <cellStyle name="_PJ_Other 2" xfId="0"/>
    <cellStyle name="_PJ_Other 3" xfId="0"/>
    <cellStyle name="_PJ_Other 4" xfId="0"/>
    <cellStyle name="_PJ_Other_By Region" xfId="0"/>
    <cellStyle name="_PJ_Other_CORP SG&amp;A" xfId="0"/>
    <cellStyle name="_PJ_Other_GPS OTHER" xfId="0"/>
    <cellStyle name="_PJ_Other_GPS OTHER 2" xfId="0"/>
    <cellStyle name="_PJ_Other_GPS OTHER 3" xfId="0"/>
    <cellStyle name="_PJ_Other_GPS OTHER 4" xfId="0"/>
    <cellStyle name="_PJ_Other_GPS OTHER 4 2" xfId="0"/>
    <cellStyle name="_PJ_Other_GPS OTHER_By Region" xfId="0"/>
    <cellStyle name="_PJ_Other_GPS OTHER_CORP SG&amp;A" xfId="0"/>
    <cellStyle name="_PJ_Other_GPS OTHER_LCD" xfId="0"/>
    <cellStyle name="_PJ_Other_GPS OTHER_PJ" xfId="0"/>
    <cellStyle name="_PJ_Other_PC Products" xfId="0"/>
    <cellStyle name="_PJ_Other_PC Products 2" xfId="0"/>
    <cellStyle name="_PJ_Other_PC Products 3" xfId="0"/>
    <cellStyle name="_PJ_Other_PC Products 4" xfId="0"/>
    <cellStyle name="_PJ_Other_PC Products 4 2" xfId="0"/>
    <cellStyle name="_PJ_Other_PC Products_By Region" xfId="0"/>
    <cellStyle name="_PJ_Other_PC Products_CORP SG&amp;A" xfId="0"/>
    <cellStyle name="_PJ_Other_PC Products_LCD" xfId="0"/>
    <cellStyle name="_PJ_Other_PC Products_PJ" xfId="0"/>
    <cellStyle name="_PJ_Other_VSA 111014" xfId="0"/>
    <cellStyle name="_PJ_Other_VSA 111014 2" xfId="0"/>
    <cellStyle name="_PJ_Other_VSA 111014 3" xfId="0"/>
    <cellStyle name="_PJ_Other_VSA 111014 4" xfId="0"/>
    <cellStyle name="_PJ_Other_VSA 111014 4 2" xfId="0"/>
    <cellStyle name="_PJ_Other_VSA 111014_By Region" xfId="0"/>
    <cellStyle name="_PJ_Other_VSA 111014_CORP SG&amp;A" xfId="0"/>
    <cellStyle name="_PJ_Other_VSA 111014_LCD" xfId="0"/>
    <cellStyle name="_PJ_Other_VSA 111014_PJ" xfId="0"/>
    <cellStyle name="_PJ_Other_VSA Roll-Up (LW)" xfId="0"/>
    <cellStyle name="_PJ_Other_VSA Roll-Up (LW) 2" xfId="0"/>
    <cellStyle name="_PJ_Other_VSA Roll-Up (LW) 3" xfId="0"/>
    <cellStyle name="_PJ_Other_VSA Roll-Up (LW) 4" xfId="0"/>
    <cellStyle name="_PJ_Other_VSA Roll-Up (LW) 4 2" xfId="0"/>
    <cellStyle name="_PJ_Other_VSA Roll-Up (LW)_By Region" xfId="0"/>
    <cellStyle name="_PJ_Other_VSA Roll-Up (LW)_CORP SG&amp;A" xfId="0"/>
    <cellStyle name="_PJ_Other_VSA Roll-Up (LW)_LCD" xfId="0"/>
    <cellStyle name="_PJ_Other_VSA Roll-Up (LW)_PJ" xfId="0"/>
    <cellStyle name="_PJ_PC" xfId="0"/>
    <cellStyle name="_PJ_PC 2" xfId="0"/>
    <cellStyle name="_PJ_PC 3" xfId="0"/>
    <cellStyle name="_PJ_PC 4" xfId="0"/>
    <cellStyle name="_PJ_PC Products" xfId="0"/>
    <cellStyle name="_PJ_PC Products 2" xfId="0"/>
    <cellStyle name="_PJ_PC Products 3" xfId="0"/>
    <cellStyle name="_PJ_PC Products 4" xfId="0"/>
    <cellStyle name="_PJ_PC Products 4 2" xfId="0"/>
    <cellStyle name="_PJ_PC Products_By Region" xfId="0"/>
    <cellStyle name="_PJ_PC Products_CORP SG&amp;A" xfId="0"/>
    <cellStyle name="_PJ_PC Products_LCD" xfId="0"/>
    <cellStyle name="_PJ_PC Products_PJ" xfId="0"/>
    <cellStyle name="_PJ_PC_By Region" xfId="0"/>
    <cellStyle name="_PJ_PC_CORP SG&amp;A" xfId="0"/>
    <cellStyle name="_PJ_PC_DT" xfId="0"/>
    <cellStyle name="_PJ_PC_DT 2" xfId="0"/>
    <cellStyle name="_PJ_PC_DT 3" xfId="0"/>
    <cellStyle name="_PJ_PC_DT_By Region" xfId="0"/>
    <cellStyle name="_PJ_PC_GPS OTHER" xfId="0"/>
    <cellStyle name="_PJ_PC_GPS OTHER 2" xfId="0"/>
    <cellStyle name="_PJ_PC_GPS OTHER 3" xfId="0"/>
    <cellStyle name="_PJ_PC_GPS OTHER 4" xfId="0"/>
    <cellStyle name="_PJ_PC_GPS OTHER 4 2" xfId="0"/>
    <cellStyle name="_PJ_PC_GPS OTHER_By Region" xfId="0"/>
    <cellStyle name="_PJ_PC_GPS OTHER_CORP SG&amp;A" xfId="0"/>
    <cellStyle name="_PJ_PC_GPS OTHER_LCD" xfId="0"/>
    <cellStyle name="_PJ_PC_GPS OTHER_PJ" xfId="0"/>
    <cellStyle name="_PJ_PC_PC Products" xfId="0"/>
    <cellStyle name="_PJ_PC_PC Products 2" xfId="0"/>
    <cellStyle name="_PJ_PC_PC Products 3" xfId="0"/>
    <cellStyle name="_PJ_PC_PC Products 4" xfId="0"/>
    <cellStyle name="_PJ_PC_PC Products 4 2" xfId="0"/>
    <cellStyle name="_PJ_PC_PC Products_By Region" xfId="0"/>
    <cellStyle name="_PJ_PC_PC Products_CORP SG&amp;A" xfId="0"/>
    <cellStyle name="_PJ_PC_PC Products_LCD" xfId="0"/>
    <cellStyle name="_PJ_PC_PC Products_PJ" xfId="0"/>
    <cellStyle name="_PJ_PC_TV" xfId="0"/>
    <cellStyle name="_PJ_PC_TV 2" xfId="0"/>
    <cellStyle name="_PJ_PC_TV 3" xfId="0"/>
    <cellStyle name="_PJ_PC_TV 4" xfId="0"/>
    <cellStyle name="_PJ_PC_TV_By Region" xfId="0"/>
    <cellStyle name="_PJ_PC_TV_CORP SG&amp;A" xfId="0"/>
    <cellStyle name="_PJ_PC_TV_GPS OTHER" xfId="0"/>
    <cellStyle name="_PJ_PC_TV_GPS OTHER 2" xfId="0"/>
    <cellStyle name="_PJ_PC_TV_GPS OTHER 3" xfId="0"/>
    <cellStyle name="_PJ_PC_TV_GPS OTHER 4" xfId="0"/>
    <cellStyle name="_PJ_PC_TV_GPS OTHER 4 2" xfId="0"/>
    <cellStyle name="_PJ_PC_TV_GPS OTHER_By Region" xfId="0"/>
    <cellStyle name="_PJ_PC_TV_GPS OTHER_CORP SG&amp;A" xfId="0"/>
    <cellStyle name="_PJ_PC_TV_GPS OTHER_LCD" xfId="0"/>
    <cellStyle name="_PJ_PC_TV_GPS OTHER_PJ" xfId="0"/>
    <cellStyle name="_PJ_PC_TV_PC Products" xfId="0"/>
    <cellStyle name="_PJ_PC_TV_PC Products 2" xfId="0"/>
    <cellStyle name="_PJ_PC_TV_PC Products 3" xfId="0"/>
    <cellStyle name="_PJ_PC_TV_PC Products 4" xfId="0"/>
    <cellStyle name="_PJ_PC_TV_PC Products 4 2" xfId="0"/>
    <cellStyle name="_PJ_PC_TV_PC Products_By Region" xfId="0"/>
    <cellStyle name="_PJ_PC_TV_PC Products_CORP SG&amp;A" xfId="0"/>
    <cellStyle name="_PJ_PC_TV_PC Products_LCD" xfId="0"/>
    <cellStyle name="_PJ_PC_TV_PC Products_PJ" xfId="0"/>
    <cellStyle name="_PJ_PC_TV_VSA 111014" xfId="0"/>
    <cellStyle name="_PJ_PC_TV_VSA 111014 2" xfId="0"/>
    <cellStyle name="_PJ_PC_TV_VSA 111014 3" xfId="0"/>
    <cellStyle name="_PJ_PC_TV_VSA 111014 4" xfId="0"/>
    <cellStyle name="_PJ_PC_TV_VSA 111014 4 2" xfId="0"/>
    <cellStyle name="_PJ_PC_TV_VSA 111014_By Region" xfId="0"/>
    <cellStyle name="_PJ_PC_TV_VSA 111014_CORP SG&amp;A" xfId="0"/>
    <cellStyle name="_PJ_PC_TV_VSA 111014_LCD" xfId="0"/>
    <cellStyle name="_PJ_PC_TV_VSA 111014_PJ" xfId="0"/>
    <cellStyle name="_PJ_PC_TV_VSA Roll-Up (LW)" xfId="0"/>
    <cellStyle name="_PJ_PC_TV_VSA Roll-Up (LW) 2" xfId="0"/>
    <cellStyle name="_PJ_PC_TV_VSA Roll-Up (LW) 3" xfId="0"/>
    <cellStyle name="_PJ_PC_TV_VSA Roll-Up (LW) 4" xfId="0"/>
    <cellStyle name="_PJ_PC_TV_VSA Roll-Up (LW) 4 2" xfId="0"/>
    <cellStyle name="_PJ_PC_TV_VSA Roll-Up (LW)_By Region" xfId="0"/>
    <cellStyle name="_PJ_PC_TV_VSA Roll-Up (LW)_CORP SG&amp;A" xfId="0"/>
    <cellStyle name="_PJ_PC_TV_VSA Roll-Up (LW)_LCD" xfId="0"/>
    <cellStyle name="_PJ_PC_TV_VSA Roll-Up (LW)_PJ" xfId="0"/>
    <cellStyle name="_PJ_PC_VSA 111014" xfId="0"/>
    <cellStyle name="_PJ_PC_VSA 111014 2" xfId="0"/>
    <cellStyle name="_PJ_PC_VSA 111014 3" xfId="0"/>
    <cellStyle name="_PJ_PC_VSA 111014 4" xfId="0"/>
    <cellStyle name="_PJ_PC_VSA 111014 4 2" xfId="0"/>
    <cellStyle name="_PJ_PC_VSA 111014_By Region" xfId="0"/>
    <cellStyle name="_PJ_PC_VSA 111014_CORP SG&amp;A" xfId="0"/>
    <cellStyle name="_PJ_PC_VSA 111014_LCD" xfId="0"/>
    <cellStyle name="_PJ_PC_VSA 111014_PJ" xfId="0"/>
    <cellStyle name="_PJ_PC_VSA Roll-Up (LW)" xfId="0"/>
    <cellStyle name="_PJ_PC_VSA Roll-Up (LW) 2" xfId="0"/>
    <cellStyle name="_PJ_PC_VSA Roll-Up (LW) 3" xfId="0"/>
    <cellStyle name="_PJ_PC_VSA Roll-Up (LW) 4" xfId="0"/>
    <cellStyle name="_PJ_PC_VSA Roll-Up (LW) 4 2" xfId="0"/>
    <cellStyle name="_PJ_PC_VSA Roll-Up (LW)_By Region" xfId="0"/>
    <cellStyle name="_PJ_PC_VSA Roll-Up (LW)_CORP SG&amp;A" xfId="0"/>
    <cellStyle name="_PJ_PC_VSA Roll-Up (LW)_LCD" xfId="0"/>
    <cellStyle name="_PJ_PC_VSA Roll-Up (LW)_PJ" xfId="0"/>
    <cellStyle name="_PJ_PJ" xfId="0"/>
    <cellStyle name="_PJ_PJ 2" xfId="0"/>
    <cellStyle name="_PJ_PJ 3" xfId="0"/>
    <cellStyle name="_PJ_PJ 4" xfId="0"/>
    <cellStyle name="_PJ_PJ_By Region" xfId="0"/>
    <cellStyle name="_PJ_PJ_CORP SG&amp;A" xfId="0"/>
    <cellStyle name="_PJ_PJ_GPS OTHER" xfId="0"/>
    <cellStyle name="_PJ_PJ_GPS OTHER 2" xfId="0"/>
    <cellStyle name="_PJ_PJ_GPS OTHER 3" xfId="0"/>
    <cellStyle name="_PJ_PJ_GPS OTHER 4" xfId="0"/>
    <cellStyle name="_PJ_PJ_GPS OTHER 4 2" xfId="0"/>
    <cellStyle name="_PJ_PJ_GPS OTHER_By Region" xfId="0"/>
    <cellStyle name="_PJ_PJ_GPS OTHER_CORP SG&amp;A" xfId="0"/>
    <cellStyle name="_PJ_PJ_GPS OTHER_LCD" xfId="0"/>
    <cellStyle name="_PJ_PJ_GPS OTHER_PJ" xfId="0"/>
    <cellStyle name="_PJ_PJ_PC Products" xfId="0"/>
    <cellStyle name="_PJ_PJ_PC Products 2" xfId="0"/>
    <cellStyle name="_PJ_PJ_PC Products 3" xfId="0"/>
    <cellStyle name="_PJ_PJ_PC Products 4" xfId="0"/>
    <cellStyle name="_PJ_PJ_PC Products 4 2" xfId="0"/>
    <cellStyle name="_PJ_PJ_PC Products_By Region" xfId="0"/>
    <cellStyle name="_PJ_PJ_PC Products_CORP SG&amp;A" xfId="0"/>
    <cellStyle name="_PJ_PJ_PC Products_LCD" xfId="0"/>
    <cellStyle name="_PJ_PJ_PC Products_PJ" xfId="0"/>
    <cellStyle name="_PJ_PJ_VSA 111014" xfId="0"/>
    <cellStyle name="_PJ_PJ_VSA 111014 2" xfId="0"/>
    <cellStyle name="_PJ_PJ_VSA 111014 3" xfId="0"/>
    <cellStyle name="_PJ_PJ_VSA 111014 4" xfId="0"/>
    <cellStyle name="_PJ_PJ_VSA 111014 4 2" xfId="0"/>
    <cellStyle name="_PJ_PJ_VSA 111014_By Region" xfId="0"/>
    <cellStyle name="_PJ_PJ_VSA 111014_CORP SG&amp;A" xfId="0"/>
    <cellStyle name="_PJ_PJ_VSA 111014_LCD" xfId="0"/>
    <cellStyle name="_PJ_PJ_VSA 111014_PJ" xfId="0"/>
    <cellStyle name="_PJ_PJ_VSA Roll-Up (LW)" xfId="0"/>
    <cellStyle name="_PJ_PJ_VSA Roll-Up (LW) 2" xfId="0"/>
    <cellStyle name="_PJ_PJ_VSA Roll-Up (LW) 3" xfId="0"/>
    <cellStyle name="_PJ_PJ_VSA Roll-Up (LW) 4" xfId="0"/>
    <cellStyle name="_PJ_PJ_VSA Roll-Up (LW) 4 2" xfId="0"/>
    <cellStyle name="_PJ_PJ_VSA Roll-Up (LW)_By Region" xfId="0"/>
    <cellStyle name="_PJ_PJ_VSA Roll-Up (LW)_CORP SG&amp;A" xfId="0"/>
    <cellStyle name="_PJ_PJ_VSA Roll-Up (LW)_LCD" xfId="0"/>
    <cellStyle name="_PJ_PJ_VSA Roll-Up (LW)_PJ" xfId="0"/>
    <cellStyle name="_PJ_PMP(VPD)" xfId="0"/>
    <cellStyle name="_PJ_PMP(VPD) 2" xfId="0"/>
    <cellStyle name="_PJ_PMP(VPD) 3" xfId="0"/>
    <cellStyle name="_PJ_PMP(VPD) 4" xfId="0"/>
    <cellStyle name="_PJ_PMP(VPD)_By Region" xfId="0"/>
    <cellStyle name="_PJ_PMP(VPD)_CORP SG&amp;A" xfId="0"/>
    <cellStyle name="_PJ_PMP(VPD)_GPS OTHER" xfId="0"/>
    <cellStyle name="_PJ_PMP(VPD)_GPS OTHER 2" xfId="0"/>
    <cellStyle name="_PJ_PMP(VPD)_GPS OTHER 3" xfId="0"/>
    <cellStyle name="_PJ_PMP(VPD)_GPS OTHER 4" xfId="0"/>
    <cellStyle name="_PJ_PMP(VPD)_GPS OTHER 4 2" xfId="0"/>
    <cellStyle name="_PJ_PMP(VPD)_GPS OTHER_By Region" xfId="0"/>
    <cellStyle name="_PJ_PMP(VPD)_GPS OTHER_CORP SG&amp;A" xfId="0"/>
    <cellStyle name="_PJ_PMP(VPD)_GPS OTHER_LCD" xfId="0"/>
    <cellStyle name="_PJ_PMP(VPD)_GPS OTHER_PJ" xfId="0"/>
    <cellStyle name="_PJ_PMP(VPD)_PC Products" xfId="0"/>
    <cellStyle name="_PJ_PMP(VPD)_PC Products 2" xfId="0"/>
    <cellStyle name="_PJ_PMP(VPD)_PC Products 3" xfId="0"/>
    <cellStyle name="_PJ_PMP(VPD)_PC Products 4" xfId="0"/>
    <cellStyle name="_PJ_PMP(VPD)_PC Products 4 2" xfId="0"/>
    <cellStyle name="_PJ_PMP(VPD)_PC Products_By Region" xfId="0"/>
    <cellStyle name="_PJ_PMP(VPD)_PC Products_CORP SG&amp;A" xfId="0"/>
    <cellStyle name="_PJ_PMP(VPD)_PC Products_LCD" xfId="0"/>
    <cellStyle name="_PJ_PMP(VPD)_PC Products_PJ" xfId="0"/>
    <cellStyle name="_PJ_PMP(VPD)_VSA 111014" xfId="0"/>
    <cellStyle name="_PJ_PMP(VPD)_VSA 111014 2" xfId="0"/>
    <cellStyle name="_PJ_PMP(VPD)_VSA 111014 3" xfId="0"/>
    <cellStyle name="_PJ_PMP(VPD)_VSA 111014 4" xfId="0"/>
    <cellStyle name="_PJ_PMP(VPD)_VSA 111014 4 2" xfId="0"/>
    <cellStyle name="_PJ_PMP(VPD)_VSA 111014_By Region" xfId="0"/>
    <cellStyle name="_PJ_PMP(VPD)_VSA 111014_CORP SG&amp;A" xfId="0"/>
    <cellStyle name="_PJ_PMP(VPD)_VSA 111014_LCD" xfId="0"/>
    <cellStyle name="_PJ_PMP(VPD)_VSA 111014_PJ" xfId="0"/>
    <cellStyle name="_PJ_PMP(VPD)_VSA Roll-Up (LW)" xfId="0"/>
    <cellStyle name="_PJ_PMP(VPD)_VSA Roll-Up (LW) 2" xfId="0"/>
    <cellStyle name="_PJ_PMP(VPD)_VSA Roll-Up (LW) 3" xfId="0"/>
    <cellStyle name="_PJ_PMP(VPD)_VSA Roll-Up (LW) 4" xfId="0"/>
    <cellStyle name="_PJ_PMP(VPD)_VSA Roll-Up (LW) 4 2" xfId="0"/>
    <cellStyle name="_PJ_PMP(VPD)_VSA Roll-Up (LW)_By Region" xfId="0"/>
    <cellStyle name="_PJ_PMP(VPD)_VSA Roll-Up (LW)_CORP SG&amp;A" xfId="0"/>
    <cellStyle name="_PJ_PMP(VPD)_VSA Roll-Up (LW)_LCD" xfId="0"/>
    <cellStyle name="_PJ_PMP(VPD)_VSA Roll-Up (LW)_PJ" xfId="0"/>
    <cellStyle name="_PJ_Pocket TV" xfId="0"/>
    <cellStyle name="_PJ_Pocket TV 2" xfId="0"/>
    <cellStyle name="_PJ_Pocket TV 3" xfId="0"/>
    <cellStyle name="_PJ_Pocket TV 4" xfId="0"/>
    <cellStyle name="_PJ_Pocket TV_By Region" xfId="0"/>
    <cellStyle name="_PJ_Pocket TV_CORP SG&amp;A" xfId="0"/>
    <cellStyle name="_PJ_Pocket TV_GPS OTHER" xfId="0"/>
    <cellStyle name="_PJ_Pocket TV_GPS OTHER 2" xfId="0"/>
    <cellStyle name="_PJ_Pocket TV_GPS OTHER 3" xfId="0"/>
    <cellStyle name="_PJ_Pocket TV_GPS OTHER 4" xfId="0"/>
    <cellStyle name="_PJ_Pocket TV_GPS OTHER 4 2" xfId="0"/>
    <cellStyle name="_PJ_Pocket TV_GPS OTHER_By Region" xfId="0"/>
    <cellStyle name="_PJ_Pocket TV_GPS OTHER_CORP SG&amp;A" xfId="0"/>
    <cellStyle name="_PJ_Pocket TV_GPS OTHER_LCD" xfId="0"/>
    <cellStyle name="_PJ_Pocket TV_GPS OTHER_PJ" xfId="0"/>
    <cellStyle name="_PJ_Pocket TV_PC Products" xfId="0"/>
    <cellStyle name="_PJ_Pocket TV_PC Products 2" xfId="0"/>
    <cellStyle name="_PJ_Pocket TV_PC Products 3" xfId="0"/>
    <cellStyle name="_PJ_Pocket TV_PC Products 4" xfId="0"/>
    <cellStyle name="_PJ_Pocket TV_PC Products 4 2" xfId="0"/>
    <cellStyle name="_PJ_Pocket TV_PC Products_By Region" xfId="0"/>
    <cellStyle name="_PJ_Pocket TV_PC Products_CORP SG&amp;A" xfId="0"/>
    <cellStyle name="_PJ_Pocket TV_PC Products_LCD" xfId="0"/>
    <cellStyle name="_PJ_Pocket TV_PC Products_PJ" xfId="0"/>
    <cellStyle name="_PJ_Pocket TV_VSA 111014" xfId="0"/>
    <cellStyle name="_PJ_Pocket TV_VSA 111014 2" xfId="0"/>
    <cellStyle name="_PJ_Pocket TV_VSA 111014 3" xfId="0"/>
    <cellStyle name="_PJ_Pocket TV_VSA 111014 4" xfId="0"/>
    <cellStyle name="_PJ_Pocket TV_VSA 111014 4 2" xfId="0"/>
    <cellStyle name="_PJ_Pocket TV_VSA 111014_By Region" xfId="0"/>
    <cellStyle name="_PJ_Pocket TV_VSA 111014_CORP SG&amp;A" xfId="0"/>
    <cellStyle name="_PJ_Pocket TV_VSA 111014_LCD" xfId="0"/>
    <cellStyle name="_PJ_Pocket TV_VSA 111014_PJ" xfId="0"/>
    <cellStyle name="_PJ_Pocket TV_VSA Roll-Up (LW)" xfId="0"/>
    <cellStyle name="_PJ_Pocket TV_VSA Roll-Up (LW) 2" xfId="0"/>
    <cellStyle name="_PJ_Pocket TV_VSA Roll-Up (LW) 3" xfId="0"/>
    <cellStyle name="_PJ_Pocket TV_VSA Roll-Up (LW) 4" xfId="0"/>
    <cellStyle name="_PJ_Pocket TV_VSA Roll-Up (LW) 4 2" xfId="0"/>
    <cellStyle name="_PJ_Pocket TV_VSA Roll-Up (LW)_By Region" xfId="0"/>
    <cellStyle name="_PJ_Pocket TV_VSA Roll-Up (LW)_CORP SG&amp;A" xfId="0"/>
    <cellStyle name="_PJ_Pocket TV_VSA Roll-Up (LW)_LCD" xfId="0"/>
    <cellStyle name="_PJ_Pocket TV_VSA Roll-Up (LW)_PJ" xfId="0"/>
    <cellStyle name="_PJ_Pocket_TV" xfId="0"/>
    <cellStyle name="_PJ_Pocket_TV 2" xfId="0"/>
    <cellStyle name="_PJ_Pocket_TV 3" xfId="0"/>
    <cellStyle name="_PJ_Pocket_TV 4" xfId="0"/>
    <cellStyle name="_PJ_Pocket_TV_By Region" xfId="0"/>
    <cellStyle name="_PJ_Pocket_TV_CORP SG&amp;A" xfId="0"/>
    <cellStyle name="_PJ_Pocket_TV_GPS OTHER" xfId="0"/>
    <cellStyle name="_PJ_Pocket_TV_GPS OTHER 2" xfId="0"/>
    <cellStyle name="_PJ_Pocket_TV_GPS OTHER 3" xfId="0"/>
    <cellStyle name="_PJ_Pocket_TV_GPS OTHER 4" xfId="0"/>
    <cellStyle name="_PJ_Pocket_TV_GPS OTHER 4 2" xfId="0"/>
    <cellStyle name="_PJ_Pocket_TV_GPS OTHER_By Region" xfId="0"/>
    <cellStyle name="_PJ_Pocket_TV_GPS OTHER_CORP SG&amp;A" xfId="0"/>
    <cellStyle name="_PJ_Pocket_TV_GPS OTHER_LCD" xfId="0"/>
    <cellStyle name="_PJ_Pocket_TV_GPS OTHER_PJ" xfId="0"/>
    <cellStyle name="_PJ_Pocket_TV_PC Products" xfId="0"/>
    <cellStyle name="_PJ_Pocket_TV_PC Products 2" xfId="0"/>
    <cellStyle name="_PJ_Pocket_TV_PC Products 3" xfId="0"/>
    <cellStyle name="_PJ_Pocket_TV_PC Products 4" xfId="0"/>
    <cellStyle name="_PJ_Pocket_TV_PC Products 4 2" xfId="0"/>
    <cellStyle name="_PJ_Pocket_TV_PC Products_By Region" xfId="0"/>
    <cellStyle name="_PJ_Pocket_TV_PC Products_CORP SG&amp;A" xfId="0"/>
    <cellStyle name="_PJ_Pocket_TV_PC Products_LCD" xfId="0"/>
    <cellStyle name="_PJ_Pocket_TV_PC Products_PJ" xfId="0"/>
    <cellStyle name="_PJ_Pocket_TV_VSA 111014" xfId="0"/>
    <cellStyle name="_PJ_Pocket_TV_VSA 111014 2" xfId="0"/>
    <cellStyle name="_PJ_Pocket_TV_VSA 111014 3" xfId="0"/>
    <cellStyle name="_PJ_Pocket_TV_VSA 111014 4" xfId="0"/>
    <cellStyle name="_PJ_Pocket_TV_VSA 111014 4 2" xfId="0"/>
    <cellStyle name="_PJ_Pocket_TV_VSA 111014_By Region" xfId="0"/>
    <cellStyle name="_PJ_Pocket_TV_VSA 111014_CORP SG&amp;A" xfId="0"/>
    <cellStyle name="_PJ_Pocket_TV_VSA 111014_LCD" xfId="0"/>
    <cellStyle name="_PJ_Pocket_TV_VSA 111014_PJ" xfId="0"/>
    <cellStyle name="_PJ_Pocket_TV_VSA Roll-Up (LW)" xfId="0"/>
    <cellStyle name="_PJ_Pocket_TV_VSA Roll-Up (LW) 2" xfId="0"/>
    <cellStyle name="_PJ_Pocket_TV_VSA Roll-Up (LW) 3" xfId="0"/>
    <cellStyle name="_PJ_Pocket_TV_VSA Roll-Up (LW) 4" xfId="0"/>
    <cellStyle name="_PJ_Pocket_TV_VSA Roll-Up (LW) 4 2" xfId="0"/>
    <cellStyle name="_PJ_Pocket_TV_VSA Roll-Up (LW)_By Region" xfId="0"/>
    <cellStyle name="_PJ_Pocket_TV_VSA Roll-Up (LW)_CORP SG&amp;A" xfId="0"/>
    <cellStyle name="_PJ_Pocket_TV_VSA Roll-Up (LW)_LCD" xfId="0"/>
    <cellStyle name="_PJ_Pocket_TV_VSA Roll-Up (LW)_PJ" xfId="0"/>
    <cellStyle name="_PJ_TV" xfId="0"/>
    <cellStyle name="_PJ_TV 2" xfId="0"/>
    <cellStyle name="_PJ_TV 3" xfId="0"/>
    <cellStyle name="_PJ_TV 4" xfId="0"/>
    <cellStyle name="_PJ_TV_By Region" xfId="0"/>
    <cellStyle name="_PJ_TV_CORP SG&amp;A" xfId="0"/>
    <cellStyle name="_PJ_TV_GPS OTHER" xfId="0"/>
    <cellStyle name="_PJ_TV_GPS OTHER 2" xfId="0"/>
    <cellStyle name="_PJ_TV_GPS OTHER 3" xfId="0"/>
    <cellStyle name="_PJ_TV_GPS OTHER 4" xfId="0"/>
    <cellStyle name="_PJ_TV_GPS OTHER 4 2" xfId="0"/>
    <cellStyle name="_PJ_TV_GPS OTHER_By Region" xfId="0"/>
    <cellStyle name="_PJ_TV_GPS OTHER_CORP SG&amp;A" xfId="0"/>
    <cellStyle name="_PJ_TV_GPS OTHER_LCD" xfId="0"/>
    <cellStyle name="_PJ_TV_GPS OTHER_PJ" xfId="0"/>
    <cellStyle name="_PJ_TV_PC Products" xfId="0"/>
    <cellStyle name="_PJ_TV_PC Products 2" xfId="0"/>
    <cellStyle name="_PJ_TV_PC Products 3" xfId="0"/>
    <cellStyle name="_PJ_TV_PC Products 4" xfId="0"/>
    <cellStyle name="_PJ_TV_PC Products 4 2" xfId="0"/>
    <cellStyle name="_PJ_TV_PC Products_By Region" xfId="0"/>
    <cellStyle name="_PJ_TV_PC Products_CORP SG&amp;A" xfId="0"/>
    <cellStyle name="_PJ_TV_PC Products_LCD" xfId="0"/>
    <cellStyle name="_PJ_TV_PC Products_PJ" xfId="0"/>
    <cellStyle name="_PJ_TV_VSA 111014" xfId="0"/>
    <cellStyle name="_PJ_TV_VSA 111014 2" xfId="0"/>
    <cellStyle name="_PJ_TV_VSA 111014 3" xfId="0"/>
    <cellStyle name="_PJ_TV_VSA 111014 4" xfId="0"/>
    <cellStyle name="_PJ_TV_VSA 111014 4 2" xfId="0"/>
    <cellStyle name="_PJ_TV_VSA 111014_By Region" xfId="0"/>
    <cellStyle name="_PJ_TV_VSA 111014_CORP SG&amp;A" xfId="0"/>
    <cellStyle name="_PJ_TV_VSA 111014_LCD" xfId="0"/>
    <cellStyle name="_PJ_TV_VSA 111014_PJ" xfId="0"/>
    <cellStyle name="_PJ_TV_VSA Roll-Up (LW)" xfId="0"/>
    <cellStyle name="_PJ_TV_VSA Roll-Up (LW) 2" xfId="0"/>
    <cellStyle name="_PJ_TV_VSA Roll-Up (LW) 3" xfId="0"/>
    <cellStyle name="_PJ_TV_VSA Roll-Up (LW) 4" xfId="0"/>
    <cellStyle name="_PJ_TV_VSA Roll-Up (LW) 4 2" xfId="0"/>
    <cellStyle name="_PJ_TV_VSA Roll-Up (LW)_By Region" xfId="0"/>
    <cellStyle name="_PJ_TV_VSA Roll-Up (LW)_CORP SG&amp;A" xfId="0"/>
    <cellStyle name="_PJ_TV_VSA Roll-Up (LW)_LCD" xfId="0"/>
    <cellStyle name="_PJ_TV_VSA Roll-Up (LW)_PJ" xfId="0"/>
    <cellStyle name="_PJ_VD" xfId="0"/>
    <cellStyle name="_PJ_VD 2" xfId="0"/>
    <cellStyle name="_PJ_VD 3" xfId="0"/>
    <cellStyle name="_PJ_VD 4" xfId="0"/>
    <cellStyle name="_PJ_VD_By Region" xfId="0"/>
    <cellStyle name="_PJ_VD_CORP SG&amp;A" xfId="0"/>
    <cellStyle name="_PJ_VD_GPS OTHER" xfId="0"/>
    <cellStyle name="_PJ_VD_GPS OTHER 2" xfId="0"/>
    <cellStyle name="_PJ_VD_GPS OTHER 3" xfId="0"/>
    <cellStyle name="_PJ_VD_GPS OTHER 4" xfId="0"/>
    <cellStyle name="_PJ_VD_GPS OTHER 4 2" xfId="0"/>
    <cellStyle name="_PJ_VD_GPS OTHER_By Region" xfId="0"/>
    <cellStyle name="_PJ_VD_GPS OTHER_CORP SG&amp;A" xfId="0"/>
    <cellStyle name="_PJ_VD_GPS OTHER_LCD" xfId="0"/>
    <cellStyle name="_PJ_VD_GPS OTHER_PJ" xfId="0"/>
    <cellStyle name="_PJ_VD_PC Products" xfId="0"/>
    <cellStyle name="_PJ_VD_PC Products 2" xfId="0"/>
    <cellStyle name="_PJ_VD_PC Products 3" xfId="0"/>
    <cellStyle name="_PJ_VD_PC Products 4" xfId="0"/>
    <cellStyle name="_PJ_VD_PC Products 4 2" xfId="0"/>
    <cellStyle name="_PJ_VD_PC Products_By Region" xfId="0"/>
    <cellStyle name="_PJ_VD_PC Products_CORP SG&amp;A" xfId="0"/>
    <cellStyle name="_PJ_VD_PC Products_LCD" xfId="0"/>
    <cellStyle name="_PJ_VD_PC Products_PJ" xfId="0"/>
    <cellStyle name="_PJ_VD_VSA 111014" xfId="0"/>
    <cellStyle name="_PJ_VD_VSA 111014 2" xfId="0"/>
    <cellStyle name="_PJ_VD_VSA 111014 3" xfId="0"/>
    <cellStyle name="_PJ_VD_VSA 111014 4" xfId="0"/>
    <cellStyle name="_PJ_VD_VSA 111014 4 2" xfId="0"/>
    <cellStyle name="_PJ_VD_VSA 111014_By Region" xfId="0"/>
    <cellStyle name="_PJ_VD_VSA 111014_CORP SG&amp;A" xfId="0"/>
    <cellStyle name="_PJ_VD_VSA 111014_LCD" xfId="0"/>
    <cellStyle name="_PJ_VD_VSA 111014_PJ" xfId="0"/>
    <cellStyle name="_PJ_VD_VSA Roll-Up (LW)" xfId="0"/>
    <cellStyle name="_PJ_VD_VSA Roll-Up (LW) 2" xfId="0"/>
    <cellStyle name="_PJ_VD_VSA Roll-Up (LW) 3" xfId="0"/>
    <cellStyle name="_PJ_VD_VSA Roll-Up (LW) 4" xfId="0"/>
    <cellStyle name="_PJ_VD_VSA Roll-Up (LW) 4 2" xfId="0"/>
    <cellStyle name="_PJ_VD_VSA Roll-Up (LW)_By Region" xfId="0"/>
    <cellStyle name="_PJ_VD_VSA Roll-Up (LW)_CORP SG&amp;A" xfId="0"/>
    <cellStyle name="_PJ_VD_VSA Roll-Up (LW)_LCD" xfId="0"/>
    <cellStyle name="_PJ_VD_VSA Roll-Up (LW)_PJ" xfId="0"/>
    <cellStyle name="_PJ_VSA 111014" xfId="0"/>
    <cellStyle name="_PJ_VSA 111014 2" xfId="0"/>
    <cellStyle name="_PJ_VSA 111014 3" xfId="0"/>
    <cellStyle name="_PJ_VSA 111014 4" xfId="0"/>
    <cellStyle name="_PJ_VSA 111014 4 2" xfId="0"/>
    <cellStyle name="_PJ_VSA 111014_By Region" xfId="0"/>
    <cellStyle name="_PJ_VSA 111014_CORP SG&amp;A" xfId="0"/>
    <cellStyle name="_PJ_VSA 111014_LCD" xfId="0"/>
    <cellStyle name="_PJ_VSA 111014_PJ" xfId="0"/>
    <cellStyle name="_PJ_VSA Roll-Up (LW)" xfId="0"/>
    <cellStyle name="_PJ_VSA Roll-Up (LW) 2" xfId="0"/>
    <cellStyle name="_PJ_VSA Roll-Up (LW) 3" xfId="0"/>
    <cellStyle name="_PJ_VSA Roll-Up (LW) 4" xfId="0"/>
    <cellStyle name="_PJ_VSA Roll-Up (LW) 4 2" xfId="0"/>
    <cellStyle name="_PJ_VSA Roll-Up (LW)_By Region" xfId="0"/>
    <cellStyle name="_PJ_VSA Roll-Up (LW)_CORP SG&amp;A" xfId="0"/>
    <cellStyle name="_PJ_VSA Roll-Up (LW)_LCD" xfId="0"/>
    <cellStyle name="_PJ_VSA Roll-Up (LW)_PJ" xfId="0"/>
    <cellStyle name="_PJ_VSE 2011 Budget" xfId="0"/>
    <cellStyle name="_PJ_VSE 2011 Budget 2" xfId="0"/>
    <cellStyle name="_PJ_VSE 2011 Budget 3" xfId="0"/>
    <cellStyle name="_PJ_VSE 2011 Budget 4" xfId="0"/>
    <cellStyle name="_PJ_VSE 2011 Budget_By Region" xfId="0"/>
    <cellStyle name="_PJ_VSE 2011 Budget_CORP SG&amp;A" xfId="0"/>
    <cellStyle name="_PJ_VSE 2011 Budget_GPS OTHER" xfId="0"/>
    <cellStyle name="_PJ_VSE 2011 Budget_GPS OTHER 2" xfId="0"/>
    <cellStyle name="_PJ_VSE 2011 Budget_GPS OTHER 3" xfId="0"/>
    <cellStyle name="_PJ_VSE 2011 Budget_GPS OTHER 4" xfId="0"/>
    <cellStyle name="_PJ_VSE 2011 Budget_GPS OTHER 4 2" xfId="0"/>
    <cellStyle name="_PJ_VSE 2011 Budget_GPS OTHER_By Region" xfId="0"/>
    <cellStyle name="_PJ_VSE 2011 Budget_GPS OTHER_CORP SG&amp;A" xfId="0"/>
    <cellStyle name="_PJ_VSE 2011 Budget_GPS OTHER_LCD" xfId="0"/>
    <cellStyle name="_PJ_VSE 2011 Budget_GPS OTHER_PJ" xfId="0"/>
    <cellStyle name="_PJ_VSE 2011 Budget_PC Products" xfId="0"/>
    <cellStyle name="_PJ_VSE 2011 Budget_PC Products 2" xfId="0"/>
    <cellStyle name="_PJ_VSE 2011 Budget_PC Products 3" xfId="0"/>
    <cellStyle name="_PJ_VSE 2011 Budget_PC Products 4" xfId="0"/>
    <cellStyle name="_PJ_VSE 2011 Budget_PC Products 4 2" xfId="0"/>
    <cellStyle name="_PJ_VSE 2011 Budget_PC Products_By Region" xfId="0"/>
    <cellStyle name="_PJ_VSE 2011 Budget_PC Products_CORP SG&amp;A" xfId="0"/>
    <cellStyle name="_PJ_VSE 2011 Budget_PC Products_LCD" xfId="0"/>
    <cellStyle name="_PJ_VSE 2011 Budget_PC Products_PJ" xfId="0"/>
    <cellStyle name="_PJ_VSE 2011 Budget_VSA 111014" xfId="0"/>
    <cellStyle name="_PJ_VSE 2011 Budget_VSA 111014 2" xfId="0"/>
    <cellStyle name="_PJ_VSE 2011 Budget_VSA 111014 3" xfId="0"/>
    <cellStyle name="_PJ_VSE 2011 Budget_VSA 111014 4" xfId="0"/>
    <cellStyle name="_PJ_VSE 2011 Budget_VSA 111014 4 2" xfId="0"/>
    <cellStyle name="_PJ_VSE 2011 Budget_VSA 111014_By Region" xfId="0"/>
    <cellStyle name="_PJ_VSE 2011 Budget_VSA 111014_CORP SG&amp;A" xfId="0"/>
    <cellStyle name="_PJ_VSE 2011 Budget_VSA 111014_LCD" xfId="0"/>
    <cellStyle name="_PJ_VSE 2011 Budget_VSA 111014_PJ" xfId="0"/>
    <cellStyle name="_PJ_VSE 2011 Budget_VSA Roll-Up (LW)" xfId="0"/>
    <cellStyle name="_PJ_VSE 2011 Budget_VSA Roll-Up (LW) 2" xfId="0"/>
    <cellStyle name="_PJ_VSE 2011 Budget_VSA Roll-Up (LW) 3" xfId="0"/>
    <cellStyle name="_PJ_VSE 2011 Budget_VSA Roll-Up (LW) 4" xfId="0"/>
    <cellStyle name="_PJ_VSE 2011 Budget_VSA Roll-Up (LW) 4 2" xfId="0"/>
    <cellStyle name="_PJ_VSE 2011 Budget_VSA Roll-Up (LW)_By Region" xfId="0"/>
    <cellStyle name="_PJ_VSE 2011 Budget_VSA Roll-Up (LW)_CORP SG&amp;A" xfId="0"/>
    <cellStyle name="_PJ_VSE 2011 Budget_VSA Roll-Up (LW)_LCD" xfId="0"/>
    <cellStyle name="_PJ_VSE 2011 Budget_VSA Roll-Up (LW)_PJ" xfId="0"/>
    <cellStyle name="_PJ_VSE 2H  WFP review (Spring Global meeting)-conservative Adam working v3" xfId="0"/>
    <cellStyle name="_PJ_VSE 2H  WFP review (Spring Global meeting)-conservative Adam working v3 2" xfId="0"/>
    <cellStyle name="_PJ_VSE 2H  WFP review (Spring Global meeting)-conservative Adam working v3 3" xfId="0"/>
    <cellStyle name="_PJ_VSE 2H Rebalance 110712" xfId="0"/>
    <cellStyle name="_PJ_VSE 2H Rebalance 110712 2" xfId="0"/>
    <cellStyle name="_PJ_VSE 2H Rebalance 110712 3" xfId="0"/>
    <cellStyle name="_PJ_VSE 2H Rebalance 110712 4" xfId="0"/>
    <cellStyle name="_PJ_VSE 2H Rebalance 110712_By Region" xfId="0"/>
    <cellStyle name="_PJ_VSE 2H Rebalance 110712_CORP SG&amp;A" xfId="0"/>
    <cellStyle name="_PJ_VSE WFP 101203" xfId="0"/>
    <cellStyle name="_PJ_VSE WFP 101203 2" xfId="0"/>
    <cellStyle name="_PJ_VSE WFP 101203 3" xfId="0"/>
    <cellStyle name="_PJ_VSE WFP 101203 4" xfId="0"/>
    <cellStyle name="_PJ_VSE WFP 101203_By Region" xfId="0"/>
    <cellStyle name="_PJ_VSE WFP 101203_CORP SG&amp;A" xfId="0"/>
    <cellStyle name="_PJ_VSE WFP 110311" xfId="0"/>
    <cellStyle name="_PJ_VSE WFP 110311 2" xfId="0"/>
    <cellStyle name="_PJ_VSE WFP 110311 3" xfId="0"/>
    <cellStyle name="_PJ_VSE WFP 110311 4" xfId="0"/>
    <cellStyle name="_PJ_VSE WFP 110311_By Region" xfId="0"/>
    <cellStyle name="_PJ_VSE WFP 110311_CORP SG&amp;A" xfId="0"/>
    <cellStyle name="_PJ_VSE WFP 110415" xfId="0"/>
    <cellStyle name="_PJ_VSE WFP 110415 2" xfId="0"/>
    <cellStyle name="_PJ_VSE WFP 110415 3" xfId="0"/>
    <cellStyle name="_PJ_VSE WFP 110415 4" xfId="0"/>
    <cellStyle name="_PJ_VSE WFP 110415_By Region" xfId="0"/>
    <cellStyle name="_PJ_VSE WFP 110415_CORP SG&amp;A" xfId="0"/>
    <cellStyle name="_PJ_VSE WFP_100409" xfId="0"/>
    <cellStyle name="_PJ_VSE WFP_100409 2" xfId="0"/>
    <cellStyle name="_PJ_VSE WFP_100409 3" xfId="0"/>
    <cellStyle name="_PJ_VSE WFP_100409 4" xfId="0"/>
    <cellStyle name="_PJ_VSE WFP_100409_By Region" xfId="0"/>
    <cellStyle name="_PJ_VSE WFP_100409_CORP SG&amp;A" xfId="0"/>
    <cellStyle name="_PJ_VSE WFP_100409_GPS OTHER" xfId="0"/>
    <cellStyle name="_PJ_VSE WFP_100409_GPS OTHER 2" xfId="0"/>
    <cellStyle name="_PJ_VSE WFP_100409_GPS OTHER 3" xfId="0"/>
    <cellStyle name="_PJ_VSE WFP_100409_GPS OTHER 4" xfId="0"/>
    <cellStyle name="_PJ_VSE WFP_100409_GPS OTHER 4 2" xfId="0"/>
    <cellStyle name="_PJ_VSE WFP_100409_GPS OTHER_By Region" xfId="0"/>
    <cellStyle name="_PJ_VSE WFP_100409_GPS OTHER_CORP SG&amp;A" xfId="0"/>
    <cellStyle name="_PJ_VSE WFP_100409_GPS OTHER_LCD" xfId="0"/>
    <cellStyle name="_PJ_VSE WFP_100409_GPS OTHER_PJ" xfId="0"/>
    <cellStyle name="_PJ_VSE WFP_100409_PC Products" xfId="0"/>
    <cellStyle name="_PJ_VSE WFP_100409_PC Products 2" xfId="0"/>
    <cellStyle name="_PJ_VSE WFP_100409_PC Products 3" xfId="0"/>
    <cellStyle name="_PJ_VSE WFP_100409_PC Products 4" xfId="0"/>
    <cellStyle name="_PJ_VSE WFP_100409_PC Products 4 2" xfId="0"/>
    <cellStyle name="_PJ_VSE WFP_100409_PC Products_By Region" xfId="0"/>
    <cellStyle name="_PJ_VSE WFP_100409_PC Products_CORP SG&amp;A" xfId="0"/>
    <cellStyle name="_PJ_VSE WFP_100409_PC Products_LCD" xfId="0"/>
    <cellStyle name="_PJ_VSE WFP_100409_PC Products_PJ" xfId="0"/>
    <cellStyle name="_PJ_VSE WFP_100409_VSA 111014" xfId="0"/>
    <cellStyle name="_PJ_VSE WFP_100409_VSA 111014 2" xfId="0"/>
    <cellStyle name="_PJ_VSE WFP_100409_VSA 111014 3" xfId="0"/>
    <cellStyle name="_PJ_VSE WFP_100409_VSA 111014 4" xfId="0"/>
    <cellStyle name="_PJ_VSE WFP_100409_VSA 111014 4 2" xfId="0"/>
    <cellStyle name="_PJ_VSE WFP_100409_VSA 111014_By Region" xfId="0"/>
    <cellStyle name="_PJ_VSE WFP_100409_VSA 111014_CORP SG&amp;A" xfId="0"/>
    <cellStyle name="_PJ_VSE WFP_100409_VSA 111014_LCD" xfId="0"/>
    <cellStyle name="_PJ_VSE WFP_100409_VSA 111014_PJ" xfId="0"/>
    <cellStyle name="_PJ_VSE WFP_100409_VSA Roll-Up (LW)" xfId="0"/>
    <cellStyle name="_PJ_VSE WFP_100409_VSA Roll-Up (LW) 2" xfId="0"/>
    <cellStyle name="_PJ_VSE WFP_100409_VSA Roll-Up (LW) 3" xfId="0"/>
    <cellStyle name="_PJ_VSE WFP_100409_VSA Roll-Up (LW) 4" xfId="0"/>
    <cellStyle name="_PJ_VSE WFP_100409_VSA Roll-Up (LW) 4 2" xfId="0"/>
    <cellStyle name="_PJ_VSE WFP_100409_VSA Roll-Up (LW)_By Region" xfId="0"/>
    <cellStyle name="_PJ_VSE WFP_100409_VSA Roll-Up (LW)_CORP SG&amp;A" xfId="0"/>
    <cellStyle name="_PJ_VSE WFP_100409_VSA Roll-Up (LW)_LCD" xfId="0"/>
    <cellStyle name="_PJ_VSE WFP_100409_VSA Roll-Up (LW)_PJ" xfId="0"/>
    <cellStyle name="_PJ_VSE WFP_100421 v2" xfId="0"/>
    <cellStyle name="_PJ_VSE WFP_100421 v2 2" xfId="0"/>
    <cellStyle name="_PJ_VSE WFP_100421 v2 3" xfId="0"/>
    <cellStyle name="_PJ_VSE WFP_100421 v2 4" xfId="0"/>
    <cellStyle name="_PJ_VSE WFP_100421 v2_By Region" xfId="0"/>
    <cellStyle name="_PJ_VSE WFP_100421 v2_CORP SG&amp;A" xfId="0"/>
    <cellStyle name="_PJ_VSE WFP_100421 v2_GPS OTHER" xfId="0"/>
    <cellStyle name="_PJ_VSE WFP_100421 v2_GPS OTHER 2" xfId="0"/>
    <cellStyle name="_PJ_VSE WFP_100421 v2_GPS OTHER 3" xfId="0"/>
    <cellStyle name="_PJ_VSE WFP_100421 v2_GPS OTHER 4" xfId="0"/>
    <cellStyle name="_PJ_VSE WFP_100421 v2_GPS OTHER 4 2" xfId="0"/>
    <cellStyle name="_PJ_VSE WFP_100421 v2_GPS OTHER_By Region" xfId="0"/>
    <cellStyle name="_PJ_VSE WFP_100421 v2_GPS OTHER_CORP SG&amp;A" xfId="0"/>
    <cellStyle name="_PJ_VSE WFP_100421 v2_GPS OTHER_LCD" xfId="0"/>
    <cellStyle name="_PJ_VSE WFP_100421 v2_GPS OTHER_PJ" xfId="0"/>
    <cellStyle name="_PJ_VSE WFP_100421 v2_PC Products" xfId="0"/>
    <cellStyle name="_PJ_VSE WFP_100421 v2_PC Products 2" xfId="0"/>
    <cellStyle name="_PJ_VSE WFP_100421 v2_PC Products 3" xfId="0"/>
    <cellStyle name="_PJ_VSE WFP_100421 v2_PC Products 4" xfId="0"/>
    <cellStyle name="_PJ_VSE WFP_100421 v2_PC Products 4 2" xfId="0"/>
    <cellStyle name="_PJ_VSE WFP_100421 v2_PC Products_By Region" xfId="0"/>
    <cellStyle name="_PJ_VSE WFP_100421 v2_PC Products_CORP SG&amp;A" xfId="0"/>
    <cellStyle name="_PJ_VSE WFP_100421 v2_PC Products_LCD" xfId="0"/>
    <cellStyle name="_PJ_VSE WFP_100421 v2_PC Products_PJ" xfId="0"/>
    <cellStyle name="_PJ_VSE WFP_100421 v2_VSA 111014" xfId="0"/>
    <cellStyle name="_PJ_VSE WFP_100421 v2_VSA 111014 2" xfId="0"/>
    <cellStyle name="_PJ_VSE WFP_100421 v2_VSA 111014 3" xfId="0"/>
    <cellStyle name="_PJ_VSE WFP_100421 v2_VSA 111014 4" xfId="0"/>
    <cellStyle name="_PJ_VSE WFP_100421 v2_VSA 111014 4 2" xfId="0"/>
    <cellStyle name="_PJ_VSE WFP_100421 v2_VSA 111014_By Region" xfId="0"/>
    <cellStyle name="_PJ_VSE WFP_100421 v2_VSA 111014_CORP SG&amp;A" xfId="0"/>
    <cellStyle name="_PJ_VSE WFP_100421 v2_VSA 111014_LCD" xfId="0"/>
    <cellStyle name="_PJ_VSE WFP_100421 v2_VSA 111014_PJ" xfId="0"/>
    <cellStyle name="_PJ_VSE WFP_100421 v2_VSA Roll-Up (LW)" xfId="0"/>
    <cellStyle name="_PJ_VSE WFP_100421 v2_VSA Roll-Up (LW) 2" xfId="0"/>
    <cellStyle name="_PJ_VSE WFP_100421 v2_VSA Roll-Up (LW) 3" xfId="0"/>
    <cellStyle name="_PJ_VSE WFP_100421 v2_VSA Roll-Up (LW) 4" xfId="0"/>
    <cellStyle name="_PJ_VSE WFP_100421 v2_VSA Roll-Up (LW) 4 2" xfId="0"/>
    <cellStyle name="_PJ_VSE WFP_100421 v2_VSA Roll-Up (LW)_By Region" xfId="0"/>
    <cellStyle name="_PJ_VSE WFP_100421 v2_VSA Roll-Up (LW)_CORP SG&amp;A" xfId="0"/>
    <cellStyle name="_PJ_VSE WFP_100421 v2_VSA Roll-Up (LW)_LCD" xfId="0"/>
    <cellStyle name="_PJ_VSE WFP_100421 v2_VSA Roll-Up (LW)_PJ" xfId="0"/>
    <cellStyle name="_PJ_VSE WFP_100507" xfId="0"/>
    <cellStyle name="_PJ_VSE WFP_100507 2" xfId="0"/>
    <cellStyle name="_PJ_VSE WFP_100507 3" xfId="0"/>
    <cellStyle name="_PJ_VSE WFP_100507 4" xfId="0"/>
    <cellStyle name="_PJ_VSE WFP_100507_By Region" xfId="0"/>
    <cellStyle name="_PJ_VSE WFP_100507_CORP SG&amp;A" xfId="0"/>
    <cellStyle name="_PJ_VSE WFP_100507_GPS OTHER" xfId="0"/>
    <cellStyle name="_PJ_VSE WFP_100507_GPS OTHER 2" xfId="0"/>
    <cellStyle name="_PJ_VSE WFP_100507_GPS OTHER 3" xfId="0"/>
    <cellStyle name="_PJ_VSE WFP_100507_GPS OTHER 4" xfId="0"/>
    <cellStyle name="_PJ_VSE WFP_100507_GPS OTHER 4 2" xfId="0"/>
    <cellStyle name="_PJ_VSE WFP_100507_GPS OTHER_By Region" xfId="0"/>
    <cellStyle name="_PJ_VSE WFP_100507_GPS OTHER_CORP SG&amp;A" xfId="0"/>
    <cellStyle name="_PJ_VSE WFP_100507_GPS OTHER_LCD" xfId="0"/>
    <cellStyle name="_PJ_VSE WFP_100507_GPS OTHER_PJ" xfId="0"/>
    <cellStyle name="_PJ_VSE WFP_100507_PC Products" xfId="0"/>
    <cellStyle name="_PJ_VSE WFP_100507_PC Products 2" xfId="0"/>
    <cellStyle name="_PJ_VSE WFP_100507_PC Products 3" xfId="0"/>
    <cellStyle name="_PJ_VSE WFP_100507_PC Products 4" xfId="0"/>
    <cellStyle name="_PJ_VSE WFP_100507_PC Products 4 2" xfId="0"/>
    <cellStyle name="_PJ_VSE WFP_100507_PC Products_By Region" xfId="0"/>
    <cellStyle name="_PJ_VSE WFP_100507_PC Products_CORP SG&amp;A" xfId="0"/>
    <cellStyle name="_PJ_VSE WFP_100507_PC Products_LCD" xfId="0"/>
    <cellStyle name="_PJ_VSE WFP_100507_PC Products_PJ" xfId="0"/>
    <cellStyle name="_PJ_VSE WFP_100507_VSA 111014" xfId="0"/>
    <cellStyle name="_PJ_VSE WFP_100507_VSA 111014 2" xfId="0"/>
    <cellStyle name="_PJ_VSE WFP_100507_VSA 111014 3" xfId="0"/>
    <cellStyle name="_PJ_VSE WFP_100507_VSA 111014 4" xfId="0"/>
    <cellStyle name="_PJ_VSE WFP_100507_VSA 111014 4 2" xfId="0"/>
    <cellStyle name="_PJ_VSE WFP_100507_VSA 111014_By Region" xfId="0"/>
    <cellStyle name="_PJ_VSE WFP_100507_VSA 111014_CORP SG&amp;A" xfId="0"/>
    <cellStyle name="_PJ_VSE WFP_100507_VSA 111014_LCD" xfId="0"/>
    <cellStyle name="_PJ_VSE WFP_100507_VSA 111014_PJ" xfId="0"/>
    <cellStyle name="_PJ_VSE WFP_100507_VSA Roll-Up (LW)" xfId="0"/>
    <cellStyle name="_PJ_VSE WFP_100507_VSA Roll-Up (LW) 2" xfId="0"/>
    <cellStyle name="_PJ_VSE WFP_100507_VSA Roll-Up (LW) 3" xfId="0"/>
    <cellStyle name="_PJ_VSE WFP_100507_VSA Roll-Up (LW) 4" xfId="0"/>
    <cellStyle name="_PJ_VSE WFP_100507_VSA Roll-Up (LW) 4 2" xfId="0"/>
    <cellStyle name="_PJ_VSE WFP_100507_VSA Roll-Up (LW)_By Region" xfId="0"/>
    <cellStyle name="_PJ_VSE WFP_100507_VSA Roll-Up (LW)_CORP SG&amp;A" xfId="0"/>
    <cellStyle name="_PJ_VSE WFP_100507_VSA Roll-Up (LW)_LCD" xfId="0"/>
    <cellStyle name="_PJ_VSE WFP_100507_VSA Roll-Up (LW)_PJ" xfId="0"/>
    <cellStyle name="_PJ_VSE WFP_100608" xfId="0"/>
    <cellStyle name="_PJ_VSE WFP_100608 2" xfId="0"/>
    <cellStyle name="_PJ_VSE WFP_100608 3" xfId="0"/>
    <cellStyle name="_PJ_VSE WFP_100608 4" xfId="0"/>
    <cellStyle name="_PJ_VSE WFP_100608_By Region" xfId="0"/>
    <cellStyle name="_PJ_VSE WFP_100608_CORP SG&amp;A" xfId="0"/>
    <cellStyle name="_PJ_VSE WFP_100608_GPS OTHER" xfId="0"/>
    <cellStyle name="_PJ_VSE WFP_100608_GPS OTHER 2" xfId="0"/>
    <cellStyle name="_PJ_VSE WFP_100608_GPS OTHER 3" xfId="0"/>
    <cellStyle name="_PJ_VSE WFP_100608_GPS OTHER 4" xfId="0"/>
    <cellStyle name="_PJ_VSE WFP_100608_GPS OTHER 4 2" xfId="0"/>
    <cellStyle name="_PJ_VSE WFP_100608_GPS OTHER_By Region" xfId="0"/>
    <cellStyle name="_PJ_VSE WFP_100608_GPS OTHER_CORP SG&amp;A" xfId="0"/>
    <cellStyle name="_PJ_VSE WFP_100608_GPS OTHER_LCD" xfId="0"/>
    <cellStyle name="_PJ_VSE WFP_100608_GPS OTHER_PJ" xfId="0"/>
    <cellStyle name="_PJ_VSE WFP_100608_PC Products" xfId="0"/>
    <cellStyle name="_PJ_VSE WFP_100608_PC Products 2" xfId="0"/>
    <cellStyle name="_PJ_VSE WFP_100608_PC Products 3" xfId="0"/>
    <cellStyle name="_PJ_VSE WFP_100608_PC Products 4" xfId="0"/>
    <cellStyle name="_PJ_VSE WFP_100608_PC Products 4 2" xfId="0"/>
    <cellStyle name="_PJ_VSE WFP_100608_PC Products_By Region" xfId="0"/>
    <cellStyle name="_PJ_VSE WFP_100608_PC Products_CORP SG&amp;A" xfId="0"/>
    <cellStyle name="_PJ_VSE WFP_100608_PC Products_LCD" xfId="0"/>
    <cellStyle name="_PJ_VSE WFP_100608_PC Products_PJ" xfId="0"/>
    <cellStyle name="_PJ_VSE WFP_100608_VSA 111014" xfId="0"/>
    <cellStyle name="_PJ_VSE WFP_100608_VSA 111014 2" xfId="0"/>
    <cellStyle name="_PJ_VSE WFP_100608_VSA 111014 3" xfId="0"/>
    <cellStyle name="_PJ_VSE WFP_100608_VSA 111014 4" xfId="0"/>
    <cellStyle name="_PJ_VSE WFP_100608_VSA 111014 4 2" xfId="0"/>
    <cellStyle name="_PJ_VSE WFP_100608_VSA 111014_By Region" xfId="0"/>
    <cellStyle name="_PJ_VSE WFP_100608_VSA 111014_CORP SG&amp;A" xfId="0"/>
    <cellStyle name="_PJ_VSE WFP_100608_VSA 111014_LCD" xfId="0"/>
    <cellStyle name="_PJ_VSE WFP_100608_VSA 111014_PJ" xfId="0"/>
    <cellStyle name="_PJ_VSE WFP_100608_VSA Roll-Up (LW)" xfId="0"/>
    <cellStyle name="_PJ_VSE WFP_100608_VSA Roll-Up (LW) 2" xfId="0"/>
    <cellStyle name="_PJ_VSE WFP_100608_VSA Roll-Up (LW) 3" xfId="0"/>
    <cellStyle name="_PJ_VSE WFP_100608_VSA Roll-Up (LW) 4" xfId="0"/>
    <cellStyle name="_PJ_VSE WFP_100608_VSA Roll-Up (LW) 4 2" xfId="0"/>
    <cellStyle name="_PJ_VSE WFP_100608_VSA Roll-Up (LW)_By Region" xfId="0"/>
    <cellStyle name="_PJ_VSE WFP_100608_VSA Roll-Up (LW)_CORP SG&amp;A" xfId="0"/>
    <cellStyle name="_PJ_VSE WFP_100608_VSA Roll-Up (LW)_LCD" xfId="0"/>
    <cellStyle name="_PJ_VSE WFP_100608_VSA Roll-Up (LW)_PJ" xfId="0"/>
    <cellStyle name="_PJ_VSE WFP_100625" xfId="0"/>
    <cellStyle name="_PJ_VSE WFP_100625 2" xfId="0"/>
    <cellStyle name="_PJ_VSE WFP_100625 3" xfId="0"/>
    <cellStyle name="_PJ_VSE WFP_100625 4" xfId="0"/>
    <cellStyle name="_PJ_VSE WFP_100625_By Region" xfId="0"/>
    <cellStyle name="_PJ_VSE WFP_100625_CORP SG&amp;A" xfId="0"/>
    <cellStyle name="_PJ_VSE WFP_100625_GPS OTHER" xfId="0"/>
    <cellStyle name="_PJ_VSE WFP_100625_GPS OTHER 2" xfId="0"/>
    <cellStyle name="_PJ_VSE WFP_100625_GPS OTHER 3" xfId="0"/>
    <cellStyle name="_PJ_VSE WFP_100625_GPS OTHER 4" xfId="0"/>
    <cellStyle name="_PJ_VSE WFP_100625_GPS OTHER 4 2" xfId="0"/>
    <cellStyle name="_PJ_VSE WFP_100625_GPS OTHER_By Region" xfId="0"/>
    <cellStyle name="_PJ_VSE WFP_100625_GPS OTHER_CORP SG&amp;A" xfId="0"/>
    <cellStyle name="_PJ_VSE WFP_100625_GPS OTHER_LCD" xfId="0"/>
    <cellStyle name="_PJ_VSE WFP_100625_GPS OTHER_PJ" xfId="0"/>
    <cellStyle name="_PJ_VSE WFP_100625_PC Products" xfId="0"/>
    <cellStyle name="_PJ_VSE WFP_100625_PC Products 2" xfId="0"/>
    <cellStyle name="_PJ_VSE WFP_100625_PC Products 3" xfId="0"/>
    <cellStyle name="_PJ_VSE WFP_100625_PC Products 4" xfId="0"/>
    <cellStyle name="_PJ_VSE WFP_100625_PC Products 4 2" xfId="0"/>
    <cellStyle name="_PJ_VSE WFP_100625_PC Products_By Region" xfId="0"/>
    <cellStyle name="_PJ_VSE WFP_100625_PC Products_CORP SG&amp;A" xfId="0"/>
    <cellStyle name="_PJ_VSE WFP_100625_PC Products_LCD" xfId="0"/>
    <cellStyle name="_PJ_VSE WFP_100625_PC Products_PJ" xfId="0"/>
    <cellStyle name="_PJ_VSE WFP_100625_VSA 111014" xfId="0"/>
    <cellStyle name="_PJ_VSE WFP_100625_VSA 111014 2" xfId="0"/>
    <cellStyle name="_PJ_VSE WFP_100625_VSA 111014 3" xfId="0"/>
    <cellStyle name="_PJ_VSE WFP_100625_VSA 111014 4" xfId="0"/>
    <cellStyle name="_PJ_VSE WFP_100625_VSA 111014 4 2" xfId="0"/>
    <cellStyle name="_PJ_VSE WFP_100625_VSA 111014_By Region" xfId="0"/>
    <cellStyle name="_PJ_VSE WFP_100625_VSA 111014_CORP SG&amp;A" xfId="0"/>
    <cellStyle name="_PJ_VSE WFP_100625_VSA 111014_LCD" xfId="0"/>
    <cellStyle name="_PJ_VSE WFP_100625_VSA 111014_PJ" xfId="0"/>
    <cellStyle name="_PJ_VSE WFP_100625_VSA Roll-Up (LW)" xfId="0"/>
    <cellStyle name="_PJ_VSE WFP_100625_VSA Roll-Up (LW) 2" xfId="0"/>
    <cellStyle name="_PJ_VSE WFP_100625_VSA Roll-Up (LW) 3" xfId="0"/>
    <cellStyle name="_PJ_VSE WFP_100625_VSA Roll-Up (LW) 4" xfId="0"/>
    <cellStyle name="_PJ_VSE WFP_100625_VSA Roll-Up (LW) 4 2" xfId="0"/>
    <cellStyle name="_PJ_VSE WFP_100625_VSA Roll-Up (LW)_By Region" xfId="0"/>
    <cellStyle name="_PJ_VSE WFP_100625_VSA Roll-Up (LW)_CORP SG&amp;A" xfId="0"/>
    <cellStyle name="_PJ_VSE WFP_100625_VSA Roll-Up (LW)_LCD" xfId="0"/>
    <cellStyle name="_PJ_VSE WFP_100625_VSA Roll-Up (LW)_PJ" xfId="0"/>
    <cellStyle name="_PJ_VSE WFP_100708_3rd" xfId="0"/>
    <cellStyle name="_PJ_VSE WFP_100708_3rd 2" xfId="0"/>
    <cellStyle name="_PJ_VSE WFP_100708_3rd 3" xfId="0"/>
    <cellStyle name="_PJ_VSE WFP_100708_3rd 4" xfId="0"/>
    <cellStyle name="_PJ_VSE WFP_100708_3rd_By Region" xfId="0"/>
    <cellStyle name="_PJ_VSE WFP_100708_3rd_CORP SG&amp;A" xfId="0"/>
    <cellStyle name="_PJ_VSE WFP_100708_3rd_GPS OTHER" xfId="0"/>
    <cellStyle name="_PJ_VSE WFP_100708_3rd_GPS OTHER 2" xfId="0"/>
    <cellStyle name="_PJ_VSE WFP_100708_3rd_GPS OTHER 3" xfId="0"/>
    <cellStyle name="_PJ_VSE WFP_100708_3rd_GPS OTHER 4" xfId="0"/>
    <cellStyle name="_PJ_VSE WFP_100708_3rd_GPS OTHER 4 2" xfId="0"/>
    <cellStyle name="_PJ_VSE WFP_100708_3rd_GPS OTHER_By Region" xfId="0"/>
    <cellStyle name="_PJ_VSE WFP_100708_3rd_GPS OTHER_CORP SG&amp;A" xfId="0"/>
    <cellStyle name="_PJ_VSE WFP_100708_3rd_GPS OTHER_LCD" xfId="0"/>
    <cellStyle name="_PJ_VSE WFP_100708_3rd_GPS OTHER_PJ" xfId="0"/>
    <cellStyle name="_PJ_VSE WFP_100708_3rd_PC Products" xfId="0"/>
    <cellStyle name="_PJ_VSE WFP_100708_3rd_PC Products 2" xfId="0"/>
    <cellStyle name="_PJ_VSE WFP_100708_3rd_PC Products 3" xfId="0"/>
    <cellStyle name="_PJ_VSE WFP_100708_3rd_PC Products 4" xfId="0"/>
    <cellStyle name="_PJ_VSE WFP_100708_3rd_PC Products 4 2" xfId="0"/>
    <cellStyle name="_PJ_VSE WFP_100708_3rd_PC Products_By Region" xfId="0"/>
    <cellStyle name="_PJ_VSE WFP_100708_3rd_PC Products_CORP SG&amp;A" xfId="0"/>
    <cellStyle name="_PJ_VSE WFP_100708_3rd_PC Products_LCD" xfId="0"/>
    <cellStyle name="_PJ_VSE WFP_100708_3rd_PC Products_PJ" xfId="0"/>
    <cellStyle name="_PJ_VSE WFP_100708_3rd_VSA 111014" xfId="0"/>
    <cellStyle name="_PJ_VSE WFP_100708_3rd_VSA 111014 2" xfId="0"/>
    <cellStyle name="_PJ_VSE WFP_100708_3rd_VSA 111014 3" xfId="0"/>
    <cellStyle name="_PJ_VSE WFP_100708_3rd_VSA 111014 4" xfId="0"/>
    <cellStyle name="_PJ_VSE WFP_100708_3rd_VSA 111014 4 2" xfId="0"/>
    <cellStyle name="_PJ_VSE WFP_100708_3rd_VSA 111014_By Region" xfId="0"/>
    <cellStyle name="_PJ_VSE WFP_100708_3rd_VSA 111014_CORP SG&amp;A" xfId="0"/>
    <cellStyle name="_PJ_VSE WFP_100708_3rd_VSA 111014_LCD" xfId="0"/>
    <cellStyle name="_PJ_VSE WFP_100708_3rd_VSA 111014_PJ" xfId="0"/>
    <cellStyle name="_PJ_VSE WFP_100708_3rd_VSA Roll-Up (LW)" xfId="0"/>
    <cellStyle name="_PJ_VSE WFP_100708_3rd_VSA Roll-Up (LW) 2" xfId="0"/>
    <cellStyle name="_PJ_VSE WFP_100708_3rd_VSA Roll-Up (LW) 3" xfId="0"/>
    <cellStyle name="_PJ_VSE WFP_100708_3rd_VSA Roll-Up (LW) 4" xfId="0"/>
    <cellStyle name="_PJ_VSE WFP_100708_3rd_VSA Roll-Up (LW) 4 2" xfId="0"/>
    <cellStyle name="_PJ_VSE WFP_100708_3rd_VSA Roll-Up (LW)_By Region" xfId="0"/>
    <cellStyle name="_PJ_VSE WFP_100708_3rd_VSA Roll-Up (LW)_CORP SG&amp;A" xfId="0"/>
    <cellStyle name="_PJ_VSE WFP_100708_3rd_VSA Roll-Up (LW)_LCD" xfId="0"/>
    <cellStyle name="_PJ_VSE WFP_100708_3rd_VSA Roll-Up (LW)_PJ" xfId="0"/>
    <cellStyle name="_PJ_VSE WFP_100726" xfId="0"/>
    <cellStyle name="_PJ_VSE WFP_100726 2" xfId="0"/>
    <cellStyle name="_PJ_VSE WFP_100726 3" xfId="0"/>
    <cellStyle name="_PJ_VSE WFP_100726 4" xfId="0"/>
    <cellStyle name="_PJ_VSE WFP_100726-1" xfId="0"/>
    <cellStyle name="_PJ_VSE WFP_100726-1 2" xfId="0"/>
    <cellStyle name="_PJ_VSE WFP_100726-1 3" xfId="0"/>
    <cellStyle name="_PJ_VSE WFP_100726-1 4" xfId="0"/>
    <cellStyle name="_PJ_VSE WFP_100726-1_By Region" xfId="0"/>
    <cellStyle name="_PJ_VSE WFP_100726-1_CORP SG&amp;A" xfId="0"/>
    <cellStyle name="_PJ_VSE WFP_100726-1_GPS OTHER" xfId="0"/>
    <cellStyle name="_PJ_VSE WFP_100726-1_GPS OTHER 2" xfId="0"/>
    <cellStyle name="_PJ_VSE WFP_100726-1_GPS OTHER 3" xfId="0"/>
    <cellStyle name="_PJ_VSE WFP_100726-1_GPS OTHER 4" xfId="0"/>
    <cellStyle name="_PJ_VSE WFP_100726-1_GPS OTHER 4 2" xfId="0"/>
    <cellStyle name="_PJ_VSE WFP_100726-1_GPS OTHER_By Region" xfId="0"/>
    <cellStyle name="_PJ_VSE WFP_100726-1_GPS OTHER_CORP SG&amp;A" xfId="0"/>
    <cellStyle name="_PJ_VSE WFP_100726-1_GPS OTHER_LCD" xfId="0"/>
    <cellStyle name="_PJ_VSE WFP_100726-1_GPS OTHER_PJ" xfId="0"/>
    <cellStyle name="_PJ_VSE WFP_100726-1_PC Products" xfId="0"/>
    <cellStyle name="_PJ_VSE WFP_100726-1_PC Products 2" xfId="0"/>
    <cellStyle name="_PJ_VSE WFP_100726-1_PC Products 3" xfId="0"/>
    <cellStyle name="_PJ_VSE WFP_100726-1_PC Products 4" xfId="0"/>
    <cellStyle name="_PJ_VSE WFP_100726-1_PC Products 4 2" xfId="0"/>
    <cellStyle name="_PJ_VSE WFP_100726-1_PC Products_By Region" xfId="0"/>
    <cellStyle name="_PJ_VSE WFP_100726-1_PC Products_CORP SG&amp;A" xfId="0"/>
    <cellStyle name="_PJ_VSE WFP_100726-1_PC Products_LCD" xfId="0"/>
    <cellStyle name="_PJ_VSE WFP_100726-1_PC Products_PJ" xfId="0"/>
    <cellStyle name="_PJ_VSE WFP_100726-1_VSA 111014" xfId="0"/>
    <cellStyle name="_PJ_VSE WFP_100726-1_VSA 111014 2" xfId="0"/>
    <cellStyle name="_PJ_VSE WFP_100726-1_VSA 111014 3" xfId="0"/>
    <cellStyle name="_PJ_VSE WFP_100726-1_VSA 111014 4" xfId="0"/>
    <cellStyle name="_PJ_VSE WFP_100726-1_VSA 111014 4 2" xfId="0"/>
    <cellStyle name="_PJ_VSE WFP_100726-1_VSA 111014_By Region" xfId="0"/>
    <cellStyle name="_PJ_VSE WFP_100726-1_VSA 111014_CORP SG&amp;A" xfId="0"/>
    <cellStyle name="_PJ_VSE WFP_100726-1_VSA 111014_LCD" xfId="0"/>
    <cellStyle name="_PJ_VSE WFP_100726-1_VSA 111014_PJ" xfId="0"/>
    <cellStyle name="_PJ_VSE WFP_100726-1_VSA Roll-Up (LW)" xfId="0"/>
    <cellStyle name="_PJ_VSE WFP_100726-1_VSA Roll-Up (LW) 2" xfId="0"/>
    <cellStyle name="_PJ_VSE WFP_100726-1_VSA Roll-Up (LW) 3" xfId="0"/>
    <cellStyle name="_PJ_VSE WFP_100726-1_VSA Roll-Up (LW) 4" xfId="0"/>
    <cellStyle name="_PJ_VSE WFP_100726-1_VSA Roll-Up (LW) 4 2" xfId="0"/>
    <cellStyle name="_PJ_VSE WFP_100726-1_VSA Roll-Up (LW)_By Region" xfId="0"/>
    <cellStyle name="_PJ_VSE WFP_100726-1_VSA Roll-Up (LW)_CORP SG&amp;A" xfId="0"/>
    <cellStyle name="_PJ_VSE WFP_100726-1_VSA Roll-Up (LW)_LCD" xfId="0"/>
    <cellStyle name="_PJ_VSE WFP_100726-1_VSA Roll-Up (LW)_PJ" xfId="0"/>
    <cellStyle name="_PJ_VSE WFP_100726-2-yc" xfId="0"/>
    <cellStyle name="_PJ_VSE WFP_100726-2-yc 2" xfId="0"/>
    <cellStyle name="_PJ_VSE WFP_100726-2-yc 3" xfId="0"/>
    <cellStyle name="_PJ_VSE WFP_100726-2-yc 4" xfId="0"/>
    <cellStyle name="_PJ_VSE WFP_100726-2-yc_By Region" xfId="0"/>
    <cellStyle name="_PJ_VSE WFP_100726-2-yc_CORP SG&amp;A" xfId="0"/>
    <cellStyle name="_PJ_VSE WFP_100726-2-yc_GPS OTHER" xfId="0"/>
    <cellStyle name="_PJ_VSE WFP_100726-2-yc_GPS OTHER 2" xfId="0"/>
    <cellStyle name="_PJ_VSE WFP_100726-2-yc_GPS OTHER 3" xfId="0"/>
    <cellStyle name="_PJ_VSE WFP_100726-2-yc_GPS OTHER 4" xfId="0"/>
    <cellStyle name="_PJ_VSE WFP_100726-2-yc_GPS OTHER 4 2" xfId="0"/>
    <cellStyle name="_PJ_VSE WFP_100726-2-yc_GPS OTHER_By Region" xfId="0"/>
    <cellStyle name="_PJ_VSE WFP_100726-2-yc_GPS OTHER_CORP SG&amp;A" xfId="0"/>
    <cellStyle name="_PJ_VSE WFP_100726-2-yc_GPS OTHER_LCD" xfId="0"/>
    <cellStyle name="_PJ_VSE WFP_100726-2-yc_GPS OTHER_PJ" xfId="0"/>
    <cellStyle name="_PJ_VSE WFP_100726-2-yc_PC Products" xfId="0"/>
    <cellStyle name="_PJ_VSE WFP_100726-2-yc_PC Products 2" xfId="0"/>
    <cellStyle name="_PJ_VSE WFP_100726-2-yc_PC Products 3" xfId="0"/>
    <cellStyle name="_PJ_VSE WFP_100726-2-yc_PC Products 4" xfId="0"/>
    <cellStyle name="_PJ_VSE WFP_100726-2-yc_PC Products 4 2" xfId="0"/>
    <cellStyle name="_PJ_VSE WFP_100726-2-yc_PC Products_By Region" xfId="0"/>
    <cellStyle name="_PJ_VSE WFP_100726-2-yc_PC Products_CORP SG&amp;A" xfId="0"/>
    <cellStyle name="_PJ_VSE WFP_100726-2-yc_PC Products_LCD" xfId="0"/>
    <cellStyle name="_PJ_VSE WFP_100726-2-yc_PC Products_PJ" xfId="0"/>
    <cellStyle name="_PJ_VSE WFP_100726-2-yc_VSA 111014" xfId="0"/>
    <cellStyle name="_PJ_VSE WFP_100726-2-yc_VSA 111014 2" xfId="0"/>
    <cellStyle name="_PJ_VSE WFP_100726-2-yc_VSA 111014 3" xfId="0"/>
    <cellStyle name="_PJ_VSE WFP_100726-2-yc_VSA 111014 4" xfId="0"/>
    <cellStyle name="_PJ_VSE WFP_100726-2-yc_VSA 111014 4 2" xfId="0"/>
    <cellStyle name="_PJ_VSE WFP_100726-2-yc_VSA 111014_By Region" xfId="0"/>
    <cellStyle name="_PJ_VSE WFP_100726-2-yc_VSA 111014_CORP SG&amp;A" xfId="0"/>
    <cellStyle name="_PJ_VSE WFP_100726-2-yc_VSA 111014_LCD" xfId="0"/>
    <cellStyle name="_PJ_VSE WFP_100726-2-yc_VSA 111014_PJ" xfId="0"/>
    <cellStyle name="_PJ_VSE WFP_100726-2-yc_VSA Roll-Up (LW)" xfId="0"/>
    <cellStyle name="_PJ_VSE WFP_100726-2-yc_VSA Roll-Up (LW) 2" xfId="0"/>
    <cellStyle name="_PJ_VSE WFP_100726-2-yc_VSA Roll-Up (LW) 3" xfId="0"/>
    <cellStyle name="_PJ_VSE WFP_100726-2-yc_VSA Roll-Up (LW) 4" xfId="0"/>
    <cellStyle name="_PJ_VSE WFP_100726-2-yc_VSA Roll-Up (LW) 4 2" xfId="0"/>
    <cellStyle name="_PJ_VSE WFP_100726-2-yc_VSA Roll-Up (LW)_By Region" xfId="0"/>
    <cellStyle name="_PJ_VSE WFP_100726-2-yc_VSA Roll-Up (LW)_CORP SG&amp;A" xfId="0"/>
    <cellStyle name="_PJ_VSE WFP_100726-2-yc_VSA Roll-Up (LW)_LCD" xfId="0"/>
    <cellStyle name="_PJ_VSE WFP_100726-2-yc_VSA Roll-Up (LW)_PJ" xfId="0"/>
    <cellStyle name="_PJ_VSE WFP_100726_By Region" xfId="0"/>
    <cellStyle name="_PJ_VSE WFP_100726_CORP SG&amp;A" xfId="0"/>
    <cellStyle name="_PJ_VSE WFP_100726_GPS OTHER" xfId="0"/>
    <cellStyle name="_PJ_VSE WFP_100726_GPS OTHER 2" xfId="0"/>
    <cellStyle name="_PJ_VSE WFP_100726_GPS OTHER 3" xfId="0"/>
    <cellStyle name="_PJ_VSE WFP_100726_GPS OTHER 4" xfId="0"/>
    <cellStyle name="_PJ_VSE WFP_100726_GPS OTHER 4 2" xfId="0"/>
    <cellStyle name="_PJ_VSE WFP_100726_GPS OTHER_By Region" xfId="0"/>
    <cellStyle name="_PJ_VSE WFP_100726_GPS OTHER_CORP SG&amp;A" xfId="0"/>
    <cellStyle name="_PJ_VSE WFP_100726_GPS OTHER_LCD" xfId="0"/>
    <cellStyle name="_PJ_VSE WFP_100726_GPS OTHER_PJ" xfId="0"/>
    <cellStyle name="_PJ_VSE WFP_100726_PC Products" xfId="0"/>
    <cellStyle name="_PJ_VSE WFP_100726_PC Products 2" xfId="0"/>
    <cellStyle name="_PJ_VSE WFP_100726_PC Products 3" xfId="0"/>
    <cellStyle name="_PJ_VSE WFP_100726_PC Products 4" xfId="0"/>
    <cellStyle name="_PJ_VSE WFP_100726_PC Products 4 2" xfId="0"/>
    <cellStyle name="_PJ_VSE WFP_100726_PC Products_By Region" xfId="0"/>
    <cellStyle name="_PJ_VSE WFP_100726_PC Products_CORP SG&amp;A" xfId="0"/>
    <cellStyle name="_PJ_VSE WFP_100726_PC Products_LCD" xfId="0"/>
    <cellStyle name="_PJ_VSE WFP_100726_PC Products_PJ" xfId="0"/>
    <cellStyle name="_PJ_VSE WFP_100726_VSA 111014" xfId="0"/>
    <cellStyle name="_PJ_VSE WFP_100726_VSA 111014 2" xfId="0"/>
    <cellStyle name="_PJ_VSE WFP_100726_VSA 111014 3" xfId="0"/>
    <cellStyle name="_PJ_VSE WFP_100726_VSA 111014 4" xfId="0"/>
    <cellStyle name="_PJ_VSE WFP_100726_VSA 111014 4 2" xfId="0"/>
    <cellStyle name="_PJ_VSE WFP_100726_VSA 111014_By Region" xfId="0"/>
    <cellStyle name="_PJ_VSE WFP_100726_VSA 111014_CORP SG&amp;A" xfId="0"/>
    <cellStyle name="_PJ_VSE WFP_100726_VSA 111014_LCD" xfId="0"/>
    <cellStyle name="_PJ_VSE WFP_100726_VSA 111014_PJ" xfId="0"/>
    <cellStyle name="_PJ_VSE WFP_100726_VSA Roll-Up (LW)" xfId="0"/>
    <cellStyle name="_PJ_VSE WFP_100726_VSA Roll-Up (LW) 2" xfId="0"/>
    <cellStyle name="_PJ_VSE WFP_100726_VSA Roll-Up (LW) 3" xfId="0"/>
    <cellStyle name="_PJ_VSE WFP_100726_VSA Roll-Up (LW) 4" xfId="0"/>
    <cellStyle name="_PJ_VSE WFP_100726_VSA Roll-Up (LW) 4 2" xfId="0"/>
    <cellStyle name="_PJ_VSE WFP_100726_VSA Roll-Up (LW)_By Region" xfId="0"/>
    <cellStyle name="_PJ_VSE WFP_100726_VSA Roll-Up (LW)_CORP SG&amp;A" xfId="0"/>
    <cellStyle name="_PJ_VSE WFP_100726_VSA Roll-Up (LW)_LCD" xfId="0"/>
    <cellStyle name="_PJ_VSE WFP_100726_VSA Roll-Up (LW)_PJ" xfId="0"/>
    <cellStyle name="_PJ_VSE WFP_100827-1" xfId="0"/>
    <cellStyle name="_PJ_VSE WFP_100827-1 2" xfId="0"/>
    <cellStyle name="_PJ_VSE WFP_100827-1 3" xfId="0"/>
    <cellStyle name="_PJ_VSE WFP_100827-1 4" xfId="0"/>
    <cellStyle name="_PJ_VSE WFP_100827-1_By Region" xfId="0"/>
    <cellStyle name="_PJ_VSE WFP_100827-1_CORP SG&amp;A" xfId="0"/>
    <cellStyle name="_PJ_VSE WFP_100827-1_GPS OTHER" xfId="0"/>
    <cellStyle name="_PJ_VSE WFP_100827-1_GPS OTHER 2" xfId="0"/>
    <cellStyle name="_PJ_VSE WFP_100827-1_GPS OTHER 3" xfId="0"/>
    <cellStyle name="_PJ_VSE WFP_100827-1_GPS OTHER 4" xfId="0"/>
    <cellStyle name="_PJ_VSE WFP_100827-1_GPS OTHER 4 2" xfId="0"/>
    <cellStyle name="_PJ_VSE WFP_100827-1_GPS OTHER_By Region" xfId="0"/>
    <cellStyle name="_PJ_VSE WFP_100827-1_GPS OTHER_CORP SG&amp;A" xfId="0"/>
    <cellStyle name="_PJ_VSE WFP_100827-1_GPS OTHER_LCD" xfId="0"/>
    <cellStyle name="_PJ_VSE WFP_100827-1_GPS OTHER_PJ" xfId="0"/>
    <cellStyle name="_PJ_VSE WFP_100827-1_PC Products" xfId="0"/>
    <cellStyle name="_PJ_VSE WFP_100827-1_PC Products 2" xfId="0"/>
    <cellStyle name="_PJ_VSE WFP_100827-1_PC Products 3" xfId="0"/>
    <cellStyle name="_PJ_VSE WFP_100827-1_PC Products 4" xfId="0"/>
    <cellStyle name="_PJ_VSE WFP_100827-1_PC Products 4 2" xfId="0"/>
    <cellStyle name="_PJ_VSE WFP_100827-1_PC Products_By Region" xfId="0"/>
    <cellStyle name="_PJ_VSE WFP_100827-1_PC Products_CORP SG&amp;A" xfId="0"/>
    <cellStyle name="_PJ_VSE WFP_100827-1_PC Products_LCD" xfId="0"/>
    <cellStyle name="_PJ_VSE WFP_100827-1_PC Products_PJ" xfId="0"/>
    <cellStyle name="_PJ_VSE WFP_100827-1_VSA 111014" xfId="0"/>
    <cellStyle name="_PJ_VSE WFP_100827-1_VSA 111014 2" xfId="0"/>
    <cellStyle name="_PJ_VSE WFP_100827-1_VSA 111014 3" xfId="0"/>
    <cellStyle name="_PJ_VSE WFP_100827-1_VSA 111014 4" xfId="0"/>
    <cellStyle name="_PJ_VSE WFP_100827-1_VSA 111014 4 2" xfId="0"/>
    <cellStyle name="_PJ_VSE WFP_100827-1_VSA 111014_By Region" xfId="0"/>
    <cellStyle name="_PJ_VSE WFP_100827-1_VSA 111014_CORP SG&amp;A" xfId="0"/>
    <cellStyle name="_PJ_VSE WFP_100827-1_VSA 111014_LCD" xfId="0"/>
    <cellStyle name="_PJ_VSE WFP_100827-1_VSA 111014_PJ" xfId="0"/>
    <cellStyle name="_PJ_VSE WFP_100827-1_VSA Roll-Up (LW)" xfId="0"/>
    <cellStyle name="_PJ_VSE WFP_100827-1_VSA Roll-Up (LW) 2" xfId="0"/>
    <cellStyle name="_PJ_VSE WFP_100827-1_VSA Roll-Up (LW) 3" xfId="0"/>
    <cellStyle name="_PJ_VSE WFP_100827-1_VSA Roll-Up (LW) 4" xfId="0"/>
    <cellStyle name="_PJ_VSE WFP_100827-1_VSA Roll-Up (LW) 4 2" xfId="0"/>
    <cellStyle name="_PJ_VSE WFP_100827-1_VSA Roll-Up (LW)_By Region" xfId="0"/>
    <cellStyle name="_PJ_VSE WFP_100827-1_VSA Roll-Up (LW)_CORP SG&amp;A" xfId="0"/>
    <cellStyle name="_PJ_VSE WFP_100827-1_VSA Roll-Up (LW)_LCD" xfId="0"/>
    <cellStyle name="_PJ_VSE WFP_100827-1_VSA Roll-Up (LW)_PJ" xfId="0"/>
    <cellStyle name="_PJ_VSE WFP_101001" xfId="0"/>
    <cellStyle name="_PJ_VSE WFP_101001 2" xfId="0"/>
    <cellStyle name="_PJ_VSE WFP_101001 3" xfId="0"/>
    <cellStyle name="_PJ_VSE WFP_101001 4" xfId="0"/>
    <cellStyle name="_PJ_VSE WFP_101001_By Region" xfId="0"/>
    <cellStyle name="_PJ_VSE WFP_101001_CORP SG&amp;A" xfId="0"/>
    <cellStyle name="_PJ_VSE WFP_101001_GPS OTHER" xfId="0"/>
    <cellStyle name="_PJ_VSE WFP_101001_GPS OTHER 2" xfId="0"/>
    <cellStyle name="_PJ_VSE WFP_101001_GPS OTHER 3" xfId="0"/>
    <cellStyle name="_PJ_VSE WFP_101001_GPS OTHER 4" xfId="0"/>
    <cellStyle name="_PJ_VSE WFP_101001_GPS OTHER 4 2" xfId="0"/>
    <cellStyle name="_PJ_VSE WFP_101001_GPS OTHER_By Region" xfId="0"/>
    <cellStyle name="_PJ_VSE WFP_101001_GPS OTHER_CORP SG&amp;A" xfId="0"/>
    <cellStyle name="_PJ_VSE WFP_101001_GPS OTHER_LCD" xfId="0"/>
    <cellStyle name="_PJ_VSE WFP_101001_GPS OTHER_PJ" xfId="0"/>
    <cellStyle name="_PJ_VSE WFP_101001_PC Products" xfId="0"/>
    <cellStyle name="_PJ_VSE WFP_101001_PC Products 2" xfId="0"/>
    <cellStyle name="_PJ_VSE WFP_101001_PC Products 3" xfId="0"/>
    <cellStyle name="_PJ_VSE WFP_101001_PC Products 4" xfId="0"/>
    <cellStyle name="_PJ_VSE WFP_101001_PC Products 4 2" xfId="0"/>
    <cellStyle name="_PJ_VSE WFP_101001_PC Products_By Region" xfId="0"/>
    <cellStyle name="_PJ_VSE WFP_101001_PC Products_CORP SG&amp;A" xfId="0"/>
    <cellStyle name="_PJ_VSE WFP_101001_PC Products_LCD" xfId="0"/>
    <cellStyle name="_PJ_VSE WFP_101001_PC Products_PJ" xfId="0"/>
    <cellStyle name="_PJ_VSE WFP_101001_VSA 111014" xfId="0"/>
    <cellStyle name="_PJ_VSE WFP_101001_VSA 111014 2" xfId="0"/>
    <cellStyle name="_PJ_VSE WFP_101001_VSA 111014 3" xfId="0"/>
    <cellStyle name="_PJ_VSE WFP_101001_VSA 111014 4" xfId="0"/>
    <cellStyle name="_PJ_VSE WFP_101001_VSA 111014 4 2" xfId="0"/>
    <cellStyle name="_PJ_VSE WFP_101001_VSA 111014_By Region" xfId="0"/>
    <cellStyle name="_PJ_VSE WFP_101001_VSA 111014_CORP SG&amp;A" xfId="0"/>
    <cellStyle name="_PJ_VSE WFP_101001_VSA 111014_LCD" xfId="0"/>
    <cellStyle name="_PJ_VSE WFP_101001_VSA 111014_PJ" xfId="0"/>
    <cellStyle name="_PJ_VSE WFP_101001_VSA Roll-Up (LW)" xfId="0"/>
    <cellStyle name="_PJ_VSE WFP_101001_VSA Roll-Up (LW) 2" xfId="0"/>
    <cellStyle name="_PJ_VSE WFP_101001_VSA Roll-Up (LW) 3" xfId="0"/>
    <cellStyle name="_PJ_VSE WFP_101001_VSA Roll-Up (LW) 4" xfId="0"/>
    <cellStyle name="_PJ_VSE WFP_101001_VSA Roll-Up (LW) 4 2" xfId="0"/>
    <cellStyle name="_PJ_VSE WFP_101001_VSA Roll-Up (LW)_By Region" xfId="0"/>
    <cellStyle name="_PJ_VSE WFP_101001_VSA Roll-Up (LW)_CORP SG&amp;A" xfId="0"/>
    <cellStyle name="_PJ_VSE WFP_101001_VSA Roll-Up (LW)_LCD" xfId="0"/>
    <cellStyle name="_PJ_VSE WFP_101001_VSA Roll-Up (LW)_PJ" xfId="0"/>
    <cellStyle name="_PJ_VSE WFP_101029-with more ViewPad 7" xfId="0"/>
    <cellStyle name="_PJ_VSE WFP_101029-with more ViewPad 7 2" xfId="0"/>
    <cellStyle name="_PJ_VSE WFP_101029-with more ViewPad 7 3" xfId="0"/>
    <cellStyle name="_PJ_VSE WFP_101029-with more ViewPad 7 4" xfId="0"/>
    <cellStyle name="_PJ_VSE WFP_101029-with more ViewPad 7_By Region" xfId="0"/>
    <cellStyle name="_PJ_VSE WFP_101029-with more ViewPad 7_CORP SG&amp;A" xfId="0"/>
    <cellStyle name="_PJ_VSE WFP_101029-with more ViewPad 7_GPS OTHER" xfId="0"/>
    <cellStyle name="_PJ_VSE WFP_101029-with more ViewPad 7_GPS OTHER 2" xfId="0"/>
    <cellStyle name="_PJ_VSE WFP_101029-with more ViewPad 7_GPS OTHER 3" xfId="0"/>
    <cellStyle name="_PJ_VSE WFP_101029-with more ViewPad 7_GPS OTHER 4" xfId="0"/>
    <cellStyle name="_PJ_VSE WFP_101029-with more ViewPad 7_GPS OTHER 4 2" xfId="0"/>
    <cellStyle name="_PJ_VSE WFP_101029-with more ViewPad 7_GPS OTHER_By Region" xfId="0"/>
    <cellStyle name="_PJ_VSE WFP_101029-with more ViewPad 7_GPS OTHER_CORP SG&amp;A" xfId="0"/>
    <cellStyle name="_PJ_VSE WFP_101029-with more ViewPad 7_GPS OTHER_LCD" xfId="0"/>
    <cellStyle name="_PJ_VSE WFP_101029-with more ViewPad 7_GPS OTHER_PJ" xfId="0"/>
    <cellStyle name="_PJ_VSE WFP_101029-with more ViewPad 7_PC Products" xfId="0"/>
    <cellStyle name="_PJ_VSE WFP_101029-with more ViewPad 7_PC Products 2" xfId="0"/>
    <cellStyle name="_PJ_VSE WFP_101029-with more ViewPad 7_PC Products 3" xfId="0"/>
    <cellStyle name="_PJ_VSE WFP_101029-with more ViewPad 7_PC Products 4" xfId="0"/>
    <cellStyle name="_PJ_VSE WFP_101029-with more ViewPad 7_PC Products 4 2" xfId="0"/>
    <cellStyle name="_PJ_VSE WFP_101029-with more ViewPad 7_PC Products_By Region" xfId="0"/>
    <cellStyle name="_PJ_VSE WFP_101029-with more ViewPad 7_PC Products_CORP SG&amp;A" xfId="0"/>
    <cellStyle name="_PJ_VSE WFP_101029-with more ViewPad 7_PC Products_LCD" xfId="0"/>
    <cellStyle name="_PJ_VSE WFP_101029-with more ViewPad 7_PC Products_PJ" xfId="0"/>
    <cellStyle name="_PJ_VSE WFP_101029-with more ViewPad 7_VSA 111014" xfId="0"/>
    <cellStyle name="_PJ_VSE WFP_101029-with more ViewPad 7_VSA 111014 2" xfId="0"/>
    <cellStyle name="_PJ_VSE WFP_101029-with more ViewPad 7_VSA 111014 3" xfId="0"/>
    <cellStyle name="_PJ_VSE WFP_101029-with more ViewPad 7_VSA 111014 4" xfId="0"/>
    <cellStyle name="_PJ_VSE WFP_101029-with more ViewPad 7_VSA 111014 4 2" xfId="0"/>
    <cellStyle name="_PJ_VSE WFP_101029-with more ViewPad 7_VSA 111014_By Region" xfId="0"/>
    <cellStyle name="_PJ_VSE WFP_101029-with more ViewPad 7_VSA 111014_CORP SG&amp;A" xfId="0"/>
    <cellStyle name="_PJ_VSE WFP_101029-with more ViewPad 7_VSA 111014_LCD" xfId="0"/>
    <cellStyle name="_PJ_VSE WFP_101029-with more ViewPad 7_VSA 111014_PJ" xfId="0"/>
    <cellStyle name="_PJ_VSE WFP_101029-with more ViewPad 7_VSA Roll-Up (LW)" xfId="0"/>
    <cellStyle name="_PJ_VSE WFP_101029-with more ViewPad 7_VSA Roll-Up (LW) 2" xfId="0"/>
    <cellStyle name="_PJ_VSE WFP_101029-with more ViewPad 7_VSA Roll-Up (LW) 3" xfId="0"/>
    <cellStyle name="_PJ_VSE WFP_101029-with more ViewPad 7_VSA Roll-Up (LW) 4" xfId="0"/>
    <cellStyle name="_PJ_VSE WFP_101029-with more ViewPad 7_VSA Roll-Up (LW) 4 2" xfId="0"/>
    <cellStyle name="_PJ_VSE WFP_101029-with more ViewPad 7_VSA Roll-Up (LW)_By Region" xfId="0"/>
    <cellStyle name="_PJ_VSE WFP_101029-with more ViewPad 7_VSA Roll-Up (LW)_CORP SG&amp;A" xfId="0"/>
    <cellStyle name="_PJ_VSE WFP_101029-with more ViewPad 7_VSA Roll-Up (LW)_LCD" xfId="0"/>
    <cellStyle name="_PJ_VSE WFP_101029-with more ViewPad 7_VSA Roll-Up (LW)_PJ" xfId="0"/>
    <cellStyle name="_PMP DCR" xfId="0"/>
    <cellStyle name="_PMP DCR 2" xfId="0"/>
    <cellStyle name="_PMP DCR_VSE DCR Planning Model and Trend Charts 20100118" xfId="0"/>
    <cellStyle name="_PMP DCR_VSE DCR Planning Model and Trend Charts 20100118 2" xfId="0"/>
    <cellStyle name="_PMP DCR_VSE DCR Planning Model and Trend Charts 20100315" xfId="0"/>
    <cellStyle name="_PMP DCR_VSE DCR Planning Model and Trend Charts 20100315 2" xfId="0"/>
    <cellStyle name="_POCKET-TV DCR" xfId="0"/>
    <cellStyle name="_POCKET-TV DCR 2" xfId="0"/>
    <cellStyle name="_POCKET-TV DCR_VSE DCR Planning Model and Trend Charts 20100118" xfId="0"/>
    <cellStyle name="_POCKET-TV DCR_VSE DCR Planning Model and Trend Charts 20100118 2" xfId="0"/>
    <cellStyle name="_POCKET-TV DCR_VSE DCR Planning Model and Trend Charts 20100315" xfId="0"/>
    <cellStyle name="_POCKET-TV DCR_VSE DCR Planning Model and Trend Charts 20100315 2" xfId="0"/>
    <cellStyle name="_Pocket_TV" xfId="0"/>
    <cellStyle name="_Pocket_TV 2" xfId="0"/>
    <cellStyle name="_Pocket_TV 3" xfId="0"/>
    <cellStyle name="_Pocket_TV 4" xfId="0"/>
    <cellStyle name="_Pocket_TV 5" xfId="0"/>
    <cellStyle name="_Pocket_TV_By Region" xfId="0"/>
    <cellStyle name="_Pocket_TV_CIS" xfId="0"/>
    <cellStyle name="_Pocket_TV_CIS 2" xfId="0"/>
    <cellStyle name="_Pocket_TV_CIS 3" xfId="0"/>
    <cellStyle name="_Pocket_TV_CIS 4" xfId="0"/>
    <cellStyle name="_Pocket_TV_CIS_By Region" xfId="0"/>
    <cellStyle name="_Pocket_TV_CIS_CORP SG&amp;A" xfId="0"/>
    <cellStyle name="_Pocket_TV_CIS_GPS OTHER" xfId="0"/>
    <cellStyle name="_Pocket_TV_CIS_GPS OTHER 2" xfId="0"/>
    <cellStyle name="_Pocket_TV_CIS_GPS OTHER 3" xfId="0"/>
    <cellStyle name="_Pocket_TV_CIS_GPS OTHER 4" xfId="0"/>
    <cellStyle name="_Pocket_TV_CIS_GPS OTHER 4 2" xfId="0"/>
    <cellStyle name="_Pocket_TV_CIS_GPS OTHER_By Region" xfId="0"/>
    <cellStyle name="_Pocket_TV_CIS_GPS OTHER_CORP SG&amp;A" xfId="0"/>
    <cellStyle name="_Pocket_TV_CIS_GPS OTHER_LCD" xfId="0"/>
    <cellStyle name="_Pocket_TV_CIS_GPS OTHER_PJ" xfId="0"/>
    <cellStyle name="_Pocket_TV_CIS_PC Products" xfId="0"/>
    <cellStyle name="_Pocket_TV_CIS_PC Products 2" xfId="0"/>
    <cellStyle name="_Pocket_TV_CIS_PC Products 3" xfId="0"/>
    <cellStyle name="_Pocket_TV_CIS_PC Products 4" xfId="0"/>
    <cellStyle name="_Pocket_TV_CIS_PC Products 4 2" xfId="0"/>
    <cellStyle name="_Pocket_TV_CIS_PC Products_By Region" xfId="0"/>
    <cellStyle name="_Pocket_TV_CIS_PC Products_CORP SG&amp;A" xfId="0"/>
    <cellStyle name="_Pocket_TV_CIS_PC Products_LCD" xfId="0"/>
    <cellStyle name="_Pocket_TV_CIS_PC Products_PJ" xfId="0"/>
    <cellStyle name="_Pocket_TV_CIS_VSA 111014" xfId="0"/>
    <cellStyle name="_Pocket_TV_CIS_VSA 111014 2" xfId="0"/>
    <cellStyle name="_Pocket_TV_CIS_VSA 111014 3" xfId="0"/>
    <cellStyle name="_Pocket_TV_CIS_VSA 111014 4" xfId="0"/>
    <cellStyle name="_Pocket_TV_CIS_VSA 111014 4 2" xfId="0"/>
    <cellStyle name="_Pocket_TV_CIS_VSA 111014_By Region" xfId="0"/>
    <cellStyle name="_Pocket_TV_CIS_VSA 111014_CORP SG&amp;A" xfId="0"/>
    <cellStyle name="_Pocket_TV_CIS_VSA 111014_LCD" xfId="0"/>
    <cellStyle name="_Pocket_TV_CIS_VSA 111014_PJ" xfId="0"/>
    <cellStyle name="_Pocket_TV_CIS_VSA Roll-Up (LW)" xfId="0"/>
    <cellStyle name="_Pocket_TV_CIS_VSA Roll-Up (LW) 2" xfId="0"/>
    <cellStyle name="_Pocket_TV_CIS_VSA Roll-Up (LW) 3" xfId="0"/>
    <cellStyle name="_Pocket_TV_CIS_VSA Roll-Up (LW) 4" xfId="0"/>
    <cellStyle name="_Pocket_TV_CIS_VSA Roll-Up (LW) 4 2" xfId="0"/>
    <cellStyle name="_Pocket_TV_CIS_VSA Roll-Up (LW)_By Region" xfId="0"/>
    <cellStyle name="_Pocket_TV_CIS_VSA Roll-Up (LW)_CORP SG&amp;A" xfId="0"/>
    <cellStyle name="_Pocket_TV_CIS_VSA Roll-Up (LW)_LCD" xfId="0"/>
    <cellStyle name="_Pocket_TV_CIS_VSA Roll-Up (LW)_PJ" xfId="0"/>
    <cellStyle name="_Pocket_TV_CORP SG&amp;A" xfId="0"/>
    <cellStyle name="_Pocket_TV_CRT" xfId="0"/>
    <cellStyle name="_Pocket_TV_CRT 2" xfId="0"/>
    <cellStyle name="_Pocket_TV_CRT 3" xfId="0"/>
    <cellStyle name="_Pocket_TV_CRT 4" xfId="0"/>
    <cellStyle name="_Pocket_TV_CRT_By Region" xfId="0"/>
    <cellStyle name="_Pocket_TV_CRT_CORP SG&amp;A" xfId="0"/>
    <cellStyle name="_Pocket_TV_CRT_GPS OTHER" xfId="0"/>
    <cellStyle name="_Pocket_TV_CRT_GPS OTHER 2" xfId="0"/>
    <cellStyle name="_Pocket_TV_CRT_GPS OTHER 3" xfId="0"/>
    <cellStyle name="_Pocket_TV_CRT_GPS OTHER 4" xfId="0"/>
    <cellStyle name="_Pocket_TV_CRT_GPS OTHER 4 2" xfId="0"/>
    <cellStyle name="_Pocket_TV_CRT_GPS OTHER_By Region" xfId="0"/>
    <cellStyle name="_Pocket_TV_CRT_GPS OTHER_CORP SG&amp;A" xfId="0"/>
    <cellStyle name="_Pocket_TV_CRT_GPS OTHER_LCD" xfId="0"/>
    <cellStyle name="_Pocket_TV_CRT_GPS OTHER_PJ" xfId="0"/>
    <cellStyle name="_Pocket_TV_CRT_PC Products" xfId="0"/>
    <cellStyle name="_Pocket_TV_CRT_PC Products 2" xfId="0"/>
    <cellStyle name="_Pocket_TV_CRT_PC Products 3" xfId="0"/>
    <cellStyle name="_Pocket_TV_CRT_PC Products 4" xfId="0"/>
    <cellStyle name="_Pocket_TV_CRT_PC Products 4 2" xfId="0"/>
    <cellStyle name="_Pocket_TV_CRT_PC Products_By Region" xfId="0"/>
    <cellStyle name="_Pocket_TV_CRT_PC Products_CORP SG&amp;A" xfId="0"/>
    <cellStyle name="_Pocket_TV_CRT_PC Products_LCD" xfId="0"/>
    <cellStyle name="_Pocket_TV_CRT_PC Products_PJ" xfId="0"/>
    <cellStyle name="_Pocket_TV_CRT_VSA 111014" xfId="0"/>
    <cellStyle name="_Pocket_TV_CRT_VSA 111014 2" xfId="0"/>
    <cellStyle name="_Pocket_TV_CRT_VSA 111014 3" xfId="0"/>
    <cellStyle name="_Pocket_TV_CRT_VSA 111014 4" xfId="0"/>
    <cellStyle name="_Pocket_TV_CRT_VSA 111014 4 2" xfId="0"/>
    <cellStyle name="_Pocket_TV_CRT_VSA 111014_By Region" xfId="0"/>
    <cellStyle name="_Pocket_TV_CRT_VSA 111014_CORP SG&amp;A" xfId="0"/>
    <cellStyle name="_Pocket_TV_CRT_VSA 111014_LCD" xfId="0"/>
    <cellStyle name="_Pocket_TV_CRT_VSA 111014_PJ" xfId="0"/>
    <cellStyle name="_Pocket_TV_CRT_VSA Roll-Up (LW)" xfId="0"/>
    <cellStyle name="_Pocket_TV_CRT_VSA Roll-Up (LW) 2" xfId="0"/>
    <cellStyle name="_Pocket_TV_CRT_VSA Roll-Up (LW) 3" xfId="0"/>
    <cellStyle name="_Pocket_TV_CRT_VSA Roll-Up (LW) 4" xfId="0"/>
    <cellStyle name="_Pocket_TV_CRT_VSA Roll-Up (LW) 4 2" xfId="0"/>
    <cellStyle name="_Pocket_TV_CRT_VSA Roll-Up (LW)_By Region" xfId="0"/>
    <cellStyle name="_Pocket_TV_CRT_VSA Roll-Up (LW)_CORP SG&amp;A" xfId="0"/>
    <cellStyle name="_Pocket_TV_CRT_VSA Roll-Up (LW)_LCD" xfId="0"/>
    <cellStyle name="_Pocket_TV_CRT_VSA Roll-Up (LW)_PJ" xfId="0"/>
    <cellStyle name="_Pocket_TV_Diff" xfId="0"/>
    <cellStyle name="_Pocket_TV_Diff 2" xfId="0"/>
    <cellStyle name="_Pocket_TV_Diff 3" xfId="0"/>
    <cellStyle name="_Pocket_TV_Diff 4" xfId="0"/>
    <cellStyle name="_Pocket_TV_Diff_By Region" xfId="0"/>
    <cellStyle name="_Pocket_TV_Diff_CORP SG&amp;A" xfId="0"/>
    <cellStyle name="_Pocket_TV_Diff_GPS OTHER" xfId="0"/>
    <cellStyle name="_Pocket_TV_Diff_GPS OTHER 2" xfId="0"/>
    <cellStyle name="_Pocket_TV_Diff_GPS OTHER 3" xfId="0"/>
    <cellStyle name="_Pocket_TV_Diff_GPS OTHER 4" xfId="0"/>
    <cellStyle name="_Pocket_TV_Diff_GPS OTHER 4 2" xfId="0"/>
    <cellStyle name="_Pocket_TV_Diff_GPS OTHER_By Region" xfId="0"/>
    <cellStyle name="_Pocket_TV_Diff_GPS OTHER_CORP SG&amp;A" xfId="0"/>
    <cellStyle name="_Pocket_TV_Diff_GPS OTHER_LCD" xfId="0"/>
    <cellStyle name="_Pocket_TV_Diff_GPS OTHER_PJ" xfId="0"/>
    <cellStyle name="_Pocket_TV_Diff_PC Products" xfId="0"/>
    <cellStyle name="_Pocket_TV_Diff_PC Products 2" xfId="0"/>
    <cellStyle name="_Pocket_TV_Diff_PC Products 3" xfId="0"/>
    <cellStyle name="_Pocket_TV_Diff_PC Products 4" xfId="0"/>
    <cellStyle name="_Pocket_TV_Diff_PC Products 4 2" xfId="0"/>
    <cellStyle name="_Pocket_TV_Diff_PC Products_By Region" xfId="0"/>
    <cellStyle name="_Pocket_TV_Diff_PC Products_CORP SG&amp;A" xfId="0"/>
    <cellStyle name="_Pocket_TV_Diff_PC Products_LCD" xfId="0"/>
    <cellStyle name="_Pocket_TV_Diff_PC Products_PJ" xfId="0"/>
    <cellStyle name="_Pocket_TV_Diff_VSA 111014" xfId="0"/>
    <cellStyle name="_Pocket_TV_Diff_VSA 111014 2" xfId="0"/>
    <cellStyle name="_Pocket_TV_Diff_VSA 111014 3" xfId="0"/>
    <cellStyle name="_Pocket_TV_Diff_VSA 111014 4" xfId="0"/>
    <cellStyle name="_Pocket_TV_Diff_VSA 111014 4 2" xfId="0"/>
    <cellStyle name="_Pocket_TV_Diff_VSA 111014_By Region" xfId="0"/>
    <cellStyle name="_Pocket_TV_Diff_VSA 111014_CORP SG&amp;A" xfId="0"/>
    <cellStyle name="_Pocket_TV_Diff_VSA 111014_LCD" xfId="0"/>
    <cellStyle name="_Pocket_TV_Diff_VSA 111014_PJ" xfId="0"/>
    <cellStyle name="_Pocket_TV_Diff_VSA Roll-Up (LW)" xfId="0"/>
    <cellStyle name="_Pocket_TV_Diff_VSA Roll-Up (LW) 2" xfId="0"/>
    <cellStyle name="_Pocket_TV_Diff_VSA Roll-Up (LW) 3" xfId="0"/>
    <cellStyle name="_Pocket_TV_Diff_VSA Roll-Up (LW) 4" xfId="0"/>
    <cellStyle name="_Pocket_TV_Diff_VSA Roll-Up (LW) 4 2" xfId="0"/>
    <cellStyle name="_Pocket_TV_Diff_VSA Roll-Up (LW)_By Region" xfId="0"/>
    <cellStyle name="_Pocket_TV_Diff_VSA Roll-Up (LW)_CORP SG&amp;A" xfId="0"/>
    <cellStyle name="_Pocket_TV_Diff_VSA Roll-Up (LW)_LCD" xfId="0"/>
    <cellStyle name="_Pocket_TV_Diff_VSA Roll-Up (LW)_PJ" xfId="0"/>
    <cellStyle name="_Pocket_TV_Digital Product" xfId="0"/>
    <cellStyle name="_Pocket_TV_Digital Product 2" xfId="0"/>
    <cellStyle name="_Pocket_TV_Digital Product 3" xfId="0"/>
    <cellStyle name="_Pocket_TV_Digital Product 4" xfId="0"/>
    <cellStyle name="_Pocket_TV_Digital Product_By Region" xfId="0"/>
    <cellStyle name="_Pocket_TV_Digital Product_CORP SG&amp;A" xfId="0"/>
    <cellStyle name="_Pocket_TV_Digital Product_GPS OTHER" xfId="0"/>
    <cellStyle name="_Pocket_TV_Digital Product_GPS OTHER 2" xfId="0"/>
    <cellStyle name="_Pocket_TV_Digital Product_GPS OTHER 3" xfId="0"/>
    <cellStyle name="_Pocket_TV_Digital Product_GPS OTHER 4" xfId="0"/>
    <cellStyle name="_Pocket_TV_Digital Product_GPS OTHER 4 2" xfId="0"/>
    <cellStyle name="_Pocket_TV_Digital Product_GPS OTHER_By Region" xfId="0"/>
    <cellStyle name="_Pocket_TV_Digital Product_GPS OTHER_CORP SG&amp;A" xfId="0"/>
    <cellStyle name="_Pocket_TV_Digital Product_GPS OTHER_LCD" xfId="0"/>
    <cellStyle name="_Pocket_TV_Digital Product_GPS OTHER_PJ" xfId="0"/>
    <cellStyle name="_Pocket_TV_Digital Product_PC Products" xfId="0"/>
    <cellStyle name="_Pocket_TV_Digital Product_PC Products 2" xfId="0"/>
    <cellStyle name="_Pocket_TV_Digital Product_PC Products 3" xfId="0"/>
    <cellStyle name="_Pocket_TV_Digital Product_PC Products 4" xfId="0"/>
    <cellStyle name="_Pocket_TV_Digital Product_PC Products 4 2" xfId="0"/>
    <cellStyle name="_Pocket_TV_Digital Product_PC Products_By Region" xfId="0"/>
    <cellStyle name="_Pocket_TV_Digital Product_PC Products_CORP SG&amp;A" xfId="0"/>
    <cellStyle name="_Pocket_TV_Digital Product_PC Products_LCD" xfId="0"/>
    <cellStyle name="_Pocket_TV_Digital Product_PC Products_PJ" xfId="0"/>
    <cellStyle name="_Pocket_TV_Digital Product_VSA 111014" xfId="0"/>
    <cellStyle name="_Pocket_TV_Digital Product_VSA 111014 2" xfId="0"/>
    <cellStyle name="_Pocket_TV_Digital Product_VSA 111014 3" xfId="0"/>
    <cellStyle name="_Pocket_TV_Digital Product_VSA 111014 4" xfId="0"/>
    <cellStyle name="_Pocket_TV_Digital Product_VSA 111014 4 2" xfId="0"/>
    <cellStyle name="_Pocket_TV_Digital Product_VSA 111014_By Region" xfId="0"/>
    <cellStyle name="_Pocket_TV_Digital Product_VSA 111014_CORP SG&amp;A" xfId="0"/>
    <cellStyle name="_Pocket_TV_Digital Product_VSA 111014_LCD" xfId="0"/>
    <cellStyle name="_Pocket_TV_Digital Product_VSA 111014_PJ" xfId="0"/>
    <cellStyle name="_Pocket_TV_Digital Product_VSA Roll-Up (LW)" xfId="0"/>
    <cellStyle name="_Pocket_TV_Digital Product_VSA Roll-Up (LW) 2" xfId="0"/>
    <cellStyle name="_Pocket_TV_Digital Product_VSA Roll-Up (LW) 3" xfId="0"/>
    <cellStyle name="_Pocket_TV_Digital Product_VSA Roll-Up (LW) 4" xfId="0"/>
    <cellStyle name="_Pocket_TV_Digital Product_VSA Roll-Up (LW) 4 2" xfId="0"/>
    <cellStyle name="_Pocket_TV_Digital Product_VSA Roll-Up (LW)_By Region" xfId="0"/>
    <cellStyle name="_Pocket_TV_Digital Product_VSA Roll-Up (LW)_CORP SG&amp;A" xfId="0"/>
    <cellStyle name="_Pocket_TV_Digital Product_VSA Roll-Up (LW)_LCD" xfId="0"/>
    <cellStyle name="_Pocket_TV_Digital Product_VSA Roll-Up (LW)_PJ" xfId="0"/>
    <cellStyle name="_Pocket_TV_Digital Signage" xfId="0"/>
    <cellStyle name="_Pocket_TV_Digital Signage 2" xfId="0"/>
    <cellStyle name="_Pocket_TV_Digital Signage 3" xfId="0"/>
    <cellStyle name="_Pocket_TV_Digital Signage 4" xfId="0"/>
    <cellStyle name="_Pocket_TV_Digital Signage_By Region" xfId="0"/>
    <cellStyle name="_Pocket_TV_Digital Signage_CORP SG&amp;A" xfId="0"/>
    <cellStyle name="_Pocket_TV_Digital Signage_GPS OTHER" xfId="0"/>
    <cellStyle name="_Pocket_TV_Digital Signage_GPS OTHER 2" xfId="0"/>
    <cellStyle name="_Pocket_TV_Digital Signage_GPS OTHER 3" xfId="0"/>
    <cellStyle name="_Pocket_TV_Digital Signage_GPS OTHER 4" xfId="0"/>
    <cellStyle name="_Pocket_TV_Digital Signage_GPS OTHER 4 2" xfId="0"/>
    <cellStyle name="_Pocket_TV_Digital Signage_GPS OTHER_By Region" xfId="0"/>
    <cellStyle name="_Pocket_TV_Digital Signage_GPS OTHER_CORP SG&amp;A" xfId="0"/>
    <cellStyle name="_Pocket_TV_Digital Signage_GPS OTHER_LCD" xfId="0"/>
    <cellStyle name="_Pocket_TV_Digital Signage_GPS OTHER_PJ" xfId="0"/>
    <cellStyle name="_Pocket_TV_Digital Signage_PC Products" xfId="0"/>
    <cellStyle name="_Pocket_TV_Digital Signage_PC Products 2" xfId="0"/>
    <cellStyle name="_Pocket_TV_Digital Signage_PC Products 3" xfId="0"/>
    <cellStyle name="_Pocket_TV_Digital Signage_PC Products 4" xfId="0"/>
    <cellStyle name="_Pocket_TV_Digital Signage_PC Products 4 2" xfId="0"/>
    <cellStyle name="_Pocket_TV_Digital Signage_PC Products_By Region" xfId="0"/>
    <cellStyle name="_Pocket_TV_Digital Signage_PC Products_CORP SG&amp;A" xfId="0"/>
    <cellStyle name="_Pocket_TV_Digital Signage_PC Products_LCD" xfId="0"/>
    <cellStyle name="_Pocket_TV_Digital Signage_PC Products_PJ" xfId="0"/>
    <cellStyle name="_Pocket_TV_Digital Signage_VSA 111014" xfId="0"/>
    <cellStyle name="_Pocket_TV_Digital Signage_VSA 111014 2" xfId="0"/>
    <cellStyle name="_Pocket_TV_Digital Signage_VSA 111014 3" xfId="0"/>
    <cellStyle name="_Pocket_TV_Digital Signage_VSA 111014 4" xfId="0"/>
    <cellStyle name="_Pocket_TV_Digital Signage_VSA 111014 4 2" xfId="0"/>
    <cellStyle name="_Pocket_TV_Digital Signage_VSA 111014_By Region" xfId="0"/>
    <cellStyle name="_Pocket_TV_Digital Signage_VSA 111014_CORP SG&amp;A" xfId="0"/>
    <cellStyle name="_Pocket_TV_Digital Signage_VSA 111014_LCD" xfId="0"/>
    <cellStyle name="_Pocket_TV_Digital Signage_VSA 111014_PJ" xfId="0"/>
    <cellStyle name="_Pocket_TV_Digital Signage_VSA Roll-Up (LW)" xfId="0"/>
    <cellStyle name="_Pocket_TV_Digital Signage_VSA Roll-Up (LW) 2" xfId="0"/>
    <cellStyle name="_Pocket_TV_Digital Signage_VSA Roll-Up (LW) 3" xfId="0"/>
    <cellStyle name="_Pocket_TV_Digital Signage_VSA Roll-Up (LW) 4" xfId="0"/>
    <cellStyle name="_Pocket_TV_Digital Signage_VSA Roll-Up (LW) 4 2" xfId="0"/>
    <cellStyle name="_Pocket_TV_Digital Signage_VSA Roll-Up (LW)_By Region" xfId="0"/>
    <cellStyle name="_Pocket_TV_Digital Signage_VSA Roll-Up (LW)_CORP SG&amp;A" xfId="0"/>
    <cellStyle name="_Pocket_TV_Digital Signage_VSA Roll-Up (LW)_LCD" xfId="0"/>
    <cellStyle name="_Pocket_TV_Digital Signage_VSA Roll-Up (LW)_PJ" xfId="0"/>
    <cellStyle name="_Pocket_TV_DMA(VMP)" xfId="0"/>
    <cellStyle name="_Pocket_TV_DMA(VMP) 2" xfId="0"/>
    <cellStyle name="_Pocket_TV_DMA(VMP) 3" xfId="0"/>
    <cellStyle name="_Pocket_TV_DMA(VMP) 4" xfId="0"/>
    <cellStyle name="_Pocket_TV_DMA(VMP)_By Region" xfId="0"/>
    <cellStyle name="_Pocket_TV_DMA(VMP)_CORP SG&amp;A" xfId="0"/>
    <cellStyle name="_Pocket_TV_DMA(VMP)_GPS OTHER" xfId="0"/>
    <cellStyle name="_Pocket_TV_DMA(VMP)_GPS OTHER 2" xfId="0"/>
    <cellStyle name="_Pocket_TV_DMA(VMP)_GPS OTHER 3" xfId="0"/>
    <cellStyle name="_Pocket_TV_DMA(VMP)_GPS OTHER 4" xfId="0"/>
    <cellStyle name="_Pocket_TV_DMA(VMP)_GPS OTHER 4 2" xfId="0"/>
    <cellStyle name="_Pocket_TV_DMA(VMP)_GPS OTHER_By Region" xfId="0"/>
    <cellStyle name="_Pocket_TV_DMA(VMP)_GPS OTHER_CORP SG&amp;A" xfId="0"/>
    <cellStyle name="_Pocket_TV_DMA(VMP)_GPS OTHER_LCD" xfId="0"/>
    <cellStyle name="_Pocket_TV_DMA(VMP)_GPS OTHER_PJ" xfId="0"/>
    <cellStyle name="_Pocket_TV_DMA(VMP)_PC Products" xfId="0"/>
    <cellStyle name="_Pocket_TV_DMA(VMP)_PC Products 2" xfId="0"/>
    <cellStyle name="_Pocket_TV_DMA(VMP)_PC Products 3" xfId="0"/>
    <cellStyle name="_Pocket_TV_DMA(VMP)_PC Products 4" xfId="0"/>
    <cellStyle name="_Pocket_TV_DMA(VMP)_PC Products 4 2" xfId="0"/>
    <cellStyle name="_Pocket_TV_DMA(VMP)_PC Products_By Region" xfId="0"/>
    <cellStyle name="_Pocket_TV_DMA(VMP)_PC Products_CORP SG&amp;A" xfId="0"/>
    <cellStyle name="_Pocket_TV_DMA(VMP)_PC Products_LCD" xfId="0"/>
    <cellStyle name="_Pocket_TV_DMA(VMP)_PC Products_PJ" xfId="0"/>
    <cellStyle name="_Pocket_TV_DMA(VMP)_VSA 111014" xfId="0"/>
    <cellStyle name="_Pocket_TV_DMA(VMP)_VSA 111014 2" xfId="0"/>
    <cellStyle name="_Pocket_TV_DMA(VMP)_VSA 111014 3" xfId="0"/>
    <cellStyle name="_Pocket_TV_DMA(VMP)_VSA 111014 4" xfId="0"/>
    <cellStyle name="_Pocket_TV_DMA(VMP)_VSA 111014 4 2" xfId="0"/>
    <cellStyle name="_Pocket_TV_DMA(VMP)_VSA 111014_By Region" xfId="0"/>
    <cellStyle name="_Pocket_TV_DMA(VMP)_VSA 111014_CORP SG&amp;A" xfId="0"/>
    <cellStyle name="_Pocket_TV_DMA(VMP)_VSA 111014_LCD" xfId="0"/>
    <cellStyle name="_Pocket_TV_DMA(VMP)_VSA 111014_PJ" xfId="0"/>
    <cellStyle name="_Pocket_TV_DMA(VMP)_VSA Roll-Up (LW)" xfId="0"/>
    <cellStyle name="_Pocket_TV_DMA(VMP)_VSA Roll-Up (LW) 2" xfId="0"/>
    <cellStyle name="_Pocket_TV_DMA(VMP)_VSA Roll-Up (LW) 3" xfId="0"/>
    <cellStyle name="_Pocket_TV_DMA(VMP)_VSA Roll-Up (LW) 4" xfId="0"/>
    <cellStyle name="_Pocket_TV_DMA(VMP)_VSA Roll-Up (LW) 4 2" xfId="0"/>
    <cellStyle name="_Pocket_TV_DMA(VMP)_VSA Roll-Up (LW)_By Region" xfId="0"/>
    <cellStyle name="_Pocket_TV_DMA(VMP)_VSA Roll-Up (LW)_CORP SG&amp;A" xfId="0"/>
    <cellStyle name="_Pocket_TV_DMA(VMP)_VSA Roll-Up (LW)_LCD" xfId="0"/>
    <cellStyle name="_Pocket_TV_DMA(VMP)_VSA Roll-Up (LW)_PJ" xfId="0"/>
    <cellStyle name="_Pocket_TV_DPF" xfId="0"/>
    <cellStyle name="_Pocket_TV_DPF 2" xfId="0"/>
    <cellStyle name="_Pocket_TV_DPF 3" xfId="0"/>
    <cellStyle name="_Pocket_TV_DPF 4" xfId="0"/>
    <cellStyle name="_Pocket_TV_DPF_By Region" xfId="0"/>
    <cellStyle name="_Pocket_TV_DPF_CORP SG&amp;A" xfId="0"/>
    <cellStyle name="_Pocket_TV_DPF_GPS OTHER" xfId="0"/>
    <cellStyle name="_Pocket_TV_DPF_GPS OTHER 2" xfId="0"/>
    <cellStyle name="_Pocket_TV_DPF_GPS OTHER 3" xfId="0"/>
    <cellStyle name="_Pocket_TV_DPF_GPS OTHER 4" xfId="0"/>
    <cellStyle name="_Pocket_TV_DPF_GPS OTHER 4 2" xfId="0"/>
    <cellStyle name="_Pocket_TV_DPF_GPS OTHER_By Region" xfId="0"/>
    <cellStyle name="_Pocket_TV_DPF_GPS OTHER_CORP SG&amp;A" xfId="0"/>
    <cellStyle name="_Pocket_TV_DPF_GPS OTHER_LCD" xfId="0"/>
    <cellStyle name="_Pocket_TV_DPF_GPS OTHER_PJ" xfId="0"/>
    <cellStyle name="_Pocket_TV_DPF_PC Products" xfId="0"/>
    <cellStyle name="_Pocket_TV_DPF_PC Products 2" xfId="0"/>
    <cellStyle name="_Pocket_TV_DPF_PC Products 3" xfId="0"/>
    <cellStyle name="_Pocket_TV_DPF_PC Products 4" xfId="0"/>
    <cellStyle name="_Pocket_TV_DPF_PC Products 4 2" xfId="0"/>
    <cellStyle name="_Pocket_TV_DPF_PC Products_By Region" xfId="0"/>
    <cellStyle name="_Pocket_TV_DPF_PC Products_CORP SG&amp;A" xfId="0"/>
    <cellStyle name="_Pocket_TV_DPF_PC Products_LCD" xfId="0"/>
    <cellStyle name="_Pocket_TV_DPF_PC Products_PJ" xfId="0"/>
    <cellStyle name="_Pocket_TV_DPF_VSA 111014" xfId="0"/>
    <cellStyle name="_Pocket_TV_DPF_VSA 111014 2" xfId="0"/>
    <cellStyle name="_Pocket_TV_DPF_VSA 111014 3" xfId="0"/>
    <cellStyle name="_Pocket_TV_DPF_VSA 111014 4" xfId="0"/>
    <cellStyle name="_Pocket_TV_DPF_VSA 111014 4 2" xfId="0"/>
    <cellStyle name="_Pocket_TV_DPF_VSA 111014_By Region" xfId="0"/>
    <cellStyle name="_Pocket_TV_DPF_VSA 111014_CORP SG&amp;A" xfId="0"/>
    <cellStyle name="_Pocket_TV_DPF_VSA 111014_LCD" xfId="0"/>
    <cellStyle name="_Pocket_TV_DPF_VSA 111014_PJ" xfId="0"/>
    <cellStyle name="_Pocket_TV_DPF_VSA Roll-Up (LW)" xfId="0"/>
    <cellStyle name="_Pocket_TV_DPF_VSA Roll-Up (LW) 2" xfId="0"/>
    <cellStyle name="_Pocket_TV_DPF_VSA Roll-Up (LW) 3" xfId="0"/>
    <cellStyle name="_Pocket_TV_DPF_VSA Roll-Up (LW) 4" xfId="0"/>
    <cellStyle name="_Pocket_TV_DPF_VSA Roll-Up (LW) 4 2" xfId="0"/>
    <cellStyle name="_Pocket_TV_DPF_VSA Roll-Up (LW)_By Region" xfId="0"/>
    <cellStyle name="_Pocket_TV_DPF_VSA Roll-Up (LW)_CORP SG&amp;A" xfId="0"/>
    <cellStyle name="_Pocket_TV_DPF_VSA Roll-Up (LW)_LCD" xfId="0"/>
    <cellStyle name="_Pocket_TV_DPF_VSA Roll-Up (LW)_PJ" xfId="0"/>
    <cellStyle name="_Pocket_TV_DS" xfId="0"/>
    <cellStyle name="_Pocket_TV_DS 2" xfId="0"/>
    <cellStyle name="_Pocket_TV_DS 3" xfId="0"/>
    <cellStyle name="_Pocket_TV_DS 4" xfId="0"/>
    <cellStyle name="_Pocket_TV_DS_By Region" xfId="0"/>
    <cellStyle name="_Pocket_TV_DS_CORP SG&amp;A" xfId="0"/>
    <cellStyle name="_Pocket_TV_DS_GPS OTHER" xfId="0"/>
    <cellStyle name="_Pocket_TV_DS_GPS OTHER 2" xfId="0"/>
    <cellStyle name="_Pocket_TV_DS_GPS OTHER 3" xfId="0"/>
    <cellStyle name="_Pocket_TV_DS_GPS OTHER 4" xfId="0"/>
    <cellStyle name="_Pocket_TV_DS_GPS OTHER 4 2" xfId="0"/>
    <cellStyle name="_Pocket_TV_DS_GPS OTHER_By Region" xfId="0"/>
    <cellStyle name="_Pocket_TV_DS_GPS OTHER_CORP SG&amp;A" xfId="0"/>
    <cellStyle name="_Pocket_TV_DS_GPS OTHER_LCD" xfId="0"/>
    <cellStyle name="_Pocket_TV_DS_GPS OTHER_PJ" xfId="0"/>
    <cellStyle name="_Pocket_TV_DS_PC Products" xfId="0"/>
    <cellStyle name="_Pocket_TV_DS_PC Products 2" xfId="0"/>
    <cellStyle name="_Pocket_TV_DS_PC Products 3" xfId="0"/>
    <cellStyle name="_Pocket_TV_DS_PC Products 4" xfId="0"/>
    <cellStyle name="_Pocket_TV_DS_PC Products 4 2" xfId="0"/>
    <cellStyle name="_Pocket_TV_DS_PC Products_By Region" xfId="0"/>
    <cellStyle name="_Pocket_TV_DS_PC Products_CORP SG&amp;A" xfId="0"/>
    <cellStyle name="_Pocket_TV_DS_PC Products_LCD" xfId="0"/>
    <cellStyle name="_Pocket_TV_DS_PC Products_PJ" xfId="0"/>
    <cellStyle name="_Pocket_TV_DS_VSA 111014" xfId="0"/>
    <cellStyle name="_Pocket_TV_DS_VSA 111014 2" xfId="0"/>
    <cellStyle name="_Pocket_TV_DS_VSA 111014 3" xfId="0"/>
    <cellStyle name="_Pocket_TV_DS_VSA 111014 4" xfId="0"/>
    <cellStyle name="_Pocket_TV_DS_VSA 111014 4 2" xfId="0"/>
    <cellStyle name="_Pocket_TV_DS_VSA 111014_By Region" xfId="0"/>
    <cellStyle name="_Pocket_TV_DS_VSA 111014_CORP SG&amp;A" xfId="0"/>
    <cellStyle name="_Pocket_TV_DS_VSA 111014_LCD" xfId="0"/>
    <cellStyle name="_Pocket_TV_DS_VSA 111014_PJ" xfId="0"/>
    <cellStyle name="_Pocket_TV_DS_VSA Roll-Up (LW)" xfId="0"/>
    <cellStyle name="_Pocket_TV_DS_VSA Roll-Up (LW) 2" xfId="0"/>
    <cellStyle name="_Pocket_TV_DS_VSA Roll-Up (LW) 3" xfId="0"/>
    <cellStyle name="_Pocket_TV_DS_VSA Roll-Up (LW) 4" xfId="0"/>
    <cellStyle name="_Pocket_TV_DS_VSA Roll-Up (LW) 4 2" xfId="0"/>
    <cellStyle name="_Pocket_TV_DS_VSA Roll-Up (LW)_By Region" xfId="0"/>
    <cellStyle name="_Pocket_TV_DS_VSA Roll-Up (LW)_CORP SG&amp;A" xfId="0"/>
    <cellStyle name="_Pocket_TV_DS_VSA Roll-Up (LW)_LCD" xfId="0"/>
    <cellStyle name="_Pocket_TV_DS_VSA Roll-Up (LW)_PJ" xfId="0"/>
    <cellStyle name="_Pocket_TV_DVD_TV" xfId="0"/>
    <cellStyle name="_Pocket_TV_DVD_TV 2" xfId="0"/>
    <cellStyle name="_Pocket_TV_DVD_TV 3" xfId="0"/>
    <cellStyle name="_Pocket_TV_DVD_TV 4" xfId="0"/>
    <cellStyle name="_Pocket_TV_DVD_TV_By Region" xfId="0"/>
    <cellStyle name="_Pocket_TV_DVD_TV_CORP SG&amp;A" xfId="0"/>
    <cellStyle name="_Pocket_TV_DVD_TV_GPS OTHER" xfId="0"/>
    <cellStyle name="_Pocket_TV_DVD_TV_GPS OTHER 2" xfId="0"/>
    <cellStyle name="_Pocket_TV_DVD_TV_GPS OTHER 3" xfId="0"/>
    <cellStyle name="_Pocket_TV_DVD_TV_GPS OTHER 4" xfId="0"/>
    <cellStyle name="_Pocket_TV_DVD_TV_GPS OTHER 4 2" xfId="0"/>
    <cellStyle name="_Pocket_TV_DVD_TV_GPS OTHER_By Region" xfId="0"/>
    <cellStyle name="_Pocket_TV_DVD_TV_GPS OTHER_CORP SG&amp;A" xfId="0"/>
    <cellStyle name="_Pocket_TV_DVD_TV_GPS OTHER_LCD" xfId="0"/>
    <cellStyle name="_Pocket_TV_DVD_TV_GPS OTHER_PJ" xfId="0"/>
    <cellStyle name="_Pocket_TV_DVD_TV_PC Products" xfId="0"/>
    <cellStyle name="_Pocket_TV_DVD_TV_PC Products 2" xfId="0"/>
    <cellStyle name="_Pocket_TV_DVD_TV_PC Products 3" xfId="0"/>
    <cellStyle name="_Pocket_TV_DVD_TV_PC Products 4" xfId="0"/>
    <cellStyle name="_Pocket_TV_DVD_TV_PC Products 4 2" xfId="0"/>
    <cellStyle name="_Pocket_TV_DVD_TV_PC Products_By Region" xfId="0"/>
    <cellStyle name="_Pocket_TV_DVD_TV_PC Products_CORP SG&amp;A" xfId="0"/>
    <cellStyle name="_Pocket_TV_DVD_TV_PC Products_LCD" xfId="0"/>
    <cellStyle name="_Pocket_TV_DVD_TV_PC Products_PJ" xfId="0"/>
    <cellStyle name="_Pocket_TV_DVD_TV_VSA 111014" xfId="0"/>
    <cellStyle name="_Pocket_TV_DVD_TV_VSA 111014 2" xfId="0"/>
    <cellStyle name="_Pocket_TV_DVD_TV_VSA 111014 3" xfId="0"/>
    <cellStyle name="_Pocket_TV_DVD_TV_VSA 111014 4" xfId="0"/>
    <cellStyle name="_Pocket_TV_DVD_TV_VSA 111014 4 2" xfId="0"/>
    <cellStyle name="_Pocket_TV_DVD_TV_VSA 111014_By Region" xfId="0"/>
    <cellStyle name="_Pocket_TV_DVD_TV_VSA 111014_CORP SG&amp;A" xfId="0"/>
    <cellStyle name="_Pocket_TV_DVD_TV_VSA 111014_LCD" xfId="0"/>
    <cellStyle name="_Pocket_TV_DVD_TV_VSA 111014_PJ" xfId="0"/>
    <cellStyle name="_Pocket_TV_DVD_TV_VSA Roll-Up (LW)" xfId="0"/>
    <cellStyle name="_Pocket_TV_DVD_TV_VSA Roll-Up (LW) 2" xfId="0"/>
    <cellStyle name="_Pocket_TV_DVD_TV_VSA Roll-Up (LW) 3" xfId="0"/>
    <cellStyle name="_Pocket_TV_DVD_TV_VSA Roll-Up (LW) 4" xfId="0"/>
    <cellStyle name="_Pocket_TV_DVD_TV_VSA Roll-Up (LW) 4 2" xfId="0"/>
    <cellStyle name="_Pocket_TV_DVD_TV_VSA Roll-Up (LW)_By Region" xfId="0"/>
    <cellStyle name="_Pocket_TV_DVD_TV_VSA Roll-Up (LW)_CORP SG&amp;A" xfId="0"/>
    <cellStyle name="_Pocket_TV_DVD_TV_VSA Roll-Up (LW)_LCD" xfId="0"/>
    <cellStyle name="_Pocket_TV_DVD_TV_VSA Roll-Up (LW)_PJ" xfId="0"/>
    <cellStyle name="_Pocket_TV_GPS OTHER" xfId="0"/>
    <cellStyle name="_Pocket_TV_GPS OTHER 2" xfId="0"/>
    <cellStyle name="_Pocket_TV_GPS OTHER 3" xfId="0"/>
    <cellStyle name="_Pocket_TV_GPS OTHER 4" xfId="0"/>
    <cellStyle name="_Pocket_TV_GPS OTHER 4 2" xfId="0"/>
    <cellStyle name="_Pocket_TV_GPS OTHER_By Region" xfId="0"/>
    <cellStyle name="_Pocket_TV_GPS OTHER_CORP SG&amp;A" xfId="0"/>
    <cellStyle name="_Pocket_TV_GPS OTHER_LCD" xfId="0"/>
    <cellStyle name="_Pocket_TV_GPS OTHER_PJ" xfId="0"/>
    <cellStyle name="_Pocket_TV_LCD" xfId="0"/>
    <cellStyle name="_Pocket_TV_LCD 2" xfId="0"/>
    <cellStyle name="_Pocket_TV_LCD 3" xfId="0"/>
    <cellStyle name="_Pocket_TV_LCD 4" xfId="0"/>
    <cellStyle name="_Pocket_TV_LCD_By Region" xfId="0"/>
    <cellStyle name="_Pocket_TV_LCD_CORP SG&amp;A" xfId="0"/>
    <cellStyle name="_Pocket_TV_LCD_GPS OTHER" xfId="0"/>
    <cellStyle name="_Pocket_TV_LCD_GPS OTHER 2" xfId="0"/>
    <cellStyle name="_Pocket_TV_LCD_GPS OTHER 3" xfId="0"/>
    <cellStyle name="_Pocket_TV_LCD_GPS OTHER 4" xfId="0"/>
    <cellStyle name="_Pocket_TV_LCD_GPS OTHER 4 2" xfId="0"/>
    <cellStyle name="_Pocket_TV_LCD_GPS OTHER_By Region" xfId="0"/>
    <cellStyle name="_Pocket_TV_LCD_GPS OTHER_CORP SG&amp;A" xfId="0"/>
    <cellStyle name="_Pocket_TV_LCD_GPS OTHER_LCD" xfId="0"/>
    <cellStyle name="_Pocket_TV_LCD_GPS OTHER_PJ" xfId="0"/>
    <cellStyle name="_Pocket_TV_LCD_PC Products" xfId="0"/>
    <cellStyle name="_Pocket_TV_LCD_PC Products 2" xfId="0"/>
    <cellStyle name="_Pocket_TV_LCD_PC Products 3" xfId="0"/>
    <cellStyle name="_Pocket_TV_LCD_PC Products 4" xfId="0"/>
    <cellStyle name="_Pocket_TV_LCD_PC Products 4 2" xfId="0"/>
    <cellStyle name="_Pocket_TV_LCD_PC Products_By Region" xfId="0"/>
    <cellStyle name="_Pocket_TV_LCD_PC Products_CORP SG&amp;A" xfId="0"/>
    <cellStyle name="_Pocket_TV_LCD_PC Products_LCD" xfId="0"/>
    <cellStyle name="_Pocket_TV_LCD_PC Products_PJ" xfId="0"/>
    <cellStyle name="_Pocket_TV_LCD_VSA 111014" xfId="0"/>
    <cellStyle name="_Pocket_TV_LCD_VSA 111014 2" xfId="0"/>
    <cellStyle name="_Pocket_TV_LCD_VSA 111014 3" xfId="0"/>
    <cellStyle name="_Pocket_TV_LCD_VSA 111014 4" xfId="0"/>
    <cellStyle name="_Pocket_TV_LCD_VSA 111014 4 2" xfId="0"/>
    <cellStyle name="_Pocket_TV_LCD_VSA 111014_By Region" xfId="0"/>
    <cellStyle name="_Pocket_TV_LCD_VSA 111014_CORP SG&amp;A" xfId="0"/>
    <cellStyle name="_Pocket_TV_LCD_VSA 111014_LCD" xfId="0"/>
    <cellStyle name="_Pocket_TV_LCD_VSA 111014_PJ" xfId="0"/>
    <cellStyle name="_Pocket_TV_LCD_VSA Roll-Up (LW)" xfId="0"/>
    <cellStyle name="_Pocket_TV_LCD_VSA Roll-Up (LW) 2" xfId="0"/>
    <cellStyle name="_Pocket_TV_LCD_VSA Roll-Up (LW) 3" xfId="0"/>
    <cellStyle name="_Pocket_TV_LCD_VSA Roll-Up (LW) 4" xfId="0"/>
    <cellStyle name="_Pocket_TV_LCD_VSA Roll-Up (LW) 4 2" xfId="0"/>
    <cellStyle name="_Pocket_TV_LCD_VSA Roll-Up (LW)_By Region" xfId="0"/>
    <cellStyle name="_Pocket_TV_LCD_VSA Roll-Up (LW)_CORP SG&amp;A" xfId="0"/>
    <cellStyle name="_Pocket_TV_LCD_VSA Roll-Up (LW)_LCD" xfId="0"/>
    <cellStyle name="_Pocket_TV_LCD_VSA Roll-Up (LW)_PJ" xfId="0"/>
    <cellStyle name="_Pocket_TV_LCDTV" xfId="0"/>
    <cellStyle name="_Pocket_TV_LCDTV 2" xfId="0"/>
    <cellStyle name="_Pocket_TV_LCDTV 3" xfId="0"/>
    <cellStyle name="_Pocket_TV_LCDTV 4" xfId="0"/>
    <cellStyle name="_Pocket_TV_LCDTV_By Region" xfId="0"/>
    <cellStyle name="_Pocket_TV_LCDTV_CORP SG&amp;A" xfId="0"/>
    <cellStyle name="_Pocket_TV_LCDTV_GPS OTHER" xfId="0"/>
    <cellStyle name="_Pocket_TV_LCDTV_GPS OTHER 2" xfId="0"/>
    <cellStyle name="_Pocket_TV_LCDTV_GPS OTHER 3" xfId="0"/>
    <cellStyle name="_Pocket_TV_LCDTV_GPS OTHER 4" xfId="0"/>
    <cellStyle name="_Pocket_TV_LCDTV_GPS OTHER 4 2" xfId="0"/>
    <cellStyle name="_Pocket_TV_LCDTV_GPS OTHER_By Region" xfId="0"/>
    <cellStyle name="_Pocket_TV_LCDTV_GPS OTHER_CORP SG&amp;A" xfId="0"/>
    <cellStyle name="_Pocket_TV_LCDTV_GPS OTHER_LCD" xfId="0"/>
    <cellStyle name="_Pocket_TV_LCDTV_GPS OTHER_PJ" xfId="0"/>
    <cellStyle name="_Pocket_TV_LCDTV_PC Products" xfId="0"/>
    <cellStyle name="_Pocket_TV_LCDTV_PC Products 2" xfId="0"/>
    <cellStyle name="_Pocket_TV_LCDTV_PC Products 3" xfId="0"/>
    <cellStyle name="_Pocket_TV_LCDTV_PC Products 4" xfId="0"/>
    <cellStyle name="_Pocket_TV_LCDTV_PC Products 4 2" xfId="0"/>
    <cellStyle name="_Pocket_TV_LCDTV_PC Products_By Region" xfId="0"/>
    <cellStyle name="_Pocket_TV_LCDTV_PC Products_CORP SG&amp;A" xfId="0"/>
    <cellStyle name="_Pocket_TV_LCDTV_PC Products_LCD" xfId="0"/>
    <cellStyle name="_Pocket_TV_LCDTV_PC Products_PJ" xfId="0"/>
    <cellStyle name="_Pocket_TV_LCDTV_VSA 111014" xfId="0"/>
    <cellStyle name="_Pocket_TV_LCDTV_VSA 111014 2" xfId="0"/>
    <cellStyle name="_Pocket_TV_LCDTV_VSA 111014 3" xfId="0"/>
    <cellStyle name="_Pocket_TV_LCDTV_VSA 111014 4" xfId="0"/>
    <cellStyle name="_Pocket_TV_LCDTV_VSA 111014 4 2" xfId="0"/>
    <cellStyle name="_Pocket_TV_LCDTV_VSA 111014_By Region" xfId="0"/>
    <cellStyle name="_Pocket_TV_LCDTV_VSA 111014_CORP SG&amp;A" xfId="0"/>
    <cellStyle name="_Pocket_TV_LCDTV_VSA 111014_LCD" xfId="0"/>
    <cellStyle name="_Pocket_TV_LCDTV_VSA 111014_PJ" xfId="0"/>
    <cellStyle name="_Pocket_TV_LCDTV_VSA Roll-Up (LW)" xfId="0"/>
    <cellStyle name="_Pocket_TV_LCDTV_VSA Roll-Up (LW) 2" xfId="0"/>
    <cellStyle name="_Pocket_TV_LCDTV_VSA Roll-Up (LW) 3" xfId="0"/>
    <cellStyle name="_Pocket_TV_LCDTV_VSA Roll-Up (LW) 4" xfId="0"/>
    <cellStyle name="_Pocket_TV_LCDTV_VSA Roll-Up (LW) 4 2" xfId="0"/>
    <cellStyle name="_Pocket_TV_LCDTV_VSA Roll-Up (LW)_By Region" xfId="0"/>
    <cellStyle name="_Pocket_TV_LCDTV_VSA Roll-Up (LW)_CORP SG&amp;A" xfId="0"/>
    <cellStyle name="_Pocket_TV_LCDTV_VSA Roll-Up (LW)_LCD" xfId="0"/>
    <cellStyle name="_Pocket_TV_LCDTV_VSA Roll-Up (LW)_PJ" xfId="0"/>
    <cellStyle name="_Pocket_TV_MNT" xfId="0"/>
    <cellStyle name="_Pocket_TV_MNT 2" xfId="0"/>
    <cellStyle name="_Pocket_TV_MNT 3" xfId="0"/>
    <cellStyle name="_Pocket_TV_MNT 4" xfId="0"/>
    <cellStyle name="_Pocket_TV_MNT_By Region" xfId="0"/>
    <cellStyle name="_Pocket_TV_MNT_CORP SG&amp;A" xfId="0"/>
    <cellStyle name="_Pocket_TV_MNT_GPS OTHER" xfId="0"/>
    <cellStyle name="_Pocket_TV_MNT_GPS OTHER 2" xfId="0"/>
    <cellStyle name="_Pocket_TV_MNT_GPS OTHER 3" xfId="0"/>
    <cellStyle name="_Pocket_TV_MNT_GPS OTHER 4" xfId="0"/>
    <cellStyle name="_Pocket_TV_MNT_GPS OTHER 4 2" xfId="0"/>
    <cellStyle name="_Pocket_TV_MNT_GPS OTHER_By Region" xfId="0"/>
    <cellStyle name="_Pocket_TV_MNT_GPS OTHER_CORP SG&amp;A" xfId="0"/>
    <cellStyle name="_Pocket_TV_MNT_GPS OTHER_LCD" xfId="0"/>
    <cellStyle name="_Pocket_TV_MNT_GPS OTHER_PJ" xfId="0"/>
    <cellStyle name="_Pocket_TV_MNT_PC Products" xfId="0"/>
    <cellStyle name="_Pocket_TV_MNT_PC Products 2" xfId="0"/>
    <cellStyle name="_Pocket_TV_MNT_PC Products 3" xfId="0"/>
    <cellStyle name="_Pocket_TV_MNT_PC Products 4" xfId="0"/>
    <cellStyle name="_Pocket_TV_MNT_PC Products 4 2" xfId="0"/>
    <cellStyle name="_Pocket_TV_MNT_PC Products_By Region" xfId="0"/>
    <cellStyle name="_Pocket_TV_MNT_PC Products_CORP SG&amp;A" xfId="0"/>
    <cellStyle name="_Pocket_TV_MNT_PC Products_LCD" xfId="0"/>
    <cellStyle name="_Pocket_TV_MNT_PC Products_PJ" xfId="0"/>
    <cellStyle name="_Pocket_TV_MNT_VSA 111014" xfId="0"/>
    <cellStyle name="_Pocket_TV_MNT_VSA 111014 2" xfId="0"/>
    <cellStyle name="_Pocket_TV_MNT_VSA 111014 3" xfId="0"/>
    <cellStyle name="_Pocket_TV_MNT_VSA 111014 4" xfId="0"/>
    <cellStyle name="_Pocket_TV_MNT_VSA 111014 4 2" xfId="0"/>
    <cellStyle name="_Pocket_TV_MNT_VSA 111014_By Region" xfId="0"/>
    <cellStyle name="_Pocket_TV_MNT_VSA 111014_CORP SG&amp;A" xfId="0"/>
    <cellStyle name="_Pocket_TV_MNT_VSA 111014_LCD" xfId="0"/>
    <cellStyle name="_Pocket_TV_MNT_VSA 111014_PJ" xfId="0"/>
    <cellStyle name="_Pocket_TV_MNT_VSA Roll-Up (LW)" xfId="0"/>
    <cellStyle name="_Pocket_TV_MNT_VSA Roll-Up (LW) 2" xfId="0"/>
    <cellStyle name="_Pocket_TV_MNT_VSA Roll-Up (LW) 3" xfId="0"/>
    <cellStyle name="_Pocket_TV_MNT_VSA Roll-Up (LW) 4" xfId="0"/>
    <cellStyle name="_Pocket_TV_MNT_VSA Roll-Up (LW) 4 2" xfId="0"/>
    <cellStyle name="_Pocket_TV_MNT_VSA Roll-Up (LW)_By Region" xfId="0"/>
    <cellStyle name="_Pocket_TV_MNT_VSA Roll-Up (LW)_CORP SG&amp;A" xfId="0"/>
    <cellStyle name="_Pocket_TV_MNT_VSA Roll-Up (LW)_LCD" xfId="0"/>
    <cellStyle name="_Pocket_TV_MNT_VSA Roll-Up (LW)_PJ" xfId="0"/>
    <cellStyle name="_Pocket_TV_Other" xfId="0"/>
    <cellStyle name="_Pocket_TV_Other 2" xfId="0"/>
    <cellStyle name="_Pocket_TV_Other 3" xfId="0"/>
    <cellStyle name="_Pocket_TV_Other 4" xfId="0"/>
    <cellStyle name="_Pocket_TV_Other_By Region" xfId="0"/>
    <cellStyle name="_Pocket_TV_Other_CORP SG&amp;A" xfId="0"/>
    <cellStyle name="_Pocket_TV_Other_GPS OTHER" xfId="0"/>
    <cellStyle name="_Pocket_TV_Other_GPS OTHER 2" xfId="0"/>
    <cellStyle name="_Pocket_TV_Other_GPS OTHER 3" xfId="0"/>
    <cellStyle name="_Pocket_TV_Other_GPS OTHER 4" xfId="0"/>
    <cellStyle name="_Pocket_TV_Other_GPS OTHER 4 2" xfId="0"/>
    <cellStyle name="_Pocket_TV_Other_GPS OTHER_By Region" xfId="0"/>
    <cellStyle name="_Pocket_TV_Other_GPS OTHER_CORP SG&amp;A" xfId="0"/>
    <cellStyle name="_Pocket_TV_Other_GPS OTHER_LCD" xfId="0"/>
    <cellStyle name="_Pocket_TV_Other_GPS OTHER_PJ" xfId="0"/>
    <cellStyle name="_Pocket_TV_Other_PC Products" xfId="0"/>
    <cellStyle name="_Pocket_TV_Other_PC Products 2" xfId="0"/>
    <cellStyle name="_Pocket_TV_Other_PC Products 3" xfId="0"/>
    <cellStyle name="_Pocket_TV_Other_PC Products 4" xfId="0"/>
    <cellStyle name="_Pocket_TV_Other_PC Products 4 2" xfId="0"/>
    <cellStyle name="_Pocket_TV_Other_PC Products_By Region" xfId="0"/>
    <cellStyle name="_Pocket_TV_Other_PC Products_CORP SG&amp;A" xfId="0"/>
    <cellStyle name="_Pocket_TV_Other_PC Products_LCD" xfId="0"/>
    <cellStyle name="_Pocket_TV_Other_PC Products_PJ" xfId="0"/>
    <cellStyle name="_Pocket_TV_Other_VSA 111014" xfId="0"/>
    <cellStyle name="_Pocket_TV_Other_VSA 111014 2" xfId="0"/>
    <cellStyle name="_Pocket_TV_Other_VSA 111014 3" xfId="0"/>
    <cellStyle name="_Pocket_TV_Other_VSA 111014 4" xfId="0"/>
    <cellStyle name="_Pocket_TV_Other_VSA 111014 4 2" xfId="0"/>
    <cellStyle name="_Pocket_TV_Other_VSA 111014_By Region" xfId="0"/>
    <cellStyle name="_Pocket_TV_Other_VSA 111014_CORP SG&amp;A" xfId="0"/>
    <cellStyle name="_Pocket_TV_Other_VSA 111014_LCD" xfId="0"/>
    <cellStyle name="_Pocket_TV_Other_VSA 111014_PJ" xfId="0"/>
    <cellStyle name="_Pocket_TV_Other_VSA Roll-Up (LW)" xfId="0"/>
    <cellStyle name="_Pocket_TV_Other_VSA Roll-Up (LW) 2" xfId="0"/>
    <cellStyle name="_Pocket_TV_Other_VSA Roll-Up (LW) 3" xfId="0"/>
    <cellStyle name="_Pocket_TV_Other_VSA Roll-Up (LW) 4" xfId="0"/>
    <cellStyle name="_Pocket_TV_Other_VSA Roll-Up (LW) 4 2" xfId="0"/>
    <cellStyle name="_Pocket_TV_Other_VSA Roll-Up (LW)_By Region" xfId="0"/>
    <cellStyle name="_Pocket_TV_Other_VSA Roll-Up (LW)_CORP SG&amp;A" xfId="0"/>
    <cellStyle name="_Pocket_TV_Other_VSA Roll-Up (LW)_LCD" xfId="0"/>
    <cellStyle name="_Pocket_TV_Other_VSA Roll-Up (LW)_PJ" xfId="0"/>
    <cellStyle name="_Pocket_TV_PC" xfId="0"/>
    <cellStyle name="_Pocket_TV_PC 2" xfId="0"/>
    <cellStyle name="_Pocket_TV_PC 3" xfId="0"/>
    <cellStyle name="_Pocket_TV_PC 4" xfId="0"/>
    <cellStyle name="_Pocket_TV_PC Products" xfId="0"/>
    <cellStyle name="_Pocket_TV_PC Products 2" xfId="0"/>
    <cellStyle name="_Pocket_TV_PC Products 3" xfId="0"/>
    <cellStyle name="_Pocket_TV_PC Products 4" xfId="0"/>
    <cellStyle name="_Pocket_TV_PC Products 4 2" xfId="0"/>
    <cellStyle name="_Pocket_TV_PC Products_By Region" xfId="0"/>
    <cellStyle name="_Pocket_TV_PC Products_CORP SG&amp;A" xfId="0"/>
    <cellStyle name="_Pocket_TV_PC Products_LCD" xfId="0"/>
    <cellStyle name="_Pocket_TV_PC Products_PJ" xfId="0"/>
    <cellStyle name="_Pocket_TV_PC_By Region" xfId="0"/>
    <cellStyle name="_Pocket_TV_PC_CORP SG&amp;A" xfId="0"/>
    <cellStyle name="_Pocket_TV_PC_DT" xfId="0"/>
    <cellStyle name="_Pocket_TV_PC_DT 2" xfId="0"/>
    <cellStyle name="_Pocket_TV_PC_DT 3" xfId="0"/>
    <cellStyle name="_Pocket_TV_PC_DT_By Region" xfId="0"/>
    <cellStyle name="_Pocket_TV_PC_GPS OTHER" xfId="0"/>
    <cellStyle name="_Pocket_TV_PC_GPS OTHER 2" xfId="0"/>
    <cellStyle name="_Pocket_TV_PC_GPS OTHER 3" xfId="0"/>
    <cellStyle name="_Pocket_TV_PC_GPS OTHER 4" xfId="0"/>
    <cellStyle name="_Pocket_TV_PC_GPS OTHER 4 2" xfId="0"/>
    <cellStyle name="_Pocket_TV_PC_GPS OTHER_By Region" xfId="0"/>
    <cellStyle name="_Pocket_TV_PC_GPS OTHER_CORP SG&amp;A" xfId="0"/>
    <cellStyle name="_Pocket_TV_PC_GPS OTHER_LCD" xfId="0"/>
    <cellStyle name="_Pocket_TV_PC_GPS OTHER_PJ" xfId="0"/>
    <cellStyle name="_Pocket_TV_PC_PC Products" xfId="0"/>
    <cellStyle name="_Pocket_TV_PC_PC Products 2" xfId="0"/>
    <cellStyle name="_Pocket_TV_PC_PC Products 3" xfId="0"/>
    <cellStyle name="_Pocket_TV_PC_PC Products 4" xfId="0"/>
    <cellStyle name="_Pocket_TV_PC_PC Products 4 2" xfId="0"/>
    <cellStyle name="_Pocket_TV_PC_PC Products_By Region" xfId="0"/>
    <cellStyle name="_Pocket_TV_PC_PC Products_CORP SG&amp;A" xfId="0"/>
    <cellStyle name="_Pocket_TV_PC_PC Products_LCD" xfId="0"/>
    <cellStyle name="_Pocket_TV_PC_PC Products_PJ" xfId="0"/>
    <cellStyle name="_Pocket_TV_PC_TV" xfId="0"/>
    <cellStyle name="_Pocket_TV_PC_TV 2" xfId="0"/>
    <cellStyle name="_Pocket_TV_PC_TV 3" xfId="0"/>
    <cellStyle name="_Pocket_TV_PC_TV 4" xfId="0"/>
    <cellStyle name="_Pocket_TV_PC_TV_By Region" xfId="0"/>
    <cellStyle name="_Pocket_TV_PC_TV_CORP SG&amp;A" xfId="0"/>
    <cellStyle name="_Pocket_TV_PC_TV_GPS OTHER" xfId="0"/>
    <cellStyle name="_Pocket_TV_PC_TV_GPS OTHER 2" xfId="0"/>
    <cellStyle name="_Pocket_TV_PC_TV_GPS OTHER 3" xfId="0"/>
    <cellStyle name="_Pocket_TV_PC_TV_GPS OTHER 4" xfId="0"/>
    <cellStyle name="_Pocket_TV_PC_TV_GPS OTHER 4 2" xfId="0"/>
    <cellStyle name="_Pocket_TV_PC_TV_GPS OTHER_By Region" xfId="0"/>
    <cellStyle name="_Pocket_TV_PC_TV_GPS OTHER_CORP SG&amp;A" xfId="0"/>
    <cellStyle name="_Pocket_TV_PC_TV_GPS OTHER_LCD" xfId="0"/>
    <cellStyle name="_Pocket_TV_PC_TV_GPS OTHER_PJ" xfId="0"/>
    <cellStyle name="_Pocket_TV_PC_TV_PC Products" xfId="0"/>
    <cellStyle name="_Pocket_TV_PC_TV_PC Products 2" xfId="0"/>
    <cellStyle name="_Pocket_TV_PC_TV_PC Products 3" xfId="0"/>
    <cellStyle name="_Pocket_TV_PC_TV_PC Products 4" xfId="0"/>
    <cellStyle name="_Pocket_TV_PC_TV_PC Products 4 2" xfId="0"/>
    <cellStyle name="_Pocket_TV_PC_TV_PC Products_By Region" xfId="0"/>
    <cellStyle name="_Pocket_TV_PC_TV_PC Products_CORP SG&amp;A" xfId="0"/>
    <cellStyle name="_Pocket_TV_PC_TV_PC Products_LCD" xfId="0"/>
    <cellStyle name="_Pocket_TV_PC_TV_PC Products_PJ" xfId="0"/>
    <cellStyle name="_Pocket_TV_PC_TV_VSA 111014" xfId="0"/>
    <cellStyle name="_Pocket_TV_PC_TV_VSA 111014 2" xfId="0"/>
    <cellStyle name="_Pocket_TV_PC_TV_VSA 111014 3" xfId="0"/>
    <cellStyle name="_Pocket_TV_PC_TV_VSA 111014 4" xfId="0"/>
    <cellStyle name="_Pocket_TV_PC_TV_VSA 111014 4 2" xfId="0"/>
    <cellStyle name="_Pocket_TV_PC_TV_VSA 111014_By Region" xfId="0"/>
    <cellStyle name="_Pocket_TV_PC_TV_VSA 111014_CORP SG&amp;A" xfId="0"/>
    <cellStyle name="_Pocket_TV_PC_TV_VSA 111014_LCD" xfId="0"/>
    <cellStyle name="_Pocket_TV_PC_TV_VSA 111014_PJ" xfId="0"/>
    <cellStyle name="_Pocket_TV_PC_TV_VSA Roll-Up (LW)" xfId="0"/>
    <cellStyle name="_Pocket_TV_PC_TV_VSA Roll-Up (LW) 2" xfId="0"/>
    <cellStyle name="_Pocket_TV_PC_TV_VSA Roll-Up (LW) 3" xfId="0"/>
    <cellStyle name="_Pocket_TV_PC_TV_VSA Roll-Up (LW) 4" xfId="0"/>
    <cellStyle name="_Pocket_TV_PC_TV_VSA Roll-Up (LW) 4 2" xfId="0"/>
    <cellStyle name="_Pocket_TV_PC_TV_VSA Roll-Up (LW)_By Region" xfId="0"/>
    <cellStyle name="_Pocket_TV_PC_TV_VSA Roll-Up (LW)_CORP SG&amp;A" xfId="0"/>
    <cellStyle name="_Pocket_TV_PC_TV_VSA Roll-Up (LW)_LCD" xfId="0"/>
    <cellStyle name="_Pocket_TV_PC_TV_VSA Roll-Up (LW)_PJ" xfId="0"/>
    <cellStyle name="_Pocket_TV_PC_VSA 111014" xfId="0"/>
    <cellStyle name="_Pocket_TV_PC_VSA 111014 2" xfId="0"/>
    <cellStyle name="_Pocket_TV_PC_VSA 111014 3" xfId="0"/>
    <cellStyle name="_Pocket_TV_PC_VSA 111014 4" xfId="0"/>
    <cellStyle name="_Pocket_TV_PC_VSA 111014 4 2" xfId="0"/>
    <cellStyle name="_Pocket_TV_PC_VSA 111014_By Region" xfId="0"/>
    <cellStyle name="_Pocket_TV_PC_VSA 111014_CORP SG&amp;A" xfId="0"/>
    <cellStyle name="_Pocket_TV_PC_VSA 111014_LCD" xfId="0"/>
    <cellStyle name="_Pocket_TV_PC_VSA 111014_PJ" xfId="0"/>
    <cellStyle name="_Pocket_TV_PC_VSA Roll-Up (LW)" xfId="0"/>
    <cellStyle name="_Pocket_TV_PC_VSA Roll-Up (LW) 2" xfId="0"/>
    <cellStyle name="_Pocket_TV_PC_VSA Roll-Up (LW) 3" xfId="0"/>
    <cellStyle name="_Pocket_TV_PC_VSA Roll-Up (LW) 4" xfId="0"/>
    <cellStyle name="_Pocket_TV_PC_VSA Roll-Up (LW) 4 2" xfId="0"/>
    <cellStyle name="_Pocket_TV_PC_VSA Roll-Up (LW)_By Region" xfId="0"/>
    <cellStyle name="_Pocket_TV_PC_VSA Roll-Up (LW)_CORP SG&amp;A" xfId="0"/>
    <cellStyle name="_Pocket_TV_PC_VSA Roll-Up (LW)_LCD" xfId="0"/>
    <cellStyle name="_Pocket_TV_PC_VSA Roll-Up (LW)_PJ" xfId="0"/>
    <cellStyle name="_Pocket_TV_PJ" xfId="0"/>
    <cellStyle name="_Pocket_TV_PJ 2" xfId="0"/>
    <cellStyle name="_Pocket_TV_PJ 3" xfId="0"/>
    <cellStyle name="_Pocket_TV_PJ 4" xfId="0"/>
    <cellStyle name="_Pocket_TV_PJ_By Region" xfId="0"/>
    <cellStyle name="_Pocket_TV_PJ_CORP SG&amp;A" xfId="0"/>
    <cellStyle name="_Pocket_TV_PJ_GPS OTHER" xfId="0"/>
    <cellStyle name="_Pocket_TV_PJ_GPS OTHER 2" xfId="0"/>
    <cellStyle name="_Pocket_TV_PJ_GPS OTHER 3" xfId="0"/>
    <cellStyle name="_Pocket_TV_PJ_GPS OTHER 4" xfId="0"/>
    <cellStyle name="_Pocket_TV_PJ_GPS OTHER 4 2" xfId="0"/>
    <cellStyle name="_Pocket_TV_PJ_GPS OTHER_By Region" xfId="0"/>
    <cellStyle name="_Pocket_TV_PJ_GPS OTHER_CORP SG&amp;A" xfId="0"/>
    <cellStyle name="_Pocket_TV_PJ_GPS OTHER_LCD" xfId="0"/>
    <cellStyle name="_Pocket_TV_PJ_GPS OTHER_PJ" xfId="0"/>
    <cellStyle name="_Pocket_TV_PJ_PC Products" xfId="0"/>
    <cellStyle name="_Pocket_TV_PJ_PC Products 2" xfId="0"/>
    <cellStyle name="_Pocket_TV_PJ_PC Products 3" xfId="0"/>
    <cellStyle name="_Pocket_TV_PJ_PC Products 4" xfId="0"/>
    <cellStyle name="_Pocket_TV_PJ_PC Products 4 2" xfId="0"/>
    <cellStyle name="_Pocket_TV_PJ_PC Products_By Region" xfId="0"/>
    <cellStyle name="_Pocket_TV_PJ_PC Products_CORP SG&amp;A" xfId="0"/>
    <cellStyle name="_Pocket_TV_PJ_PC Products_LCD" xfId="0"/>
    <cellStyle name="_Pocket_TV_PJ_PC Products_PJ" xfId="0"/>
    <cellStyle name="_Pocket_TV_PJ_VSA 111014" xfId="0"/>
    <cellStyle name="_Pocket_TV_PJ_VSA 111014 2" xfId="0"/>
    <cellStyle name="_Pocket_TV_PJ_VSA 111014 3" xfId="0"/>
    <cellStyle name="_Pocket_TV_PJ_VSA 111014 4" xfId="0"/>
    <cellStyle name="_Pocket_TV_PJ_VSA 111014 4 2" xfId="0"/>
    <cellStyle name="_Pocket_TV_PJ_VSA 111014_By Region" xfId="0"/>
    <cellStyle name="_Pocket_TV_PJ_VSA 111014_CORP SG&amp;A" xfId="0"/>
    <cellStyle name="_Pocket_TV_PJ_VSA 111014_LCD" xfId="0"/>
    <cellStyle name="_Pocket_TV_PJ_VSA 111014_PJ" xfId="0"/>
    <cellStyle name="_Pocket_TV_PJ_VSA Roll-Up (LW)" xfId="0"/>
    <cellStyle name="_Pocket_TV_PJ_VSA Roll-Up (LW) 2" xfId="0"/>
    <cellStyle name="_Pocket_TV_PJ_VSA Roll-Up (LW) 3" xfId="0"/>
    <cellStyle name="_Pocket_TV_PJ_VSA Roll-Up (LW) 4" xfId="0"/>
    <cellStyle name="_Pocket_TV_PJ_VSA Roll-Up (LW) 4 2" xfId="0"/>
    <cellStyle name="_Pocket_TV_PJ_VSA Roll-Up (LW)_By Region" xfId="0"/>
    <cellStyle name="_Pocket_TV_PJ_VSA Roll-Up (LW)_CORP SG&amp;A" xfId="0"/>
    <cellStyle name="_Pocket_TV_PJ_VSA Roll-Up (LW)_LCD" xfId="0"/>
    <cellStyle name="_Pocket_TV_PJ_VSA Roll-Up (LW)_PJ" xfId="0"/>
    <cellStyle name="_Pocket_TV_PMP(VPD)" xfId="0"/>
    <cellStyle name="_Pocket_TV_PMP(VPD) 2" xfId="0"/>
    <cellStyle name="_Pocket_TV_PMP(VPD) 3" xfId="0"/>
    <cellStyle name="_Pocket_TV_PMP(VPD) 4" xfId="0"/>
    <cellStyle name="_Pocket_TV_PMP(VPD)_By Region" xfId="0"/>
    <cellStyle name="_Pocket_TV_PMP(VPD)_CORP SG&amp;A" xfId="0"/>
    <cellStyle name="_Pocket_TV_PMP(VPD)_GPS OTHER" xfId="0"/>
    <cellStyle name="_Pocket_TV_PMP(VPD)_GPS OTHER 2" xfId="0"/>
    <cellStyle name="_Pocket_TV_PMP(VPD)_GPS OTHER 3" xfId="0"/>
    <cellStyle name="_Pocket_TV_PMP(VPD)_GPS OTHER 4" xfId="0"/>
    <cellStyle name="_Pocket_TV_PMP(VPD)_GPS OTHER 4 2" xfId="0"/>
    <cellStyle name="_Pocket_TV_PMP(VPD)_GPS OTHER_By Region" xfId="0"/>
    <cellStyle name="_Pocket_TV_PMP(VPD)_GPS OTHER_CORP SG&amp;A" xfId="0"/>
    <cellStyle name="_Pocket_TV_PMP(VPD)_GPS OTHER_LCD" xfId="0"/>
    <cellStyle name="_Pocket_TV_PMP(VPD)_GPS OTHER_PJ" xfId="0"/>
    <cellStyle name="_Pocket_TV_PMP(VPD)_PC Products" xfId="0"/>
    <cellStyle name="_Pocket_TV_PMP(VPD)_PC Products 2" xfId="0"/>
    <cellStyle name="_Pocket_TV_PMP(VPD)_PC Products 3" xfId="0"/>
    <cellStyle name="_Pocket_TV_PMP(VPD)_PC Products 4" xfId="0"/>
    <cellStyle name="_Pocket_TV_PMP(VPD)_PC Products 4 2" xfId="0"/>
    <cellStyle name="_Pocket_TV_PMP(VPD)_PC Products_By Region" xfId="0"/>
    <cellStyle name="_Pocket_TV_PMP(VPD)_PC Products_CORP SG&amp;A" xfId="0"/>
    <cellStyle name="_Pocket_TV_PMP(VPD)_PC Products_LCD" xfId="0"/>
    <cellStyle name="_Pocket_TV_PMP(VPD)_PC Products_PJ" xfId="0"/>
    <cellStyle name="_Pocket_TV_PMP(VPD)_VSA 111014" xfId="0"/>
    <cellStyle name="_Pocket_TV_PMP(VPD)_VSA 111014 2" xfId="0"/>
    <cellStyle name="_Pocket_TV_PMP(VPD)_VSA 111014 3" xfId="0"/>
    <cellStyle name="_Pocket_TV_PMP(VPD)_VSA 111014 4" xfId="0"/>
    <cellStyle name="_Pocket_TV_PMP(VPD)_VSA 111014 4 2" xfId="0"/>
    <cellStyle name="_Pocket_TV_PMP(VPD)_VSA 111014_By Region" xfId="0"/>
    <cellStyle name="_Pocket_TV_PMP(VPD)_VSA 111014_CORP SG&amp;A" xfId="0"/>
    <cellStyle name="_Pocket_TV_PMP(VPD)_VSA 111014_LCD" xfId="0"/>
    <cellStyle name="_Pocket_TV_PMP(VPD)_VSA 111014_PJ" xfId="0"/>
    <cellStyle name="_Pocket_TV_PMP(VPD)_VSA Roll-Up (LW)" xfId="0"/>
    <cellStyle name="_Pocket_TV_PMP(VPD)_VSA Roll-Up (LW) 2" xfId="0"/>
    <cellStyle name="_Pocket_TV_PMP(VPD)_VSA Roll-Up (LW) 3" xfId="0"/>
    <cellStyle name="_Pocket_TV_PMP(VPD)_VSA Roll-Up (LW) 4" xfId="0"/>
    <cellStyle name="_Pocket_TV_PMP(VPD)_VSA Roll-Up (LW) 4 2" xfId="0"/>
    <cellStyle name="_Pocket_TV_PMP(VPD)_VSA Roll-Up (LW)_By Region" xfId="0"/>
    <cellStyle name="_Pocket_TV_PMP(VPD)_VSA Roll-Up (LW)_CORP SG&amp;A" xfId="0"/>
    <cellStyle name="_Pocket_TV_PMP(VPD)_VSA Roll-Up (LW)_LCD" xfId="0"/>
    <cellStyle name="_Pocket_TV_PMP(VPD)_VSA Roll-Up (LW)_PJ" xfId="0"/>
    <cellStyle name="_Pocket_TV_Pocket TV" xfId="0"/>
    <cellStyle name="_Pocket_TV_Pocket TV 2" xfId="0"/>
    <cellStyle name="_Pocket_TV_Pocket TV 3" xfId="0"/>
    <cellStyle name="_Pocket_TV_Pocket TV 4" xfId="0"/>
    <cellStyle name="_Pocket_TV_Pocket TV_By Region" xfId="0"/>
    <cellStyle name="_Pocket_TV_Pocket TV_CORP SG&amp;A" xfId="0"/>
    <cellStyle name="_Pocket_TV_Pocket TV_GPS OTHER" xfId="0"/>
    <cellStyle name="_Pocket_TV_Pocket TV_GPS OTHER 2" xfId="0"/>
    <cellStyle name="_Pocket_TV_Pocket TV_GPS OTHER 3" xfId="0"/>
    <cellStyle name="_Pocket_TV_Pocket TV_GPS OTHER 4" xfId="0"/>
    <cellStyle name="_Pocket_TV_Pocket TV_GPS OTHER 4 2" xfId="0"/>
    <cellStyle name="_Pocket_TV_Pocket TV_GPS OTHER_By Region" xfId="0"/>
    <cellStyle name="_Pocket_TV_Pocket TV_GPS OTHER_CORP SG&amp;A" xfId="0"/>
    <cellStyle name="_Pocket_TV_Pocket TV_GPS OTHER_LCD" xfId="0"/>
    <cellStyle name="_Pocket_TV_Pocket TV_GPS OTHER_PJ" xfId="0"/>
    <cellStyle name="_Pocket_TV_Pocket TV_PC Products" xfId="0"/>
    <cellStyle name="_Pocket_TV_Pocket TV_PC Products 2" xfId="0"/>
    <cellStyle name="_Pocket_TV_Pocket TV_PC Products 3" xfId="0"/>
    <cellStyle name="_Pocket_TV_Pocket TV_PC Products 4" xfId="0"/>
    <cellStyle name="_Pocket_TV_Pocket TV_PC Products 4 2" xfId="0"/>
    <cellStyle name="_Pocket_TV_Pocket TV_PC Products_By Region" xfId="0"/>
    <cellStyle name="_Pocket_TV_Pocket TV_PC Products_CORP SG&amp;A" xfId="0"/>
    <cellStyle name="_Pocket_TV_Pocket TV_PC Products_LCD" xfId="0"/>
    <cellStyle name="_Pocket_TV_Pocket TV_PC Products_PJ" xfId="0"/>
    <cellStyle name="_Pocket_TV_Pocket TV_VSA 111014" xfId="0"/>
    <cellStyle name="_Pocket_TV_Pocket TV_VSA 111014 2" xfId="0"/>
    <cellStyle name="_Pocket_TV_Pocket TV_VSA 111014 3" xfId="0"/>
    <cellStyle name="_Pocket_TV_Pocket TV_VSA 111014 4" xfId="0"/>
    <cellStyle name="_Pocket_TV_Pocket TV_VSA 111014 4 2" xfId="0"/>
    <cellStyle name="_Pocket_TV_Pocket TV_VSA 111014_By Region" xfId="0"/>
    <cellStyle name="_Pocket_TV_Pocket TV_VSA 111014_CORP SG&amp;A" xfId="0"/>
    <cellStyle name="_Pocket_TV_Pocket TV_VSA 111014_LCD" xfId="0"/>
    <cellStyle name="_Pocket_TV_Pocket TV_VSA 111014_PJ" xfId="0"/>
    <cellStyle name="_Pocket_TV_Pocket TV_VSA Roll-Up (LW)" xfId="0"/>
    <cellStyle name="_Pocket_TV_Pocket TV_VSA Roll-Up (LW) 2" xfId="0"/>
    <cellStyle name="_Pocket_TV_Pocket TV_VSA Roll-Up (LW) 3" xfId="0"/>
    <cellStyle name="_Pocket_TV_Pocket TV_VSA Roll-Up (LW) 4" xfId="0"/>
    <cellStyle name="_Pocket_TV_Pocket TV_VSA Roll-Up (LW) 4 2" xfId="0"/>
    <cellStyle name="_Pocket_TV_Pocket TV_VSA Roll-Up (LW)_By Region" xfId="0"/>
    <cellStyle name="_Pocket_TV_Pocket TV_VSA Roll-Up (LW)_CORP SG&amp;A" xfId="0"/>
    <cellStyle name="_Pocket_TV_Pocket TV_VSA Roll-Up (LW)_LCD" xfId="0"/>
    <cellStyle name="_Pocket_TV_Pocket TV_VSA Roll-Up (LW)_PJ" xfId="0"/>
    <cellStyle name="_Pocket_TV_Pocket_TV" xfId="0"/>
    <cellStyle name="_Pocket_TV_Pocket_TV 2" xfId="0"/>
    <cellStyle name="_Pocket_TV_Pocket_TV 3" xfId="0"/>
    <cellStyle name="_Pocket_TV_Pocket_TV 4" xfId="0"/>
    <cellStyle name="_Pocket_TV_Pocket_TV_By Region" xfId="0"/>
    <cellStyle name="_Pocket_TV_Pocket_TV_CORP SG&amp;A" xfId="0"/>
    <cellStyle name="_Pocket_TV_Pocket_TV_GPS OTHER" xfId="0"/>
    <cellStyle name="_Pocket_TV_Pocket_TV_GPS OTHER 2" xfId="0"/>
    <cellStyle name="_Pocket_TV_Pocket_TV_GPS OTHER 3" xfId="0"/>
    <cellStyle name="_Pocket_TV_Pocket_TV_GPS OTHER 4" xfId="0"/>
    <cellStyle name="_Pocket_TV_Pocket_TV_GPS OTHER 4 2" xfId="0"/>
    <cellStyle name="_Pocket_TV_Pocket_TV_GPS OTHER_By Region" xfId="0"/>
    <cellStyle name="_Pocket_TV_Pocket_TV_GPS OTHER_CORP SG&amp;A" xfId="0"/>
    <cellStyle name="_Pocket_TV_Pocket_TV_GPS OTHER_LCD" xfId="0"/>
    <cellStyle name="_Pocket_TV_Pocket_TV_GPS OTHER_PJ" xfId="0"/>
    <cellStyle name="_Pocket_TV_Pocket_TV_PC Products" xfId="0"/>
    <cellStyle name="_Pocket_TV_Pocket_TV_PC Products 2" xfId="0"/>
    <cellStyle name="_Pocket_TV_Pocket_TV_PC Products 3" xfId="0"/>
    <cellStyle name="_Pocket_TV_Pocket_TV_PC Products 4" xfId="0"/>
    <cellStyle name="_Pocket_TV_Pocket_TV_PC Products 4 2" xfId="0"/>
    <cellStyle name="_Pocket_TV_Pocket_TV_PC Products_By Region" xfId="0"/>
    <cellStyle name="_Pocket_TV_Pocket_TV_PC Products_CORP SG&amp;A" xfId="0"/>
    <cellStyle name="_Pocket_TV_Pocket_TV_PC Products_LCD" xfId="0"/>
    <cellStyle name="_Pocket_TV_Pocket_TV_PC Products_PJ" xfId="0"/>
    <cellStyle name="_Pocket_TV_Pocket_TV_VSA 111014" xfId="0"/>
    <cellStyle name="_Pocket_TV_Pocket_TV_VSA 111014 2" xfId="0"/>
    <cellStyle name="_Pocket_TV_Pocket_TV_VSA 111014 3" xfId="0"/>
    <cellStyle name="_Pocket_TV_Pocket_TV_VSA 111014 4" xfId="0"/>
    <cellStyle name="_Pocket_TV_Pocket_TV_VSA 111014 4 2" xfId="0"/>
    <cellStyle name="_Pocket_TV_Pocket_TV_VSA 111014_By Region" xfId="0"/>
    <cellStyle name="_Pocket_TV_Pocket_TV_VSA 111014_CORP SG&amp;A" xfId="0"/>
    <cellStyle name="_Pocket_TV_Pocket_TV_VSA 111014_LCD" xfId="0"/>
    <cellStyle name="_Pocket_TV_Pocket_TV_VSA 111014_PJ" xfId="0"/>
    <cellStyle name="_Pocket_TV_Pocket_TV_VSA Roll-Up (LW)" xfId="0"/>
    <cellStyle name="_Pocket_TV_Pocket_TV_VSA Roll-Up (LW) 2" xfId="0"/>
    <cellStyle name="_Pocket_TV_Pocket_TV_VSA Roll-Up (LW) 3" xfId="0"/>
    <cellStyle name="_Pocket_TV_Pocket_TV_VSA Roll-Up (LW) 4" xfId="0"/>
    <cellStyle name="_Pocket_TV_Pocket_TV_VSA Roll-Up (LW) 4 2" xfId="0"/>
    <cellStyle name="_Pocket_TV_Pocket_TV_VSA Roll-Up (LW)_By Region" xfId="0"/>
    <cellStyle name="_Pocket_TV_Pocket_TV_VSA Roll-Up (LW)_CORP SG&amp;A" xfId="0"/>
    <cellStyle name="_Pocket_TV_Pocket_TV_VSA Roll-Up (LW)_LCD" xfId="0"/>
    <cellStyle name="_Pocket_TV_Pocket_TV_VSA Roll-Up (LW)_PJ" xfId="0"/>
    <cellStyle name="_Pocket_TV_TV" xfId="0"/>
    <cellStyle name="_Pocket_TV_TV 2" xfId="0"/>
    <cellStyle name="_Pocket_TV_TV 3" xfId="0"/>
    <cellStyle name="_Pocket_TV_TV 4" xfId="0"/>
    <cellStyle name="_Pocket_TV_TV_By Region" xfId="0"/>
    <cellStyle name="_Pocket_TV_TV_CORP SG&amp;A" xfId="0"/>
    <cellStyle name="_Pocket_TV_TV_GPS OTHER" xfId="0"/>
    <cellStyle name="_Pocket_TV_TV_GPS OTHER 2" xfId="0"/>
    <cellStyle name="_Pocket_TV_TV_GPS OTHER 3" xfId="0"/>
    <cellStyle name="_Pocket_TV_TV_GPS OTHER 4" xfId="0"/>
    <cellStyle name="_Pocket_TV_TV_GPS OTHER 4 2" xfId="0"/>
    <cellStyle name="_Pocket_TV_TV_GPS OTHER_By Region" xfId="0"/>
    <cellStyle name="_Pocket_TV_TV_GPS OTHER_CORP SG&amp;A" xfId="0"/>
    <cellStyle name="_Pocket_TV_TV_GPS OTHER_LCD" xfId="0"/>
    <cellStyle name="_Pocket_TV_TV_GPS OTHER_PJ" xfId="0"/>
    <cellStyle name="_Pocket_TV_TV_PC Products" xfId="0"/>
    <cellStyle name="_Pocket_TV_TV_PC Products 2" xfId="0"/>
    <cellStyle name="_Pocket_TV_TV_PC Products 3" xfId="0"/>
    <cellStyle name="_Pocket_TV_TV_PC Products 4" xfId="0"/>
    <cellStyle name="_Pocket_TV_TV_PC Products 4 2" xfId="0"/>
    <cellStyle name="_Pocket_TV_TV_PC Products_By Region" xfId="0"/>
    <cellStyle name="_Pocket_TV_TV_PC Products_CORP SG&amp;A" xfId="0"/>
    <cellStyle name="_Pocket_TV_TV_PC Products_LCD" xfId="0"/>
    <cellStyle name="_Pocket_TV_TV_PC Products_PJ" xfId="0"/>
    <cellStyle name="_Pocket_TV_TV_VSA 111014" xfId="0"/>
    <cellStyle name="_Pocket_TV_TV_VSA 111014 2" xfId="0"/>
    <cellStyle name="_Pocket_TV_TV_VSA 111014 3" xfId="0"/>
    <cellStyle name="_Pocket_TV_TV_VSA 111014 4" xfId="0"/>
    <cellStyle name="_Pocket_TV_TV_VSA 111014 4 2" xfId="0"/>
    <cellStyle name="_Pocket_TV_TV_VSA 111014_By Region" xfId="0"/>
    <cellStyle name="_Pocket_TV_TV_VSA 111014_CORP SG&amp;A" xfId="0"/>
    <cellStyle name="_Pocket_TV_TV_VSA 111014_LCD" xfId="0"/>
    <cellStyle name="_Pocket_TV_TV_VSA 111014_PJ" xfId="0"/>
    <cellStyle name="_Pocket_TV_TV_VSA Roll-Up (LW)" xfId="0"/>
    <cellStyle name="_Pocket_TV_TV_VSA Roll-Up (LW) 2" xfId="0"/>
    <cellStyle name="_Pocket_TV_TV_VSA Roll-Up (LW) 3" xfId="0"/>
    <cellStyle name="_Pocket_TV_TV_VSA Roll-Up (LW) 4" xfId="0"/>
    <cellStyle name="_Pocket_TV_TV_VSA Roll-Up (LW) 4 2" xfId="0"/>
    <cellStyle name="_Pocket_TV_TV_VSA Roll-Up (LW)_By Region" xfId="0"/>
    <cellStyle name="_Pocket_TV_TV_VSA Roll-Up (LW)_CORP SG&amp;A" xfId="0"/>
    <cellStyle name="_Pocket_TV_TV_VSA Roll-Up (LW)_LCD" xfId="0"/>
    <cellStyle name="_Pocket_TV_TV_VSA Roll-Up (LW)_PJ" xfId="0"/>
    <cellStyle name="_Pocket_TV_VD" xfId="0"/>
    <cellStyle name="_Pocket_TV_VD 2" xfId="0"/>
    <cellStyle name="_Pocket_TV_VD 3" xfId="0"/>
    <cellStyle name="_Pocket_TV_VD 4" xfId="0"/>
    <cellStyle name="_Pocket_TV_VD_By Region" xfId="0"/>
    <cellStyle name="_Pocket_TV_VD_CORP SG&amp;A" xfId="0"/>
    <cellStyle name="_Pocket_TV_VD_GPS OTHER" xfId="0"/>
    <cellStyle name="_Pocket_TV_VD_GPS OTHER 2" xfId="0"/>
    <cellStyle name="_Pocket_TV_VD_GPS OTHER 3" xfId="0"/>
    <cellStyle name="_Pocket_TV_VD_GPS OTHER 4" xfId="0"/>
    <cellStyle name="_Pocket_TV_VD_GPS OTHER 4 2" xfId="0"/>
    <cellStyle name="_Pocket_TV_VD_GPS OTHER_By Region" xfId="0"/>
    <cellStyle name="_Pocket_TV_VD_GPS OTHER_CORP SG&amp;A" xfId="0"/>
    <cellStyle name="_Pocket_TV_VD_GPS OTHER_LCD" xfId="0"/>
    <cellStyle name="_Pocket_TV_VD_GPS OTHER_PJ" xfId="0"/>
    <cellStyle name="_Pocket_TV_VD_PC Products" xfId="0"/>
    <cellStyle name="_Pocket_TV_VD_PC Products 2" xfId="0"/>
    <cellStyle name="_Pocket_TV_VD_PC Products 3" xfId="0"/>
    <cellStyle name="_Pocket_TV_VD_PC Products 4" xfId="0"/>
    <cellStyle name="_Pocket_TV_VD_PC Products 4 2" xfId="0"/>
    <cellStyle name="_Pocket_TV_VD_PC Products_By Region" xfId="0"/>
    <cellStyle name="_Pocket_TV_VD_PC Products_CORP SG&amp;A" xfId="0"/>
    <cellStyle name="_Pocket_TV_VD_PC Products_LCD" xfId="0"/>
    <cellStyle name="_Pocket_TV_VD_PC Products_PJ" xfId="0"/>
    <cellStyle name="_Pocket_TV_VD_VSA 111014" xfId="0"/>
    <cellStyle name="_Pocket_TV_VD_VSA 111014 2" xfId="0"/>
    <cellStyle name="_Pocket_TV_VD_VSA 111014 3" xfId="0"/>
    <cellStyle name="_Pocket_TV_VD_VSA 111014 4" xfId="0"/>
    <cellStyle name="_Pocket_TV_VD_VSA 111014 4 2" xfId="0"/>
    <cellStyle name="_Pocket_TV_VD_VSA 111014_By Region" xfId="0"/>
    <cellStyle name="_Pocket_TV_VD_VSA 111014_CORP SG&amp;A" xfId="0"/>
    <cellStyle name="_Pocket_TV_VD_VSA 111014_LCD" xfId="0"/>
    <cellStyle name="_Pocket_TV_VD_VSA 111014_PJ" xfId="0"/>
    <cellStyle name="_Pocket_TV_VD_VSA Roll-Up (LW)" xfId="0"/>
    <cellStyle name="_Pocket_TV_VD_VSA Roll-Up (LW) 2" xfId="0"/>
    <cellStyle name="_Pocket_TV_VD_VSA Roll-Up (LW) 3" xfId="0"/>
    <cellStyle name="_Pocket_TV_VD_VSA Roll-Up (LW) 4" xfId="0"/>
    <cellStyle name="_Pocket_TV_VD_VSA Roll-Up (LW) 4 2" xfId="0"/>
    <cellStyle name="_Pocket_TV_VD_VSA Roll-Up (LW)_By Region" xfId="0"/>
    <cellStyle name="_Pocket_TV_VD_VSA Roll-Up (LW)_CORP SG&amp;A" xfId="0"/>
    <cellStyle name="_Pocket_TV_VD_VSA Roll-Up (LW)_LCD" xfId="0"/>
    <cellStyle name="_Pocket_TV_VD_VSA Roll-Up (LW)_PJ" xfId="0"/>
    <cellStyle name="_Pocket_TV_VSA 111014" xfId="0"/>
    <cellStyle name="_Pocket_TV_VSA 111014 2" xfId="0"/>
    <cellStyle name="_Pocket_TV_VSA 111014 3" xfId="0"/>
    <cellStyle name="_Pocket_TV_VSA 111014 4" xfId="0"/>
    <cellStyle name="_Pocket_TV_VSA 111014 4 2" xfId="0"/>
    <cellStyle name="_Pocket_TV_VSA 111014_By Region" xfId="0"/>
    <cellStyle name="_Pocket_TV_VSA 111014_CORP SG&amp;A" xfId="0"/>
    <cellStyle name="_Pocket_TV_VSA 111014_LCD" xfId="0"/>
    <cellStyle name="_Pocket_TV_VSA 111014_PJ" xfId="0"/>
    <cellStyle name="_Pocket_TV_VSA Roll-Up (LW)" xfId="0"/>
    <cellStyle name="_Pocket_TV_VSA Roll-Up (LW) 2" xfId="0"/>
    <cellStyle name="_Pocket_TV_VSA Roll-Up (LW) 3" xfId="0"/>
    <cellStyle name="_Pocket_TV_VSA Roll-Up (LW) 4" xfId="0"/>
    <cellStyle name="_Pocket_TV_VSA Roll-Up (LW) 4 2" xfId="0"/>
    <cellStyle name="_Pocket_TV_VSA Roll-Up (LW)_By Region" xfId="0"/>
    <cellStyle name="_Pocket_TV_VSA Roll-Up (LW)_CORP SG&amp;A" xfId="0"/>
    <cellStyle name="_Pocket_TV_VSA Roll-Up (LW)_LCD" xfId="0"/>
    <cellStyle name="_Pocket_TV_VSA Roll-Up (LW)_PJ" xfId="0"/>
    <cellStyle name="_Pocket_TV_VSE 2011 Budget" xfId="0"/>
    <cellStyle name="_Pocket_TV_VSE 2011 Budget 2" xfId="0"/>
    <cellStyle name="_Pocket_TV_VSE 2011 Budget 3" xfId="0"/>
    <cellStyle name="_Pocket_TV_VSE 2011 Budget 4" xfId="0"/>
    <cellStyle name="_Pocket_TV_VSE 2011 Budget_By Region" xfId="0"/>
    <cellStyle name="_Pocket_TV_VSE 2011 Budget_CORP SG&amp;A" xfId="0"/>
    <cellStyle name="_Pocket_TV_VSE 2011 Budget_GPS OTHER" xfId="0"/>
    <cellStyle name="_Pocket_TV_VSE 2011 Budget_GPS OTHER 2" xfId="0"/>
    <cellStyle name="_Pocket_TV_VSE 2011 Budget_GPS OTHER 3" xfId="0"/>
    <cellStyle name="_Pocket_TV_VSE 2011 Budget_GPS OTHER 4" xfId="0"/>
    <cellStyle name="_Pocket_TV_VSE 2011 Budget_GPS OTHER 4 2" xfId="0"/>
    <cellStyle name="_Pocket_TV_VSE 2011 Budget_GPS OTHER_By Region" xfId="0"/>
    <cellStyle name="_Pocket_TV_VSE 2011 Budget_GPS OTHER_CORP SG&amp;A" xfId="0"/>
    <cellStyle name="_Pocket_TV_VSE 2011 Budget_GPS OTHER_LCD" xfId="0"/>
    <cellStyle name="_Pocket_TV_VSE 2011 Budget_GPS OTHER_PJ" xfId="0"/>
    <cellStyle name="_Pocket_TV_VSE 2011 Budget_PC Products" xfId="0"/>
    <cellStyle name="_Pocket_TV_VSE 2011 Budget_PC Products 2" xfId="0"/>
    <cellStyle name="_Pocket_TV_VSE 2011 Budget_PC Products 3" xfId="0"/>
    <cellStyle name="_Pocket_TV_VSE 2011 Budget_PC Products 4" xfId="0"/>
    <cellStyle name="_Pocket_TV_VSE 2011 Budget_PC Products 4 2" xfId="0"/>
    <cellStyle name="_Pocket_TV_VSE 2011 Budget_PC Products_By Region" xfId="0"/>
    <cellStyle name="_Pocket_TV_VSE 2011 Budget_PC Products_CORP SG&amp;A" xfId="0"/>
    <cellStyle name="_Pocket_TV_VSE 2011 Budget_PC Products_LCD" xfId="0"/>
    <cellStyle name="_Pocket_TV_VSE 2011 Budget_PC Products_PJ" xfId="0"/>
    <cellStyle name="_Pocket_TV_VSE 2011 Budget_VSA 111014" xfId="0"/>
    <cellStyle name="_Pocket_TV_VSE 2011 Budget_VSA 111014 2" xfId="0"/>
    <cellStyle name="_Pocket_TV_VSE 2011 Budget_VSA 111014 3" xfId="0"/>
    <cellStyle name="_Pocket_TV_VSE 2011 Budget_VSA 111014 4" xfId="0"/>
    <cellStyle name="_Pocket_TV_VSE 2011 Budget_VSA 111014 4 2" xfId="0"/>
    <cellStyle name="_Pocket_TV_VSE 2011 Budget_VSA 111014_By Region" xfId="0"/>
    <cellStyle name="_Pocket_TV_VSE 2011 Budget_VSA 111014_CORP SG&amp;A" xfId="0"/>
    <cellStyle name="_Pocket_TV_VSE 2011 Budget_VSA 111014_LCD" xfId="0"/>
    <cellStyle name="_Pocket_TV_VSE 2011 Budget_VSA 111014_PJ" xfId="0"/>
    <cellStyle name="_Pocket_TV_VSE 2011 Budget_VSA Roll-Up (LW)" xfId="0"/>
    <cellStyle name="_Pocket_TV_VSE 2011 Budget_VSA Roll-Up (LW) 2" xfId="0"/>
    <cellStyle name="_Pocket_TV_VSE 2011 Budget_VSA Roll-Up (LW) 3" xfId="0"/>
    <cellStyle name="_Pocket_TV_VSE 2011 Budget_VSA Roll-Up (LW) 4" xfId="0"/>
    <cellStyle name="_Pocket_TV_VSE 2011 Budget_VSA Roll-Up (LW) 4 2" xfId="0"/>
    <cellStyle name="_Pocket_TV_VSE 2011 Budget_VSA Roll-Up (LW)_By Region" xfId="0"/>
    <cellStyle name="_Pocket_TV_VSE 2011 Budget_VSA Roll-Up (LW)_CORP SG&amp;A" xfId="0"/>
    <cellStyle name="_Pocket_TV_VSE 2011 Budget_VSA Roll-Up (LW)_LCD" xfId="0"/>
    <cellStyle name="_Pocket_TV_VSE 2011 Budget_VSA Roll-Up (LW)_PJ" xfId="0"/>
    <cellStyle name="_Pocket_TV_VSE 2H  WFP review (Spring Global meeting)-conservative Adam working v3" xfId="0"/>
    <cellStyle name="_Pocket_TV_VSE 2H  WFP review (Spring Global meeting)-conservative Adam working v3 2" xfId="0"/>
    <cellStyle name="_Pocket_TV_VSE 2H  WFP review (Spring Global meeting)-conservative Adam working v3 3" xfId="0"/>
    <cellStyle name="_Pocket_TV_VSE 2H Rebalance 110712" xfId="0"/>
    <cellStyle name="_Pocket_TV_VSE 2H Rebalance 110712 2" xfId="0"/>
    <cellStyle name="_Pocket_TV_VSE 2H Rebalance 110712 3" xfId="0"/>
    <cellStyle name="_Pocket_TV_VSE 2H Rebalance 110712 4" xfId="0"/>
    <cellStyle name="_Pocket_TV_VSE 2H Rebalance 110712_By Region" xfId="0"/>
    <cellStyle name="_Pocket_TV_VSE 2H Rebalance 110712_CORP SG&amp;A" xfId="0"/>
    <cellStyle name="_Pocket_TV_VSE WFP 101203" xfId="0"/>
    <cellStyle name="_Pocket_TV_VSE WFP 101203 2" xfId="0"/>
    <cellStyle name="_Pocket_TV_VSE WFP 101203 3" xfId="0"/>
    <cellStyle name="_Pocket_TV_VSE WFP 101203 4" xfId="0"/>
    <cellStyle name="_Pocket_TV_VSE WFP 101203_By Region" xfId="0"/>
    <cellStyle name="_Pocket_TV_VSE WFP 101203_CORP SG&amp;A" xfId="0"/>
    <cellStyle name="_Pocket_TV_VSE WFP 110311" xfId="0"/>
    <cellStyle name="_Pocket_TV_VSE WFP 110311 2" xfId="0"/>
    <cellStyle name="_Pocket_TV_VSE WFP 110311 3" xfId="0"/>
    <cellStyle name="_Pocket_TV_VSE WFP 110311 4" xfId="0"/>
    <cellStyle name="_Pocket_TV_VSE WFP 110311_By Region" xfId="0"/>
    <cellStyle name="_Pocket_TV_VSE WFP 110311_CORP SG&amp;A" xfId="0"/>
    <cellStyle name="_Pocket_TV_VSE WFP 110415" xfId="0"/>
    <cellStyle name="_Pocket_TV_VSE WFP 110415 2" xfId="0"/>
    <cellStyle name="_Pocket_TV_VSE WFP 110415 3" xfId="0"/>
    <cellStyle name="_Pocket_TV_VSE WFP 110415 4" xfId="0"/>
    <cellStyle name="_Pocket_TV_VSE WFP 110415_By Region" xfId="0"/>
    <cellStyle name="_Pocket_TV_VSE WFP 110415_CORP SG&amp;A" xfId="0"/>
    <cellStyle name="_Pocket_TV_VSE WFP_100409" xfId="0"/>
    <cellStyle name="_Pocket_TV_VSE WFP_100409 2" xfId="0"/>
    <cellStyle name="_Pocket_TV_VSE WFP_100409 3" xfId="0"/>
    <cellStyle name="_Pocket_TV_VSE WFP_100409 4" xfId="0"/>
    <cellStyle name="_Pocket_TV_VSE WFP_100409_By Region" xfId="0"/>
    <cellStyle name="_Pocket_TV_VSE WFP_100409_CORP SG&amp;A" xfId="0"/>
    <cellStyle name="_Pocket_TV_VSE WFP_100409_GPS OTHER" xfId="0"/>
    <cellStyle name="_Pocket_TV_VSE WFP_100409_GPS OTHER 2" xfId="0"/>
    <cellStyle name="_Pocket_TV_VSE WFP_100409_GPS OTHER 3" xfId="0"/>
    <cellStyle name="_Pocket_TV_VSE WFP_100409_GPS OTHER 4" xfId="0"/>
    <cellStyle name="_Pocket_TV_VSE WFP_100409_GPS OTHER 4 2" xfId="0"/>
    <cellStyle name="_Pocket_TV_VSE WFP_100409_GPS OTHER_By Region" xfId="0"/>
    <cellStyle name="_Pocket_TV_VSE WFP_100409_GPS OTHER_CORP SG&amp;A" xfId="0"/>
    <cellStyle name="_Pocket_TV_VSE WFP_100409_GPS OTHER_LCD" xfId="0"/>
    <cellStyle name="_Pocket_TV_VSE WFP_100409_GPS OTHER_PJ" xfId="0"/>
    <cellStyle name="_Pocket_TV_VSE WFP_100409_PC Products" xfId="0"/>
    <cellStyle name="_Pocket_TV_VSE WFP_100409_PC Products 2" xfId="0"/>
    <cellStyle name="_Pocket_TV_VSE WFP_100409_PC Products 3" xfId="0"/>
    <cellStyle name="_Pocket_TV_VSE WFP_100409_PC Products 4" xfId="0"/>
    <cellStyle name="_Pocket_TV_VSE WFP_100409_PC Products 4 2" xfId="0"/>
    <cellStyle name="_Pocket_TV_VSE WFP_100409_PC Products_By Region" xfId="0"/>
    <cellStyle name="_Pocket_TV_VSE WFP_100409_PC Products_CORP SG&amp;A" xfId="0"/>
    <cellStyle name="_Pocket_TV_VSE WFP_100409_PC Products_LCD" xfId="0"/>
    <cellStyle name="_Pocket_TV_VSE WFP_100409_PC Products_PJ" xfId="0"/>
    <cellStyle name="_Pocket_TV_VSE WFP_100409_VSA 111014" xfId="0"/>
    <cellStyle name="_Pocket_TV_VSE WFP_100409_VSA 111014 2" xfId="0"/>
    <cellStyle name="_Pocket_TV_VSE WFP_100409_VSA 111014 3" xfId="0"/>
    <cellStyle name="_Pocket_TV_VSE WFP_100409_VSA 111014 4" xfId="0"/>
    <cellStyle name="_Pocket_TV_VSE WFP_100409_VSA 111014 4 2" xfId="0"/>
    <cellStyle name="_Pocket_TV_VSE WFP_100409_VSA 111014_By Region" xfId="0"/>
    <cellStyle name="_Pocket_TV_VSE WFP_100409_VSA 111014_CORP SG&amp;A" xfId="0"/>
    <cellStyle name="_Pocket_TV_VSE WFP_100409_VSA 111014_LCD" xfId="0"/>
    <cellStyle name="_Pocket_TV_VSE WFP_100409_VSA 111014_PJ" xfId="0"/>
    <cellStyle name="_Pocket_TV_VSE WFP_100409_VSA Roll-Up (LW)" xfId="0"/>
    <cellStyle name="_Pocket_TV_VSE WFP_100409_VSA Roll-Up (LW) 2" xfId="0"/>
    <cellStyle name="_Pocket_TV_VSE WFP_100409_VSA Roll-Up (LW) 3" xfId="0"/>
    <cellStyle name="_Pocket_TV_VSE WFP_100409_VSA Roll-Up (LW) 4" xfId="0"/>
    <cellStyle name="_Pocket_TV_VSE WFP_100409_VSA Roll-Up (LW) 4 2" xfId="0"/>
    <cellStyle name="_Pocket_TV_VSE WFP_100409_VSA Roll-Up (LW)_By Region" xfId="0"/>
    <cellStyle name="_Pocket_TV_VSE WFP_100409_VSA Roll-Up (LW)_CORP SG&amp;A" xfId="0"/>
    <cellStyle name="_Pocket_TV_VSE WFP_100409_VSA Roll-Up (LW)_LCD" xfId="0"/>
    <cellStyle name="_Pocket_TV_VSE WFP_100409_VSA Roll-Up (LW)_PJ" xfId="0"/>
    <cellStyle name="_Pocket_TV_VSE WFP_100421 v2" xfId="0"/>
    <cellStyle name="_Pocket_TV_VSE WFP_100421 v2 2" xfId="0"/>
    <cellStyle name="_Pocket_TV_VSE WFP_100421 v2 3" xfId="0"/>
    <cellStyle name="_Pocket_TV_VSE WFP_100421 v2 4" xfId="0"/>
    <cellStyle name="_Pocket_TV_VSE WFP_100421 v2_By Region" xfId="0"/>
    <cellStyle name="_Pocket_TV_VSE WFP_100421 v2_CORP SG&amp;A" xfId="0"/>
    <cellStyle name="_Pocket_TV_VSE WFP_100421 v2_GPS OTHER" xfId="0"/>
    <cellStyle name="_Pocket_TV_VSE WFP_100421 v2_GPS OTHER 2" xfId="0"/>
    <cellStyle name="_Pocket_TV_VSE WFP_100421 v2_GPS OTHER 3" xfId="0"/>
    <cellStyle name="_Pocket_TV_VSE WFP_100421 v2_GPS OTHER 4" xfId="0"/>
    <cellStyle name="_Pocket_TV_VSE WFP_100421 v2_GPS OTHER 4 2" xfId="0"/>
    <cellStyle name="_Pocket_TV_VSE WFP_100421 v2_GPS OTHER_By Region" xfId="0"/>
    <cellStyle name="_Pocket_TV_VSE WFP_100421 v2_GPS OTHER_CORP SG&amp;A" xfId="0"/>
    <cellStyle name="_Pocket_TV_VSE WFP_100421 v2_GPS OTHER_LCD" xfId="0"/>
    <cellStyle name="_Pocket_TV_VSE WFP_100421 v2_GPS OTHER_PJ" xfId="0"/>
    <cellStyle name="_Pocket_TV_VSE WFP_100421 v2_PC Products" xfId="0"/>
    <cellStyle name="_Pocket_TV_VSE WFP_100421 v2_PC Products 2" xfId="0"/>
    <cellStyle name="_Pocket_TV_VSE WFP_100421 v2_PC Products 3" xfId="0"/>
    <cellStyle name="_Pocket_TV_VSE WFP_100421 v2_PC Products 4" xfId="0"/>
    <cellStyle name="_Pocket_TV_VSE WFP_100421 v2_PC Products 4 2" xfId="0"/>
    <cellStyle name="_Pocket_TV_VSE WFP_100421 v2_PC Products_By Region" xfId="0"/>
    <cellStyle name="_Pocket_TV_VSE WFP_100421 v2_PC Products_CORP SG&amp;A" xfId="0"/>
    <cellStyle name="_Pocket_TV_VSE WFP_100421 v2_PC Products_LCD" xfId="0"/>
    <cellStyle name="_Pocket_TV_VSE WFP_100421 v2_PC Products_PJ" xfId="0"/>
    <cellStyle name="_Pocket_TV_VSE WFP_100421 v2_VSA 111014" xfId="0"/>
    <cellStyle name="_Pocket_TV_VSE WFP_100421 v2_VSA 111014 2" xfId="0"/>
    <cellStyle name="_Pocket_TV_VSE WFP_100421 v2_VSA 111014 3" xfId="0"/>
    <cellStyle name="_Pocket_TV_VSE WFP_100421 v2_VSA 111014 4" xfId="0"/>
    <cellStyle name="_Pocket_TV_VSE WFP_100421 v2_VSA 111014 4 2" xfId="0"/>
    <cellStyle name="_Pocket_TV_VSE WFP_100421 v2_VSA 111014_By Region" xfId="0"/>
    <cellStyle name="_Pocket_TV_VSE WFP_100421 v2_VSA 111014_CORP SG&amp;A" xfId="0"/>
    <cellStyle name="_Pocket_TV_VSE WFP_100421 v2_VSA 111014_LCD" xfId="0"/>
    <cellStyle name="_Pocket_TV_VSE WFP_100421 v2_VSA 111014_PJ" xfId="0"/>
    <cellStyle name="_Pocket_TV_VSE WFP_100421 v2_VSA Roll-Up (LW)" xfId="0"/>
    <cellStyle name="_Pocket_TV_VSE WFP_100421 v2_VSA Roll-Up (LW) 2" xfId="0"/>
    <cellStyle name="_Pocket_TV_VSE WFP_100421 v2_VSA Roll-Up (LW) 3" xfId="0"/>
    <cellStyle name="_Pocket_TV_VSE WFP_100421 v2_VSA Roll-Up (LW) 4" xfId="0"/>
    <cellStyle name="_Pocket_TV_VSE WFP_100421 v2_VSA Roll-Up (LW) 4 2" xfId="0"/>
    <cellStyle name="_Pocket_TV_VSE WFP_100421 v2_VSA Roll-Up (LW)_By Region" xfId="0"/>
    <cellStyle name="_Pocket_TV_VSE WFP_100421 v2_VSA Roll-Up (LW)_CORP SG&amp;A" xfId="0"/>
    <cellStyle name="_Pocket_TV_VSE WFP_100421 v2_VSA Roll-Up (LW)_LCD" xfId="0"/>
    <cellStyle name="_Pocket_TV_VSE WFP_100421 v2_VSA Roll-Up (LW)_PJ" xfId="0"/>
    <cellStyle name="_Pocket_TV_VSE WFP_100507" xfId="0"/>
    <cellStyle name="_Pocket_TV_VSE WFP_100507 2" xfId="0"/>
    <cellStyle name="_Pocket_TV_VSE WFP_100507 3" xfId="0"/>
    <cellStyle name="_Pocket_TV_VSE WFP_100507 4" xfId="0"/>
    <cellStyle name="_Pocket_TV_VSE WFP_100507_By Region" xfId="0"/>
    <cellStyle name="_Pocket_TV_VSE WFP_100507_CORP SG&amp;A" xfId="0"/>
    <cellStyle name="_Pocket_TV_VSE WFP_100507_GPS OTHER" xfId="0"/>
    <cellStyle name="_Pocket_TV_VSE WFP_100507_GPS OTHER 2" xfId="0"/>
    <cellStyle name="_Pocket_TV_VSE WFP_100507_GPS OTHER 3" xfId="0"/>
    <cellStyle name="_Pocket_TV_VSE WFP_100507_GPS OTHER 4" xfId="0"/>
    <cellStyle name="_Pocket_TV_VSE WFP_100507_GPS OTHER 4 2" xfId="0"/>
    <cellStyle name="_Pocket_TV_VSE WFP_100507_GPS OTHER_By Region" xfId="0"/>
    <cellStyle name="_Pocket_TV_VSE WFP_100507_GPS OTHER_CORP SG&amp;A" xfId="0"/>
    <cellStyle name="_Pocket_TV_VSE WFP_100507_GPS OTHER_LCD" xfId="0"/>
    <cellStyle name="_Pocket_TV_VSE WFP_100507_GPS OTHER_PJ" xfId="0"/>
    <cellStyle name="_Pocket_TV_VSE WFP_100507_PC Products" xfId="0"/>
    <cellStyle name="_Pocket_TV_VSE WFP_100507_PC Products 2" xfId="0"/>
    <cellStyle name="_Pocket_TV_VSE WFP_100507_PC Products 3" xfId="0"/>
    <cellStyle name="_Pocket_TV_VSE WFP_100507_PC Products 4" xfId="0"/>
    <cellStyle name="_Pocket_TV_VSE WFP_100507_PC Products 4 2" xfId="0"/>
    <cellStyle name="_Pocket_TV_VSE WFP_100507_PC Products_By Region" xfId="0"/>
    <cellStyle name="_Pocket_TV_VSE WFP_100507_PC Products_CORP SG&amp;A" xfId="0"/>
    <cellStyle name="_Pocket_TV_VSE WFP_100507_PC Products_LCD" xfId="0"/>
    <cellStyle name="_Pocket_TV_VSE WFP_100507_PC Products_PJ" xfId="0"/>
    <cellStyle name="_Pocket_TV_VSE WFP_100507_VSA 111014" xfId="0"/>
    <cellStyle name="_Pocket_TV_VSE WFP_100507_VSA 111014 2" xfId="0"/>
    <cellStyle name="_Pocket_TV_VSE WFP_100507_VSA 111014 3" xfId="0"/>
    <cellStyle name="_Pocket_TV_VSE WFP_100507_VSA 111014 4" xfId="0"/>
    <cellStyle name="_Pocket_TV_VSE WFP_100507_VSA 111014 4 2" xfId="0"/>
    <cellStyle name="_Pocket_TV_VSE WFP_100507_VSA 111014_By Region" xfId="0"/>
    <cellStyle name="_Pocket_TV_VSE WFP_100507_VSA 111014_CORP SG&amp;A" xfId="0"/>
    <cellStyle name="_Pocket_TV_VSE WFP_100507_VSA 111014_LCD" xfId="0"/>
    <cellStyle name="_Pocket_TV_VSE WFP_100507_VSA 111014_PJ" xfId="0"/>
    <cellStyle name="_Pocket_TV_VSE WFP_100507_VSA Roll-Up (LW)" xfId="0"/>
    <cellStyle name="_Pocket_TV_VSE WFP_100507_VSA Roll-Up (LW) 2" xfId="0"/>
    <cellStyle name="_Pocket_TV_VSE WFP_100507_VSA Roll-Up (LW) 3" xfId="0"/>
    <cellStyle name="_Pocket_TV_VSE WFP_100507_VSA Roll-Up (LW) 4" xfId="0"/>
    <cellStyle name="_Pocket_TV_VSE WFP_100507_VSA Roll-Up (LW) 4 2" xfId="0"/>
    <cellStyle name="_Pocket_TV_VSE WFP_100507_VSA Roll-Up (LW)_By Region" xfId="0"/>
    <cellStyle name="_Pocket_TV_VSE WFP_100507_VSA Roll-Up (LW)_CORP SG&amp;A" xfId="0"/>
    <cellStyle name="_Pocket_TV_VSE WFP_100507_VSA Roll-Up (LW)_LCD" xfId="0"/>
    <cellStyle name="_Pocket_TV_VSE WFP_100507_VSA Roll-Up (LW)_PJ" xfId="0"/>
    <cellStyle name="_Pocket_TV_VSE WFP_100608" xfId="0"/>
    <cellStyle name="_Pocket_TV_VSE WFP_100608 2" xfId="0"/>
    <cellStyle name="_Pocket_TV_VSE WFP_100608 3" xfId="0"/>
    <cellStyle name="_Pocket_TV_VSE WFP_100608 4" xfId="0"/>
    <cellStyle name="_Pocket_TV_VSE WFP_100608_By Region" xfId="0"/>
    <cellStyle name="_Pocket_TV_VSE WFP_100608_CORP SG&amp;A" xfId="0"/>
    <cellStyle name="_Pocket_TV_VSE WFP_100608_GPS OTHER" xfId="0"/>
    <cellStyle name="_Pocket_TV_VSE WFP_100608_GPS OTHER 2" xfId="0"/>
    <cellStyle name="_Pocket_TV_VSE WFP_100608_GPS OTHER 3" xfId="0"/>
    <cellStyle name="_Pocket_TV_VSE WFP_100608_GPS OTHER 4" xfId="0"/>
    <cellStyle name="_Pocket_TV_VSE WFP_100608_GPS OTHER 4 2" xfId="0"/>
    <cellStyle name="_Pocket_TV_VSE WFP_100608_GPS OTHER_By Region" xfId="0"/>
    <cellStyle name="_Pocket_TV_VSE WFP_100608_GPS OTHER_CORP SG&amp;A" xfId="0"/>
    <cellStyle name="_Pocket_TV_VSE WFP_100608_GPS OTHER_LCD" xfId="0"/>
    <cellStyle name="_Pocket_TV_VSE WFP_100608_GPS OTHER_PJ" xfId="0"/>
    <cellStyle name="_Pocket_TV_VSE WFP_100608_PC Products" xfId="0"/>
    <cellStyle name="_Pocket_TV_VSE WFP_100608_PC Products 2" xfId="0"/>
    <cellStyle name="_Pocket_TV_VSE WFP_100608_PC Products 3" xfId="0"/>
    <cellStyle name="_Pocket_TV_VSE WFP_100608_PC Products 4" xfId="0"/>
    <cellStyle name="_Pocket_TV_VSE WFP_100608_PC Products 4 2" xfId="0"/>
    <cellStyle name="_Pocket_TV_VSE WFP_100608_PC Products_By Region" xfId="0"/>
    <cellStyle name="_Pocket_TV_VSE WFP_100608_PC Products_CORP SG&amp;A" xfId="0"/>
    <cellStyle name="_Pocket_TV_VSE WFP_100608_PC Products_LCD" xfId="0"/>
    <cellStyle name="_Pocket_TV_VSE WFP_100608_PC Products_PJ" xfId="0"/>
    <cellStyle name="_Pocket_TV_VSE WFP_100608_VSA 111014" xfId="0"/>
    <cellStyle name="_Pocket_TV_VSE WFP_100608_VSA 111014 2" xfId="0"/>
    <cellStyle name="_Pocket_TV_VSE WFP_100608_VSA 111014 3" xfId="0"/>
    <cellStyle name="_Pocket_TV_VSE WFP_100608_VSA 111014 4" xfId="0"/>
    <cellStyle name="_Pocket_TV_VSE WFP_100608_VSA 111014 4 2" xfId="0"/>
    <cellStyle name="_Pocket_TV_VSE WFP_100608_VSA 111014_By Region" xfId="0"/>
    <cellStyle name="_Pocket_TV_VSE WFP_100608_VSA 111014_CORP SG&amp;A" xfId="0"/>
    <cellStyle name="_Pocket_TV_VSE WFP_100608_VSA 111014_LCD" xfId="0"/>
    <cellStyle name="_Pocket_TV_VSE WFP_100608_VSA 111014_PJ" xfId="0"/>
    <cellStyle name="_Pocket_TV_VSE WFP_100608_VSA Roll-Up (LW)" xfId="0"/>
    <cellStyle name="_Pocket_TV_VSE WFP_100608_VSA Roll-Up (LW) 2" xfId="0"/>
    <cellStyle name="_Pocket_TV_VSE WFP_100608_VSA Roll-Up (LW) 3" xfId="0"/>
    <cellStyle name="_Pocket_TV_VSE WFP_100608_VSA Roll-Up (LW) 4" xfId="0"/>
    <cellStyle name="_Pocket_TV_VSE WFP_100608_VSA Roll-Up (LW) 4 2" xfId="0"/>
    <cellStyle name="_Pocket_TV_VSE WFP_100608_VSA Roll-Up (LW)_By Region" xfId="0"/>
    <cellStyle name="_Pocket_TV_VSE WFP_100608_VSA Roll-Up (LW)_CORP SG&amp;A" xfId="0"/>
    <cellStyle name="_Pocket_TV_VSE WFP_100608_VSA Roll-Up (LW)_LCD" xfId="0"/>
    <cellStyle name="_Pocket_TV_VSE WFP_100608_VSA Roll-Up (LW)_PJ" xfId="0"/>
    <cellStyle name="_Pocket_TV_VSE WFP_100625" xfId="0"/>
    <cellStyle name="_Pocket_TV_VSE WFP_100625 2" xfId="0"/>
    <cellStyle name="_Pocket_TV_VSE WFP_100625 3" xfId="0"/>
    <cellStyle name="_Pocket_TV_VSE WFP_100625 4" xfId="0"/>
    <cellStyle name="_Pocket_TV_VSE WFP_100625_By Region" xfId="0"/>
    <cellStyle name="_Pocket_TV_VSE WFP_100625_CORP SG&amp;A" xfId="0"/>
    <cellStyle name="_Pocket_TV_VSE WFP_100625_GPS OTHER" xfId="0"/>
    <cellStyle name="_Pocket_TV_VSE WFP_100625_GPS OTHER 2" xfId="0"/>
    <cellStyle name="_Pocket_TV_VSE WFP_100625_GPS OTHER 3" xfId="0"/>
    <cellStyle name="_Pocket_TV_VSE WFP_100625_GPS OTHER 4" xfId="0"/>
    <cellStyle name="_Pocket_TV_VSE WFP_100625_GPS OTHER 4 2" xfId="0"/>
    <cellStyle name="_Pocket_TV_VSE WFP_100625_GPS OTHER_By Region" xfId="0"/>
    <cellStyle name="_Pocket_TV_VSE WFP_100625_GPS OTHER_CORP SG&amp;A" xfId="0"/>
    <cellStyle name="_Pocket_TV_VSE WFP_100625_GPS OTHER_LCD" xfId="0"/>
    <cellStyle name="_Pocket_TV_VSE WFP_100625_GPS OTHER_PJ" xfId="0"/>
    <cellStyle name="_Pocket_TV_VSE WFP_100625_PC Products" xfId="0"/>
    <cellStyle name="_Pocket_TV_VSE WFP_100625_PC Products 2" xfId="0"/>
    <cellStyle name="_Pocket_TV_VSE WFP_100625_PC Products 3" xfId="0"/>
    <cellStyle name="_Pocket_TV_VSE WFP_100625_PC Products 4" xfId="0"/>
    <cellStyle name="_Pocket_TV_VSE WFP_100625_PC Products 4 2" xfId="0"/>
    <cellStyle name="_Pocket_TV_VSE WFP_100625_PC Products_By Region" xfId="0"/>
    <cellStyle name="_Pocket_TV_VSE WFP_100625_PC Products_CORP SG&amp;A" xfId="0"/>
    <cellStyle name="_Pocket_TV_VSE WFP_100625_PC Products_LCD" xfId="0"/>
    <cellStyle name="_Pocket_TV_VSE WFP_100625_PC Products_PJ" xfId="0"/>
    <cellStyle name="_Pocket_TV_VSE WFP_100625_VSA 111014" xfId="0"/>
    <cellStyle name="_Pocket_TV_VSE WFP_100625_VSA 111014 2" xfId="0"/>
    <cellStyle name="_Pocket_TV_VSE WFP_100625_VSA 111014 3" xfId="0"/>
    <cellStyle name="_Pocket_TV_VSE WFP_100625_VSA 111014 4" xfId="0"/>
    <cellStyle name="_Pocket_TV_VSE WFP_100625_VSA 111014 4 2" xfId="0"/>
    <cellStyle name="_Pocket_TV_VSE WFP_100625_VSA 111014_By Region" xfId="0"/>
    <cellStyle name="_Pocket_TV_VSE WFP_100625_VSA 111014_CORP SG&amp;A" xfId="0"/>
    <cellStyle name="_Pocket_TV_VSE WFP_100625_VSA 111014_LCD" xfId="0"/>
    <cellStyle name="_Pocket_TV_VSE WFP_100625_VSA 111014_PJ" xfId="0"/>
    <cellStyle name="_Pocket_TV_VSE WFP_100625_VSA Roll-Up (LW)" xfId="0"/>
    <cellStyle name="_Pocket_TV_VSE WFP_100625_VSA Roll-Up (LW) 2" xfId="0"/>
    <cellStyle name="_Pocket_TV_VSE WFP_100625_VSA Roll-Up (LW) 3" xfId="0"/>
    <cellStyle name="_Pocket_TV_VSE WFP_100625_VSA Roll-Up (LW) 4" xfId="0"/>
    <cellStyle name="_Pocket_TV_VSE WFP_100625_VSA Roll-Up (LW) 4 2" xfId="0"/>
    <cellStyle name="_Pocket_TV_VSE WFP_100625_VSA Roll-Up (LW)_By Region" xfId="0"/>
    <cellStyle name="_Pocket_TV_VSE WFP_100625_VSA Roll-Up (LW)_CORP SG&amp;A" xfId="0"/>
    <cellStyle name="_Pocket_TV_VSE WFP_100625_VSA Roll-Up (LW)_LCD" xfId="0"/>
    <cellStyle name="_Pocket_TV_VSE WFP_100625_VSA Roll-Up (LW)_PJ" xfId="0"/>
    <cellStyle name="_Pocket_TV_VSE WFP_100708_3rd" xfId="0"/>
    <cellStyle name="_Pocket_TV_VSE WFP_100708_3rd 2" xfId="0"/>
    <cellStyle name="_Pocket_TV_VSE WFP_100708_3rd 3" xfId="0"/>
    <cellStyle name="_Pocket_TV_VSE WFP_100708_3rd 4" xfId="0"/>
    <cellStyle name="_Pocket_TV_VSE WFP_100708_3rd_By Region" xfId="0"/>
    <cellStyle name="_Pocket_TV_VSE WFP_100708_3rd_CORP SG&amp;A" xfId="0"/>
    <cellStyle name="_Pocket_TV_VSE WFP_100708_3rd_GPS OTHER" xfId="0"/>
    <cellStyle name="_Pocket_TV_VSE WFP_100708_3rd_GPS OTHER 2" xfId="0"/>
    <cellStyle name="_Pocket_TV_VSE WFP_100708_3rd_GPS OTHER 3" xfId="0"/>
    <cellStyle name="_Pocket_TV_VSE WFP_100708_3rd_GPS OTHER 4" xfId="0"/>
    <cellStyle name="_Pocket_TV_VSE WFP_100708_3rd_GPS OTHER 4 2" xfId="0"/>
    <cellStyle name="_Pocket_TV_VSE WFP_100708_3rd_GPS OTHER_By Region" xfId="0"/>
    <cellStyle name="_Pocket_TV_VSE WFP_100708_3rd_GPS OTHER_CORP SG&amp;A" xfId="0"/>
    <cellStyle name="_Pocket_TV_VSE WFP_100708_3rd_GPS OTHER_LCD" xfId="0"/>
    <cellStyle name="_Pocket_TV_VSE WFP_100708_3rd_GPS OTHER_PJ" xfId="0"/>
    <cellStyle name="_Pocket_TV_VSE WFP_100708_3rd_PC Products" xfId="0"/>
    <cellStyle name="_Pocket_TV_VSE WFP_100708_3rd_PC Products 2" xfId="0"/>
    <cellStyle name="_Pocket_TV_VSE WFP_100708_3rd_PC Products 3" xfId="0"/>
    <cellStyle name="_Pocket_TV_VSE WFP_100708_3rd_PC Products 4" xfId="0"/>
    <cellStyle name="_Pocket_TV_VSE WFP_100708_3rd_PC Products 4 2" xfId="0"/>
    <cellStyle name="_Pocket_TV_VSE WFP_100708_3rd_PC Products_By Region" xfId="0"/>
    <cellStyle name="_Pocket_TV_VSE WFP_100708_3rd_PC Products_CORP SG&amp;A" xfId="0"/>
    <cellStyle name="_Pocket_TV_VSE WFP_100708_3rd_PC Products_LCD" xfId="0"/>
    <cellStyle name="_Pocket_TV_VSE WFP_100708_3rd_PC Products_PJ" xfId="0"/>
    <cellStyle name="_Pocket_TV_VSE WFP_100708_3rd_VSA 111014" xfId="0"/>
    <cellStyle name="_Pocket_TV_VSE WFP_100708_3rd_VSA 111014 2" xfId="0"/>
    <cellStyle name="_Pocket_TV_VSE WFP_100708_3rd_VSA 111014 3" xfId="0"/>
    <cellStyle name="_Pocket_TV_VSE WFP_100708_3rd_VSA 111014 4" xfId="0"/>
    <cellStyle name="_Pocket_TV_VSE WFP_100708_3rd_VSA 111014 4 2" xfId="0"/>
    <cellStyle name="_Pocket_TV_VSE WFP_100708_3rd_VSA 111014_By Region" xfId="0"/>
    <cellStyle name="_Pocket_TV_VSE WFP_100708_3rd_VSA 111014_CORP SG&amp;A" xfId="0"/>
    <cellStyle name="_Pocket_TV_VSE WFP_100708_3rd_VSA 111014_LCD" xfId="0"/>
    <cellStyle name="_Pocket_TV_VSE WFP_100708_3rd_VSA 111014_PJ" xfId="0"/>
    <cellStyle name="_Pocket_TV_VSE WFP_100708_3rd_VSA Roll-Up (LW)" xfId="0"/>
    <cellStyle name="_Pocket_TV_VSE WFP_100708_3rd_VSA Roll-Up (LW) 2" xfId="0"/>
    <cellStyle name="_Pocket_TV_VSE WFP_100708_3rd_VSA Roll-Up (LW) 3" xfId="0"/>
    <cellStyle name="_Pocket_TV_VSE WFP_100708_3rd_VSA Roll-Up (LW) 4" xfId="0"/>
    <cellStyle name="_Pocket_TV_VSE WFP_100708_3rd_VSA Roll-Up (LW) 4 2" xfId="0"/>
    <cellStyle name="_Pocket_TV_VSE WFP_100708_3rd_VSA Roll-Up (LW)_By Region" xfId="0"/>
    <cellStyle name="_Pocket_TV_VSE WFP_100708_3rd_VSA Roll-Up (LW)_CORP SG&amp;A" xfId="0"/>
    <cellStyle name="_Pocket_TV_VSE WFP_100708_3rd_VSA Roll-Up (LW)_LCD" xfId="0"/>
    <cellStyle name="_Pocket_TV_VSE WFP_100708_3rd_VSA Roll-Up (LW)_PJ" xfId="0"/>
    <cellStyle name="_Pocket_TV_VSE WFP_100726" xfId="0"/>
    <cellStyle name="_Pocket_TV_VSE WFP_100726 2" xfId="0"/>
    <cellStyle name="_Pocket_TV_VSE WFP_100726 3" xfId="0"/>
    <cellStyle name="_Pocket_TV_VSE WFP_100726 4" xfId="0"/>
    <cellStyle name="_Pocket_TV_VSE WFP_100726-1" xfId="0"/>
    <cellStyle name="_Pocket_TV_VSE WFP_100726-1 2" xfId="0"/>
    <cellStyle name="_Pocket_TV_VSE WFP_100726-1 3" xfId="0"/>
    <cellStyle name="_Pocket_TV_VSE WFP_100726-1 4" xfId="0"/>
    <cellStyle name="_Pocket_TV_VSE WFP_100726-1_By Region" xfId="0"/>
    <cellStyle name="_Pocket_TV_VSE WFP_100726-1_CORP SG&amp;A" xfId="0"/>
    <cellStyle name="_Pocket_TV_VSE WFP_100726-1_GPS OTHER" xfId="0"/>
    <cellStyle name="_Pocket_TV_VSE WFP_100726-1_GPS OTHER 2" xfId="0"/>
    <cellStyle name="_Pocket_TV_VSE WFP_100726-1_GPS OTHER 3" xfId="0"/>
    <cellStyle name="_Pocket_TV_VSE WFP_100726-1_GPS OTHER 4" xfId="0"/>
    <cellStyle name="_Pocket_TV_VSE WFP_100726-1_GPS OTHER 4 2" xfId="0"/>
    <cellStyle name="_Pocket_TV_VSE WFP_100726-1_GPS OTHER_By Region" xfId="0"/>
    <cellStyle name="_Pocket_TV_VSE WFP_100726-1_GPS OTHER_CORP SG&amp;A" xfId="0"/>
    <cellStyle name="_Pocket_TV_VSE WFP_100726-1_GPS OTHER_LCD" xfId="0"/>
    <cellStyle name="_Pocket_TV_VSE WFP_100726-1_GPS OTHER_PJ" xfId="0"/>
    <cellStyle name="_Pocket_TV_VSE WFP_100726-1_PC Products" xfId="0"/>
    <cellStyle name="_Pocket_TV_VSE WFP_100726-1_PC Products 2" xfId="0"/>
    <cellStyle name="_Pocket_TV_VSE WFP_100726-1_PC Products 3" xfId="0"/>
    <cellStyle name="_Pocket_TV_VSE WFP_100726-1_PC Products 4" xfId="0"/>
    <cellStyle name="_Pocket_TV_VSE WFP_100726-1_PC Products 4 2" xfId="0"/>
    <cellStyle name="_Pocket_TV_VSE WFP_100726-1_PC Products_By Region" xfId="0"/>
    <cellStyle name="_Pocket_TV_VSE WFP_100726-1_PC Products_CORP SG&amp;A" xfId="0"/>
    <cellStyle name="_Pocket_TV_VSE WFP_100726-1_PC Products_LCD" xfId="0"/>
    <cellStyle name="_Pocket_TV_VSE WFP_100726-1_PC Products_PJ" xfId="0"/>
    <cellStyle name="_Pocket_TV_VSE WFP_100726-1_VSA 111014" xfId="0"/>
    <cellStyle name="_Pocket_TV_VSE WFP_100726-1_VSA 111014 2" xfId="0"/>
    <cellStyle name="_Pocket_TV_VSE WFP_100726-1_VSA 111014 3" xfId="0"/>
    <cellStyle name="_Pocket_TV_VSE WFP_100726-1_VSA 111014 4" xfId="0"/>
    <cellStyle name="_Pocket_TV_VSE WFP_100726-1_VSA 111014 4 2" xfId="0"/>
    <cellStyle name="_Pocket_TV_VSE WFP_100726-1_VSA 111014_By Region" xfId="0"/>
    <cellStyle name="_Pocket_TV_VSE WFP_100726-1_VSA 111014_CORP SG&amp;A" xfId="0"/>
    <cellStyle name="_Pocket_TV_VSE WFP_100726-1_VSA 111014_LCD" xfId="0"/>
    <cellStyle name="_Pocket_TV_VSE WFP_100726-1_VSA 111014_PJ" xfId="0"/>
    <cellStyle name="_Pocket_TV_VSE WFP_100726-1_VSA Roll-Up (LW)" xfId="0"/>
    <cellStyle name="_Pocket_TV_VSE WFP_100726-1_VSA Roll-Up (LW) 2" xfId="0"/>
    <cellStyle name="_Pocket_TV_VSE WFP_100726-1_VSA Roll-Up (LW) 3" xfId="0"/>
    <cellStyle name="_Pocket_TV_VSE WFP_100726-1_VSA Roll-Up (LW) 4" xfId="0"/>
    <cellStyle name="_Pocket_TV_VSE WFP_100726-1_VSA Roll-Up (LW) 4 2" xfId="0"/>
    <cellStyle name="_Pocket_TV_VSE WFP_100726-1_VSA Roll-Up (LW)_By Region" xfId="0"/>
    <cellStyle name="_Pocket_TV_VSE WFP_100726-1_VSA Roll-Up (LW)_CORP SG&amp;A" xfId="0"/>
    <cellStyle name="_Pocket_TV_VSE WFP_100726-1_VSA Roll-Up (LW)_LCD" xfId="0"/>
    <cellStyle name="_Pocket_TV_VSE WFP_100726-1_VSA Roll-Up (LW)_PJ" xfId="0"/>
    <cellStyle name="_Pocket_TV_VSE WFP_100726-2-yc" xfId="0"/>
    <cellStyle name="_Pocket_TV_VSE WFP_100726-2-yc 2" xfId="0"/>
    <cellStyle name="_Pocket_TV_VSE WFP_100726-2-yc 3" xfId="0"/>
    <cellStyle name="_Pocket_TV_VSE WFP_100726-2-yc 4" xfId="0"/>
    <cellStyle name="_Pocket_TV_VSE WFP_100726-2-yc_By Region" xfId="0"/>
    <cellStyle name="_Pocket_TV_VSE WFP_100726-2-yc_CORP SG&amp;A" xfId="0"/>
    <cellStyle name="_Pocket_TV_VSE WFP_100726-2-yc_GPS OTHER" xfId="0"/>
    <cellStyle name="_Pocket_TV_VSE WFP_100726-2-yc_GPS OTHER 2" xfId="0"/>
    <cellStyle name="_Pocket_TV_VSE WFP_100726-2-yc_GPS OTHER 3" xfId="0"/>
    <cellStyle name="_Pocket_TV_VSE WFP_100726-2-yc_GPS OTHER 4" xfId="0"/>
    <cellStyle name="_Pocket_TV_VSE WFP_100726-2-yc_GPS OTHER 4 2" xfId="0"/>
    <cellStyle name="_Pocket_TV_VSE WFP_100726-2-yc_GPS OTHER_By Region" xfId="0"/>
    <cellStyle name="_Pocket_TV_VSE WFP_100726-2-yc_GPS OTHER_CORP SG&amp;A" xfId="0"/>
    <cellStyle name="_Pocket_TV_VSE WFP_100726-2-yc_GPS OTHER_LCD" xfId="0"/>
    <cellStyle name="_Pocket_TV_VSE WFP_100726-2-yc_GPS OTHER_PJ" xfId="0"/>
    <cellStyle name="_Pocket_TV_VSE WFP_100726-2-yc_PC Products" xfId="0"/>
    <cellStyle name="_Pocket_TV_VSE WFP_100726-2-yc_PC Products 2" xfId="0"/>
    <cellStyle name="_Pocket_TV_VSE WFP_100726-2-yc_PC Products 3" xfId="0"/>
    <cellStyle name="_Pocket_TV_VSE WFP_100726-2-yc_PC Products 4" xfId="0"/>
    <cellStyle name="_Pocket_TV_VSE WFP_100726-2-yc_PC Products 4 2" xfId="0"/>
    <cellStyle name="_Pocket_TV_VSE WFP_100726-2-yc_PC Products_By Region" xfId="0"/>
    <cellStyle name="_Pocket_TV_VSE WFP_100726-2-yc_PC Products_CORP SG&amp;A" xfId="0"/>
    <cellStyle name="_Pocket_TV_VSE WFP_100726-2-yc_PC Products_LCD" xfId="0"/>
    <cellStyle name="_Pocket_TV_VSE WFP_100726-2-yc_PC Products_PJ" xfId="0"/>
    <cellStyle name="_Pocket_TV_VSE WFP_100726-2-yc_VSA 111014" xfId="0"/>
    <cellStyle name="_Pocket_TV_VSE WFP_100726-2-yc_VSA 111014 2" xfId="0"/>
    <cellStyle name="_Pocket_TV_VSE WFP_100726-2-yc_VSA 111014 3" xfId="0"/>
    <cellStyle name="_Pocket_TV_VSE WFP_100726-2-yc_VSA 111014 4" xfId="0"/>
    <cellStyle name="_Pocket_TV_VSE WFP_100726-2-yc_VSA 111014 4 2" xfId="0"/>
    <cellStyle name="_Pocket_TV_VSE WFP_100726-2-yc_VSA 111014_By Region" xfId="0"/>
    <cellStyle name="_Pocket_TV_VSE WFP_100726-2-yc_VSA 111014_CORP SG&amp;A" xfId="0"/>
    <cellStyle name="_Pocket_TV_VSE WFP_100726-2-yc_VSA 111014_LCD" xfId="0"/>
    <cellStyle name="_Pocket_TV_VSE WFP_100726-2-yc_VSA 111014_PJ" xfId="0"/>
    <cellStyle name="_Pocket_TV_VSE WFP_100726-2-yc_VSA Roll-Up (LW)" xfId="0"/>
    <cellStyle name="_Pocket_TV_VSE WFP_100726-2-yc_VSA Roll-Up (LW) 2" xfId="0"/>
    <cellStyle name="_Pocket_TV_VSE WFP_100726-2-yc_VSA Roll-Up (LW) 3" xfId="0"/>
    <cellStyle name="_Pocket_TV_VSE WFP_100726-2-yc_VSA Roll-Up (LW) 4" xfId="0"/>
    <cellStyle name="_Pocket_TV_VSE WFP_100726-2-yc_VSA Roll-Up (LW) 4 2" xfId="0"/>
    <cellStyle name="_Pocket_TV_VSE WFP_100726-2-yc_VSA Roll-Up (LW)_By Region" xfId="0"/>
    <cellStyle name="_Pocket_TV_VSE WFP_100726-2-yc_VSA Roll-Up (LW)_CORP SG&amp;A" xfId="0"/>
    <cellStyle name="_Pocket_TV_VSE WFP_100726-2-yc_VSA Roll-Up (LW)_LCD" xfId="0"/>
    <cellStyle name="_Pocket_TV_VSE WFP_100726-2-yc_VSA Roll-Up (LW)_PJ" xfId="0"/>
    <cellStyle name="_Pocket_TV_VSE WFP_100726_By Region" xfId="0"/>
    <cellStyle name="_Pocket_TV_VSE WFP_100726_CORP SG&amp;A" xfId="0"/>
    <cellStyle name="_Pocket_TV_VSE WFP_100726_GPS OTHER" xfId="0"/>
    <cellStyle name="_Pocket_TV_VSE WFP_100726_GPS OTHER 2" xfId="0"/>
    <cellStyle name="_Pocket_TV_VSE WFP_100726_GPS OTHER 3" xfId="0"/>
    <cellStyle name="_Pocket_TV_VSE WFP_100726_GPS OTHER 4" xfId="0"/>
    <cellStyle name="_Pocket_TV_VSE WFP_100726_GPS OTHER 4 2" xfId="0"/>
    <cellStyle name="_Pocket_TV_VSE WFP_100726_GPS OTHER_By Region" xfId="0"/>
    <cellStyle name="_Pocket_TV_VSE WFP_100726_GPS OTHER_CORP SG&amp;A" xfId="0"/>
    <cellStyle name="_Pocket_TV_VSE WFP_100726_GPS OTHER_LCD" xfId="0"/>
    <cellStyle name="_Pocket_TV_VSE WFP_100726_GPS OTHER_PJ" xfId="0"/>
    <cellStyle name="_Pocket_TV_VSE WFP_100726_PC Products" xfId="0"/>
    <cellStyle name="_Pocket_TV_VSE WFP_100726_PC Products 2" xfId="0"/>
    <cellStyle name="_Pocket_TV_VSE WFP_100726_PC Products 3" xfId="0"/>
    <cellStyle name="_Pocket_TV_VSE WFP_100726_PC Products 4" xfId="0"/>
    <cellStyle name="_Pocket_TV_VSE WFP_100726_PC Products 4 2" xfId="0"/>
    <cellStyle name="_Pocket_TV_VSE WFP_100726_PC Products_By Region" xfId="0"/>
    <cellStyle name="_Pocket_TV_VSE WFP_100726_PC Products_CORP SG&amp;A" xfId="0"/>
    <cellStyle name="_Pocket_TV_VSE WFP_100726_PC Products_LCD" xfId="0"/>
    <cellStyle name="_Pocket_TV_VSE WFP_100726_PC Products_PJ" xfId="0"/>
    <cellStyle name="_Pocket_TV_VSE WFP_100726_VSA 111014" xfId="0"/>
    <cellStyle name="_Pocket_TV_VSE WFP_100726_VSA 111014 2" xfId="0"/>
    <cellStyle name="_Pocket_TV_VSE WFP_100726_VSA 111014 3" xfId="0"/>
    <cellStyle name="_Pocket_TV_VSE WFP_100726_VSA 111014 4" xfId="0"/>
    <cellStyle name="_Pocket_TV_VSE WFP_100726_VSA 111014 4 2" xfId="0"/>
    <cellStyle name="_Pocket_TV_VSE WFP_100726_VSA 111014_By Region" xfId="0"/>
    <cellStyle name="_Pocket_TV_VSE WFP_100726_VSA 111014_CORP SG&amp;A" xfId="0"/>
    <cellStyle name="_Pocket_TV_VSE WFP_100726_VSA 111014_LCD" xfId="0"/>
    <cellStyle name="_Pocket_TV_VSE WFP_100726_VSA 111014_PJ" xfId="0"/>
    <cellStyle name="_Pocket_TV_VSE WFP_100726_VSA Roll-Up (LW)" xfId="0"/>
    <cellStyle name="_Pocket_TV_VSE WFP_100726_VSA Roll-Up (LW) 2" xfId="0"/>
    <cellStyle name="_Pocket_TV_VSE WFP_100726_VSA Roll-Up (LW) 3" xfId="0"/>
    <cellStyle name="_Pocket_TV_VSE WFP_100726_VSA Roll-Up (LW) 4" xfId="0"/>
    <cellStyle name="_Pocket_TV_VSE WFP_100726_VSA Roll-Up (LW) 4 2" xfId="0"/>
    <cellStyle name="_Pocket_TV_VSE WFP_100726_VSA Roll-Up (LW)_By Region" xfId="0"/>
    <cellStyle name="_Pocket_TV_VSE WFP_100726_VSA Roll-Up (LW)_CORP SG&amp;A" xfId="0"/>
    <cellStyle name="_Pocket_TV_VSE WFP_100726_VSA Roll-Up (LW)_LCD" xfId="0"/>
    <cellStyle name="_Pocket_TV_VSE WFP_100726_VSA Roll-Up (LW)_PJ" xfId="0"/>
    <cellStyle name="_Pocket_TV_VSE WFP_100827-1" xfId="0"/>
    <cellStyle name="_Pocket_TV_VSE WFP_100827-1 2" xfId="0"/>
    <cellStyle name="_Pocket_TV_VSE WFP_100827-1 3" xfId="0"/>
    <cellStyle name="_Pocket_TV_VSE WFP_100827-1 4" xfId="0"/>
    <cellStyle name="_Pocket_TV_VSE WFP_100827-1_By Region" xfId="0"/>
    <cellStyle name="_Pocket_TV_VSE WFP_100827-1_CORP SG&amp;A" xfId="0"/>
    <cellStyle name="_Pocket_TV_VSE WFP_100827-1_GPS OTHER" xfId="0"/>
    <cellStyle name="_Pocket_TV_VSE WFP_100827-1_GPS OTHER 2" xfId="0"/>
    <cellStyle name="_Pocket_TV_VSE WFP_100827-1_GPS OTHER 3" xfId="0"/>
    <cellStyle name="_Pocket_TV_VSE WFP_100827-1_GPS OTHER 4" xfId="0"/>
    <cellStyle name="_Pocket_TV_VSE WFP_100827-1_GPS OTHER 4 2" xfId="0"/>
    <cellStyle name="_Pocket_TV_VSE WFP_100827-1_GPS OTHER_By Region" xfId="0"/>
    <cellStyle name="_Pocket_TV_VSE WFP_100827-1_GPS OTHER_CORP SG&amp;A" xfId="0"/>
    <cellStyle name="_Pocket_TV_VSE WFP_100827-1_GPS OTHER_LCD" xfId="0"/>
    <cellStyle name="_Pocket_TV_VSE WFP_100827-1_GPS OTHER_PJ" xfId="0"/>
    <cellStyle name="_Pocket_TV_VSE WFP_100827-1_PC Products" xfId="0"/>
    <cellStyle name="_Pocket_TV_VSE WFP_100827-1_PC Products 2" xfId="0"/>
    <cellStyle name="_Pocket_TV_VSE WFP_100827-1_PC Products 3" xfId="0"/>
    <cellStyle name="_Pocket_TV_VSE WFP_100827-1_PC Products 4" xfId="0"/>
    <cellStyle name="_Pocket_TV_VSE WFP_100827-1_PC Products 4 2" xfId="0"/>
    <cellStyle name="_Pocket_TV_VSE WFP_100827-1_PC Products_By Region" xfId="0"/>
    <cellStyle name="_Pocket_TV_VSE WFP_100827-1_PC Products_CORP SG&amp;A" xfId="0"/>
    <cellStyle name="_Pocket_TV_VSE WFP_100827-1_PC Products_LCD" xfId="0"/>
    <cellStyle name="_Pocket_TV_VSE WFP_100827-1_PC Products_PJ" xfId="0"/>
    <cellStyle name="_Pocket_TV_VSE WFP_100827-1_VSA 111014" xfId="0"/>
    <cellStyle name="_Pocket_TV_VSE WFP_100827-1_VSA 111014 2" xfId="0"/>
    <cellStyle name="_Pocket_TV_VSE WFP_100827-1_VSA 111014 3" xfId="0"/>
    <cellStyle name="_Pocket_TV_VSE WFP_100827-1_VSA 111014 4" xfId="0"/>
    <cellStyle name="_Pocket_TV_VSE WFP_100827-1_VSA 111014 4 2" xfId="0"/>
    <cellStyle name="_Pocket_TV_VSE WFP_100827-1_VSA 111014_By Region" xfId="0"/>
    <cellStyle name="_Pocket_TV_VSE WFP_100827-1_VSA 111014_CORP SG&amp;A" xfId="0"/>
    <cellStyle name="_Pocket_TV_VSE WFP_100827-1_VSA 111014_LCD" xfId="0"/>
    <cellStyle name="_Pocket_TV_VSE WFP_100827-1_VSA 111014_PJ" xfId="0"/>
    <cellStyle name="_Pocket_TV_VSE WFP_100827-1_VSA Roll-Up (LW)" xfId="0"/>
    <cellStyle name="_Pocket_TV_VSE WFP_100827-1_VSA Roll-Up (LW) 2" xfId="0"/>
    <cellStyle name="_Pocket_TV_VSE WFP_100827-1_VSA Roll-Up (LW) 3" xfId="0"/>
    <cellStyle name="_Pocket_TV_VSE WFP_100827-1_VSA Roll-Up (LW) 4" xfId="0"/>
    <cellStyle name="_Pocket_TV_VSE WFP_100827-1_VSA Roll-Up (LW) 4 2" xfId="0"/>
    <cellStyle name="_Pocket_TV_VSE WFP_100827-1_VSA Roll-Up (LW)_By Region" xfId="0"/>
    <cellStyle name="_Pocket_TV_VSE WFP_100827-1_VSA Roll-Up (LW)_CORP SG&amp;A" xfId="0"/>
    <cellStyle name="_Pocket_TV_VSE WFP_100827-1_VSA Roll-Up (LW)_LCD" xfId="0"/>
    <cellStyle name="_Pocket_TV_VSE WFP_100827-1_VSA Roll-Up (LW)_PJ" xfId="0"/>
    <cellStyle name="_Pocket_TV_VSE WFP_101001" xfId="0"/>
    <cellStyle name="_Pocket_TV_VSE WFP_101001 2" xfId="0"/>
    <cellStyle name="_Pocket_TV_VSE WFP_101001 3" xfId="0"/>
    <cellStyle name="_Pocket_TV_VSE WFP_101001 4" xfId="0"/>
    <cellStyle name="_Pocket_TV_VSE WFP_101001_By Region" xfId="0"/>
    <cellStyle name="_Pocket_TV_VSE WFP_101001_CORP SG&amp;A" xfId="0"/>
    <cellStyle name="_Pocket_TV_VSE WFP_101001_GPS OTHER" xfId="0"/>
    <cellStyle name="_Pocket_TV_VSE WFP_101001_GPS OTHER 2" xfId="0"/>
    <cellStyle name="_Pocket_TV_VSE WFP_101001_GPS OTHER 3" xfId="0"/>
    <cellStyle name="_Pocket_TV_VSE WFP_101001_GPS OTHER 4" xfId="0"/>
    <cellStyle name="_Pocket_TV_VSE WFP_101001_GPS OTHER 4 2" xfId="0"/>
    <cellStyle name="_Pocket_TV_VSE WFP_101001_GPS OTHER_By Region" xfId="0"/>
    <cellStyle name="_Pocket_TV_VSE WFP_101001_GPS OTHER_CORP SG&amp;A" xfId="0"/>
    <cellStyle name="_Pocket_TV_VSE WFP_101001_GPS OTHER_LCD" xfId="0"/>
    <cellStyle name="_Pocket_TV_VSE WFP_101001_GPS OTHER_PJ" xfId="0"/>
    <cellStyle name="_Pocket_TV_VSE WFP_101001_PC Products" xfId="0"/>
    <cellStyle name="_Pocket_TV_VSE WFP_101001_PC Products 2" xfId="0"/>
    <cellStyle name="_Pocket_TV_VSE WFP_101001_PC Products 3" xfId="0"/>
    <cellStyle name="_Pocket_TV_VSE WFP_101001_PC Products 4" xfId="0"/>
    <cellStyle name="_Pocket_TV_VSE WFP_101001_PC Products 4 2" xfId="0"/>
    <cellStyle name="_Pocket_TV_VSE WFP_101001_PC Products_By Region" xfId="0"/>
    <cellStyle name="_Pocket_TV_VSE WFP_101001_PC Products_CORP SG&amp;A" xfId="0"/>
    <cellStyle name="_Pocket_TV_VSE WFP_101001_PC Products_LCD" xfId="0"/>
    <cellStyle name="_Pocket_TV_VSE WFP_101001_PC Products_PJ" xfId="0"/>
    <cellStyle name="_Pocket_TV_VSE WFP_101001_VSA 111014" xfId="0"/>
    <cellStyle name="_Pocket_TV_VSE WFP_101001_VSA 111014 2" xfId="0"/>
    <cellStyle name="_Pocket_TV_VSE WFP_101001_VSA 111014 3" xfId="0"/>
    <cellStyle name="_Pocket_TV_VSE WFP_101001_VSA 111014 4" xfId="0"/>
    <cellStyle name="_Pocket_TV_VSE WFP_101001_VSA 111014 4 2" xfId="0"/>
    <cellStyle name="_Pocket_TV_VSE WFP_101001_VSA 111014_By Region" xfId="0"/>
    <cellStyle name="_Pocket_TV_VSE WFP_101001_VSA 111014_CORP SG&amp;A" xfId="0"/>
    <cellStyle name="_Pocket_TV_VSE WFP_101001_VSA 111014_LCD" xfId="0"/>
    <cellStyle name="_Pocket_TV_VSE WFP_101001_VSA 111014_PJ" xfId="0"/>
    <cellStyle name="_Pocket_TV_VSE WFP_101001_VSA Roll-Up (LW)" xfId="0"/>
    <cellStyle name="_Pocket_TV_VSE WFP_101001_VSA Roll-Up (LW) 2" xfId="0"/>
    <cellStyle name="_Pocket_TV_VSE WFP_101001_VSA Roll-Up (LW) 3" xfId="0"/>
    <cellStyle name="_Pocket_TV_VSE WFP_101001_VSA Roll-Up (LW) 4" xfId="0"/>
    <cellStyle name="_Pocket_TV_VSE WFP_101001_VSA Roll-Up (LW) 4 2" xfId="0"/>
    <cellStyle name="_Pocket_TV_VSE WFP_101001_VSA Roll-Up (LW)_By Region" xfId="0"/>
    <cellStyle name="_Pocket_TV_VSE WFP_101001_VSA Roll-Up (LW)_CORP SG&amp;A" xfId="0"/>
    <cellStyle name="_Pocket_TV_VSE WFP_101001_VSA Roll-Up (LW)_LCD" xfId="0"/>
    <cellStyle name="_Pocket_TV_VSE WFP_101001_VSA Roll-Up (LW)_PJ" xfId="0"/>
    <cellStyle name="_Pocket_TV_VSE WFP_101029-with more ViewPad 7" xfId="0"/>
    <cellStyle name="_Pocket_TV_VSE WFP_101029-with more ViewPad 7 2" xfId="0"/>
    <cellStyle name="_Pocket_TV_VSE WFP_101029-with more ViewPad 7 3" xfId="0"/>
    <cellStyle name="_Pocket_TV_VSE WFP_101029-with more ViewPad 7 4" xfId="0"/>
    <cellStyle name="_Pocket_TV_VSE WFP_101029-with more ViewPad 7_By Region" xfId="0"/>
    <cellStyle name="_Pocket_TV_VSE WFP_101029-with more ViewPad 7_CORP SG&amp;A" xfId="0"/>
    <cellStyle name="_Pocket_TV_VSE WFP_101029-with more ViewPad 7_GPS OTHER" xfId="0"/>
    <cellStyle name="_Pocket_TV_VSE WFP_101029-with more ViewPad 7_GPS OTHER 2" xfId="0"/>
    <cellStyle name="_Pocket_TV_VSE WFP_101029-with more ViewPad 7_GPS OTHER 3" xfId="0"/>
    <cellStyle name="_Pocket_TV_VSE WFP_101029-with more ViewPad 7_GPS OTHER 4" xfId="0"/>
    <cellStyle name="_Pocket_TV_VSE WFP_101029-with more ViewPad 7_GPS OTHER 4 2" xfId="0"/>
    <cellStyle name="_Pocket_TV_VSE WFP_101029-with more ViewPad 7_GPS OTHER_By Region" xfId="0"/>
    <cellStyle name="_Pocket_TV_VSE WFP_101029-with more ViewPad 7_GPS OTHER_CORP SG&amp;A" xfId="0"/>
    <cellStyle name="_Pocket_TV_VSE WFP_101029-with more ViewPad 7_GPS OTHER_LCD" xfId="0"/>
    <cellStyle name="_Pocket_TV_VSE WFP_101029-with more ViewPad 7_GPS OTHER_PJ" xfId="0"/>
    <cellStyle name="_Pocket_TV_VSE WFP_101029-with more ViewPad 7_PC Products" xfId="0"/>
    <cellStyle name="_Pocket_TV_VSE WFP_101029-with more ViewPad 7_PC Products 2" xfId="0"/>
    <cellStyle name="_Pocket_TV_VSE WFP_101029-with more ViewPad 7_PC Products 3" xfId="0"/>
    <cellStyle name="_Pocket_TV_VSE WFP_101029-with more ViewPad 7_PC Products 4" xfId="0"/>
    <cellStyle name="_Pocket_TV_VSE WFP_101029-with more ViewPad 7_PC Products 4 2" xfId="0"/>
    <cellStyle name="_Pocket_TV_VSE WFP_101029-with more ViewPad 7_PC Products_By Region" xfId="0"/>
    <cellStyle name="_Pocket_TV_VSE WFP_101029-with more ViewPad 7_PC Products_CORP SG&amp;A" xfId="0"/>
    <cellStyle name="_Pocket_TV_VSE WFP_101029-with more ViewPad 7_PC Products_LCD" xfId="0"/>
    <cellStyle name="_Pocket_TV_VSE WFP_101029-with more ViewPad 7_PC Products_PJ" xfId="0"/>
    <cellStyle name="_Pocket_TV_VSE WFP_101029-with more ViewPad 7_VSA 111014" xfId="0"/>
    <cellStyle name="_Pocket_TV_VSE WFP_101029-with more ViewPad 7_VSA 111014 2" xfId="0"/>
    <cellStyle name="_Pocket_TV_VSE WFP_101029-with more ViewPad 7_VSA 111014 3" xfId="0"/>
    <cellStyle name="_Pocket_TV_VSE WFP_101029-with more ViewPad 7_VSA 111014 4" xfId="0"/>
    <cellStyle name="_Pocket_TV_VSE WFP_101029-with more ViewPad 7_VSA 111014 4 2" xfId="0"/>
    <cellStyle name="_Pocket_TV_VSE WFP_101029-with more ViewPad 7_VSA 111014_By Region" xfId="0"/>
    <cellStyle name="_Pocket_TV_VSE WFP_101029-with more ViewPad 7_VSA 111014_CORP SG&amp;A" xfId="0"/>
    <cellStyle name="_Pocket_TV_VSE WFP_101029-with more ViewPad 7_VSA 111014_LCD" xfId="0"/>
    <cellStyle name="_Pocket_TV_VSE WFP_101029-with more ViewPad 7_VSA 111014_PJ" xfId="0"/>
    <cellStyle name="_Pocket_TV_VSE WFP_101029-with more ViewPad 7_VSA Roll-Up (LW)" xfId="0"/>
    <cellStyle name="_Pocket_TV_VSE WFP_101029-with more ViewPad 7_VSA Roll-Up (LW) 2" xfId="0"/>
    <cellStyle name="_Pocket_TV_VSE WFP_101029-with more ViewPad 7_VSA Roll-Up (LW) 3" xfId="0"/>
    <cellStyle name="_Pocket_TV_VSE WFP_101029-with more ViewPad 7_VSA Roll-Up (LW) 4" xfId="0"/>
    <cellStyle name="_Pocket_TV_VSE WFP_101029-with more ViewPad 7_VSA Roll-Up (LW) 4 2" xfId="0"/>
    <cellStyle name="_Pocket_TV_VSE WFP_101029-with more ViewPad 7_VSA Roll-Up (LW)_By Region" xfId="0"/>
    <cellStyle name="_Pocket_TV_VSE WFP_101029-with more ViewPad 7_VSA Roll-Up (LW)_CORP SG&amp;A" xfId="0"/>
    <cellStyle name="_Pocket_TV_VSE WFP_101029-with more ViewPad 7_VSA Roll-Up (LW)_LCD" xfId="0"/>
    <cellStyle name="_Pocket_TV_VSE WFP_101029-with more ViewPad 7_VSA Roll-Up (LW)_PJ" xfId="0"/>
    <cellStyle name="_Product" xfId="0"/>
    <cellStyle name="_Product 2" xfId="0"/>
    <cellStyle name="_Product payment_101001" xfId="0"/>
    <cellStyle name="_Product payment_101001 2" xfId="0"/>
    <cellStyle name="_Proview_WR_TREATMENT" xfId="0"/>
    <cellStyle name="_Proview_WR_TREATMENT 2" xfId="0"/>
    <cellStyle name="_Proview_WR_TREATMENT_Sheet1" xfId="0"/>
    <cellStyle name="_Proview_WR_TREATMENT_Sheet1 2" xfId="0"/>
    <cellStyle name="_Proview_WR_TREATMENT_Sheet1_Clean Data" xfId="0"/>
    <cellStyle name="_Proview_WR_TREATMENT_Sheet1_Clean Data 2" xfId="0"/>
    <cellStyle name="_Proview_WR_TREATMENT_Sheet1_Clean Data_1" xfId="0"/>
    <cellStyle name="_Proview_WR_TREATMENT_Sheet1_Clean Data_1 2" xfId="0"/>
    <cellStyle name="_Proview_WR_TREATMENT_Sheet1_Clean Data_Clean Data" xfId="0"/>
    <cellStyle name="_Proview_WR_TREATMENT_Sheet1_Clean Data_Clean Data 2" xfId="0"/>
    <cellStyle name="_Proview_WR_TREATMENT_Sheet1_Sheet1" xfId="0"/>
    <cellStyle name="_Proview_WR_TREATMENT_Sheet1_Sheet1 2" xfId="0"/>
    <cellStyle name="_Provision 0708 A stock" xfId="0"/>
    <cellStyle name="_Provision 0708 A stock 2" xfId="0"/>
    <cellStyle name="_Qisda" xfId="0"/>
    <cellStyle name="_Qisda 2" xfId="0"/>
    <cellStyle name="_Qisda Corp" xfId="0"/>
    <cellStyle name="_Qisda Corp 2" xfId="0"/>
    <cellStyle name="_Qisda Corporation" xfId="0"/>
    <cellStyle name="_Qisda Corporation 2" xfId="0"/>
    <cellStyle name="_Qisda Corporation 2 2" xfId="0"/>
    <cellStyle name="_Qisda Corporation 2_cash balance" xfId="0"/>
    <cellStyle name="_Qisda Corporation 2_cash balance 2" xfId="0"/>
    <cellStyle name="_Qisda Corporation 3" xfId="0"/>
    <cellStyle name="_Qisda Corporation 3 2" xfId="0"/>
    <cellStyle name="_Qisda Corporation 3_cash balance" xfId="0"/>
    <cellStyle name="_Qisda Corporation 3_cash balance 2" xfId="0"/>
    <cellStyle name="_Qisda Corporation 4" xfId="0"/>
    <cellStyle name="_Qisda Corporation 4 2" xfId="0"/>
    <cellStyle name="_Qisda Corporation 4_cash balance" xfId="0"/>
    <cellStyle name="_Qisda Corporation 4_cash balance 2" xfId="0"/>
    <cellStyle name="_Qisda Corporation 5" xfId="0"/>
    <cellStyle name="_Qisda Corporation 5 2" xfId="0"/>
    <cellStyle name="_Qisda Corporation 6" xfId="0"/>
    <cellStyle name="_Raw data" xfId="0"/>
    <cellStyle name="_Raw data 2" xfId="0"/>
    <cellStyle name="_Raw data_13-wk VSI_Revised" xfId="0"/>
    <cellStyle name="_Raw data_13-wk VSI_Revised 2" xfId="0"/>
    <cellStyle name="_Raw data_DCR" xfId="0"/>
    <cellStyle name="_Raw data_DCR 2" xfId="0"/>
    <cellStyle name="_Raw data_VSE DCR Planning Model and Trend Charts 20100118" xfId="0"/>
    <cellStyle name="_Raw data_VSE DCR Planning Model and Trend Charts 20100118 2" xfId="0"/>
    <cellStyle name="_Raw data_VSE DCR Planning Model and Trend Charts 20100315" xfId="0"/>
    <cellStyle name="_Raw data_VSE DCR Planning Model and Trend Charts 20100315 2" xfId="0"/>
    <cellStyle name="_Raw data_WMR VSI" xfId="0"/>
    <cellStyle name="_Raw data_WMR VSI 2" xfId="0"/>
    <cellStyle name="_RETIREMEN vsi" xfId="0"/>
    <cellStyle name="_RETIREMEN vsi 2" xfId="0"/>
    <cellStyle name="_RETIREMEN vsi_2011 FA (TWD) vsi" xfId="0"/>
    <cellStyle name="_RETIREMEN vsi_2011 FA (TWD) vsi 2" xfId="0"/>
    <cellStyle name="_RETIREMEN vsi_2011 FA (TWD) vsi_RETIREMEN vsi" xfId="0"/>
    <cellStyle name="_RETIREMEN vsi_2011 FA (TWD) vsi_RETIREMEN vsi 2" xfId="0"/>
    <cellStyle name="_RETIREMEN vsi_2011 FA (USD) vsi " xfId="0"/>
    <cellStyle name="_RETIREMEN vsi_2011 FA (USD) vsi  2" xfId="0"/>
    <cellStyle name="_RETIREMEN vsi_2012 FA (TWD) vsi" xfId="0"/>
    <cellStyle name="_RETIREMEN vsi_2012 FA (TWD) vsi 2" xfId="0"/>
    <cellStyle name="_RETIREMEN vsi_2012 FA (USD) vsi " xfId="0"/>
    <cellStyle name="_RETIREMEN vsi_2012 FA (USD) vsi  2" xfId="0"/>
    <cellStyle name="_RETIREMEN vsi_RETIREMEN vsi" xfId="0"/>
    <cellStyle name="_RETIREMEN vsi_RETIREMEN vsi 2" xfId="0"/>
    <cellStyle name="_RETIREMEN vsi_TB-TWD" xfId="0"/>
    <cellStyle name="_RETIREMEN vsi_TB-TWD 2" xfId="0"/>
    <cellStyle name="_RETIREMEN vsi_VSI FA Rollforward 1003" xfId="0"/>
    <cellStyle name="_RETIREMEN vsi_VSI FA Rollforward 1003 2" xfId="0"/>
    <cellStyle name="_RETIREMEN vsi_VSI FA Rollforward 1003_RETIREMEN vsi" xfId="0"/>
    <cellStyle name="_RETIREMEN vsi_VSI FA Rollforward 1003_RETIREMEN vsi 2" xfId="0"/>
    <cellStyle name="_RMA report May" xfId="0"/>
    <cellStyle name="_RMA report May 2" xfId="0"/>
    <cellStyle name="_RMA report May_Clean Data" xfId="0"/>
    <cellStyle name="_RMA report May_Clean Data 2" xfId="0"/>
    <cellStyle name="_rollforwrd ytd AUG08(NTD)" xfId="0"/>
    <cellStyle name="_rollforwrd ytd AUG08(NTD) 2" xfId="0"/>
    <cellStyle name="_rollforwrd ytd NOV08(NTD)" xfId="0"/>
    <cellStyle name="_rollforwrd ytd NOV08(NTD) 2" xfId="0"/>
    <cellStyle name="_Sales 0808" xfId="0"/>
    <cellStyle name="_Sales 0808 2" xfId="0"/>
    <cellStyle name="_SEK" xfId="0"/>
    <cellStyle name="_SEK 2" xfId="0"/>
    <cellStyle name="_SEP-10 VSI Consolidated BS" xfId="0"/>
    <cellStyle name="_SEP-10 VSI Consolidated BS 2" xfId="0"/>
    <cellStyle name="_SEP-10 VSI Consolidated P&amp;L" xfId="0"/>
    <cellStyle name="_SEP-10 VSI Consolidated P&amp;L 2" xfId="0"/>
    <cellStyle name="_SEP-10 VSI Consolidated SG&amp;A" xfId="0"/>
    <cellStyle name="_SEP-10 VSI Consolidated SG&amp;A 2" xfId="0"/>
    <cellStyle name="_Sheet1" xfId="0"/>
    <cellStyle name="_Sheet1 2" xfId="0"/>
    <cellStyle name="_Sheet1 2 2" xfId="0"/>
    <cellStyle name="_Sheet1 2 3" xfId="0"/>
    <cellStyle name="_Sheet1 3" xfId="0"/>
    <cellStyle name="_Sheet1 4" xfId="0"/>
    <cellStyle name="_Sheet1_1" xfId="0"/>
    <cellStyle name="_Sheet1_1 2" xfId="0"/>
    <cellStyle name="_Sheet1_1_Andrei" xfId="0"/>
    <cellStyle name="_Sheet1_1_Andrei 2" xfId="0"/>
    <cellStyle name="_Sheet1_1_CBB" xfId="0"/>
    <cellStyle name="_Sheet1_1_CBB 2" xfId="0"/>
    <cellStyle name="_Sheet1_1_Clean Data" xfId="0"/>
    <cellStyle name="_Sheet1_1_Clean Data 2" xfId="0"/>
    <cellStyle name="_Sheet1_1_Clean Data_Duplication" xfId="0"/>
    <cellStyle name="_Sheet1_1_Clean Data_Duplication 2" xfId="0"/>
    <cellStyle name="_Sheet1_1_Clean Data_Repair Cost %" xfId="0"/>
    <cellStyle name="_Sheet1_1_Clean Data_Repair Cost % 2" xfId="0"/>
    <cellStyle name="_Sheet1_1_Clean Data_Sheet3" xfId="0"/>
    <cellStyle name="_Sheet1_1_Clean Data_Sheet3 2" xfId="0"/>
    <cellStyle name="_Sheet1_1_Clean Data_Sheet4" xfId="0"/>
    <cellStyle name="_Sheet1_1_Clean Data_Sheet4 2" xfId="0"/>
    <cellStyle name="_Sheet1_1_Clean Data_T_90dAYS_Duplicates_Clean" xfId="0"/>
    <cellStyle name="_Sheet1_1_Clean Data_T_90dAYS_Duplicates_Clean 2" xfId="0"/>
    <cellStyle name="_Sheet1_1_Clean Data_validation" xfId="0"/>
    <cellStyle name="_Sheet1_1_Clean Data_validation 2" xfId="0"/>
    <cellStyle name="_Sheet1_1_Duplication" xfId="0"/>
    <cellStyle name="_Sheet1_1_Duplication 2" xfId="0"/>
    <cellStyle name="_Sheet1_1_Repair Cost %" xfId="0"/>
    <cellStyle name="_Sheet1_1_Repair Cost % 2" xfId="0"/>
    <cellStyle name="_Sheet1_1_Sheet1" xfId="0"/>
    <cellStyle name="_Sheet1_1_Sheet1 2" xfId="0"/>
    <cellStyle name="_Sheet1_1_Sheet1_1" xfId="0"/>
    <cellStyle name="_Sheet1_1_Sheet1_1 2" xfId="0"/>
    <cellStyle name="_Sheet1_1_Sheet3" xfId="0"/>
    <cellStyle name="_Sheet1_1_Sheet3 2" xfId="0"/>
    <cellStyle name="_Sheet1_1_Sheet4" xfId="0"/>
    <cellStyle name="_Sheet1_1_Sheet4 2" xfId="0"/>
    <cellStyle name="_Sheet1_1_T_90dAYS_Duplicates_Clean" xfId="0"/>
    <cellStyle name="_Sheet1_1_T_90dAYS_Duplicates_Clean 2" xfId="0"/>
    <cellStyle name="_Sheet1_1_validation" xfId="0"/>
    <cellStyle name="_Sheet1_1_validation 2" xfId="0"/>
    <cellStyle name="_Sheet1_2" xfId="0"/>
    <cellStyle name="_Sheet1_2 2" xfId="0"/>
    <cellStyle name="_Sheet1_3" xfId="0"/>
    <cellStyle name="_Sheet1_3 2" xfId="0"/>
    <cellStyle name="_Sheet1_3_Clean Data" xfId="0"/>
    <cellStyle name="_Sheet1_3_Clean Data 2" xfId="0"/>
    <cellStyle name="_Sheet1_3_Clean Data_1" xfId="0"/>
    <cellStyle name="_Sheet1_3_Clean Data_1 2" xfId="0"/>
    <cellStyle name="_Sheet1_3_Clean Data_Clean Data" xfId="0"/>
    <cellStyle name="_Sheet1_3_Clean Data_Clean Data 2" xfId="0"/>
    <cellStyle name="_Sheet1_3_Sheet1" xfId="0"/>
    <cellStyle name="_Sheet1_3_Sheet1 2" xfId="0"/>
    <cellStyle name="_Sheet1_Andrei" xfId="0"/>
    <cellStyle name="_Sheet1_Andrei 2" xfId="0"/>
    <cellStyle name="_Sheet1_Berd approved" xfId="0"/>
    <cellStyle name="_Sheet1_Berd approved 2" xfId="0"/>
    <cellStyle name="_Sheet1_Berd approved by Jessie" xfId="0"/>
    <cellStyle name="_Sheet1_Berd approved by Jessie 2" xfId="0"/>
    <cellStyle name="_Sheet1_CBB" xfId="0"/>
    <cellStyle name="_Sheet1_CBB 2" xfId="0"/>
    <cellStyle name="_Sheet1_Clean Data" xfId="0"/>
    <cellStyle name="_Sheet1_Clean Data 2" xfId="0"/>
    <cellStyle name="_Sheet1_Sheet1" xfId="0"/>
    <cellStyle name="_Sheet1_Sheet1 2" xfId="0"/>
    <cellStyle name="_Sheet1_Sheet1_Clean Data" xfId="0"/>
    <cellStyle name="_Sheet1_Sheet1_Clean Data 2" xfId="0"/>
    <cellStyle name="_Sheet1_Sheet1_Repair Cost %" xfId="0"/>
    <cellStyle name="_Sheet1_Sheet1_Repair Cost % 2" xfId="0"/>
    <cellStyle name="_Sheet1_Sheet1_Sheet1" xfId="0"/>
    <cellStyle name="_Sheet1_Sheet1_Sheet1 2" xfId="0"/>
    <cellStyle name="_Sheet1_Sheet1_T_90dAYS_Duplicates_Clean" xfId="0"/>
    <cellStyle name="_Sheet1_Sheet1_T_90dAYS_Duplicates_Clean 2" xfId="0"/>
    <cellStyle name="_Sheet1_Sheet2" xfId="0"/>
    <cellStyle name="_Sheet1_Sheet2 2" xfId="0"/>
    <cellStyle name="_Sheet1_Sheet3" xfId="0"/>
    <cellStyle name="_Sheet1_Sheet3 2" xfId="0"/>
    <cellStyle name="_Sheet1_Sheet4" xfId="0"/>
    <cellStyle name="_Sheet1_Sheet4 2" xfId="0"/>
    <cellStyle name="_Sheet1_Sheet5" xfId="0"/>
    <cellStyle name="_Sheet1_Sheet5 2" xfId="0"/>
    <cellStyle name="_Sheet1_Sheet6" xfId="0"/>
    <cellStyle name="_Sheet1_Sheet6 2" xfId="0"/>
    <cellStyle name="_Sheet1_T_90dAYS_Duplicates_Clean" xfId="0"/>
    <cellStyle name="_Sheet1_T_90dAYS_Duplicates_Clean 2" xfId="0"/>
    <cellStyle name="_Sheet1_validation" xfId="0"/>
    <cellStyle name="_Sheet1_validation 2" xfId="0"/>
    <cellStyle name="_Sheet1_Warranty_Data" xfId="0"/>
    <cellStyle name="_Sheet1_Warranty_Data 2" xfId="0"/>
    <cellStyle name="_sheet2" xfId="0"/>
    <cellStyle name="_sheet2 2" xfId="0"/>
    <cellStyle name="_Sheet2 3" xfId="0"/>
    <cellStyle name="_Sheet2_Before Allocation" xfId="0"/>
    <cellStyle name="_Sheet2_Duplication" xfId="0"/>
    <cellStyle name="_Sheet2_Duplication 2" xfId="0"/>
    <cellStyle name="_Sheet2_Repair Cost %" xfId="0"/>
    <cellStyle name="_Sheet2_Repair Cost % 2" xfId="0"/>
    <cellStyle name="_Sheet2_Sheet3" xfId="0"/>
    <cellStyle name="_Sheet2_Sheet3 2" xfId="0"/>
    <cellStyle name="_Sheet2_Sheet4" xfId="0"/>
    <cellStyle name="_Sheet2_Sheet4 2" xfId="0"/>
    <cellStyle name="_Sheet2_Simulation 03-14" xfId="0"/>
    <cellStyle name="_Sheet2_T_90dAYS_Duplicates_Clean" xfId="0"/>
    <cellStyle name="_Sheet2_T_90dAYS_Duplicates_Clean 2" xfId="0"/>
    <cellStyle name="_Sheet2_validation" xfId="0"/>
    <cellStyle name="_Sheet2_validation 2" xfId="0"/>
    <cellStyle name="_Sheet3" xfId="0"/>
    <cellStyle name="_Sheet3 2" xfId="0"/>
    <cellStyle name="_Sheet3 3" xfId="0"/>
    <cellStyle name="_sheet4" xfId="0"/>
    <cellStyle name="_sheet4 2" xfId="0"/>
    <cellStyle name="_Sheet4 3" xfId="0"/>
    <cellStyle name="_Sheet5" xfId="0"/>
    <cellStyle name="_Sheet5 2" xfId="0"/>
    <cellStyle name="_Sheet6" xfId="0"/>
    <cellStyle name="_Sheet6 2" xfId="0"/>
    <cellStyle name="_Simulation 03-14" xfId="0"/>
    <cellStyle name="_T_90dAYS_Duplicates_Clean" xfId="0"/>
    <cellStyle name="_T_90dAYS_Duplicates_Clean 2" xfId="0"/>
    <cellStyle name="_T_90dAYS_Duplicates_Clean_1" xfId="0"/>
    <cellStyle name="_T_90dAYS_Duplicates_Clean_1 2" xfId="0"/>
    <cellStyle name="_TB-09(charges)" xfId="0"/>
    <cellStyle name="_TB-09(charges) 2" xfId="0"/>
    <cellStyle name="_TB-09(charges) 2 2" xfId="0"/>
    <cellStyle name="_TB-09(charges) 2_Analysis " xfId="0"/>
    <cellStyle name="_TB-09(charges) 2_Analysis  2" xfId="0"/>
    <cellStyle name="_TB-09(charges) 2_Analysis _CORP SG&amp;A" xfId="0"/>
    <cellStyle name="_TB-09(charges) 2_CORP SG&amp;A" xfId="0"/>
    <cellStyle name="_TB-09(charges) 2_TB-2011(charges)" xfId="0"/>
    <cellStyle name="_TB-09(charges) 2_TB-2011(charges) 2" xfId="0"/>
    <cellStyle name="_TB-09(charges) 2_TB-2011(charges)_CORP SG&amp;A" xfId="0"/>
    <cellStyle name="_TB-09(charges) 2_TB-2012(charges)" xfId="0"/>
    <cellStyle name="_TB-09(charges) 2_TB-2012(charges) 2" xfId="0"/>
    <cellStyle name="_TB-09(charges) 2_TB-2012(charges)_CORP SG&amp;A" xfId="0"/>
    <cellStyle name="_TB-09(charges) 3" xfId="0"/>
    <cellStyle name="_TB-09(charges) 3 2" xfId="0"/>
    <cellStyle name="_TB-09(charges) 3_Analysis " xfId="0"/>
    <cellStyle name="_TB-09(charges) 3_Analysis  2" xfId="0"/>
    <cellStyle name="_TB-09(charges) 3_Analysis _CORP SG&amp;A" xfId="0"/>
    <cellStyle name="_TB-09(charges) 3_CORP SG&amp;A" xfId="0"/>
    <cellStyle name="_TB-09(charges) 3_TB-2011(charges)" xfId="0"/>
    <cellStyle name="_TB-09(charges) 3_TB-2011(charges) 2" xfId="0"/>
    <cellStyle name="_TB-09(charges) 3_TB-2011(charges)_CORP SG&amp;A" xfId="0"/>
    <cellStyle name="_TB-09(charges) 3_TB-2012(charges)" xfId="0"/>
    <cellStyle name="_TB-09(charges) 3_TB-2012(charges) 2" xfId="0"/>
    <cellStyle name="_TB-09(charges) 3_TB-2012(charges)_CORP SG&amp;A" xfId="0"/>
    <cellStyle name="_TB-09(charges) 4" xfId="0"/>
    <cellStyle name="_TB-09(charges)_CORP SG&amp;A" xfId="0"/>
    <cellStyle name="_TechView" xfId="0"/>
    <cellStyle name="_TechView 2" xfId="0"/>
    <cellStyle name="_Top Victory" xfId="0"/>
    <cellStyle name="_Top Victory 2" xfId="0"/>
    <cellStyle name="_U VSKR RMA report - HVT 2007_FEB" xfId="0"/>
    <cellStyle name="_U VSKR RMA report - HVT 2007_FEB 2" xfId="0"/>
    <cellStyle name="_Unity Sales" xfId="0"/>
    <cellStyle name="_Unity Sales 2" xfId="0"/>
    <cellStyle name="_validation" xfId="0"/>
    <cellStyle name="_validation 2" xfId="0"/>
    <cellStyle name="_VALUE_WWFMaster2006Q1_Final" xfId="0"/>
    <cellStyle name="_VALUE_WWFMaster2006Q1_Final_DS_2008Q2_LCDCostForecast_DataTables" xfId="0"/>
    <cellStyle name="_VALUE_WWFMaster2006Q1_Final_DS_2008Q2_LCDCostForecast_DataTables_DS_2008Q4_LCDCostForecast_DataTables" xfId="0"/>
    <cellStyle name="_VDL" xfId="0"/>
    <cellStyle name="_VDL 2" xfId="0"/>
    <cellStyle name="_VDL_080822 WMR-VSC" xfId="0"/>
    <cellStyle name="_VDL_080822 WMR-VSC 2" xfId="0"/>
    <cellStyle name="_VDL_080829 WMR" xfId="0"/>
    <cellStyle name="_VDL_080829 WMR 2" xfId="0"/>
    <cellStyle name="_VDL_080905 WMR-VSC" xfId="0"/>
    <cellStyle name="_VDL_080905 WMR-VSC 2" xfId="0"/>
    <cellStyle name="_VDL_080912 WMR-VSC" xfId="0"/>
    <cellStyle name="_VDL_080912 WMR-VSC 2" xfId="0"/>
    <cellStyle name="_VDL_080919 WMR-VSC" xfId="0"/>
    <cellStyle name="_VDL_080919 WMR-VSC 2" xfId="0"/>
    <cellStyle name="_VDL_080926 WMR-VSC" xfId="0"/>
    <cellStyle name="_VDL_080926 WMR-VSC 2" xfId="0"/>
    <cellStyle name="_VDL_081003 WMR-VSC_1" xfId="0"/>
    <cellStyle name="_VDL_081003 WMR-VSC_1 2" xfId="0"/>
    <cellStyle name="_VDL_081010 WMR-VSC" xfId="0"/>
    <cellStyle name="_VDL_081010 WMR-VSC 2" xfId="0"/>
    <cellStyle name="_VDL_081017 WMR-VSC_1" xfId="0"/>
    <cellStyle name="_VDL_081017 WMR-VSC_1 2" xfId="0"/>
    <cellStyle name="_VDL_081024 WMR-VSC" xfId="0"/>
    <cellStyle name="_VDL_081024 WMR-VSC 2" xfId="0"/>
    <cellStyle name="_VDL_081031 WMR-VSC" xfId="0"/>
    <cellStyle name="_VDL_081031 WMR-VSC 2" xfId="0"/>
    <cellStyle name="_VDL_081107 WMR-VSC (2)" xfId="0"/>
    <cellStyle name="_VDL_081107 WMR-VSC (2) 2" xfId="0"/>
    <cellStyle name="_VDL_081107 WMR-VSC_1" xfId="0"/>
    <cellStyle name="_VDL_081107 WMR-VSC_1 2" xfId="0"/>
    <cellStyle name="_VDL_081114 WMR-VSC" xfId="0"/>
    <cellStyle name="_VDL_081114 WMR-VSC 2" xfId="0"/>
    <cellStyle name="_VDL_081121 WMR-VSC" xfId="0"/>
    <cellStyle name="_VDL_081121 WMR-VSC 2" xfId="0"/>
    <cellStyle name="_VDL_081128 WMR-VSC" xfId="0"/>
    <cellStyle name="_VDL_081128 WMR-VSC 2" xfId="0"/>
    <cellStyle name="_VDL_081128 WMR-VSC_1" xfId="0"/>
    <cellStyle name="_VDL_081128 WMR-VSC_1 2" xfId="0"/>
    <cellStyle name="_VDL_081205 WMR-VSC" xfId="0"/>
    <cellStyle name="_VDL_081205 WMR-VSC 2" xfId="0"/>
    <cellStyle name="_VDL_081212 WMR-VSC" xfId="0"/>
    <cellStyle name="_VDL_081212 WMR-VSC 2" xfId="0"/>
    <cellStyle name="_VDL_081219 WMR-VSC" xfId="0"/>
    <cellStyle name="_VDL_081219 WMR-VSC 2" xfId="0"/>
    <cellStyle name="_VDL_090102 WMR-VSC" xfId="0"/>
    <cellStyle name="_VDL_090102 WMR-VSC 2" xfId="0"/>
    <cellStyle name="_VDL_090424 WMR_VSE (2)" xfId="0"/>
    <cellStyle name="_VDL_090424 WMR_VSE (2) 2" xfId="0"/>
    <cellStyle name="_VDL_090703 WMR-VSC" xfId="0"/>
    <cellStyle name="_VDL_090703 WMR-VSC 2" xfId="0"/>
    <cellStyle name="_VDL_AP Turn Days old" xfId="0"/>
    <cellStyle name="_VDL_AP Turn Days old 2" xfId="0"/>
    <cellStyle name="_VDL_Charts" xfId="0"/>
    <cellStyle name="_VDL_Charts 2" xfId="0"/>
    <cellStyle name="_VDL_NEW WMR" xfId="0"/>
    <cellStyle name="_VDL_NEW WMR 2" xfId="0"/>
    <cellStyle name="_VDL_VDL" xfId="0"/>
    <cellStyle name="_VDL_VDL 2" xfId="0"/>
    <cellStyle name="_VDL_VSA" xfId="0"/>
    <cellStyle name="_VDL_VSA 2" xfId="0"/>
    <cellStyle name="_VDL_VSA Cash Flow Model (6-4-07)" xfId="0"/>
    <cellStyle name="_VDL_VSA Cash Flow Model (6-4-07) 2" xfId="0"/>
    <cellStyle name="_VDL_VSACE" xfId="0"/>
    <cellStyle name="_VDL_VSACE 2" xfId="0"/>
    <cellStyle name="_VDL_VSC" xfId="0"/>
    <cellStyle name="_VDL_VSC 2" xfId="0"/>
    <cellStyle name="_VDL_VSCN" xfId="0"/>
    <cellStyle name="_VDL_VSCN 2" xfId="0"/>
    <cellStyle name="_VDL_VSE" xfId="0"/>
    <cellStyle name="_VDL_VSE 2" xfId="0"/>
    <cellStyle name="_VDL_VSI" xfId="0"/>
    <cellStyle name="_VDL_VSI 2" xfId="0"/>
    <cellStyle name="_VDL_WMR" xfId="0"/>
    <cellStyle name="_VDL_WMR (by QTY)" xfId="0"/>
    <cellStyle name="_VDL_WMR (by QTY) 2" xfId="0"/>
    <cellStyle name="_VDL_WMR 2" xfId="0"/>
    <cellStyle name="_VDL_WMR 3" xfId="0"/>
    <cellStyle name="_VDL_WMR 4" xfId="0"/>
    <cellStyle name="_VSA" xfId="0"/>
    <cellStyle name="_VSA 091113" xfId="0"/>
    <cellStyle name="_VSA 091113 2" xfId="0"/>
    <cellStyle name="_VSA 2" xfId="0"/>
    <cellStyle name="_VSA Cash Flow Forecast 12-12-08 Test" xfId="0"/>
    <cellStyle name="_VSA Cash Flow Forecast 12-12-08 Test 2" xfId="0"/>
    <cellStyle name="_VSA15" xfId="0"/>
    <cellStyle name="_VSA15 2" xfId="0"/>
    <cellStyle name="_VSA17" xfId="0"/>
    <cellStyle name="_VSA17 2" xfId="0"/>
    <cellStyle name="_VSA19" xfId="0"/>
    <cellStyle name="_VSA19 2" xfId="0"/>
    <cellStyle name="_VSA19_CORP SG&amp;A" xfId="0"/>
    <cellStyle name="_VSA19W" xfId="0"/>
    <cellStyle name="_VSA19W 2" xfId="0"/>
    <cellStyle name="_VSA_Charts" xfId="0"/>
    <cellStyle name="_VSA_Charts 2" xfId="0"/>
    <cellStyle name="_VSCN" xfId="0"/>
    <cellStyle name="_VSCN 2" xfId="0"/>
    <cellStyle name="_VSCN15" xfId="0"/>
    <cellStyle name="_VSCN15 2" xfId="0"/>
    <cellStyle name="_VSCN17" xfId="0"/>
    <cellStyle name="_VSCN17 2" xfId="0"/>
    <cellStyle name="_VSCN17_CORP SG&amp;A" xfId="0"/>
    <cellStyle name="_VSCN19" xfId="0"/>
    <cellStyle name="_VSCN19 2" xfId="0"/>
    <cellStyle name="_VSCN19W" xfId="0"/>
    <cellStyle name="_VSCN19W 2" xfId="0"/>
    <cellStyle name="_VSCN_080822 WMR-VSC" xfId="0"/>
    <cellStyle name="_VSCN_080822 WMR-VSC 2" xfId="0"/>
    <cellStyle name="_VSCN_080829 WMR" xfId="0"/>
    <cellStyle name="_VSCN_080829 WMR 2" xfId="0"/>
    <cellStyle name="_VSCN_080905 WMR-VSC" xfId="0"/>
    <cellStyle name="_VSCN_080905 WMR-VSC 2" xfId="0"/>
    <cellStyle name="_VSCN_080912 WMR-VSC" xfId="0"/>
    <cellStyle name="_VSCN_080912 WMR-VSC 2" xfId="0"/>
    <cellStyle name="_VSCN_080919 WMR-VSC" xfId="0"/>
    <cellStyle name="_VSCN_080919 WMR-VSC 2" xfId="0"/>
    <cellStyle name="_VSCN_080926 WMR-VSC" xfId="0"/>
    <cellStyle name="_VSCN_080926 WMR-VSC 2" xfId="0"/>
    <cellStyle name="_VSCN_081003 WMR-VSC_1" xfId="0"/>
    <cellStyle name="_VSCN_081003 WMR-VSC_1 2" xfId="0"/>
    <cellStyle name="_VSCN_081010 WMR-VSC" xfId="0"/>
    <cellStyle name="_VSCN_081010 WMR-VSC 2" xfId="0"/>
    <cellStyle name="_VSCN_081017 WMR-VSC_1" xfId="0"/>
    <cellStyle name="_VSCN_081017 WMR-VSC_1 2" xfId="0"/>
    <cellStyle name="_VSCN_081024 WMR-VSC" xfId="0"/>
    <cellStyle name="_VSCN_081024 WMR-VSC 2" xfId="0"/>
    <cellStyle name="_VSCN_081031 WMR-VSC" xfId="0"/>
    <cellStyle name="_VSCN_081031 WMR-VSC 2" xfId="0"/>
    <cellStyle name="_VSCN_081107 WMR-VSC (2)" xfId="0"/>
    <cellStyle name="_VSCN_081107 WMR-VSC (2) 2" xfId="0"/>
    <cellStyle name="_VSCN_081107 WMR-VSC_1" xfId="0"/>
    <cellStyle name="_VSCN_081107 WMR-VSC_1 2" xfId="0"/>
    <cellStyle name="_VSCN_081114 WMR-VSC" xfId="0"/>
    <cellStyle name="_VSCN_081114 WMR-VSC 2" xfId="0"/>
    <cellStyle name="_VSCN_081121 WMR-VSC" xfId="0"/>
    <cellStyle name="_VSCN_081121 WMR-VSC 2" xfId="0"/>
    <cellStyle name="_VSCN_081128 WMR-VSC" xfId="0"/>
    <cellStyle name="_VSCN_081128 WMR-VSC 2" xfId="0"/>
    <cellStyle name="_VSCN_081128 WMR-VSC_1" xfId="0"/>
    <cellStyle name="_VSCN_081128 WMR-VSC_1 2" xfId="0"/>
    <cellStyle name="_VSCN_081205 WMR-VSC" xfId="0"/>
    <cellStyle name="_VSCN_081205 WMR-VSC 2" xfId="0"/>
    <cellStyle name="_VSCN_081212 WMR-VSC" xfId="0"/>
    <cellStyle name="_VSCN_081212 WMR-VSC 2" xfId="0"/>
    <cellStyle name="_VSCN_081219 WMR-VSC" xfId="0"/>
    <cellStyle name="_VSCN_081219 WMR-VSC 2" xfId="0"/>
    <cellStyle name="_VSCN_090102 WMR-VSC" xfId="0"/>
    <cellStyle name="_VSCN_090102 WMR-VSC 2" xfId="0"/>
    <cellStyle name="_VSCN_090424 WMR_VSE (2)" xfId="0"/>
    <cellStyle name="_VSCN_090424 WMR_VSE (2) 2" xfId="0"/>
    <cellStyle name="_VSCN_090703 WMR-VSC" xfId="0"/>
    <cellStyle name="_VSCN_090703 WMR-VSC 2" xfId="0"/>
    <cellStyle name="_VSCN_AP Turn Days old" xfId="0"/>
    <cellStyle name="_VSCN_AP Turn Days old 2" xfId="0"/>
    <cellStyle name="_VSCN_Charts" xfId="0"/>
    <cellStyle name="_VSCN_Charts 2" xfId="0"/>
    <cellStyle name="_VSCN_NEW WMR" xfId="0"/>
    <cellStyle name="_VSCN_NEW WMR 2" xfId="0"/>
    <cellStyle name="_VSCN_VDL" xfId="0"/>
    <cellStyle name="_VSCN_VDL 2" xfId="0"/>
    <cellStyle name="_VSCN_VSA" xfId="0"/>
    <cellStyle name="_VSCN_VSA 2" xfId="0"/>
    <cellStyle name="_VSCN_VSA Cash Flow Model (6-4-07)" xfId="0"/>
    <cellStyle name="_VSCN_VSA Cash Flow Model (6-4-07) 2" xfId="0"/>
    <cellStyle name="_VSCN_VSACE" xfId="0"/>
    <cellStyle name="_VSCN_VSACE 2" xfId="0"/>
    <cellStyle name="_VSCN_VSC" xfId="0"/>
    <cellStyle name="_VSCN_VSC 2" xfId="0"/>
    <cellStyle name="_VSCN_VSCN" xfId="0"/>
    <cellStyle name="_VSCN_VSCN 2" xfId="0"/>
    <cellStyle name="_VSCN_VSE" xfId="0"/>
    <cellStyle name="_VSCN_VSE 2" xfId="0"/>
    <cellStyle name="_VSCN_VSI" xfId="0"/>
    <cellStyle name="_VSCN_VSI 2" xfId="0"/>
    <cellStyle name="_VSCN_WMR" xfId="0"/>
    <cellStyle name="_VSCN_WMR (by QTY)" xfId="0"/>
    <cellStyle name="_VSCN_WMR (by QTY) 2" xfId="0"/>
    <cellStyle name="_VSCN_WMR 2" xfId="0"/>
    <cellStyle name="_VSCN_WMR 3" xfId="0"/>
    <cellStyle name="_VSCN_WMR 4" xfId="0"/>
    <cellStyle name="_VSE 11-05-2010" xfId="0"/>
    <cellStyle name="_VSE 11-05-2010 2" xfId="0"/>
    <cellStyle name="_VSE Repair Records P12-2003 NLewis 12-01-2003" xfId="0"/>
    <cellStyle name="_VSE Repair Records P12-2003 NLewis 12-01-2003 2" xfId="0"/>
    <cellStyle name="_VSE15" xfId="0"/>
    <cellStyle name="_VSE15 2" xfId="0"/>
    <cellStyle name="_VSE17" xfId="0"/>
    <cellStyle name="_VSE17 2" xfId="0"/>
    <cellStyle name="_VSE17_1" xfId="0"/>
    <cellStyle name="_VSE17_1 2" xfId="0"/>
    <cellStyle name="_VSE17_1_CORP SG&amp;A" xfId="0"/>
    <cellStyle name="_VSE19" xfId="0"/>
    <cellStyle name="_VSE19 2" xfId="0"/>
    <cellStyle name="_VSE19_1" xfId="0"/>
    <cellStyle name="_VSE19_1 2" xfId="0"/>
    <cellStyle name="_VSE19_2007 CPC COGS LCD TV 0711-A" xfId="0"/>
    <cellStyle name="_VSE19_2007 CPC COGS LCD TV 0711-A 2" xfId="0"/>
    <cellStyle name="_VSE19_2007 CPC COGS LCD TV 0711-A_CORP SG&amp;A" xfId="0"/>
    <cellStyle name="_VSE19_2007 CPC COGS LCD TV 0712 -V0116" xfId="0"/>
    <cellStyle name="_VSE19_2007 CPC COGS LCD TV 0712 -V0116 2" xfId="0"/>
    <cellStyle name="_VSE19_2007 CPC COGS LCD TV 0712 -V0116_CORP SG&amp;A" xfId="0"/>
    <cellStyle name="_VSE19_VSA19" xfId="0"/>
    <cellStyle name="_VSE19_VSA19 2" xfId="0"/>
    <cellStyle name="_VSE19W" xfId="0"/>
    <cellStyle name="_VSE19W 2" xfId="0"/>
    <cellStyle name="_VSI" xfId="0"/>
    <cellStyle name="_VSI 2" xfId="0"/>
    <cellStyle name="_VSI Cash Forecast 08-22-2008" xfId="0"/>
    <cellStyle name="_VSI Cash Forecast 08-22-2008 2" xfId="0"/>
    <cellStyle name="_VSI Cash Forecast 08-22-2008_VSA Cash Forecast 04-4-10" xfId="0"/>
    <cellStyle name="_VSI Cash Forecast 08-22-2008_VSA Cash Forecast 04-4-10 2" xfId="0"/>
    <cellStyle name="_VSI DCR" xfId="0"/>
    <cellStyle name="_VSI DCR 2" xfId="0"/>
    <cellStyle name="_VSI DCR_13-wk VSI_Revised" xfId="0"/>
    <cellStyle name="_VSI DCR_13-wk VSI_Revised 2" xfId="0"/>
    <cellStyle name="_VSI DCR_DCR" xfId="0"/>
    <cellStyle name="_VSI DCR_DCR 2" xfId="0"/>
    <cellStyle name="_VSI DCR_WMR VSI" xfId="0"/>
    <cellStyle name="_VSI DCR_WMR VSI 2" xfId="0"/>
    <cellStyle name="_VSI15" xfId="0"/>
    <cellStyle name="_VSI15 2" xfId="0"/>
    <cellStyle name="_VSI17" xfId="0"/>
    <cellStyle name="_VSI17 2" xfId="0"/>
    <cellStyle name="_VSI19" xfId="0"/>
    <cellStyle name="_VSI19 2" xfId="0"/>
    <cellStyle name="_VSI19W" xfId="0"/>
    <cellStyle name="_VSI19W 2" xfId="0"/>
    <cellStyle name="_VSI_080822 WMR-VSC" xfId="0"/>
    <cellStyle name="_VSI_080822 WMR-VSC 2" xfId="0"/>
    <cellStyle name="_VSI_080829 WMR" xfId="0"/>
    <cellStyle name="_VSI_080829 WMR 2" xfId="0"/>
    <cellStyle name="_VSI_080905 WMR-VSC" xfId="0"/>
    <cellStyle name="_VSI_080905 WMR-VSC 2" xfId="0"/>
    <cellStyle name="_VSI_080912 WMR-VSC" xfId="0"/>
    <cellStyle name="_VSI_080912 WMR-VSC 2" xfId="0"/>
    <cellStyle name="_VSI_080919 WMR-VSC" xfId="0"/>
    <cellStyle name="_VSI_080919 WMR-VSC 2" xfId="0"/>
    <cellStyle name="_VSI_080926 WMR-VSC" xfId="0"/>
    <cellStyle name="_VSI_080926 WMR-VSC 2" xfId="0"/>
    <cellStyle name="_VSI_081003 WMR-VSC_1" xfId="0"/>
    <cellStyle name="_VSI_081003 WMR-VSC_1 2" xfId="0"/>
    <cellStyle name="_VSI_081010 WMR-VSC" xfId="0"/>
    <cellStyle name="_VSI_081010 WMR-VSC 2" xfId="0"/>
    <cellStyle name="_VSI_081017 WMR-VSC_1" xfId="0"/>
    <cellStyle name="_VSI_081017 WMR-VSC_1 2" xfId="0"/>
    <cellStyle name="_VSI_081024 WMR-VSC" xfId="0"/>
    <cellStyle name="_VSI_081024 WMR-VSC 2" xfId="0"/>
    <cellStyle name="_VSI_081031 WMR-VSC" xfId="0"/>
    <cellStyle name="_VSI_081031 WMR-VSC 2" xfId="0"/>
    <cellStyle name="_VSI_081107 WMR-VSC (2)" xfId="0"/>
    <cellStyle name="_VSI_081107 WMR-VSC (2) 2" xfId="0"/>
    <cellStyle name="_VSI_081107 WMR-VSC_1" xfId="0"/>
    <cellStyle name="_VSI_081107 WMR-VSC_1 2" xfId="0"/>
    <cellStyle name="_VSI_081114 WMR-VSC" xfId="0"/>
    <cellStyle name="_VSI_081114 WMR-VSC 2" xfId="0"/>
    <cellStyle name="_VSI_081121 WMR-VSC" xfId="0"/>
    <cellStyle name="_VSI_081121 WMR-VSC 2" xfId="0"/>
    <cellStyle name="_VSI_081128 WMR-VSC" xfId="0"/>
    <cellStyle name="_VSI_081128 WMR-VSC 2" xfId="0"/>
    <cellStyle name="_VSI_081128 WMR-VSC_1" xfId="0"/>
    <cellStyle name="_VSI_081128 WMR-VSC_1 2" xfId="0"/>
    <cellStyle name="_VSI_081205 WMR-VSC" xfId="0"/>
    <cellStyle name="_VSI_081205 WMR-VSC 2" xfId="0"/>
    <cellStyle name="_VSI_081212 WMR-VSC" xfId="0"/>
    <cellStyle name="_VSI_081212 WMR-VSC 2" xfId="0"/>
    <cellStyle name="_VSI_081219 WMR-VSC" xfId="0"/>
    <cellStyle name="_VSI_081219 WMR-VSC 2" xfId="0"/>
    <cellStyle name="_VSI_090102 WMR-VSC" xfId="0"/>
    <cellStyle name="_VSI_090102 WMR-VSC 2" xfId="0"/>
    <cellStyle name="_VSI_090424 WMR_VSE (2)" xfId="0"/>
    <cellStyle name="_VSI_090424 WMR_VSE (2) 2" xfId="0"/>
    <cellStyle name="_VSI_090703 WMR-VSC" xfId="0"/>
    <cellStyle name="_VSI_090703 WMR-VSC 2" xfId="0"/>
    <cellStyle name="_VSI_AP Turn Days old" xfId="0"/>
    <cellStyle name="_VSI_AP Turn Days old 2" xfId="0"/>
    <cellStyle name="_VSI_Charts" xfId="0"/>
    <cellStyle name="_VSI_Charts 2" xfId="0"/>
    <cellStyle name="_VSI_NEW WMR" xfId="0"/>
    <cellStyle name="_VSI_NEW WMR 2" xfId="0"/>
    <cellStyle name="_VSI_System Product Oracle models_SW checking_20091204" xfId="0"/>
    <cellStyle name="_VSI_System Product Oracle models_SW checking_20091204 2" xfId="0"/>
    <cellStyle name="_VSI_VDL" xfId="0"/>
    <cellStyle name="_VSI_VDL 2" xfId="0"/>
    <cellStyle name="_VSI_VSA" xfId="0"/>
    <cellStyle name="_VSI_VSA 2" xfId="0"/>
    <cellStyle name="_VSI_VSA Cash Flow Model (6-4-07)" xfId="0"/>
    <cellStyle name="_VSI_VSA Cash Flow Model (6-4-07) 2" xfId="0"/>
    <cellStyle name="_VSI_VSACE" xfId="0"/>
    <cellStyle name="_VSI_VSACE 2" xfId="0"/>
    <cellStyle name="_VSI_VSC" xfId="0"/>
    <cellStyle name="_VSI_VSC 2" xfId="0"/>
    <cellStyle name="_VSI_VSCN" xfId="0"/>
    <cellStyle name="_VSI_VSCN 2" xfId="0"/>
    <cellStyle name="_VSI_VSE" xfId="0"/>
    <cellStyle name="_VSI_VSE 2" xfId="0"/>
    <cellStyle name="_VSI_VSI" xfId="0"/>
    <cellStyle name="_VSI_VSI 2" xfId="0"/>
    <cellStyle name="_VSI_WMR" xfId="0"/>
    <cellStyle name="_VSI_WMR (by QTY)" xfId="0"/>
    <cellStyle name="_VSI_WMR (by QTY) 2" xfId="0"/>
    <cellStyle name="_VSI_WMR 2" xfId="0"/>
    <cellStyle name="_VSI_WMR 3" xfId="0"/>
    <cellStyle name="_VSI_WMR 4" xfId="0"/>
    <cellStyle name="_Warranty revise_1" xfId="0"/>
    <cellStyle name="_Warranty revise_1 2" xfId="0"/>
    <cellStyle name="_Warranty revise_2" xfId="0"/>
    <cellStyle name="_Warranty revise_2 2" xfId="0"/>
    <cellStyle name="_Warranty_Data" xfId="0"/>
    <cellStyle name="_Warranty_Data 2" xfId="0"/>
    <cellStyle name="_Warranty_Data_1" xfId="0"/>
    <cellStyle name="_Warranty_Data_1 2" xfId="0"/>
    <cellStyle name="_Weekly  Report" xfId="0"/>
    <cellStyle name="_Weekly  Report 2" xfId="0"/>
    <cellStyle name="_WFP" xfId="0"/>
    <cellStyle name="_WFP 2" xfId="0"/>
    <cellStyle name="_WFP_13-wk VSI_Revised" xfId="0"/>
    <cellStyle name="_WFP_13-wk VSI_Revised 2" xfId="0"/>
    <cellStyle name="_WFP_DCR" xfId="0"/>
    <cellStyle name="_WFP_DCR 2" xfId="0"/>
    <cellStyle name="_WFP_WMR VSI" xfId="0"/>
    <cellStyle name="_WFP_WMR VSI 2" xfId="0"/>
    <cellStyle name="_WWF_DB" xfId="0"/>
    <cellStyle name="_WWF_DB_DS_2008Q2_LCDCostForecast_DataTables" xfId="0"/>
    <cellStyle name="_WWF_DB_DS_2008Q2_LCDCostForecast_DataTables_DS_2008Q4_LCDCostForecast_DataTables" xfId="0"/>
    <cellStyle name="_Провью" xfId="0"/>
    <cellStyle name="_Провью 0801" xfId="0"/>
    <cellStyle name="_Провью 0801 2" xfId="0"/>
    <cellStyle name="_Провью 2" xfId="0"/>
    <cellStyle name="Accent1" xfId="0"/>
    <cellStyle name="Accent1 - 20%" xfId="0"/>
    <cellStyle name="Accent1 - 20% 2" xfId="0"/>
    <cellStyle name="Accent1 - 20% 2 2" xfId="0"/>
    <cellStyle name="Accent1 - 20% 2 2 2" xfId="0"/>
    <cellStyle name="Accent1 - 20% 2_Market Fresh Cost" xfId="0"/>
    <cellStyle name="Accent1 - 20% 3" xfId="0"/>
    <cellStyle name="Accent1 - 20% 3 2" xfId="0"/>
    <cellStyle name="Accent1 - 20% 4" xfId="0"/>
    <cellStyle name="Accent1 - 20% 4 2" xfId="0"/>
    <cellStyle name="Accent1 - 20% 5" xfId="0"/>
    <cellStyle name="Accent1 - 20% 6" xfId="0"/>
    <cellStyle name="Accent1 - 20% 7" xfId="0"/>
    <cellStyle name="Accent1 - 20%_Market Fresh Cost" xfId="0"/>
    <cellStyle name="Accent1 - 40%" xfId="0"/>
    <cellStyle name="Accent1 - 40% 2" xfId="0"/>
    <cellStyle name="Accent1 - 40% 2 2" xfId="0"/>
    <cellStyle name="Accent1 - 40% 2 2 2" xfId="0"/>
    <cellStyle name="Accent1 - 40% 2_Market Fresh Cost" xfId="0"/>
    <cellStyle name="Accent1 - 40% 3" xfId="0"/>
    <cellStyle name="Accent1 - 40% 3 2" xfId="0"/>
    <cellStyle name="Accent1 - 40% 4" xfId="0"/>
    <cellStyle name="Accent1 - 40% 4 2" xfId="0"/>
    <cellStyle name="Accent1 - 40% 5" xfId="0"/>
    <cellStyle name="Accent1 - 40% 6" xfId="0"/>
    <cellStyle name="Accent1 - 40% 7" xfId="0"/>
    <cellStyle name="Accent1 - 40%_Market Fresh Cost" xfId="0"/>
    <cellStyle name="Accent1 - 60%" xfId="0"/>
    <cellStyle name="Accent1 - 60% 2" xfId="0"/>
    <cellStyle name="Accent1 - 60% 2 2" xfId="0"/>
    <cellStyle name="Accent1 - 60% 2 2 2" xfId="0"/>
    <cellStyle name="Accent1 - 60% 2 3" xfId="0"/>
    <cellStyle name="Accent1 - 60% 2_Market Fresh Cost" xfId="0"/>
    <cellStyle name="Accent1 - 60% 3" xfId="0"/>
    <cellStyle name="Accent1 - 60% 3 2" xfId="0"/>
    <cellStyle name="Accent1 - 60% 3 3" xfId="0"/>
    <cellStyle name="Accent1 - 60% 4" xfId="0"/>
    <cellStyle name="Accent1 - 60% 5" xfId="0"/>
    <cellStyle name="Accent1 - 60% 6" xfId="0"/>
    <cellStyle name="Accent1 - 60% 7" xfId="0"/>
    <cellStyle name="Accent1 - 60% 8" xfId="0"/>
    <cellStyle name="Accent1 - 60%_LCD" xfId="0"/>
    <cellStyle name="Accent1 10" xfId="0"/>
    <cellStyle name="Accent1 10 2" xfId="0"/>
    <cellStyle name="Accent1 10 2 2" xfId="0"/>
    <cellStyle name="Accent1 10 3" xfId="0"/>
    <cellStyle name="Accent1 10 4" xfId="0"/>
    <cellStyle name="Accent1 100" xfId="0"/>
    <cellStyle name="Accent1 101" xfId="0"/>
    <cellStyle name="Accent1 102" xfId="0"/>
    <cellStyle name="Accent1 103" xfId="0"/>
    <cellStyle name="Accent1 104" xfId="0"/>
    <cellStyle name="Accent1 105" xfId="0"/>
    <cellStyle name="Accent1 106" xfId="0"/>
    <cellStyle name="Accent1 107" xfId="0"/>
    <cellStyle name="Accent1 108" xfId="0"/>
    <cellStyle name="Accent1 109" xfId="0"/>
    <cellStyle name="Accent1 11" xfId="0"/>
    <cellStyle name="Accent1 11 2" xfId="0"/>
    <cellStyle name="Accent1 11 2 2" xfId="0"/>
    <cellStyle name="Accent1 11 3" xfId="0"/>
    <cellStyle name="Accent1 11 4" xfId="0"/>
    <cellStyle name="Accent1 110" xfId="0"/>
    <cellStyle name="Accent1 111" xfId="0"/>
    <cellStyle name="Accent1 112" xfId="0"/>
    <cellStyle name="Accent1 113" xfId="0"/>
    <cellStyle name="Accent1 114" xfId="0"/>
    <cellStyle name="Accent1 115" xfId="0"/>
    <cellStyle name="Accent1 116" xfId="0"/>
    <cellStyle name="Accent1 117" xfId="0"/>
    <cellStyle name="Accent1 118" xfId="0"/>
    <cellStyle name="Accent1 119" xfId="0"/>
    <cellStyle name="Accent1 12" xfId="0"/>
    <cellStyle name="Accent1 12 2" xfId="0"/>
    <cellStyle name="Accent1 12 2 2" xfId="0"/>
    <cellStyle name="Accent1 12 3" xfId="0"/>
    <cellStyle name="Accent1 12 4" xfId="0"/>
    <cellStyle name="Accent1 120" xfId="0"/>
    <cellStyle name="Accent1 121" xfId="0"/>
    <cellStyle name="Accent1 122" xfId="0"/>
    <cellStyle name="Accent1 123" xfId="0"/>
    <cellStyle name="Accent1 124" xfId="0"/>
    <cellStyle name="Accent1 125" xfId="0"/>
    <cellStyle name="Accent1 126" xfId="0"/>
    <cellStyle name="Accent1 127" xfId="0"/>
    <cellStyle name="Accent1 128" xfId="0"/>
    <cellStyle name="Accent1 129" xfId="0"/>
    <cellStyle name="Accent1 13" xfId="0"/>
    <cellStyle name="Accent1 13 2" xfId="0"/>
    <cellStyle name="Accent1 13 2 2" xfId="0"/>
    <cellStyle name="Accent1 13 3" xfId="0"/>
    <cellStyle name="Accent1 13 4" xfId="0"/>
    <cellStyle name="Accent1 130" xfId="0"/>
    <cellStyle name="Accent1 131" xfId="0"/>
    <cellStyle name="Accent1 132" xfId="0"/>
    <cellStyle name="Accent1 133" xfId="0"/>
    <cellStyle name="Accent1 134" xfId="0"/>
    <cellStyle name="Accent1 135" xfId="0"/>
    <cellStyle name="Accent1 136" xfId="0"/>
    <cellStyle name="Accent1 137" xfId="0"/>
    <cellStyle name="Accent1 138" xfId="0"/>
    <cellStyle name="Accent1 139" xfId="0"/>
    <cellStyle name="Accent1 14" xfId="0"/>
    <cellStyle name="Accent1 14 2" xfId="0"/>
    <cellStyle name="Accent1 14 2 2" xfId="0"/>
    <cellStyle name="Accent1 14 3" xfId="0"/>
    <cellStyle name="Accent1 14 4" xfId="0"/>
    <cellStyle name="Accent1 140" xfId="0"/>
    <cellStyle name="Accent1 141" xfId="0"/>
    <cellStyle name="Accent1 142" xfId="0"/>
    <cellStyle name="Accent1 143" xfId="0"/>
    <cellStyle name="Accent1 144" xfId="0"/>
    <cellStyle name="Accent1 145" xfId="0"/>
    <cellStyle name="Accent1 146" xfId="0"/>
    <cellStyle name="Accent1 147" xfId="0"/>
    <cellStyle name="Accent1 148" xfId="0"/>
    <cellStyle name="Accent1 149" xfId="0"/>
    <cellStyle name="Accent1 15" xfId="0"/>
    <cellStyle name="Accent1 15 2" xfId="0"/>
    <cellStyle name="Accent1 15 2 2" xfId="0"/>
    <cellStyle name="Accent1 15 3" xfId="0"/>
    <cellStyle name="Accent1 15 4" xfId="0"/>
    <cellStyle name="Accent1 150" xfId="0"/>
    <cellStyle name="Accent1 151" xfId="0"/>
    <cellStyle name="Accent1 152" xfId="0"/>
    <cellStyle name="Accent1 153" xfId="0"/>
    <cellStyle name="Accent1 154" xfId="0"/>
    <cellStyle name="Accent1 155" xfId="0"/>
    <cellStyle name="Accent1 156" xfId="0"/>
    <cellStyle name="Accent1 157" xfId="0"/>
    <cellStyle name="Accent1 158" xfId="0"/>
    <cellStyle name="Accent1 159" xfId="0"/>
    <cellStyle name="Accent1 16" xfId="0"/>
    <cellStyle name="Accent1 16 2" xfId="0"/>
    <cellStyle name="Accent1 16 2 2" xfId="0"/>
    <cellStyle name="Accent1 16 3" xfId="0"/>
    <cellStyle name="Accent1 16 4" xfId="0"/>
    <cellStyle name="Accent1 160" xfId="0"/>
    <cellStyle name="Accent1 161" xfId="0"/>
    <cellStyle name="Accent1 162" xfId="0"/>
    <cellStyle name="Accent1 163" xfId="0"/>
    <cellStyle name="Accent1 164" xfId="0"/>
    <cellStyle name="Accent1 165" xfId="0"/>
    <cellStyle name="Accent1 166" xfId="0"/>
    <cellStyle name="Accent1 167" xfId="0"/>
    <cellStyle name="Accent1 168" xfId="0"/>
    <cellStyle name="Accent1 169" xfId="0"/>
    <cellStyle name="Accent1 17" xfId="0"/>
    <cellStyle name="Accent1 17 2" xfId="0"/>
    <cellStyle name="Accent1 17 2 2" xfId="0"/>
    <cellStyle name="Accent1 17 3" xfId="0"/>
    <cellStyle name="Accent1 17 4" xfId="0"/>
    <cellStyle name="Accent1 170" xfId="0"/>
    <cellStyle name="Accent1 171" xfId="0"/>
    <cellStyle name="Accent1 172" xfId="0"/>
    <cellStyle name="Accent1 173" xfId="0"/>
    <cellStyle name="Accent1 174" xfId="0"/>
    <cellStyle name="Accent1 175" xfId="0"/>
    <cellStyle name="Accent1 176" xfId="0"/>
    <cellStyle name="Accent1 177" xfId="0"/>
    <cellStyle name="Accent1 178" xfId="0"/>
    <cellStyle name="Accent1 179" xfId="0"/>
    <cellStyle name="Accent1 18" xfId="0"/>
    <cellStyle name="Accent1 18 2" xfId="0"/>
    <cellStyle name="Accent1 18 2 2" xfId="0"/>
    <cellStyle name="Accent1 18 3" xfId="0"/>
    <cellStyle name="Accent1 18 4" xfId="0"/>
    <cellStyle name="Accent1 180" xfId="0"/>
    <cellStyle name="Accent1 181" xfId="0"/>
    <cellStyle name="Accent1 182" xfId="0"/>
    <cellStyle name="Accent1 183" xfId="0"/>
    <cellStyle name="Accent1 184" xfId="0"/>
    <cellStyle name="Accent1 185" xfId="0"/>
    <cellStyle name="Accent1 186" xfId="0"/>
    <cellStyle name="Accent1 187" xfId="0"/>
    <cellStyle name="Accent1 188" xfId="0"/>
    <cellStyle name="Accent1 189" xfId="0"/>
    <cellStyle name="Accent1 19" xfId="0"/>
    <cellStyle name="Accent1 19 2" xfId="0"/>
    <cellStyle name="Accent1 19 2 2" xfId="0"/>
    <cellStyle name="Accent1 19 3" xfId="0"/>
    <cellStyle name="Accent1 19 4" xfId="0"/>
    <cellStyle name="Accent1 190" xfId="0"/>
    <cellStyle name="Accent1 191" xfId="0"/>
    <cellStyle name="Accent1 192" xfId="0"/>
    <cellStyle name="Accent1 193" xfId="0"/>
    <cellStyle name="Accent1 194" xfId="0"/>
    <cellStyle name="Accent1 195" xfId="0"/>
    <cellStyle name="Accent1 196" xfId="0"/>
    <cellStyle name="Accent1 197" xfId="0"/>
    <cellStyle name="Accent1 198" xfId="0"/>
    <cellStyle name="Accent1 199" xfId="0"/>
    <cellStyle name="Accent1 2" xfId="0"/>
    <cellStyle name="Accent1 2 2" xfId="0"/>
    <cellStyle name="Accent1 2 2 2" xfId="0"/>
    <cellStyle name="Accent1 2 2 2 2" xfId="0"/>
    <cellStyle name="Accent1 2 2 3" xfId="0"/>
    <cellStyle name="Accent1 2 3" xfId="0"/>
    <cellStyle name="Accent1 2 3 2" xfId="0"/>
    <cellStyle name="Accent1 2 3 3" xfId="0"/>
    <cellStyle name="Accent1 2 4" xfId="0"/>
    <cellStyle name="Accent1 2 4 2" xfId="0"/>
    <cellStyle name="Accent1 2 4 3" xfId="0"/>
    <cellStyle name="Accent1 2 5" xfId="0"/>
    <cellStyle name="Accent1 2 5 2" xfId="0"/>
    <cellStyle name="Accent1 2 6" xfId="0"/>
    <cellStyle name="Accent1 2 7" xfId="0"/>
    <cellStyle name="Accent1 2 8" xfId="0"/>
    <cellStyle name="Accent1 2 9" xfId="0"/>
    <cellStyle name="Accent1 20" xfId="0"/>
    <cellStyle name="Accent1 20 2" xfId="0"/>
    <cellStyle name="Accent1 20 2 2" xfId="0"/>
    <cellStyle name="Accent1 20 3" xfId="0"/>
    <cellStyle name="Accent1 20 4" xfId="0"/>
    <cellStyle name="Accent1 200" xfId="0"/>
    <cellStyle name="Accent1 201" xfId="0"/>
    <cellStyle name="Accent1 202" xfId="0"/>
    <cellStyle name="Accent1 203" xfId="0"/>
    <cellStyle name="Accent1 204" xfId="0"/>
    <cellStyle name="Accent1 205" xfId="0"/>
    <cellStyle name="Accent1 206" xfId="0"/>
    <cellStyle name="Accent1 207" xfId="0"/>
    <cellStyle name="Accent1 208" xfId="0"/>
    <cellStyle name="Accent1 209" xfId="0"/>
    <cellStyle name="Accent1 21" xfId="0"/>
    <cellStyle name="Accent1 21 2" xfId="0"/>
    <cellStyle name="Accent1 21 2 2" xfId="0"/>
    <cellStyle name="Accent1 21 3" xfId="0"/>
    <cellStyle name="Accent1 210" xfId="0"/>
    <cellStyle name="Accent1 211" xfId="0"/>
    <cellStyle name="Accent1 212" xfId="0"/>
    <cellStyle name="Accent1 213" xfId="0"/>
    <cellStyle name="Accent1 214" xfId="0"/>
    <cellStyle name="Accent1 215" xfId="0"/>
    <cellStyle name="Accent1 216" xfId="0"/>
    <cellStyle name="Accent1 217" xfId="0"/>
    <cellStyle name="Accent1 218" xfId="0"/>
    <cellStyle name="Accent1 219" xfId="0"/>
    <cellStyle name="Accent1 22" xfId="0"/>
    <cellStyle name="Accent1 22 2" xfId="0"/>
    <cellStyle name="Accent1 22 2 2" xfId="0"/>
    <cellStyle name="Accent1 22 3" xfId="0"/>
    <cellStyle name="Accent1 220" xfId="0"/>
    <cellStyle name="Accent1 221" xfId="0"/>
    <cellStyle name="Accent1 222" xfId="0"/>
    <cellStyle name="Accent1 223" xfId="0"/>
    <cellStyle name="Accent1 224" xfId="0"/>
    <cellStyle name="Accent1 225" xfId="0"/>
    <cellStyle name="Accent1 226" xfId="0"/>
    <cellStyle name="Accent1 227" xfId="0"/>
    <cellStyle name="Accent1 228" xfId="0"/>
    <cellStyle name="Accent1 229" xfId="0"/>
    <cellStyle name="Accent1 23" xfId="0"/>
    <cellStyle name="Accent1 23 2" xfId="0"/>
    <cellStyle name="Accent1 23 2 2" xfId="0"/>
    <cellStyle name="Accent1 23 3" xfId="0"/>
    <cellStyle name="Accent1 230" xfId="0"/>
    <cellStyle name="Accent1 231" xfId="0"/>
    <cellStyle name="Accent1 232" xfId="0"/>
    <cellStyle name="Accent1 233" xfId="0"/>
    <cellStyle name="Accent1 234" xfId="0"/>
    <cellStyle name="Accent1 235" xfId="0"/>
    <cellStyle name="Accent1 236" xfId="0"/>
    <cellStyle name="Accent1 237" xfId="0"/>
    <cellStyle name="Accent1 238" xfId="0"/>
    <cellStyle name="Accent1 239" xfId="0"/>
    <cellStyle name="Accent1 24" xfId="0"/>
    <cellStyle name="Accent1 24 2" xfId="0"/>
    <cellStyle name="Accent1 24 2 2" xfId="0"/>
    <cellStyle name="Accent1 240" xfId="0"/>
    <cellStyle name="Accent1 241" xfId="0"/>
    <cellStyle name="Accent1 242" xfId="0"/>
    <cellStyle name="Accent1 243" xfId="0"/>
    <cellStyle name="Accent1 244" xfId="0"/>
    <cellStyle name="Accent1 245" xfId="0"/>
    <cellStyle name="Accent1 246" xfId="0"/>
    <cellStyle name="Accent1 247" xfId="0"/>
    <cellStyle name="Accent1 248" xfId="0"/>
    <cellStyle name="Accent1 249" xfId="0"/>
    <cellStyle name="Accent1 25" xfId="0"/>
    <cellStyle name="Accent1 25 2" xfId="0"/>
    <cellStyle name="Accent1 25 2 2" xfId="0"/>
    <cellStyle name="Accent1 250" xfId="0"/>
    <cellStyle name="Accent1 251" xfId="0"/>
    <cellStyle name="Accent1 252" xfId="0"/>
    <cellStyle name="Accent1 253" xfId="0"/>
    <cellStyle name="Accent1 254" xfId="0"/>
    <cellStyle name="Accent1 255" xfId="0"/>
    <cellStyle name="Accent1 256" xfId="0"/>
    <cellStyle name="Accent1 257" xfId="0"/>
    <cellStyle name="Accent1 258" xfId="0"/>
    <cellStyle name="Accent1 259" xfId="0"/>
    <cellStyle name="Accent1 26" xfId="0"/>
    <cellStyle name="Accent1 26 2" xfId="0"/>
    <cellStyle name="Accent1 26 2 2" xfId="0"/>
    <cellStyle name="Accent1 26 3" xfId="0"/>
    <cellStyle name="Accent1 260" xfId="0"/>
    <cellStyle name="Accent1 261" xfId="0"/>
    <cellStyle name="Accent1 262" xfId="0"/>
    <cellStyle name="Accent1 263" xfId="0"/>
    <cellStyle name="Accent1 264" xfId="0"/>
    <cellStyle name="Accent1 265" xfId="0"/>
    <cellStyle name="Accent1 266" xfId="0"/>
    <cellStyle name="Accent1 267" xfId="0"/>
    <cellStyle name="Accent1 268" xfId="0"/>
    <cellStyle name="Accent1 269" xfId="0"/>
    <cellStyle name="Accent1 27" xfId="0"/>
    <cellStyle name="Accent1 27 2" xfId="0"/>
    <cellStyle name="Accent1 27 2 2" xfId="0"/>
    <cellStyle name="Accent1 27 3" xfId="0"/>
    <cellStyle name="Accent1 270" xfId="0"/>
    <cellStyle name="Accent1 271" xfId="0"/>
    <cellStyle name="Accent1 272" xfId="0"/>
    <cellStyle name="Accent1 273" xfId="0"/>
    <cellStyle name="Accent1 274" xfId="0"/>
    <cellStyle name="Accent1 275" xfId="0"/>
    <cellStyle name="Accent1 28" xfId="0"/>
    <cellStyle name="Accent1 28 2" xfId="0"/>
    <cellStyle name="Accent1 28 2 2" xfId="0"/>
    <cellStyle name="Accent1 28 3" xfId="0"/>
    <cellStyle name="Accent1 29" xfId="0"/>
    <cellStyle name="Accent1 29 2" xfId="0"/>
    <cellStyle name="Accent1 29 2 2" xfId="0"/>
    <cellStyle name="Accent1 29 3" xfId="0"/>
    <cellStyle name="Accent1 2_Market Fresh Cost" xfId="0"/>
    <cellStyle name="Accent1 3" xfId="0"/>
    <cellStyle name="Accent1 3 2" xfId="0"/>
    <cellStyle name="Accent1 3 2 2" xfId="0"/>
    <cellStyle name="Accent1 3 2 3" xfId="0"/>
    <cellStyle name="Accent1 3 3" xfId="0"/>
    <cellStyle name="Accent1 3 3 2" xfId="0"/>
    <cellStyle name="Accent1 3 3 3" xfId="0"/>
    <cellStyle name="Accent1 3 4" xfId="0"/>
    <cellStyle name="Accent1 3 4 2" xfId="0"/>
    <cellStyle name="Accent1 3 5" xfId="0"/>
    <cellStyle name="Accent1 3 5 2" xfId="0"/>
    <cellStyle name="Accent1 3 6" xfId="0"/>
    <cellStyle name="Accent1 3 7" xfId="0"/>
    <cellStyle name="Accent1 3 8" xfId="0"/>
    <cellStyle name="Accent1 3 9" xfId="0"/>
    <cellStyle name="Accent1 30" xfId="0"/>
    <cellStyle name="Accent1 30 2" xfId="0"/>
    <cellStyle name="Accent1 30 2 2" xfId="0"/>
    <cellStyle name="Accent1 30 3" xfId="0"/>
    <cellStyle name="Accent1 31" xfId="0"/>
    <cellStyle name="Accent1 31 2" xfId="0"/>
    <cellStyle name="Accent1 31 2 2" xfId="0"/>
    <cellStyle name="Accent1 31 3" xfId="0"/>
    <cellStyle name="Accent1 32" xfId="0"/>
    <cellStyle name="Accent1 32 2" xfId="0"/>
    <cellStyle name="Accent1 32 2 2" xfId="0"/>
    <cellStyle name="Accent1 32 3" xfId="0"/>
    <cellStyle name="Accent1 33" xfId="0"/>
    <cellStyle name="Accent1 33 2" xfId="0"/>
    <cellStyle name="Accent1 33 2 2" xfId="0"/>
    <cellStyle name="Accent1 33 3" xfId="0"/>
    <cellStyle name="Accent1 34" xfId="0"/>
    <cellStyle name="Accent1 34 2" xfId="0"/>
    <cellStyle name="Accent1 34 2 2" xfId="0"/>
    <cellStyle name="Accent1 34 3" xfId="0"/>
    <cellStyle name="Accent1 35" xfId="0"/>
    <cellStyle name="Accent1 35 2" xfId="0"/>
    <cellStyle name="Accent1 35 2 2" xfId="0"/>
    <cellStyle name="Accent1 35 3" xfId="0"/>
    <cellStyle name="Accent1 36" xfId="0"/>
    <cellStyle name="Accent1 36 2" xfId="0"/>
    <cellStyle name="Accent1 36 3" xfId="0"/>
    <cellStyle name="Accent1 37" xfId="0"/>
    <cellStyle name="Accent1 37 2" xfId="0"/>
    <cellStyle name="Accent1 37 3" xfId="0"/>
    <cellStyle name="Accent1 38" xfId="0"/>
    <cellStyle name="Accent1 38 2" xfId="0"/>
    <cellStyle name="Accent1 38 3" xfId="0"/>
    <cellStyle name="Accent1 39" xfId="0"/>
    <cellStyle name="Accent1 39 2" xfId="0"/>
    <cellStyle name="Accent1 39 3" xfId="0"/>
    <cellStyle name="Accent1 3_Profitability Detail NT$ Sep-12" xfId="0"/>
    <cellStyle name="Accent1 4" xfId="0"/>
    <cellStyle name="Accent1 4 2" xfId="0"/>
    <cellStyle name="Accent1 4 2 2" xfId="0"/>
    <cellStyle name="Accent1 4 2 3" xfId="0"/>
    <cellStyle name="Accent1 4 3" xfId="0"/>
    <cellStyle name="Accent1 4 3 2" xfId="0"/>
    <cellStyle name="Accent1 4 3 3" xfId="0"/>
    <cellStyle name="Accent1 4 4" xfId="0"/>
    <cellStyle name="Accent1 4 4 2" xfId="0"/>
    <cellStyle name="Accent1 4 5" xfId="0"/>
    <cellStyle name="Accent1 4 5 2" xfId="0"/>
    <cellStyle name="Accent1 4 6" xfId="0"/>
    <cellStyle name="Accent1 4 7" xfId="0"/>
    <cellStyle name="Accent1 4 8" xfId="0"/>
    <cellStyle name="Accent1 4 9" xfId="0"/>
    <cellStyle name="Accent1 40" xfId="0"/>
    <cellStyle name="Accent1 40 2" xfId="0"/>
    <cellStyle name="Accent1 40 3" xfId="0"/>
    <cellStyle name="Accent1 41" xfId="0"/>
    <cellStyle name="Accent1 41 2" xfId="0"/>
    <cellStyle name="Accent1 41 3" xfId="0"/>
    <cellStyle name="Accent1 42" xfId="0"/>
    <cellStyle name="Accent1 42 2" xfId="0"/>
    <cellStyle name="Accent1 42 3" xfId="0"/>
    <cellStyle name="Accent1 43" xfId="0"/>
    <cellStyle name="Accent1 43 2" xfId="0"/>
    <cellStyle name="Accent1 43 3" xfId="0"/>
    <cellStyle name="Accent1 44" xfId="0"/>
    <cellStyle name="Accent1 44 2" xfId="0"/>
    <cellStyle name="Accent1 45" xfId="0"/>
    <cellStyle name="Accent1 45 2" xfId="0"/>
    <cellStyle name="Accent1 46" xfId="0"/>
    <cellStyle name="Accent1 46 2" xfId="0"/>
    <cellStyle name="Accent1 47" xfId="0"/>
    <cellStyle name="Accent1 47 2" xfId="0"/>
    <cellStyle name="Accent1 48" xfId="0"/>
    <cellStyle name="Accent1 48 2" xfId="0"/>
    <cellStyle name="Accent1 49" xfId="0"/>
    <cellStyle name="Accent1 49 2" xfId="0"/>
    <cellStyle name="Accent1 4_Profitability Detail NT$ Sep-12" xfId="0"/>
    <cellStyle name="Accent1 5" xfId="0"/>
    <cellStyle name="Accent1 5 2" xfId="0"/>
    <cellStyle name="Accent1 5 3" xfId="0"/>
    <cellStyle name="Accent1 5 3 2" xfId="0"/>
    <cellStyle name="Accent1 5 4" xfId="0"/>
    <cellStyle name="Accent1 5 5" xfId="0"/>
    <cellStyle name="Accent1 50" xfId="0"/>
    <cellStyle name="Accent1 50 2" xfId="0"/>
    <cellStyle name="Accent1 51" xfId="0"/>
    <cellStyle name="Accent1 51 2" xfId="0"/>
    <cellStyle name="Accent1 52" xfId="0"/>
    <cellStyle name="Accent1 52 2" xfId="0"/>
    <cellStyle name="Accent1 53" xfId="0"/>
    <cellStyle name="Accent1 53 2" xfId="0"/>
    <cellStyle name="Accent1 54" xfId="0"/>
    <cellStyle name="Accent1 54 2" xfId="0"/>
    <cellStyle name="Accent1 55" xfId="0"/>
    <cellStyle name="Accent1 56" xfId="0"/>
    <cellStyle name="Accent1 56 2" xfId="0"/>
    <cellStyle name="Accent1 57" xfId="0"/>
    <cellStyle name="Accent1 57 2" xfId="0"/>
    <cellStyle name="Accent1 58" xfId="0"/>
    <cellStyle name="Accent1 58 2" xfId="0"/>
    <cellStyle name="Accent1 59" xfId="0"/>
    <cellStyle name="Accent1 59 2" xfId="0"/>
    <cellStyle name="Accent1 6" xfId="0"/>
    <cellStyle name="Accent1 6 2" xfId="0"/>
    <cellStyle name="Accent1 6 3" xfId="0"/>
    <cellStyle name="Accent1 6 3 2" xfId="0"/>
    <cellStyle name="Accent1 6 4" xfId="0"/>
    <cellStyle name="Accent1 6 5" xfId="0"/>
    <cellStyle name="Accent1 60" xfId="0"/>
    <cellStyle name="Accent1 60 2" xfId="0"/>
    <cellStyle name="Accent1 61" xfId="0"/>
    <cellStyle name="Accent1 61 2" xfId="0"/>
    <cellStyle name="Accent1 62" xfId="0"/>
    <cellStyle name="Accent1 62 2" xfId="0"/>
    <cellStyle name="Accent1 63" xfId="0"/>
    <cellStyle name="Accent1 63 2" xfId="0"/>
    <cellStyle name="Accent1 64" xfId="0"/>
    <cellStyle name="Accent1 64 2" xfId="0"/>
    <cellStyle name="Accent1 65" xfId="0"/>
    <cellStyle name="Accent1 65 2" xfId="0"/>
    <cellStyle name="Accent1 66" xfId="0"/>
    <cellStyle name="Accent1 66 2" xfId="0"/>
    <cellStyle name="Accent1 67" xfId="0"/>
    <cellStyle name="Accent1 67 2" xfId="0"/>
    <cellStyle name="Accent1 68" xfId="0"/>
    <cellStyle name="Accent1 68 2" xfId="0"/>
    <cellStyle name="Accent1 69" xfId="0"/>
    <cellStyle name="Accent1 69 2" xfId="0"/>
    <cellStyle name="Accent1 7" xfId="0"/>
    <cellStyle name="Accent1 7 2" xfId="0"/>
    <cellStyle name="Accent1 7 3" xfId="0"/>
    <cellStyle name="Accent1 7 3 2" xfId="0"/>
    <cellStyle name="Accent1 7 4" xfId="0"/>
    <cellStyle name="Accent1 7 5" xfId="0"/>
    <cellStyle name="Accent1 70" xfId="0"/>
    <cellStyle name="Accent1 70 2" xfId="0"/>
    <cellStyle name="Accent1 71" xfId="0"/>
    <cellStyle name="Accent1 71 2" xfId="0"/>
    <cellStyle name="Accent1 72" xfId="0"/>
    <cellStyle name="Accent1 72 2" xfId="0"/>
    <cellStyle name="Accent1 73" xfId="0"/>
    <cellStyle name="Accent1 74" xfId="0"/>
    <cellStyle name="Accent1 75" xfId="0"/>
    <cellStyle name="Accent1 76" xfId="0"/>
    <cellStyle name="Accent1 77" xfId="0"/>
    <cellStyle name="Accent1 78" xfId="0"/>
    <cellStyle name="Accent1 79" xfId="0"/>
    <cellStyle name="Accent1 8" xfId="0"/>
    <cellStyle name="Accent1 8 2" xfId="0"/>
    <cellStyle name="Accent1 8 3" xfId="0"/>
    <cellStyle name="Accent1 8 3 2" xfId="0"/>
    <cellStyle name="Accent1 8 4" xfId="0"/>
    <cellStyle name="Accent1 8 5" xfId="0"/>
    <cellStyle name="Accent1 80" xfId="0"/>
    <cellStyle name="Accent1 81" xfId="0"/>
    <cellStyle name="Accent1 82" xfId="0"/>
    <cellStyle name="Accent1 83" xfId="0"/>
    <cellStyle name="Accent1 84" xfId="0"/>
    <cellStyle name="Accent1 85" xfId="0"/>
    <cellStyle name="Accent1 86" xfId="0"/>
    <cellStyle name="Accent1 87" xfId="0"/>
    <cellStyle name="Accent1 88" xfId="0"/>
    <cellStyle name="Accent1 89" xfId="0"/>
    <cellStyle name="Accent1 9" xfId="0"/>
    <cellStyle name="Accent1 9 2" xfId="0"/>
    <cellStyle name="Accent1 9 2 2" xfId="0"/>
    <cellStyle name="Accent1 9 3" xfId="0"/>
    <cellStyle name="Accent1 9 4" xfId="0"/>
    <cellStyle name="Accent1 90" xfId="0"/>
    <cellStyle name="Accent1 91" xfId="0"/>
    <cellStyle name="Accent1 92" xfId="0"/>
    <cellStyle name="Accent1 93" xfId="0"/>
    <cellStyle name="Accent1 94" xfId="0"/>
    <cellStyle name="Accent1 95" xfId="0"/>
    <cellStyle name="Accent1 96" xfId="0"/>
    <cellStyle name="Accent1 97" xfId="0"/>
    <cellStyle name="Accent1 98" xfId="0"/>
    <cellStyle name="Accent1 99" xfId="0"/>
    <cellStyle name="Accent1_13-wk VSA_Revised" xfId="0"/>
    <cellStyle name="Accent2" xfId="0"/>
    <cellStyle name="Accent2 - 20%" xfId="0"/>
    <cellStyle name="Accent2 - 20% 2" xfId="0"/>
    <cellStyle name="Accent2 - 20% 2 2" xfId="0"/>
    <cellStyle name="Accent2 - 20% 2_Market Fresh Cost" xfId="0"/>
    <cellStyle name="Accent2 - 20% 3" xfId="0"/>
    <cellStyle name="Accent2 - 20% 3 2" xfId="0"/>
    <cellStyle name="Accent2 - 20% 4" xfId="0"/>
    <cellStyle name="Accent2 - 20% 5" xfId="0"/>
    <cellStyle name="Accent2 - 20% 6" xfId="0"/>
    <cellStyle name="Accent2 - 20% 7" xfId="0"/>
    <cellStyle name="Accent2 - 20%_Market Fresh Cost" xfId="0"/>
    <cellStyle name="Accent2 - 40%" xfId="0"/>
    <cellStyle name="Accent2 - 40% 2" xfId="0"/>
    <cellStyle name="Accent2 - 40% 2 2" xfId="0"/>
    <cellStyle name="Accent2 - 40% 2_Market Fresh Cost" xfId="0"/>
    <cellStyle name="Accent2 - 40% 3" xfId="0"/>
    <cellStyle name="Accent2 - 40% 3 2" xfId="0"/>
    <cellStyle name="Accent2 - 40% 4" xfId="0"/>
    <cellStyle name="Accent2 - 40% 5" xfId="0"/>
    <cellStyle name="Accent2 - 40% 6" xfId="0"/>
    <cellStyle name="Accent2 - 40% 7" xfId="0"/>
    <cellStyle name="Accent2 - 40%_Market Fresh Cost" xfId="0"/>
    <cellStyle name="Accent2 - 60%" xfId="0"/>
    <cellStyle name="Accent2 - 60% 2" xfId="0"/>
    <cellStyle name="Accent2 - 60% 2 2" xfId="0"/>
    <cellStyle name="Accent2 - 60% 2_Market Fresh Cost" xfId="0"/>
    <cellStyle name="Accent2 - 60% 3" xfId="0"/>
    <cellStyle name="Accent2 - 60% 3 2" xfId="0"/>
    <cellStyle name="Accent2 - 60% 4" xfId="0"/>
    <cellStyle name="Accent2 - 60% 5" xfId="0"/>
    <cellStyle name="Accent2 - 60% 6" xfId="0"/>
    <cellStyle name="Accent2 - 60% 7" xfId="0"/>
    <cellStyle name="Accent2 - 60% 8" xfId="0"/>
    <cellStyle name="Accent2 - 60%_LCD" xfId="0"/>
    <cellStyle name="Accent2 10" xfId="0"/>
    <cellStyle name="Accent2 10 2" xfId="0"/>
    <cellStyle name="Accent2 10 2 2" xfId="0"/>
    <cellStyle name="Accent2 10 3" xfId="0"/>
    <cellStyle name="Accent2 10 4" xfId="0"/>
    <cellStyle name="Accent2 100" xfId="0"/>
    <cellStyle name="Accent2 101" xfId="0"/>
    <cellStyle name="Accent2 102" xfId="0"/>
    <cellStyle name="Accent2 103" xfId="0"/>
    <cellStyle name="Accent2 104" xfId="0"/>
    <cellStyle name="Accent2 105" xfId="0"/>
    <cellStyle name="Accent2 106" xfId="0"/>
    <cellStyle name="Accent2 107" xfId="0"/>
    <cellStyle name="Accent2 108" xfId="0"/>
    <cellStyle name="Accent2 109" xfId="0"/>
    <cellStyle name="Accent2 11" xfId="0"/>
    <cellStyle name="Accent2 11 2" xfId="0"/>
    <cellStyle name="Accent2 11 2 2" xfId="0"/>
    <cellStyle name="Accent2 11 3" xfId="0"/>
    <cellStyle name="Accent2 11 4" xfId="0"/>
    <cellStyle name="Accent2 110" xfId="0"/>
    <cellStyle name="Accent2 111" xfId="0"/>
    <cellStyle name="Accent2 112" xfId="0"/>
    <cellStyle name="Accent2 113" xfId="0"/>
    <cellStyle name="Accent2 114" xfId="0"/>
    <cellStyle name="Accent2 115" xfId="0"/>
    <cellStyle name="Accent2 116" xfId="0"/>
    <cellStyle name="Accent2 117" xfId="0"/>
    <cellStyle name="Accent2 118" xfId="0"/>
    <cellStyle name="Accent2 119" xfId="0"/>
    <cellStyle name="Accent2 12" xfId="0"/>
    <cellStyle name="Accent2 12 2" xfId="0"/>
    <cellStyle name="Accent2 12 2 2" xfId="0"/>
    <cellStyle name="Accent2 12 3" xfId="0"/>
    <cellStyle name="Accent2 12 4" xfId="0"/>
    <cellStyle name="Accent2 120" xfId="0"/>
    <cellStyle name="Accent2 121" xfId="0"/>
    <cellStyle name="Accent2 122" xfId="0"/>
    <cellStyle name="Accent2 123" xfId="0"/>
    <cellStyle name="Accent2 124" xfId="0"/>
    <cellStyle name="Accent2 125" xfId="0"/>
    <cellStyle name="Accent2 126" xfId="0"/>
    <cellStyle name="Accent2 127" xfId="0"/>
    <cellStyle name="Accent2 128" xfId="0"/>
    <cellStyle name="Accent2 129" xfId="0"/>
    <cellStyle name="Accent2 13" xfId="0"/>
    <cellStyle name="Accent2 13 2" xfId="0"/>
    <cellStyle name="Accent2 13 2 2" xfId="0"/>
    <cellStyle name="Accent2 13 3" xfId="0"/>
    <cellStyle name="Accent2 13 4" xfId="0"/>
    <cellStyle name="Accent2 130" xfId="0"/>
    <cellStyle name="Accent2 131" xfId="0"/>
    <cellStyle name="Accent2 132" xfId="0"/>
    <cellStyle name="Accent2 133" xfId="0"/>
    <cellStyle name="Accent2 134" xfId="0"/>
    <cellStyle name="Accent2 135" xfId="0"/>
    <cellStyle name="Accent2 136" xfId="0"/>
    <cellStyle name="Accent2 137" xfId="0"/>
    <cellStyle name="Accent2 138" xfId="0"/>
    <cellStyle name="Accent2 139" xfId="0"/>
    <cellStyle name="Accent2 14" xfId="0"/>
    <cellStyle name="Accent2 14 2" xfId="0"/>
    <cellStyle name="Accent2 14 2 2" xfId="0"/>
    <cellStyle name="Accent2 14 3" xfId="0"/>
    <cellStyle name="Accent2 14 4" xfId="0"/>
    <cellStyle name="Accent2 140" xfId="0"/>
    <cellStyle name="Accent2 141" xfId="0"/>
    <cellStyle name="Accent2 142" xfId="0"/>
    <cellStyle name="Accent2 143" xfId="0"/>
    <cellStyle name="Accent2 144" xfId="0"/>
    <cellStyle name="Accent2 145" xfId="0"/>
    <cellStyle name="Accent2 146" xfId="0"/>
    <cellStyle name="Accent2 147" xfId="0"/>
    <cellStyle name="Accent2 148" xfId="0"/>
    <cellStyle name="Accent2 149" xfId="0"/>
    <cellStyle name="Accent2 15" xfId="0"/>
    <cellStyle name="Accent2 15 2" xfId="0"/>
    <cellStyle name="Accent2 15 2 2" xfId="0"/>
    <cellStyle name="Accent2 15 3" xfId="0"/>
    <cellStyle name="Accent2 15 4" xfId="0"/>
    <cellStyle name="Accent2 150" xfId="0"/>
    <cellStyle name="Accent2 151" xfId="0"/>
    <cellStyle name="Accent2 152" xfId="0"/>
    <cellStyle name="Accent2 153" xfId="0"/>
    <cellStyle name="Accent2 154" xfId="0"/>
    <cellStyle name="Accent2 155" xfId="0"/>
    <cellStyle name="Accent2 156" xfId="0"/>
    <cellStyle name="Accent2 157" xfId="0"/>
    <cellStyle name="Accent2 158" xfId="0"/>
    <cellStyle name="Accent2 159" xfId="0"/>
    <cellStyle name="Accent2 16" xfId="0"/>
    <cellStyle name="Accent2 16 2" xfId="0"/>
    <cellStyle name="Accent2 16 2 2" xfId="0"/>
    <cellStyle name="Accent2 16 3" xfId="0"/>
    <cellStyle name="Accent2 16 4" xfId="0"/>
    <cellStyle name="Accent2 160" xfId="0"/>
    <cellStyle name="Accent2 161" xfId="0"/>
    <cellStyle name="Accent2 162" xfId="0"/>
    <cellStyle name="Accent2 163" xfId="0"/>
    <cellStyle name="Accent2 164" xfId="0"/>
    <cellStyle name="Accent2 165" xfId="0"/>
    <cellStyle name="Accent2 166" xfId="0"/>
    <cellStyle name="Accent2 167" xfId="0"/>
    <cellStyle name="Accent2 168" xfId="0"/>
    <cellStyle name="Accent2 169" xfId="0"/>
    <cellStyle name="Accent2 17" xfId="0"/>
    <cellStyle name="Accent2 17 2" xfId="0"/>
    <cellStyle name="Accent2 17 2 2" xfId="0"/>
    <cellStyle name="Accent2 17 3" xfId="0"/>
    <cellStyle name="Accent2 17 4" xfId="0"/>
    <cellStyle name="Accent2 170" xfId="0"/>
    <cellStyle name="Accent2 171" xfId="0"/>
    <cellStyle name="Accent2 172" xfId="0"/>
    <cellStyle name="Accent2 173" xfId="0"/>
    <cellStyle name="Accent2 174" xfId="0"/>
    <cellStyle name="Accent2 175" xfId="0"/>
    <cellStyle name="Accent2 176" xfId="0"/>
    <cellStyle name="Accent2 177" xfId="0"/>
    <cellStyle name="Accent2 178" xfId="0"/>
    <cellStyle name="Accent2 179" xfId="0"/>
    <cellStyle name="Accent2 18" xfId="0"/>
    <cellStyle name="Accent2 18 2" xfId="0"/>
    <cellStyle name="Accent2 18 2 2" xfId="0"/>
    <cellStyle name="Accent2 18 3" xfId="0"/>
    <cellStyle name="Accent2 18 4" xfId="0"/>
    <cellStyle name="Accent2 180" xfId="0"/>
    <cellStyle name="Accent2 181" xfId="0"/>
    <cellStyle name="Accent2 182" xfId="0"/>
    <cellStyle name="Accent2 183" xfId="0"/>
    <cellStyle name="Accent2 184" xfId="0"/>
    <cellStyle name="Accent2 185" xfId="0"/>
    <cellStyle name="Accent2 186" xfId="0"/>
    <cellStyle name="Accent2 187" xfId="0"/>
    <cellStyle name="Accent2 188" xfId="0"/>
    <cellStyle name="Accent2 189" xfId="0"/>
    <cellStyle name="Accent2 19" xfId="0"/>
    <cellStyle name="Accent2 19 2" xfId="0"/>
    <cellStyle name="Accent2 19 2 2" xfId="0"/>
    <cellStyle name="Accent2 19 3" xfId="0"/>
    <cellStyle name="Accent2 19 4" xfId="0"/>
    <cellStyle name="Accent2 190" xfId="0"/>
    <cellStyle name="Accent2 191" xfId="0"/>
    <cellStyle name="Accent2 192" xfId="0"/>
    <cellStyle name="Accent2 193" xfId="0"/>
    <cellStyle name="Accent2 194" xfId="0"/>
    <cellStyle name="Accent2 195" xfId="0"/>
    <cellStyle name="Accent2 196" xfId="0"/>
    <cellStyle name="Accent2 197" xfId="0"/>
    <cellStyle name="Accent2 198" xfId="0"/>
    <cellStyle name="Accent2 199" xfId="0"/>
    <cellStyle name="Accent2 2" xfId="0"/>
    <cellStyle name="Accent2 2 2" xfId="0"/>
    <cellStyle name="Accent2 2 2 2" xfId="0"/>
    <cellStyle name="Accent2 2 2 2 2" xfId="0"/>
    <cellStyle name="Accent2 2 2 3" xfId="0"/>
    <cellStyle name="Accent2 2 3" xfId="0"/>
    <cellStyle name="Accent2 2 3 2" xfId="0"/>
    <cellStyle name="Accent2 2 3 3" xfId="0"/>
    <cellStyle name="Accent2 2 4" xfId="0"/>
    <cellStyle name="Accent2 2 4 2" xfId="0"/>
    <cellStyle name="Accent2 2 5" xfId="0"/>
    <cellStyle name="Accent2 2 5 2" xfId="0"/>
    <cellStyle name="Accent2 2 6" xfId="0"/>
    <cellStyle name="Accent2 2 7" xfId="0"/>
    <cellStyle name="Accent2 2 8" xfId="0"/>
    <cellStyle name="Accent2 20" xfId="0"/>
    <cellStyle name="Accent2 20 2" xfId="0"/>
    <cellStyle name="Accent2 20 2 2" xfId="0"/>
    <cellStyle name="Accent2 20 3" xfId="0"/>
    <cellStyle name="Accent2 20 4" xfId="0"/>
    <cellStyle name="Accent2 200" xfId="0"/>
    <cellStyle name="Accent2 201" xfId="0"/>
    <cellStyle name="Accent2 202" xfId="0"/>
    <cellStyle name="Accent2 203" xfId="0"/>
    <cellStyle name="Accent2 204" xfId="0"/>
    <cellStyle name="Accent2 205" xfId="0"/>
    <cellStyle name="Accent2 206" xfId="0"/>
    <cellStyle name="Accent2 207" xfId="0"/>
    <cellStyle name="Accent2 208" xfId="0"/>
    <cellStyle name="Accent2 209" xfId="0"/>
    <cellStyle name="Accent2 21" xfId="0"/>
    <cellStyle name="Accent2 21 2" xfId="0"/>
    <cellStyle name="Accent2 21 2 2" xfId="0"/>
    <cellStyle name="Accent2 21 3" xfId="0"/>
    <cellStyle name="Accent2 210" xfId="0"/>
    <cellStyle name="Accent2 211" xfId="0"/>
    <cellStyle name="Accent2 212" xfId="0"/>
    <cellStyle name="Accent2 213" xfId="0"/>
    <cellStyle name="Accent2 214" xfId="0"/>
    <cellStyle name="Accent2 215" xfId="0"/>
    <cellStyle name="Accent2 216" xfId="0"/>
    <cellStyle name="Accent2 217" xfId="0"/>
    <cellStyle name="Accent2 218" xfId="0"/>
    <cellStyle name="Accent2 219" xfId="0"/>
    <cellStyle name="Accent2 22" xfId="0"/>
    <cellStyle name="Accent2 22 2" xfId="0"/>
    <cellStyle name="Accent2 22 2 2" xfId="0"/>
    <cellStyle name="Accent2 22 3" xfId="0"/>
    <cellStyle name="Accent2 220" xfId="0"/>
    <cellStyle name="Accent2 221" xfId="0"/>
    <cellStyle name="Accent2 222" xfId="0"/>
    <cellStyle name="Accent2 223" xfId="0"/>
    <cellStyle name="Accent2 224" xfId="0"/>
    <cellStyle name="Accent2 225" xfId="0"/>
    <cellStyle name="Accent2 226" xfId="0"/>
    <cellStyle name="Accent2 227" xfId="0"/>
    <cellStyle name="Accent2 228" xfId="0"/>
    <cellStyle name="Accent2 229" xfId="0"/>
    <cellStyle name="Accent2 23" xfId="0"/>
    <cellStyle name="Accent2 23 2" xfId="0"/>
    <cellStyle name="Accent2 23 2 2" xfId="0"/>
    <cellStyle name="Accent2 23 3" xfId="0"/>
    <cellStyle name="Accent2 230" xfId="0"/>
    <cellStyle name="Accent2 231" xfId="0"/>
    <cellStyle name="Accent2 232" xfId="0"/>
    <cellStyle name="Accent2 233" xfId="0"/>
    <cellStyle name="Accent2 234" xfId="0"/>
    <cellStyle name="Accent2 235" xfId="0"/>
    <cellStyle name="Accent2 236" xfId="0"/>
    <cellStyle name="Accent2 237" xfId="0"/>
    <cellStyle name="Accent2 238" xfId="0"/>
    <cellStyle name="Accent2 239" xfId="0"/>
    <cellStyle name="Accent2 24" xfId="0"/>
    <cellStyle name="Accent2 24 2" xfId="0"/>
    <cellStyle name="Accent2 24 2 2" xfId="0"/>
    <cellStyle name="Accent2 240" xfId="0"/>
    <cellStyle name="Accent2 241" xfId="0"/>
    <cellStyle name="Accent2 242" xfId="0"/>
    <cellStyle name="Accent2 243" xfId="0"/>
    <cellStyle name="Accent2 244" xfId="0"/>
    <cellStyle name="Accent2 245" xfId="0"/>
    <cellStyle name="Accent2 246" xfId="0"/>
    <cellStyle name="Accent2 247" xfId="0"/>
    <cellStyle name="Accent2 248" xfId="0"/>
    <cellStyle name="Accent2 249" xfId="0"/>
    <cellStyle name="Accent2 25" xfId="0"/>
    <cellStyle name="Accent2 25 2" xfId="0"/>
    <cellStyle name="Accent2 25 2 2" xfId="0"/>
    <cellStyle name="Accent2 250" xfId="0"/>
    <cellStyle name="Accent2 251" xfId="0"/>
    <cellStyle name="Accent2 252" xfId="0"/>
    <cellStyle name="Accent2 253" xfId="0"/>
    <cellStyle name="Accent2 254" xfId="0"/>
    <cellStyle name="Accent2 255" xfId="0"/>
    <cellStyle name="Accent2 256" xfId="0"/>
    <cellStyle name="Accent2 257" xfId="0"/>
    <cellStyle name="Accent2 258" xfId="0"/>
    <cellStyle name="Accent2 259" xfId="0"/>
    <cellStyle name="Accent2 26" xfId="0"/>
    <cellStyle name="Accent2 26 2" xfId="0"/>
    <cellStyle name="Accent2 26 2 2" xfId="0"/>
    <cellStyle name="Accent2 26 3" xfId="0"/>
    <cellStyle name="Accent2 260" xfId="0"/>
    <cellStyle name="Accent2 261" xfId="0"/>
    <cellStyle name="Accent2 262" xfId="0"/>
    <cellStyle name="Accent2 263" xfId="0"/>
    <cellStyle name="Accent2 264" xfId="0"/>
    <cellStyle name="Accent2 265" xfId="0"/>
    <cellStyle name="Accent2 266" xfId="0"/>
    <cellStyle name="Accent2 267" xfId="0"/>
    <cellStyle name="Accent2 268" xfId="0"/>
    <cellStyle name="Accent2 269" xfId="0"/>
    <cellStyle name="Accent2 27" xfId="0"/>
    <cellStyle name="Accent2 27 2" xfId="0"/>
    <cellStyle name="Accent2 27 2 2" xfId="0"/>
    <cellStyle name="Accent2 27 3" xfId="0"/>
    <cellStyle name="Accent2 270" xfId="0"/>
    <cellStyle name="Accent2 271" xfId="0"/>
    <cellStyle name="Accent2 272" xfId="0"/>
    <cellStyle name="Accent2 273" xfId="0"/>
    <cellStyle name="Accent2 274" xfId="0"/>
    <cellStyle name="Accent2 275" xfId="0"/>
    <cellStyle name="Accent2 28" xfId="0"/>
    <cellStyle name="Accent2 28 2" xfId="0"/>
    <cellStyle name="Accent2 28 2 2" xfId="0"/>
    <cellStyle name="Accent2 28 3" xfId="0"/>
    <cellStyle name="Accent2 29" xfId="0"/>
    <cellStyle name="Accent2 29 2" xfId="0"/>
    <cellStyle name="Accent2 29 2 2" xfId="0"/>
    <cellStyle name="Accent2 29 3" xfId="0"/>
    <cellStyle name="Accent2 2_Market Fresh Cost" xfId="0"/>
    <cellStyle name="Accent2 3" xfId="0"/>
    <cellStyle name="Accent2 3 2" xfId="0"/>
    <cellStyle name="Accent2 3 2 2" xfId="0"/>
    <cellStyle name="Accent2 3 2 3" xfId="0"/>
    <cellStyle name="Accent2 3 3" xfId="0"/>
    <cellStyle name="Accent2 3 3 2" xfId="0"/>
    <cellStyle name="Accent2 3 3 3" xfId="0"/>
    <cellStyle name="Accent2 3 4" xfId="0"/>
    <cellStyle name="Accent2 3 4 2" xfId="0"/>
    <cellStyle name="Accent2 3 5" xfId="0"/>
    <cellStyle name="Accent2 3 5 2" xfId="0"/>
    <cellStyle name="Accent2 3 6" xfId="0"/>
    <cellStyle name="Accent2 3 7" xfId="0"/>
    <cellStyle name="Accent2 3 8" xfId="0"/>
    <cellStyle name="Accent2 30" xfId="0"/>
    <cellStyle name="Accent2 30 2" xfId="0"/>
    <cellStyle name="Accent2 30 2 2" xfId="0"/>
    <cellStyle name="Accent2 30 3" xfId="0"/>
    <cellStyle name="Accent2 31" xfId="0"/>
    <cellStyle name="Accent2 31 2" xfId="0"/>
    <cellStyle name="Accent2 31 2 2" xfId="0"/>
    <cellStyle name="Accent2 31 3" xfId="0"/>
    <cellStyle name="Accent2 32" xfId="0"/>
    <cellStyle name="Accent2 32 2" xfId="0"/>
    <cellStyle name="Accent2 32 2 2" xfId="0"/>
    <cellStyle name="Accent2 32 3" xfId="0"/>
    <cellStyle name="Accent2 33" xfId="0"/>
    <cellStyle name="Accent2 33 2" xfId="0"/>
    <cellStyle name="Accent2 33 2 2" xfId="0"/>
    <cellStyle name="Accent2 33 3" xfId="0"/>
    <cellStyle name="Accent2 34" xfId="0"/>
    <cellStyle name="Accent2 34 2" xfId="0"/>
    <cellStyle name="Accent2 34 2 2" xfId="0"/>
    <cellStyle name="Accent2 34 3" xfId="0"/>
    <cellStyle name="Accent2 35" xfId="0"/>
    <cellStyle name="Accent2 35 2" xfId="0"/>
    <cellStyle name="Accent2 35 2 2" xfId="0"/>
    <cellStyle name="Accent2 35 3" xfId="0"/>
    <cellStyle name="Accent2 36" xfId="0"/>
    <cellStyle name="Accent2 36 2" xfId="0"/>
    <cellStyle name="Accent2 36 3" xfId="0"/>
    <cellStyle name="Accent2 37" xfId="0"/>
    <cellStyle name="Accent2 37 2" xfId="0"/>
    <cellStyle name="Accent2 37 3" xfId="0"/>
    <cellStyle name="Accent2 38" xfId="0"/>
    <cellStyle name="Accent2 38 2" xfId="0"/>
    <cellStyle name="Accent2 38 3" xfId="0"/>
    <cellStyle name="Accent2 39" xfId="0"/>
    <cellStyle name="Accent2 39 2" xfId="0"/>
    <cellStyle name="Accent2 39 3" xfId="0"/>
    <cellStyle name="Accent2 3_Profitability Detail NT$ Sep-12" xfId="0"/>
    <cellStyle name="Accent2 4" xfId="0"/>
    <cellStyle name="Accent2 4 2" xfId="0"/>
    <cellStyle name="Accent2 4 2 2" xfId="0"/>
    <cellStyle name="Accent2 4 2 3" xfId="0"/>
    <cellStyle name="Accent2 4 3" xfId="0"/>
    <cellStyle name="Accent2 4 3 2" xfId="0"/>
    <cellStyle name="Accent2 4 3 3" xfId="0"/>
    <cellStyle name="Accent2 4 4" xfId="0"/>
    <cellStyle name="Accent2 4 4 2" xfId="0"/>
    <cellStyle name="Accent2 4 5" xfId="0"/>
    <cellStyle name="Accent2 4 5 2" xfId="0"/>
    <cellStyle name="Accent2 4 6" xfId="0"/>
    <cellStyle name="Accent2 4 7" xfId="0"/>
    <cellStyle name="Accent2 4 8" xfId="0"/>
    <cellStyle name="Accent2 40" xfId="0"/>
    <cellStyle name="Accent2 40 2" xfId="0"/>
    <cellStyle name="Accent2 40 3" xfId="0"/>
    <cellStyle name="Accent2 41" xfId="0"/>
    <cellStyle name="Accent2 41 2" xfId="0"/>
    <cellStyle name="Accent2 41 3" xfId="0"/>
    <cellStyle name="Accent2 42" xfId="0"/>
    <cellStyle name="Accent2 42 2" xfId="0"/>
    <cellStyle name="Accent2 42 3" xfId="0"/>
    <cellStyle name="Accent2 43" xfId="0"/>
    <cellStyle name="Accent2 43 2" xfId="0"/>
    <cellStyle name="Accent2 43 3" xfId="0"/>
    <cellStyle name="Accent2 44" xfId="0"/>
    <cellStyle name="Accent2 44 2" xfId="0"/>
    <cellStyle name="Accent2 45" xfId="0"/>
    <cellStyle name="Accent2 45 2" xfId="0"/>
    <cellStyle name="Accent2 46" xfId="0"/>
    <cellStyle name="Accent2 46 2" xfId="0"/>
    <cellStyle name="Accent2 47" xfId="0"/>
    <cellStyle name="Accent2 47 2" xfId="0"/>
    <cellStyle name="Accent2 48" xfId="0"/>
    <cellStyle name="Accent2 48 2" xfId="0"/>
    <cellStyle name="Accent2 49" xfId="0"/>
    <cellStyle name="Accent2 49 2" xfId="0"/>
    <cellStyle name="Accent2 4_Profitability Detail NT$ Sep-12" xfId="0"/>
    <cellStyle name="Accent2 5" xfId="0"/>
    <cellStyle name="Accent2 5 2" xfId="0"/>
    <cellStyle name="Accent2 5 3" xfId="0"/>
    <cellStyle name="Accent2 5 4" xfId="0"/>
    <cellStyle name="Accent2 50" xfId="0"/>
    <cellStyle name="Accent2 50 2" xfId="0"/>
    <cellStyle name="Accent2 51" xfId="0"/>
    <cellStyle name="Accent2 51 2" xfId="0"/>
    <cellStyle name="Accent2 52" xfId="0"/>
    <cellStyle name="Accent2 52 2" xfId="0"/>
    <cellStyle name="Accent2 53" xfId="0"/>
    <cellStyle name="Accent2 53 2" xfId="0"/>
    <cellStyle name="Accent2 54" xfId="0"/>
    <cellStyle name="Accent2 54 2" xfId="0"/>
    <cellStyle name="Accent2 55" xfId="0"/>
    <cellStyle name="Accent2 56" xfId="0"/>
    <cellStyle name="Accent2 56 2" xfId="0"/>
    <cellStyle name="Accent2 57" xfId="0"/>
    <cellStyle name="Accent2 57 2" xfId="0"/>
    <cellStyle name="Accent2 58" xfId="0"/>
    <cellStyle name="Accent2 58 2" xfId="0"/>
    <cellStyle name="Accent2 59" xfId="0"/>
    <cellStyle name="Accent2 59 2" xfId="0"/>
    <cellStyle name="Accent2 6" xfId="0"/>
    <cellStyle name="Accent2 6 2" xfId="0"/>
    <cellStyle name="Accent2 6 3" xfId="0"/>
    <cellStyle name="Accent2 6 4" xfId="0"/>
    <cellStyle name="Accent2 60" xfId="0"/>
    <cellStyle name="Accent2 60 2" xfId="0"/>
    <cellStyle name="Accent2 61" xfId="0"/>
    <cellStyle name="Accent2 61 2" xfId="0"/>
    <cellStyle name="Accent2 62" xfId="0"/>
    <cellStyle name="Accent2 62 2" xfId="0"/>
    <cellStyle name="Accent2 63" xfId="0"/>
    <cellStyle name="Accent2 63 2" xfId="0"/>
    <cellStyle name="Accent2 64" xfId="0"/>
    <cellStyle name="Accent2 64 2" xfId="0"/>
    <cellStyle name="Accent2 65" xfId="0"/>
    <cellStyle name="Accent2 65 2" xfId="0"/>
    <cellStyle name="Accent2 66" xfId="0"/>
    <cellStyle name="Accent2 66 2" xfId="0"/>
    <cellStyle name="Accent2 67" xfId="0"/>
    <cellStyle name="Accent2 67 2" xfId="0"/>
    <cellStyle name="Accent2 68" xfId="0"/>
    <cellStyle name="Accent2 68 2" xfId="0"/>
    <cellStyle name="Accent2 69" xfId="0"/>
    <cellStyle name="Accent2 69 2" xfId="0"/>
    <cellStyle name="Accent2 7" xfId="0"/>
    <cellStyle name="Accent2 7 2" xfId="0"/>
    <cellStyle name="Accent2 7 3" xfId="0"/>
    <cellStyle name="Accent2 7 4" xfId="0"/>
    <cellStyle name="Accent2 70" xfId="0"/>
    <cellStyle name="Accent2 70 2" xfId="0"/>
    <cellStyle name="Accent2 71" xfId="0"/>
    <cellStyle name="Accent2 71 2" xfId="0"/>
    <cellStyle name="Accent2 72" xfId="0"/>
    <cellStyle name="Accent2 72 2" xfId="0"/>
    <cellStyle name="Accent2 73" xfId="0"/>
    <cellStyle name="Accent2 74" xfId="0"/>
    <cellStyle name="Accent2 75" xfId="0"/>
    <cellStyle name="Accent2 76" xfId="0"/>
    <cellStyle name="Accent2 77" xfId="0"/>
    <cellStyle name="Accent2 78" xfId="0"/>
    <cellStyle name="Accent2 79" xfId="0"/>
    <cellStyle name="Accent2 8" xfId="0"/>
    <cellStyle name="Accent2 8 2" xfId="0"/>
    <cellStyle name="Accent2 8 3" xfId="0"/>
    <cellStyle name="Accent2 8 4" xfId="0"/>
    <cellStyle name="Accent2 80" xfId="0"/>
    <cellStyle name="Accent2 81" xfId="0"/>
    <cellStyle name="Accent2 82" xfId="0"/>
    <cellStyle name="Accent2 83" xfId="0"/>
    <cellStyle name="Accent2 84" xfId="0"/>
    <cellStyle name="Accent2 85" xfId="0"/>
    <cellStyle name="Accent2 86" xfId="0"/>
    <cellStyle name="Accent2 87" xfId="0"/>
    <cellStyle name="Accent2 88" xfId="0"/>
    <cellStyle name="Accent2 89" xfId="0"/>
    <cellStyle name="Accent2 9" xfId="0"/>
    <cellStyle name="Accent2 9 2" xfId="0"/>
    <cellStyle name="Accent2 9 2 2" xfId="0"/>
    <cellStyle name="Accent2 9 3" xfId="0"/>
    <cellStyle name="Accent2 9 4" xfId="0"/>
    <cellStyle name="Accent2 90" xfId="0"/>
    <cellStyle name="Accent2 91" xfId="0"/>
    <cellStyle name="Accent2 92" xfId="0"/>
    <cellStyle name="Accent2 93" xfId="0"/>
    <cellStyle name="Accent2 94" xfId="0"/>
    <cellStyle name="Accent2 95" xfId="0"/>
    <cellStyle name="Accent2 96" xfId="0"/>
    <cellStyle name="Accent2 97" xfId="0"/>
    <cellStyle name="Accent2 98" xfId="0"/>
    <cellStyle name="Accent2 99" xfId="0"/>
    <cellStyle name="Accent2_13-wk VSA_Revised" xfId="0"/>
    <cellStyle name="Accent3" xfId="0"/>
    <cellStyle name="Accent3 - 20%" xfId="0"/>
    <cellStyle name="Accent3 - 20% 2" xfId="0"/>
    <cellStyle name="Accent3 - 20% 2 2" xfId="0"/>
    <cellStyle name="Accent3 - 20% 2 2 2" xfId="0"/>
    <cellStyle name="Accent3 - 20% 2_Market Fresh Cost" xfId="0"/>
    <cellStyle name="Accent3 - 20% 3" xfId="0"/>
    <cellStyle name="Accent3 - 20% 3 2" xfId="0"/>
    <cellStyle name="Accent3 - 20% 4" xfId="0"/>
    <cellStyle name="Accent3 - 20% 4 2" xfId="0"/>
    <cellStyle name="Accent3 - 20% 5" xfId="0"/>
    <cellStyle name="Accent3 - 20% 6" xfId="0"/>
    <cellStyle name="Accent3 - 20% 7" xfId="0"/>
    <cellStyle name="Accent3 - 20%_Market Fresh Cost" xfId="0"/>
    <cellStyle name="Accent3 - 40%" xfId="0"/>
    <cellStyle name="Accent3 - 40% 2" xfId="0"/>
    <cellStyle name="Accent3 - 40% 2 2" xfId="0"/>
    <cellStyle name="Accent3 - 40% 2_Market Fresh Cost" xfId="0"/>
    <cellStyle name="Accent3 - 40% 3" xfId="0"/>
    <cellStyle name="Accent3 - 40% 3 2" xfId="0"/>
    <cellStyle name="Accent3 - 40% 4" xfId="0"/>
    <cellStyle name="Accent3 - 40% 5" xfId="0"/>
    <cellStyle name="Accent3 - 40% 6" xfId="0"/>
    <cellStyle name="Accent3 - 40% 7" xfId="0"/>
    <cellStyle name="Accent3 - 40%_Market Fresh Cost" xfId="0"/>
    <cellStyle name="Accent3 - 60%" xfId="0"/>
    <cellStyle name="Accent3 - 60% 2" xfId="0"/>
    <cellStyle name="Accent3 - 60% 2 2" xfId="0"/>
    <cellStyle name="Accent3 - 60% 2_Market Fresh Cost" xfId="0"/>
    <cellStyle name="Accent3 - 60% 3" xfId="0"/>
    <cellStyle name="Accent3 - 60% 3 2" xfId="0"/>
    <cellStyle name="Accent3 - 60% 4" xfId="0"/>
    <cellStyle name="Accent3 - 60% 5" xfId="0"/>
    <cellStyle name="Accent3 - 60% 6" xfId="0"/>
    <cellStyle name="Accent3 - 60% 7" xfId="0"/>
    <cellStyle name="Accent3 - 60% 8" xfId="0"/>
    <cellStyle name="Accent3 - 60%_LCD" xfId="0"/>
    <cellStyle name="Accent3 10" xfId="0"/>
    <cellStyle name="Accent3 10 2" xfId="0"/>
    <cellStyle name="Accent3 10 2 2" xfId="0"/>
    <cellStyle name="Accent3 10 3" xfId="0"/>
    <cellStyle name="Accent3 10 4" xfId="0"/>
    <cellStyle name="Accent3 100" xfId="0"/>
    <cellStyle name="Accent3 101" xfId="0"/>
    <cellStyle name="Accent3 102" xfId="0"/>
    <cellStyle name="Accent3 103" xfId="0"/>
    <cellStyle name="Accent3 104" xfId="0"/>
    <cellStyle name="Accent3 105" xfId="0"/>
    <cellStyle name="Accent3 106" xfId="0"/>
    <cellStyle name="Accent3 107" xfId="0"/>
    <cellStyle name="Accent3 108" xfId="0"/>
    <cellStyle name="Accent3 109" xfId="0"/>
    <cellStyle name="Accent3 11" xfId="0"/>
    <cellStyle name="Accent3 11 2" xfId="0"/>
    <cellStyle name="Accent3 11 2 2" xfId="0"/>
    <cellStyle name="Accent3 11 3" xfId="0"/>
    <cellStyle name="Accent3 11 4" xfId="0"/>
    <cellStyle name="Accent3 110" xfId="0"/>
    <cellStyle name="Accent3 111" xfId="0"/>
    <cellStyle name="Accent3 112" xfId="0"/>
    <cellStyle name="Accent3 113" xfId="0"/>
    <cellStyle name="Accent3 114" xfId="0"/>
    <cellStyle name="Accent3 115" xfId="0"/>
    <cellStyle name="Accent3 116" xfId="0"/>
    <cellStyle name="Accent3 117" xfId="0"/>
    <cellStyle name="Accent3 118" xfId="0"/>
    <cellStyle name="Accent3 119" xfId="0"/>
    <cellStyle name="Accent3 12" xfId="0"/>
    <cellStyle name="Accent3 12 2" xfId="0"/>
    <cellStyle name="Accent3 12 2 2" xfId="0"/>
    <cellStyle name="Accent3 12 3" xfId="0"/>
    <cellStyle name="Accent3 12 4" xfId="0"/>
    <cellStyle name="Accent3 120" xfId="0"/>
    <cellStyle name="Accent3 121" xfId="0"/>
    <cellStyle name="Accent3 122" xfId="0"/>
    <cellStyle name="Accent3 123" xfId="0"/>
    <cellStyle name="Accent3 124" xfId="0"/>
    <cellStyle name="Accent3 125" xfId="0"/>
    <cellStyle name="Accent3 126" xfId="0"/>
    <cellStyle name="Accent3 127" xfId="0"/>
    <cellStyle name="Accent3 128" xfId="0"/>
    <cellStyle name="Accent3 129" xfId="0"/>
    <cellStyle name="Accent3 13" xfId="0"/>
    <cellStyle name="Accent3 13 2" xfId="0"/>
    <cellStyle name="Accent3 13 2 2" xfId="0"/>
    <cellStyle name="Accent3 13 3" xfId="0"/>
    <cellStyle name="Accent3 13 4" xfId="0"/>
    <cellStyle name="Accent3 130" xfId="0"/>
    <cellStyle name="Accent3 131" xfId="0"/>
    <cellStyle name="Accent3 132" xfId="0"/>
    <cellStyle name="Accent3 133" xfId="0"/>
    <cellStyle name="Accent3 134" xfId="0"/>
    <cellStyle name="Accent3 135" xfId="0"/>
    <cellStyle name="Accent3 136" xfId="0"/>
    <cellStyle name="Accent3 137" xfId="0"/>
    <cellStyle name="Accent3 138" xfId="0"/>
    <cellStyle name="Accent3 139" xfId="0"/>
    <cellStyle name="Accent3 14" xfId="0"/>
    <cellStyle name="Accent3 14 2" xfId="0"/>
    <cellStyle name="Accent3 14 2 2" xfId="0"/>
    <cellStyle name="Accent3 14 3" xfId="0"/>
    <cellStyle name="Accent3 14 4" xfId="0"/>
    <cellStyle name="Accent3 140" xfId="0"/>
    <cellStyle name="Accent3 141" xfId="0"/>
    <cellStyle name="Accent3 142" xfId="0"/>
    <cellStyle name="Accent3 143" xfId="0"/>
    <cellStyle name="Accent3 144" xfId="0"/>
    <cellStyle name="Accent3 145" xfId="0"/>
    <cellStyle name="Accent3 146" xfId="0"/>
    <cellStyle name="Accent3 147" xfId="0"/>
    <cellStyle name="Accent3 148" xfId="0"/>
    <cellStyle name="Accent3 149" xfId="0"/>
    <cellStyle name="Accent3 15" xfId="0"/>
    <cellStyle name="Accent3 15 2" xfId="0"/>
    <cellStyle name="Accent3 15 2 2" xfId="0"/>
    <cellStyle name="Accent3 15 3" xfId="0"/>
    <cellStyle name="Accent3 15 4" xfId="0"/>
    <cellStyle name="Accent3 150" xfId="0"/>
    <cellStyle name="Accent3 151" xfId="0"/>
    <cellStyle name="Accent3 152" xfId="0"/>
    <cellStyle name="Accent3 153" xfId="0"/>
    <cellStyle name="Accent3 154" xfId="0"/>
    <cellStyle name="Accent3 155" xfId="0"/>
    <cellStyle name="Accent3 156" xfId="0"/>
    <cellStyle name="Accent3 157" xfId="0"/>
    <cellStyle name="Accent3 158" xfId="0"/>
    <cellStyle name="Accent3 159" xfId="0"/>
    <cellStyle name="Accent3 16" xfId="0"/>
    <cellStyle name="Accent3 16 2" xfId="0"/>
    <cellStyle name="Accent3 16 2 2" xfId="0"/>
    <cellStyle name="Accent3 16 3" xfId="0"/>
    <cellStyle name="Accent3 16 4" xfId="0"/>
    <cellStyle name="Accent3 160" xfId="0"/>
    <cellStyle name="Accent3 161" xfId="0"/>
    <cellStyle name="Accent3 162" xfId="0"/>
    <cellStyle name="Accent3 163" xfId="0"/>
    <cellStyle name="Accent3 164" xfId="0"/>
    <cellStyle name="Accent3 165" xfId="0"/>
    <cellStyle name="Accent3 166" xfId="0"/>
    <cellStyle name="Accent3 167" xfId="0"/>
    <cellStyle name="Accent3 168" xfId="0"/>
    <cellStyle name="Accent3 169" xfId="0"/>
    <cellStyle name="Accent3 17" xfId="0"/>
    <cellStyle name="Accent3 17 2" xfId="0"/>
    <cellStyle name="Accent3 17 2 2" xfId="0"/>
    <cellStyle name="Accent3 17 3" xfId="0"/>
    <cellStyle name="Accent3 17 4" xfId="0"/>
    <cellStyle name="Accent3 170" xfId="0"/>
    <cellStyle name="Accent3 171" xfId="0"/>
    <cellStyle name="Accent3 172" xfId="0"/>
    <cellStyle name="Accent3 173" xfId="0"/>
    <cellStyle name="Accent3 174" xfId="0"/>
    <cellStyle name="Accent3 175" xfId="0"/>
    <cellStyle name="Accent3 176" xfId="0"/>
    <cellStyle name="Accent3 177" xfId="0"/>
    <cellStyle name="Accent3 178" xfId="0"/>
    <cellStyle name="Accent3 179" xfId="0"/>
    <cellStyle name="Accent3 18" xfId="0"/>
    <cellStyle name="Accent3 18 2" xfId="0"/>
    <cellStyle name="Accent3 18 2 2" xfId="0"/>
    <cellStyle name="Accent3 18 3" xfId="0"/>
    <cellStyle name="Accent3 18 4" xfId="0"/>
    <cellStyle name="Accent3 180" xfId="0"/>
    <cellStyle name="Accent3 181" xfId="0"/>
    <cellStyle name="Accent3 182" xfId="0"/>
    <cellStyle name="Accent3 183" xfId="0"/>
    <cellStyle name="Accent3 184" xfId="0"/>
    <cellStyle name="Accent3 185" xfId="0"/>
    <cellStyle name="Accent3 186" xfId="0"/>
    <cellStyle name="Accent3 187" xfId="0"/>
    <cellStyle name="Accent3 188" xfId="0"/>
    <cellStyle name="Accent3 189" xfId="0"/>
    <cellStyle name="Accent3 19" xfId="0"/>
    <cellStyle name="Accent3 19 2" xfId="0"/>
    <cellStyle name="Accent3 19 2 2" xfId="0"/>
    <cellStyle name="Accent3 19 3" xfId="0"/>
    <cellStyle name="Accent3 19 4" xfId="0"/>
    <cellStyle name="Accent3 190" xfId="0"/>
    <cellStyle name="Accent3 191" xfId="0"/>
    <cellStyle name="Accent3 192" xfId="0"/>
    <cellStyle name="Accent3 193" xfId="0"/>
    <cellStyle name="Accent3 194" xfId="0"/>
    <cellStyle name="Accent3 195" xfId="0"/>
    <cellStyle name="Accent3 196" xfId="0"/>
    <cellStyle name="Accent3 197" xfId="0"/>
    <cellStyle name="Accent3 198" xfId="0"/>
    <cellStyle name="Accent3 199" xfId="0"/>
    <cellStyle name="Accent3 2" xfId="0"/>
    <cellStyle name="Accent3 2 2" xfId="0"/>
    <cellStyle name="Accent3 2 2 2" xfId="0"/>
    <cellStyle name="Accent3 2 2 2 2" xfId="0"/>
    <cellStyle name="Accent3 2 2 3" xfId="0"/>
    <cellStyle name="Accent3 2 3" xfId="0"/>
    <cellStyle name="Accent3 2 3 2" xfId="0"/>
    <cellStyle name="Accent3 2 3 3" xfId="0"/>
    <cellStyle name="Accent3 2 4" xfId="0"/>
    <cellStyle name="Accent3 2 4 2" xfId="0"/>
    <cellStyle name="Accent3 2 5" xfId="0"/>
    <cellStyle name="Accent3 2 5 2" xfId="0"/>
    <cellStyle name="Accent3 2 6" xfId="0"/>
    <cellStyle name="Accent3 2 7" xfId="0"/>
    <cellStyle name="Accent3 2 8" xfId="0"/>
    <cellStyle name="Accent3 20" xfId="0"/>
    <cellStyle name="Accent3 20 2" xfId="0"/>
    <cellStyle name="Accent3 20 2 2" xfId="0"/>
    <cellStyle name="Accent3 20 3" xfId="0"/>
    <cellStyle name="Accent3 20 4" xfId="0"/>
    <cellStyle name="Accent3 200" xfId="0"/>
    <cellStyle name="Accent3 201" xfId="0"/>
    <cellStyle name="Accent3 202" xfId="0"/>
    <cellStyle name="Accent3 203" xfId="0"/>
    <cellStyle name="Accent3 204" xfId="0"/>
    <cellStyle name="Accent3 205" xfId="0"/>
    <cellStyle name="Accent3 206" xfId="0"/>
    <cellStyle name="Accent3 207" xfId="0"/>
    <cellStyle name="Accent3 208" xfId="0"/>
    <cellStyle name="Accent3 209" xfId="0"/>
    <cellStyle name="Accent3 21" xfId="0"/>
    <cellStyle name="Accent3 21 2" xfId="0"/>
    <cellStyle name="Accent3 21 2 2" xfId="0"/>
    <cellStyle name="Accent3 21 3" xfId="0"/>
    <cellStyle name="Accent3 210" xfId="0"/>
    <cellStyle name="Accent3 211" xfId="0"/>
    <cellStyle name="Accent3 212" xfId="0"/>
    <cellStyle name="Accent3 213" xfId="0"/>
    <cellStyle name="Accent3 214" xfId="0"/>
    <cellStyle name="Accent3 215" xfId="0"/>
    <cellStyle name="Accent3 216" xfId="0"/>
    <cellStyle name="Accent3 217" xfId="0"/>
    <cellStyle name="Accent3 218" xfId="0"/>
    <cellStyle name="Accent3 219" xfId="0"/>
    <cellStyle name="Accent3 22" xfId="0"/>
    <cellStyle name="Accent3 22 2" xfId="0"/>
    <cellStyle name="Accent3 22 2 2" xfId="0"/>
    <cellStyle name="Accent3 22 3" xfId="0"/>
    <cellStyle name="Accent3 220" xfId="0"/>
    <cellStyle name="Accent3 221" xfId="0"/>
    <cellStyle name="Accent3 222" xfId="0"/>
    <cellStyle name="Accent3 223" xfId="0"/>
    <cellStyle name="Accent3 224" xfId="0"/>
    <cellStyle name="Accent3 225" xfId="0"/>
    <cellStyle name="Accent3 226" xfId="0"/>
    <cellStyle name="Accent3 227" xfId="0"/>
    <cellStyle name="Accent3 228" xfId="0"/>
    <cellStyle name="Accent3 229" xfId="0"/>
    <cellStyle name="Accent3 23" xfId="0"/>
    <cellStyle name="Accent3 23 2" xfId="0"/>
    <cellStyle name="Accent3 23 2 2" xfId="0"/>
    <cellStyle name="Accent3 23 3" xfId="0"/>
    <cellStyle name="Accent3 230" xfId="0"/>
    <cellStyle name="Accent3 231" xfId="0"/>
    <cellStyle name="Accent3 232" xfId="0"/>
    <cellStyle name="Accent3 233" xfId="0"/>
    <cellStyle name="Accent3 234" xfId="0"/>
    <cellStyle name="Accent3 235" xfId="0"/>
    <cellStyle name="Accent3 236" xfId="0"/>
    <cellStyle name="Accent3 237" xfId="0"/>
    <cellStyle name="Accent3 238" xfId="0"/>
    <cellStyle name="Accent3 239" xfId="0"/>
    <cellStyle name="Accent3 24" xfId="0"/>
    <cellStyle name="Accent3 24 2" xfId="0"/>
    <cellStyle name="Accent3 24 2 2" xfId="0"/>
    <cellStyle name="Accent3 240" xfId="0"/>
    <cellStyle name="Accent3 241" xfId="0"/>
    <cellStyle name="Accent3 242" xfId="0"/>
    <cellStyle name="Accent3 243" xfId="0"/>
    <cellStyle name="Accent3 244" xfId="0"/>
    <cellStyle name="Accent3 245" xfId="0"/>
    <cellStyle name="Accent3 246" xfId="0"/>
    <cellStyle name="Accent3 247" xfId="0"/>
    <cellStyle name="Accent3 248" xfId="0"/>
    <cellStyle name="Accent3 249" xfId="0"/>
    <cellStyle name="Accent3 25" xfId="0"/>
    <cellStyle name="Accent3 25 2" xfId="0"/>
    <cellStyle name="Accent3 25 2 2" xfId="0"/>
    <cellStyle name="Accent3 250" xfId="0"/>
    <cellStyle name="Accent3 251" xfId="0"/>
    <cellStyle name="Accent3 252" xfId="0"/>
    <cellStyle name="Accent3 253" xfId="0"/>
    <cellStyle name="Accent3 254" xfId="0"/>
    <cellStyle name="Accent3 255" xfId="0"/>
    <cellStyle name="Accent3 256" xfId="0"/>
    <cellStyle name="Accent3 257" xfId="0"/>
    <cellStyle name="Accent3 258" xfId="0"/>
    <cellStyle name="Accent3 259" xfId="0"/>
    <cellStyle name="Accent3 26" xfId="0"/>
    <cellStyle name="Accent3 26 2" xfId="0"/>
    <cellStyle name="Accent3 26 2 2" xfId="0"/>
    <cellStyle name="Accent3 26 3" xfId="0"/>
    <cellStyle name="Accent3 260" xfId="0"/>
    <cellStyle name="Accent3 261" xfId="0"/>
    <cellStyle name="Accent3 262" xfId="0"/>
    <cellStyle name="Accent3 263" xfId="0"/>
    <cellStyle name="Accent3 264" xfId="0"/>
    <cellStyle name="Accent3 265" xfId="0"/>
    <cellStyle name="Accent3 266" xfId="0"/>
    <cellStyle name="Accent3 267" xfId="0"/>
    <cellStyle name="Accent3 268" xfId="0"/>
    <cellStyle name="Accent3 269" xfId="0"/>
    <cellStyle name="Accent3 27" xfId="0"/>
    <cellStyle name="Accent3 27 2" xfId="0"/>
    <cellStyle name="Accent3 27 2 2" xfId="0"/>
    <cellStyle name="Accent3 27 3" xfId="0"/>
    <cellStyle name="Accent3 270" xfId="0"/>
    <cellStyle name="Accent3 271" xfId="0"/>
    <cellStyle name="Accent3 272" xfId="0"/>
    <cellStyle name="Accent3 273" xfId="0"/>
    <cellStyle name="Accent3 274" xfId="0"/>
    <cellStyle name="Accent3 275" xfId="0"/>
    <cellStyle name="Accent3 28" xfId="0"/>
    <cellStyle name="Accent3 28 2" xfId="0"/>
    <cellStyle name="Accent3 28 2 2" xfId="0"/>
    <cellStyle name="Accent3 28 3" xfId="0"/>
    <cellStyle name="Accent3 29" xfId="0"/>
    <cellStyle name="Accent3 29 2" xfId="0"/>
    <cellStyle name="Accent3 29 2 2" xfId="0"/>
    <cellStyle name="Accent3 29 3" xfId="0"/>
    <cellStyle name="Accent3 2_Market Fresh Cost" xfId="0"/>
    <cellStyle name="Accent3 3" xfId="0"/>
    <cellStyle name="Accent3 3 2" xfId="0"/>
    <cellStyle name="Accent3 3 2 2" xfId="0"/>
    <cellStyle name="Accent3 3 2 3" xfId="0"/>
    <cellStyle name="Accent3 3 3" xfId="0"/>
    <cellStyle name="Accent3 3 3 2" xfId="0"/>
    <cellStyle name="Accent3 3 3 3" xfId="0"/>
    <cellStyle name="Accent3 3 4" xfId="0"/>
    <cellStyle name="Accent3 3 4 2" xfId="0"/>
    <cellStyle name="Accent3 3 5" xfId="0"/>
    <cellStyle name="Accent3 3 5 2" xfId="0"/>
    <cellStyle name="Accent3 3 6" xfId="0"/>
    <cellStyle name="Accent3 3 7" xfId="0"/>
    <cellStyle name="Accent3 3 8" xfId="0"/>
    <cellStyle name="Accent3 30" xfId="0"/>
    <cellStyle name="Accent3 30 2" xfId="0"/>
    <cellStyle name="Accent3 30 2 2" xfId="0"/>
    <cellStyle name="Accent3 30 3" xfId="0"/>
    <cellStyle name="Accent3 31" xfId="0"/>
    <cellStyle name="Accent3 31 2" xfId="0"/>
    <cellStyle name="Accent3 31 2 2" xfId="0"/>
    <cellStyle name="Accent3 31 3" xfId="0"/>
    <cellStyle name="Accent3 32" xfId="0"/>
    <cellStyle name="Accent3 32 2" xfId="0"/>
    <cellStyle name="Accent3 32 2 2" xfId="0"/>
    <cellStyle name="Accent3 32 3" xfId="0"/>
    <cellStyle name="Accent3 33" xfId="0"/>
    <cellStyle name="Accent3 33 2" xfId="0"/>
    <cellStyle name="Accent3 33 2 2" xfId="0"/>
    <cellStyle name="Accent3 33 3" xfId="0"/>
    <cellStyle name="Accent3 34" xfId="0"/>
    <cellStyle name="Accent3 34 2" xfId="0"/>
    <cellStyle name="Accent3 34 2 2" xfId="0"/>
    <cellStyle name="Accent3 34 3" xfId="0"/>
    <cellStyle name="Accent3 35" xfId="0"/>
    <cellStyle name="Accent3 35 2" xfId="0"/>
    <cellStyle name="Accent3 35 2 2" xfId="0"/>
    <cellStyle name="Accent3 35 3" xfId="0"/>
    <cellStyle name="Accent3 36" xfId="0"/>
    <cellStyle name="Accent3 36 2" xfId="0"/>
    <cellStyle name="Accent3 36 3" xfId="0"/>
    <cellStyle name="Accent3 37" xfId="0"/>
    <cellStyle name="Accent3 37 2" xfId="0"/>
    <cellStyle name="Accent3 37 3" xfId="0"/>
    <cellStyle name="Accent3 38" xfId="0"/>
    <cellStyle name="Accent3 38 2" xfId="0"/>
    <cellStyle name="Accent3 38 3" xfId="0"/>
    <cellStyle name="Accent3 39" xfId="0"/>
    <cellStyle name="Accent3 39 2" xfId="0"/>
    <cellStyle name="Accent3 39 3" xfId="0"/>
    <cellStyle name="Accent3 3_Profitability Detail NT$ Sep-12" xfId="0"/>
    <cellStyle name="Accent3 4" xfId="0"/>
    <cellStyle name="Accent3 4 2" xfId="0"/>
    <cellStyle name="Accent3 4 2 2" xfId="0"/>
    <cellStyle name="Accent3 4 2 3" xfId="0"/>
    <cellStyle name="Accent3 4 3" xfId="0"/>
    <cellStyle name="Accent3 4 3 2" xfId="0"/>
    <cellStyle name="Accent3 4 3 3" xfId="0"/>
    <cellStyle name="Accent3 4 4" xfId="0"/>
    <cellStyle name="Accent3 4 4 2" xfId="0"/>
    <cellStyle name="Accent3 4 5" xfId="0"/>
    <cellStyle name="Accent3 4 5 2" xfId="0"/>
    <cellStyle name="Accent3 4 6" xfId="0"/>
    <cellStyle name="Accent3 4 7" xfId="0"/>
    <cellStyle name="Accent3 4 8" xfId="0"/>
    <cellStyle name="Accent3 40" xfId="0"/>
    <cellStyle name="Accent3 40 2" xfId="0"/>
    <cellStyle name="Accent3 40 3" xfId="0"/>
    <cellStyle name="Accent3 41" xfId="0"/>
    <cellStyle name="Accent3 41 2" xfId="0"/>
    <cellStyle name="Accent3 41 3" xfId="0"/>
    <cellStyle name="Accent3 42" xfId="0"/>
    <cellStyle name="Accent3 42 2" xfId="0"/>
    <cellStyle name="Accent3 42 3" xfId="0"/>
    <cellStyle name="Accent3 43" xfId="0"/>
    <cellStyle name="Accent3 43 2" xfId="0"/>
    <cellStyle name="Accent3 43 3" xfId="0"/>
    <cellStyle name="Accent3 44" xfId="0"/>
    <cellStyle name="Accent3 44 2" xfId="0"/>
    <cellStyle name="Accent3 45" xfId="0"/>
    <cellStyle name="Accent3 45 2" xfId="0"/>
    <cellStyle name="Accent3 46" xfId="0"/>
    <cellStyle name="Accent3 46 2" xfId="0"/>
    <cellStyle name="Accent3 47" xfId="0"/>
    <cellStyle name="Accent3 47 2" xfId="0"/>
    <cellStyle name="Accent3 48" xfId="0"/>
    <cellStyle name="Accent3 48 2" xfId="0"/>
    <cellStyle name="Accent3 49" xfId="0"/>
    <cellStyle name="Accent3 49 2" xfId="0"/>
    <cellStyle name="Accent3 4_Profitability Detail NT$ Sep-12" xfId="0"/>
    <cellStyle name="Accent3 5" xfId="0"/>
    <cellStyle name="Accent3 5 2" xfId="0"/>
    <cellStyle name="Accent3 5 3" xfId="0"/>
    <cellStyle name="Accent3 5 4" xfId="0"/>
    <cellStyle name="Accent3 50" xfId="0"/>
    <cellStyle name="Accent3 50 2" xfId="0"/>
    <cellStyle name="Accent3 51" xfId="0"/>
    <cellStyle name="Accent3 51 2" xfId="0"/>
    <cellStyle name="Accent3 52" xfId="0"/>
    <cellStyle name="Accent3 52 2" xfId="0"/>
    <cellStyle name="Accent3 53" xfId="0"/>
    <cellStyle name="Accent3 53 2" xfId="0"/>
    <cellStyle name="Accent3 54" xfId="0"/>
    <cellStyle name="Accent3 54 2" xfId="0"/>
    <cellStyle name="Accent3 55" xfId="0"/>
    <cellStyle name="Accent3 56" xfId="0"/>
    <cellStyle name="Accent3 56 2" xfId="0"/>
    <cellStyle name="Accent3 57" xfId="0"/>
    <cellStyle name="Accent3 57 2" xfId="0"/>
    <cellStyle name="Accent3 58" xfId="0"/>
    <cellStyle name="Accent3 58 2" xfId="0"/>
    <cellStyle name="Accent3 59" xfId="0"/>
    <cellStyle name="Accent3 59 2" xfId="0"/>
    <cellStyle name="Accent3 6" xfId="0"/>
    <cellStyle name="Accent3 6 2" xfId="0"/>
    <cellStyle name="Accent3 6 3" xfId="0"/>
    <cellStyle name="Accent3 6 4" xfId="0"/>
    <cellStyle name="Accent3 60" xfId="0"/>
    <cellStyle name="Accent3 60 2" xfId="0"/>
    <cellStyle name="Accent3 61" xfId="0"/>
    <cellStyle name="Accent3 61 2" xfId="0"/>
    <cellStyle name="Accent3 62" xfId="0"/>
    <cellStyle name="Accent3 62 2" xfId="0"/>
    <cellStyle name="Accent3 63" xfId="0"/>
    <cellStyle name="Accent3 63 2" xfId="0"/>
    <cellStyle name="Accent3 64" xfId="0"/>
    <cellStyle name="Accent3 64 2" xfId="0"/>
    <cellStyle name="Accent3 65" xfId="0"/>
    <cellStyle name="Accent3 65 2" xfId="0"/>
    <cellStyle name="Accent3 66" xfId="0"/>
    <cellStyle name="Accent3 66 2" xfId="0"/>
    <cellStyle name="Accent3 67" xfId="0"/>
    <cellStyle name="Accent3 67 2" xfId="0"/>
    <cellStyle name="Accent3 68" xfId="0"/>
    <cellStyle name="Accent3 68 2" xfId="0"/>
    <cellStyle name="Accent3 69" xfId="0"/>
    <cellStyle name="Accent3 69 2" xfId="0"/>
    <cellStyle name="Accent3 7" xfId="0"/>
    <cellStyle name="Accent3 7 2" xfId="0"/>
    <cellStyle name="Accent3 7 3" xfId="0"/>
    <cellStyle name="Accent3 7 4" xfId="0"/>
    <cellStyle name="Accent3 70" xfId="0"/>
    <cellStyle name="Accent3 70 2" xfId="0"/>
    <cellStyle name="Accent3 71" xfId="0"/>
    <cellStyle name="Accent3 71 2" xfId="0"/>
    <cellStyle name="Accent3 72" xfId="0"/>
    <cellStyle name="Accent3 72 2" xfId="0"/>
    <cellStyle name="Accent3 73" xfId="0"/>
    <cellStyle name="Accent3 74" xfId="0"/>
    <cellStyle name="Accent3 75" xfId="0"/>
    <cellStyle name="Accent3 76" xfId="0"/>
    <cellStyle name="Accent3 77" xfId="0"/>
    <cellStyle name="Accent3 78" xfId="0"/>
    <cellStyle name="Accent3 79" xfId="0"/>
    <cellStyle name="Accent3 8" xfId="0"/>
    <cellStyle name="Accent3 8 2" xfId="0"/>
    <cellStyle name="Accent3 8 3" xfId="0"/>
    <cellStyle name="Accent3 8 4" xfId="0"/>
    <cellStyle name="Accent3 80" xfId="0"/>
    <cellStyle name="Accent3 81" xfId="0"/>
    <cellStyle name="Accent3 82" xfId="0"/>
    <cellStyle name="Accent3 83" xfId="0"/>
    <cellStyle name="Accent3 84" xfId="0"/>
    <cellStyle name="Accent3 85" xfId="0"/>
    <cellStyle name="Accent3 86" xfId="0"/>
    <cellStyle name="Accent3 87" xfId="0"/>
    <cellStyle name="Accent3 88" xfId="0"/>
    <cellStyle name="Accent3 89" xfId="0"/>
    <cellStyle name="Accent3 9" xfId="0"/>
    <cellStyle name="Accent3 9 2" xfId="0"/>
    <cellStyle name="Accent3 9 2 2" xfId="0"/>
    <cellStyle name="Accent3 9 3" xfId="0"/>
    <cellStyle name="Accent3 9 4" xfId="0"/>
    <cellStyle name="Accent3 90" xfId="0"/>
    <cellStyle name="Accent3 91" xfId="0"/>
    <cellStyle name="Accent3 92" xfId="0"/>
    <cellStyle name="Accent3 93" xfId="0"/>
    <cellStyle name="Accent3 94" xfId="0"/>
    <cellStyle name="Accent3 95" xfId="0"/>
    <cellStyle name="Accent3 96" xfId="0"/>
    <cellStyle name="Accent3 97" xfId="0"/>
    <cellStyle name="Accent3 98" xfId="0"/>
    <cellStyle name="Accent3 99" xfId="0"/>
    <cellStyle name="Accent3_13-wk VSA_Revised" xfId="0"/>
    <cellStyle name="Accent4" xfId="0"/>
    <cellStyle name="Accent4 - 20%" xfId="0"/>
    <cellStyle name="Accent4 - 20% 2" xfId="0"/>
    <cellStyle name="Accent4 - 20% 2 2" xfId="0"/>
    <cellStyle name="Accent4 - 20% 2 2 2" xfId="0"/>
    <cellStyle name="Accent4 - 20% 2_Market Fresh Cost" xfId="0"/>
    <cellStyle name="Accent4 - 20% 3" xfId="0"/>
    <cellStyle name="Accent4 - 20% 3 2" xfId="0"/>
    <cellStyle name="Accent4 - 20% 4" xfId="0"/>
    <cellStyle name="Accent4 - 20% 4 2" xfId="0"/>
    <cellStyle name="Accent4 - 20% 5" xfId="0"/>
    <cellStyle name="Accent4 - 20% 6" xfId="0"/>
    <cellStyle name="Accent4 - 20% 7" xfId="0"/>
    <cellStyle name="Accent4 - 20%_Market Fresh Cost" xfId="0"/>
    <cellStyle name="Accent4 - 40%" xfId="0"/>
    <cellStyle name="Accent4 - 40% 2" xfId="0"/>
    <cellStyle name="Accent4 - 40% 2 2" xfId="0"/>
    <cellStyle name="Accent4 - 40% 2_Market Fresh Cost" xfId="0"/>
    <cellStyle name="Accent4 - 40% 3" xfId="0"/>
    <cellStyle name="Accent4 - 40% 3 2" xfId="0"/>
    <cellStyle name="Accent4 - 40% 4" xfId="0"/>
    <cellStyle name="Accent4 - 40% 5" xfId="0"/>
    <cellStyle name="Accent4 - 40% 6" xfId="0"/>
    <cellStyle name="Accent4 - 40% 7" xfId="0"/>
    <cellStyle name="Accent4 - 40%_Market Fresh Cost" xfId="0"/>
    <cellStyle name="Accent4 - 60%" xfId="0"/>
    <cellStyle name="Accent4 - 60% 2" xfId="0"/>
    <cellStyle name="Accent4 - 60% 2 2" xfId="0"/>
    <cellStyle name="Accent4 - 60% 2 2 2" xfId="0"/>
    <cellStyle name="Accent4 - 60% 2 3" xfId="0"/>
    <cellStyle name="Accent4 - 60% 2_Market Fresh Cost" xfId="0"/>
    <cellStyle name="Accent4 - 60% 3" xfId="0"/>
    <cellStyle name="Accent4 - 60% 3 2" xfId="0"/>
    <cellStyle name="Accent4 - 60% 3 3" xfId="0"/>
    <cellStyle name="Accent4 - 60% 4" xfId="0"/>
    <cellStyle name="Accent4 - 60% 5" xfId="0"/>
    <cellStyle name="Accent4 - 60% 6" xfId="0"/>
    <cellStyle name="Accent4 - 60% 7" xfId="0"/>
    <cellStyle name="Accent4 - 60% 8" xfId="0"/>
    <cellStyle name="Accent4 - 60%_LCD" xfId="0"/>
    <cellStyle name="Accent4 10" xfId="0"/>
    <cellStyle name="Accent4 10 2" xfId="0"/>
    <cellStyle name="Accent4 10 2 2" xfId="0"/>
    <cellStyle name="Accent4 10 3" xfId="0"/>
    <cellStyle name="Accent4 10 4" xfId="0"/>
    <cellStyle name="Accent4 100" xfId="0"/>
    <cellStyle name="Accent4 101" xfId="0"/>
    <cellStyle name="Accent4 102" xfId="0"/>
    <cellStyle name="Accent4 103" xfId="0"/>
    <cellStyle name="Accent4 104" xfId="0"/>
    <cellStyle name="Accent4 105" xfId="0"/>
    <cellStyle name="Accent4 106" xfId="0"/>
    <cellStyle name="Accent4 107" xfId="0"/>
    <cellStyle name="Accent4 108" xfId="0"/>
    <cellStyle name="Accent4 109" xfId="0"/>
    <cellStyle name="Accent4 11" xfId="0"/>
    <cellStyle name="Accent4 11 2" xfId="0"/>
    <cellStyle name="Accent4 11 2 2" xfId="0"/>
    <cellStyle name="Accent4 11 3" xfId="0"/>
    <cellStyle name="Accent4 11 4" xfId="0"/>
    <cellStyle name="Accent4 110" xfId="0"/>
    <cellStyle name="Accent4 111" xfId="0"/>
    <cellStyle name="Accent4 112" xfId="0"/>
    <cellStyle name="Accent4 113" xfId="0"/>
    <cellStyle name="Accent4 114" xfId="0"/>
    <cellStyle name="Accent4 115" xfId="0"/>
    <cellStyle name="Accent4 116" xfId="0"/>
    <cellStyle name="Accent4 117" xfId="0"/>
    <cellStyle name="Accent4 118" xfId="0"/>
    <cellStyle name="Accent4 119" xfId="0"/>
    <cellStyle name="Accent4 12" xfId="0"/>
    <cellStyle name="Accent4 12 2" xfId="0"/>
    <cellStyle name="Accent4 12 2 2" xfId="0"/>
    <cellStyle name="Accent4 12 3" xfId="0"/>
    <cellStyle name="Accent4 12 4" xfId="0"/>
    <cellStyle name="Accent4 120" xfId="0"/>
    <cellStyle name="Accent4 121" xfId="0"/>
    <cellStyle name="Accent4 122" xfId="0"/>
    <cellStyle name="Accent4 123" xfId="0"/>
    <cellStyle name="Accent4 124" xfId="0"/>
    <cellStyle name="Accent4 125" xfId="0"/>
    <cellStyle name="Accent4 126" xfId="0"/>
    <cellStyle name="Accent4 127" xfId="0"/>
    <cellStyle name="Accent4 128" xfId="0"/>
    <cellStyle name="Accent4 129" xfId="0"/>
    <cellStyle name="Accent4 13" xfId="0"/>
    <cellStyle name="Accent4 13 2" xfId="0"/>
    <cellStyle name="Accent4 13 2 2" xfId="0"/>
    <cellStyle name="Accent4 13 3" xfId="0"/>
    <cellStyle name="Accent4 13 4" xfId="0"/>
    <cellStyle name="Accent4 130" xfId="0"/>
    <cellStyle name="Accent4 131" xfId="0"/>
    <cellStyle name="Accent4 132" xfId="0"/>
    <cellStyle name="Accent4 133" xfId="0"/>
    <cellStyle name="Accent4 134" xfId="0"/>
    <cellStyle name="Accent4 135" xfId="0"/>
    <cellStyle name="Accent4 136" xfId="0"/>
    <cellStyle name="Accent4 137" xfId="0"/>
    <cellStyle name="Accent4 138" xfId="0"/>
    <cellStyle name="Accent4 139" xfId="0"/>
    <cellStyle name="Accent4 14" xfId="0"/>
    <cellStyle name="Accent4 14 2" xfId="0"/>
    <cellStyle name="Accent4 14 2 2" xfId="0"/>
    <cellStyle name="Accent4 14 3" xfId="0"/>
    <cellStyle name="Accent4 14 4" xfId="0"/>
    <cellStyle name="Accent4 140" xfId="0"/>
    <cellStyle name="Accent4 141" xfId="0"/>
    <cellStyle name="Accent4 142" xfId="0"/>
    <cellStyle name="Accent4 143" xfId="0"/>
    <cellStyle name="Accent4 144" xfId="0"/>
    <cellStyle name="Accent4 145" xfId="0"/>
    <cellStyle name="Accent4 146" xfId="0"/>
    <cellStyle name="Accent4 147" xfId="0"/>
    <cellStyle name="Accent4 148" xfId="0"/>
    <cellStyle name="Accent4 149" xfId="0"/>
    <cellStyle name="Accent4 15" xfId="0"/>
    <cellStyle name="Accent4 15 2" xfId="0"/>
    <cellStyle name="Accent4 15 2 2" xfId="0"/>
    <cellStyle name="Accent4 15 3" xfId="0"/>
    <cellStyle name="Accent4 15 4" xfId="0"/>
    <cellStyle name="Accent4 150" xfId="0"/>
    <cellStyle name="Accent4 151" xfId="0"/>
    <cellStyle name="Accent4 152" xfId="0"/>
    <cellStyle name="Accent4 153" xfId="0"/>
    <cellStyle name="Accent4 154" xfId="0"/>
    <cellStyle name="Accent4 155" xfId="0"/>
    <cellStyle name="Accent4 156" xfId="0"/>
    <cellStyle name="Accent4 157" xfId="0"/>
    <cellStyle name="Accent4 158" xfId="0"/>
    <cellStyle name="Accent4 159" xfId="0"/>
    <cellStyle name="Accent4 16" xfId="0"/>
    <cellStyle name="Accent4 16 2" xfId="0"/>
    <cellStyle name="Accent4 16 2 2" xfId="0"/>
    <cellStyle name="Accent4 16 3" xfId="0"/>
    <cellStyle name="Accent4 16 4" xfId="0"/>
    <cellStyle name="Accent4 160" xfId="0"/>
    <cellStyle name="Accent4 161" xfId="0"/>
    <cellStyle name="Accent4 162" xfId="0"/>
    <cellStyle name="Accent4 163" xfId="0"/>
    <cellStyle name="Accent4 164" xfId="0"/>
    <cellStyle name="Accent4 165" xfId="0"/>
    <cellStyle name="Accent4 166" xfId="0"/>
    <cellStyle name="Accent4 167" xfId="0"/>
    <cellStyle name="Accent4 168" xfId="0"/>
    <cellStyle name="Accent4 169" xfId="0"/>
    <cellStyle name="Accent4 17" xfId="0"/>
    <cellStyle name="Accent4 17 2" xfId="0"/>
    <cellStyle name="Accent4 17 2 2" xfId="0"/>
    <cellStyle name="Accent4 17 3" xfId="0"/>
    <cellStyle name="Accent4 17 4" xfId="0"/>
    <cellStyle name="Accent4 170" xfId="0"/>
    <cellStyle name="Accent4 171" xfId="0"/>
    <cellStyle name="Accent4 172" xfId="0"/>
    <cellStyle name="Accent4 173" xfId="0"/>
    <cellStyle name="Accent4 174" xfId="0"/>
    <cellStyle name="Accent4 175" xfId="0"/>
    <cellStyle name="Accent4 176" xfId="0"/>
    <cellStyle name="Accent4 177" xfId="0"/>
    <cellStyle name="Accent4 178" xfId="0"/>
    <cellStyle name="Accent4 179" xfId="0"/>
    <cellStyle name="Accent4 18" xfId="0"/>
    <cellStyle name="Accent4 18 2" xfId="0"/>
    <cellStyle name="Accent4 18 2 2" xfId="0"/>
    <cellStyle name="Accent4 18 3" xfId="0"/>
    <cellStyle name="Accent4 18 4" xfId="0"/>
    <cellStyle name="Accent4 180" xfId="0"/>
    <cellStyle name="Accent4 181" xfId="0"/>
    <cellStyle name="Accent4 182" xfId="0"/>
    <cellStyle name="Accent4 183" xfId="0"/>
    <cellStyle name="Accent4 184" xfId="0"/>
    <cellStyle name="Accent4 185" xfId="0"/>
    <cellStyle name="Accent4 186" xfId="0"/>
    <cellStyle name="Accent4 187" xfId="0"/>
    <cellStyle name="Accent4 188" xfId="0"/>
    <cellStyle name="Accent4 189" xfId="0"/>
    <cellStyle name="Accent4 19" xfId="0"/>
    <cellStyle name="Accent4 19 2" xfId="0"/>
    <cellStyle name="Accent4 19 2 2" xfId="0"/>
    <cellStyle name="Accent4 19 3" xfId="0"/>
    <cellStyle name="Accent4 19 4" xfId="0"/>
    <cellStyle name="Accent4 190" xfId="0"/>
    <cellStyle name="Accent4 191" xfId="0"/>
    <cellStyle name="Accent4 192" xfId="0"/>
    <cellStyle name="Accent4 193" xfId="0"/>
    <cellStyle name="Accent4 194" xfId="0"/>
    <cellStyle name="Accent4 195" xfId="0"/>
    <cellStyle name="Accent4 196" xfId="0"/>
    <cellStyle name="Accent4 197" xfId="0"/>
    <cellStyle name="Accent4 198" xfId="0"/>
    <cellStyle name="Accent4 199" xfId="0"/>
    <cellStyle name="Accent4 2" xfId="0"/>
    <cellStyle name="Accent4 2 2" xfId="0"/>
    <cellStyle name="Accent4 2 2 2" xfId="0"/>
    <cellStyle name="Accent4 2 2 2 2" xfId="0"/>
    <cellStyle name="Accent4 2 2 3" xfId="0"/>
    <cellStyle name="Accent4 2 3" xfId="0"/>
    <cellStyle name="Accent4 2 3 2" xfId="0"/>
    <cellStyle name="Accent4 2 3 3" xfId="0"/>
    <cellStyle name="Accent4 2 4" xfId="0"/>
    <cellStyle name="Accent4 2 4 2" xfId="0"/>
    <cellStyle name="Accent4 2 5" xfId="0"/>
    <cellStyle name="Accent4 2 5 2" xfId="0"/>
    <cellStyle name="Accent4 2 6" xfId="0"/>
    <cellStyle name="Accent4 2 7" xfId="0"/>
    <cellStyle name="Accent4 2 8" xfId="0"/>
    <cellStyle name="Accent4 2 9" xfId="0"/>
    <cellStyle name="Accent4 20" xfId="0"/>
    <cellStyle name="Accent4 20 2" xfId="0"/>
    <cellStyle name="Accent4 20 2 2" xfId="0"/>
    <cellStyle name="Accent4 20 3" xfId="0"/>
    <cellStyle name="Accent4 20 4" xfId="0"/>
    <cellStyle name="Accent4 200" xfId="0"/>
    <cellStyle name="Accent4 201" xfId="0"/>
    <cellStyle name="Accent4 202" xfId="0"/>
    <cellStyle name="Accent4 203" xfId="0"/>
    <cellStyle name="Accent4 204" xfId="0"/>
    <cellStyle name="Accent4 205" xfId="0"/>
    <cellStyle name="Accent4 206" xfId="0"/>
    <cellStyle name="Accent4 207" xfId="0"/>
    <cellStyle name="Accent4 208" xfId="0"/>
    <cellStyle name="Accent4 209" xfId="0"/>
    <cellStyle name="Accent4 21" xfId="0"/>
    <cellStyle name="Accent4 21 2" xfId="0"/>
    <cellStyle name="Accent4 21 2 2" xfId="0"/>
    <cellStyle name="Accent4 21 3" xfId="0"/>
    <cellStyle name="Accent4 210" xfId="0"/>
    <cellStyle name="Accent4 211" xfId="0"/>
    <cellStyle name="Accent4 212" xfId="0"/>
    <cellStyle name="Accent4 213" xfId="0"/>
    <cellStyle name="Accent4 214" xfId="0"/>
    <cellStyle name="Accent4 215" xfId="0"/>
    <cellStyle name="Accent4 216" xfId="0"/>
    <cellStyle name="Accent4 217" xfId="0"/>
    <cellStyle name="Accent4 218" xfId="0"/>
    <cellStyle name="Accent4 219" xfId="0"/>
    <cellStyle name="Accent4 22" xfId="0"/>
    <cellStyle name="Accent4 22 2" xfId="0"/>
    <cellStyle name="Accent4 22 2 2" xfId="0"/>
    <cellStyle name="Accent4 22 3" xfId="0"/>
    <cellStyle name="Accent4 220" xfId="0"/>
    <cellStyle name="Accent4 221" xfId="0"/>
    <cellStyle name="Accent4 222" xfId="0"/>
    <cellStyle name="Accent4 223" xfId="0"/>
    <cellStyle name="Accent4 224" xfId="0"/>
    <cellStyle name="Accent4 225" xfId="0"/>
    <cellStyle name="Accent4 226" xfId="0"/>
    <cellStyle name="Accent4 227" xfId="0"/>
    <cellStyle name="Accent4 228" xfId="0"/>
    <cellStyle name="Accent4 229" xfId="0"/>
    <cellStyle name="Accent4 23" xfId="0"/>
    <cellStyle name="Accent4 23 2" xfId="0"/>
    <cellStyle name="Accent4 23 2 2" xfId="0"/>
    <cellStyle name="Accent4 23 3" xfId="0"/>
    <cellStyle name="Accent4 230" xfId="0"/>
    <cellStyle name="Accent4 231" xfId="0"/>
    <cellStyle name="Accent4 232" xfId="0"/>
    <cellStyle name="Accent4 233" xfId="0"/>
    <cellStyle name="Accent4 234" xfId="0"/>
    <cellStyle name="Accent4 235" xfId="0"/>
    <cellStyle name="Accent4 236" xfId="0"/>
    <cellStyle name="Accent4 237" xfId="0"/>
    <cellStyle name="Accent4 238" xfId="0"/>
    <cellStyle name="Accent4 239" xfId="0"/>
    <cellStyle name="Accent4 24" xfId="0"/>
    <cellStyle name="Accent4 24 2" xfId="0"/>
    <cellStyle name="Accent4 24 2 2" xfId="0"/>
    <cellStyle name="Accent4 240" xfId="0"/>
    <cellStyle name="Accent4 241" xfId="0"/>
    <cellStyle name="Accent4 242" xfId="0"/>
    <cellStyle name="Accent4 243" xfId="0"/>
    <cellStyle name="Accent4 244" xfId="0"/>
    <cellStyle name="Accent4 245" xfId="0"/>
    <cellStyle name="Accent4 246" xfId="0"/>
    <cellStyle name="Accent4 247" xfId="0"/>
    <cellStyle name="Accent4 248" xfId="0"/>
    <cellStyle name="Accent4 249" xfId="0"/>
    <cellStyle name="Accent4 25" xfId="0"/>
    <cellStyle name="Accent4 25 2" xfId="0"/>
    <cellStyle name="Accent4 25 2 2" xfId="0"/>
    <cellStyle name="Accent4 250" xfId="0"/>
    <cellStyle name="Accent4 251" xfId="0"/>
    <cellStyle name="Accent4 252" xfId="0"/>
    <cellStyle name="Accent4 253" xfId="0"/>
    <cellStyle name="Accent4 254" xfId="0"/>
    <cellStyle name="Accent4 255" xfId="0"/>
    <cellStyle name="Accent4 256" xfId="0"/>
    <cellStyle name="Accent4 257" xfId="0"/>
    <cellStyle name="Accent4 258" xfId="0"/>
    <cellStyle name="Accent4 259" xfId="0"/>
    <cellStyle name="Accent4 26" xfId="0"/>
    <cellStyle name="Accent4 26 2" xfId="0"/>
    <cellStyle name="Accent4 26 2 2" xfId="0"/>
    <cellStyle name="Accent4 26 3" xfId="0"/>
    <cellStyle name="Accent4 260" xfId="0"/>
    <cellStyle name="Accent4 261" xfId="0"/>
    <cellStyle name="Accent4 262" xfId="0"/>
    <cellStyle name="Accent4 263" xfId="0"/>
    <cellStyle name="Accent4 264" xfId="0"/>
    <cellStyle name="Accent4 265" xfId="0"/>
    <cellStyle name="Accent4 266" xfId="0"/>
    <cellStyle name="Accent4 267" xfId="0"/>
    <cellStyle name="Accent4 268" xfId="0"/>
    <cellStyle name="Accent4 269" xfId="0"/>
    <cellStyle name="Accent4 27" xfId="0"/>
    <cellStyle name="Accent4 27 2" xfId="0"/>
    <cellStyle name="Accent4 27 2 2" xfId="0"/>
    <cellStyle name="Accent4 27 3" xfId="0"/>
    <cellStyle name="Accent4 270" xfId="0"/>
    <cellStyle name="Accent4 271" xfId="0"/>
    <cellStyle name="Accent4 272" xfId="0"/>
    <cellStyle name="Accent4 273" xfId="0"/>
    <cellStyle name="Accent4 274" xfId="0"/>
    <cellStyle name="Accent4 275" xfId="0"/>
    <cellStyle name="Accent4 28" xfId="0"/>
    <cellStyle name="Accent4 28 2" xfId="0"/>
    <cellStyle name="Accent4 28 2 2" xfId="0"/>
    <cellStyle name="Accent4 28 3" xfId="0"/>
    <cellStyle name="Accent4 29" xfId="0"/>
    <cellStyle name="Accent4 29 2" xfId="0"/>
    <cellStyle name="Accent4 29 2 2" xfId="0"/>
    <cellStyle name="Accent4 29 3" xfId="0"/>
    <cellStyle name="Accent4 2_Market Fresh Cost" xfId="0"/>
    <cellStyle name="Accent4 3" xfId="0"/>
    <cellStyle name="Accent4 3 2" xfId="0"/>
    <cellStyle name="Accent4 3 2 2" xfId="0"/>
    <cellStyle name="Accent4 3 2 3" xfId="0"/>
    <cellStyle name="Accent4 3 3" xfId="0"/>
    <cellStyle name="Accent4 3 3 2" xfId="0"/>
    <cellStyle name="Accent4 3 3 3" xfId="0"/>
    <cellStyle name="Accent4 3 4" xfId="0"/>
    <cellStyle name="Accent4 3 4 2" xfId="0"/>
    <cellStyle name="Accent4 3 5" xfId="0"/>
    <cellStyle name="Accent4 3 5 2" xfId="0"/>
    <cellStyle name="Accent4 3 6" xfId="0"/>
    <cellStyle name="Accent4 3 7" xfId="0"/>
    <cellStyle name="Accent4 3 8" xfId="0"/>
    <cellStyle name="Accent4 3 9" xfId="0"/>
    <cellStyle name="Accent4 30" xfId="0"/>
    <cellStyle name="Accent4 30 2" xfId="0"/>
    <cellStyle name="Accent4 30 2 2" xfId="0"/>
    <cellStyle name="Accent4 30 3" xfId="0"/>
    <cellStyle name="Accent4 31" xfId="0"/>
    <cellStyle name="Accent4 31 2" xfId="0"/>
    <cellStyle name="Accent4 31 2 2" xfId="0"/>
    <cellStyle name="Accent4 31 3" xfId="0"/>
    <cellStyle name="Accent4 32" xfId="0"/>
    <cellStyle name="Accent4 32 2" xfId="0"/>
    <cellStyle name="Accent4 32 2 2" xfId="0"/>
    <cellStyle name="Accent4 32 3" xfId="0"/>
    <cellStyle name="Accent4 33" xfId="0"/>
    <cellStyle name="Accent4 33 2" xfId="0"/>
    <cellStyle name="Accent4 33 2 2" xfId="0"/>
    <cellStyle name="Accent4 33 3" xfId="0"/>
    <cellStyle name="Accent4 34" xfId="0"/>
    <cellStyle name="Accent4 34 2" xfId="0"/>
    <cellStyle name="Accent4 34 2 2" xfId="0"/>
    <cellStyle name="Accent4 34 3" xfId="0"/>
    <cellStyle name="Accent4 35" xfId="0"/>
    <cellStyle name="Accent4 35 2" xfId="0"/>
    <cellStyle name="Accent4 35 2 2" xfId="0"/>
    <cellStyle name="Accent4 35 3" xfId="0"/>
    <cellStyle name="Accent4 36" xfId="0"/>
    <cellStyle name="Accent4 36 2" xfId="0"/>
    <cellStyle name="Accent4 36 3" xfId="0"/>
    <cellStyle name="Accent4 37" xfId="0"/>
    <cellStyle name="Accent4 37 2" xfId="0"/>
    <cellStyle name="Accent4 37 3" xfId="0"/>
    <cellStyle name="Accent4 38" xfId="0"/>
    <cellStyle name="Accent4 38 2" xfId="0"/>
    <cellStyle name="Accent4 38 3" xfId="0"/>
    <cellStyle name="Accent4 39" xfId="0"/>
    <cellStyle name="Accent4 39 2" xfId="0"/>
    <cellStyle name="Accent4 39 3" xfId="0"/>
    <cellStyle name="Accent4 3_Profitability Detail NT$ Sep-12" xfId="0"/>
    <cellStyle name="Accent4 4" xfId="0"/>
    <cellStyle name="Accent4 4 2" xfId="0"/>
    <cellStyle name="Accent4 4 2 2" xfId="0"/>
    <cellStyle name="Accent4 4 2 3" xfId="0"/>
    <cellStyle name="Accent4 4 3" xfId="0"/>
    <cellStyle name="Accent4 4 3 2" xfId="0"/>
    <cellStyle name="Accent4 4 3 3" xfId="0"/>
    <cellStyle name="Accent4 4 4" xfId="0"/>
    <cellStyle name="Accent4 4 4 2" xfId="0"/>
    <cellStyle name="Accent4 4 5" xfId="0"/>
    <cellStyle name="Accent4 4 5 2" xfId="0"/>
    <cellStyle name="Accent4 4 6" xfId="0"/>
    <cellStyle name="Accent4 4 7" xfId="0"/>
    <cellStyle name="Accent4 4 8" xfId="0"/>
    <cellStyle name="Accent4 4 9" xfId="0"/>
    <cellStyle name="Accent4 40" xfId="0"/>
    <cellStyle name="Accent4 40 2" xfId="0"/>
    <cellStyle name="Accent4 40 3" xfId="0"/>
    <cellStyle name="Accent4 41" xfId="0"/>
    <cellStyle name="Accent4 41 2" xfId="0"/>
    <cellStyle name="Accent4 41 3" xfId="0"/>
    <cellStyle name="Accent4 42" xfId="0"/>
    <cellStyle name="Accent4 42 2" xfId="0"/>
    <cellStyle name="Accent4 42 3" xfId="0"/>
    <cellStyle name="Accent4 43" xfId="0"/>
    <cellStyle name="Accent4 43 2" xfId="0"/>
    <cellStyle name="Accent4 43 3" xfId="0"/>
    <cellStyle name="Accent4 44" xfId="0"/>
    <cellStyle name="Accent4 44 2" xfId="0"/>
    <cellStyle name="Accent4 45" xfId="0"/>
    <cellStyle name="Accent4 45 2" xfId="0"/>
    <cellStyle name="Accent4 46" xfId="0"/>
    <cellStyle name="Accent4 46 2" xfId="0"/>
    <cellStyle name="Accent4 47" xfId="0"/>
    <cellStyle name="Accent4 47 2" xfId="0"/>
    <cellStyle name="Accent4 48" xfId="0"/>
    <cellStyle name="Accent4 48 2" xfId="0"/>
    <cellStyle name="Accent4 49" xfId="0"/>
    <cellStyle name="Accent4 49 2" xfId="0"/>
    <cellStyle name="Accent4 4_Profitability Detail NT$ Sep-12" xfId="0"/>
    <cellStyle name="Accent4 5" xfId="0"/>
    <cellStyle name="Accent4 5 2" xfId="0"/>
    <cellStyle name="Accent4 5 3" xfId="0"/>
    <cellStyle name="Accent4 5 3 2" xfId="0"/>
    <cellStyle name="Accent4 5 4" xfId="0"/>
    <cellStyle name="Accent4 5 5" xfId="0"/>
    <cellStyle name="Accent4 50" xfId="0"/>
    <cellStyle name="Accent4 50 2" xfId="0"/>
    <cellStyle name="Accent4 51" xfId="0"/>
    <cellStyle name="Accent4 51 2" xfId="0"/>
    <cellStyle name="Accent4 52" xfId="0"/>
    <cellStyle name="Accent4 52 2" xfId="0"/>
    <cellStyle name="Accent4 53" xfId="0"/>
    <cellStyle name="Accent4 53 2" xfId="0"/>
    <cellStyle name="Accent4 54" xfId="0"/>
    <cellStyle name="Accent4 54 2" xfId="0"/>
    <cellStyle name="Accent4 55" xfId="0"/>
    <cellStyle name="Accent4 56" xfId="0"/>
    <cellStyle name="Accent4 56 2" xfId="0"/>
    <cellStyle name="Accent4 57" xfId="0"/>
    <cellStyle name="Accent4 57 2" xfId="0"/>
    <cellStyle name="Accent4 58" xfId="0"/>
    <cellStyle name="Accent4 58 2" xfId="0"/>
    <cellStyle name="Accent4 59" xfId="0"/>
    <cellStyle name="Accent4 59 2" xfId="0"/>
    <cellStyle name="Accent4 6" xfId="0"/>
    <cellStyle name="Accent4 6 2" xfId="0"/>
    <cellStyle name="Accent4 6 3" xfId="0"/>
    <cellStyle name="Accent4 6 3 2" xfId="0"/>
    <cellStyle name="Accent4 6 4" xfId="0"/>
    <cellStyle name="Accent4 6 5" xfId="0"/>
    <cellStyle name="Accent4 60" xfId="0"/>
    <cellStyle name="Accent4 60 2" xfId="0"/>
    <cellStyle name="Accent4 61" xfId="0"/>
    <cellStyle name="Accent4 61 2" xfId="0"/>
    <cellStyle name="Accent4 62" xfId="0"/>
    <cellStyle name="Accent4 62 2" xfId="0"/>
    <cellStyle name="Accent4 63" xfId="0"/>
    <cellStyle name="Accent4 63 2" xfId="0"/>
    <cellStyle name="Accent4 64" xfId="0"/>
    <cellStyle name="Accent4 64 2" xfId="0"/>
    <cellStyle name="Accent4 65" xfId="0"/>
    <cellStyle name="Accent4 65 2" xfId="0"/>
    <cellStyle name="Accent4 66" xfId="0"/>
    <cellStyle name="Accent4 66 2" xfId="0"/>
    <cellStyle name="Accent4 67" xfId="0"/>
    <cellStyle name="Accent4 67 2" xfId="0"/>
    <cellStyle name="Accent4 68" xfId="0"/>
    <cellStyle name="Accent4 68 2" xfId="0"/>
    <cellStyle name="Accent4 69" xfId="0"/>
    <cellStyle name="Accent4 69 2" xfId="0"/>
    <cellStyle name="Accent4 7" xfId="0"/>
    <cellStyle name="Accent4 7 2" xfId="0"/>
    <cellStyle name="Accent4 7 3" xfId="0"/>
    <cellStyle name="Accent4 7 3 2" xfId="0"/>
    <cellStyle name="Accent4 7 4" xfId="0"/>
    <cellStyle name="Accent4 7 5" xfId="0"/>
    <cellStyle name="Accent4 70" xfId="0"/>
    <cellStyle name="Accent4 70 2" xfId="0"/>
    <cellStyle name="Accent4 71" xfId="0"/>
    <cellStyle name="Accent4 71 2" xfId="0"/>
    <cellStyle name="Accent4 72" xfId="0"/>
    <cellStyle name="Accent4 72 2" xfId="0"/>
    <cellStyle name="Accent4 73" xfId="0"/>
    <cellStyle name="Accent4 74" xfId="0"/>
    <cellStyle name="Accent4 75" xfId="0"/>
    <cellStyle name="Accent4 76" xfId="0"/>
    <cellStyle name="Accent4 77" xfId="0"/>
    <cellStyle name="Accent4 78" xfId="0"/>
    <cellStyle name="Accent4 79" xfId="0"/>
    <cellStyle name="Accent4 8" xfId="0"/>
    <cellStyle name="Accent4 8 2" xfId="0"/>
    <cellStyle name="Accent4 8 3" xfId="0"/>
    <cellStyle name="Accent4 8 3 2" xfId="0"/>
    <cellStyle name="Accent4 8 4" xfId="0"/>
    <cellStyle name="Accent4 8 5" xfId="0"/>
    <cellStyle name="Accent4 80" xfId="0"/>
    <cellStyle name="Accent4 81" xfId="0"/>
    <cellStyle name="Accent4 82" xfId="0"/>
    <cellStyle name="Accent4 83" xfId="0"/>
    <cellStyle name="Accent4 84" xfId="0"/>
    <cellStyle name="Accent4 85" xfId="0"/>
    <cellStyle name="Accent4 86" xfId="0"/>
    <cellStyle name="Accent4 87" xfId="0"/>
    <cellStyle name="Accent4 88" xfId="0"/>
    <cellStyle name="Accent4 89" xfId="0"/>
    <cellStyle name="Accent4 9" xfId="0"/>
    <cellStyle name="Accent4 9 2" xfId="0"/>
    <cellStyle name="Accent4 9 2 2" xfId="0"/>
    <cellStyle name="Accent4 9 3" xfId="0"/>
    <cellStyle name="Accent4 9 4" xfId="0"/>
    <cellStyle name="Accent4 90" xfId="0"/>
    <cellStyle name="Accent4 91" xfId="0"/>
    <cellStyle name="Accent4 92" xfId="0"/>
    <cellStyle name="Accent4 93" xfId="0"/>
    <cellStyle name="Accent4 94" xfId="0"/>
    <cellStyle name="Accent4 95" xfId="0"/>
    <cellStyle name="Accent4 96" xfId="0"/>
    <cellStyle name="Accent4 97" xfId="0"/>
    <cellStyle name="Accent4 98" xfId="0"/>
    <cellStyle name="Accent4 99" xfId="0"/>
    <cellStyle name="Accent4_13-wk VSA_Revised" xfId="0"/>
    <cellStyle name="Accent5" xfId="0"/>
    <cellStyle name="Accent5 - 20%" xfId="0"/>
    <cellStyle name="Accent5 - 20% 2" xfId="0"/>
    <cellStyle name="Accent5 - 20% 2 2" xfId="0"/>
    <cellStyle name="Accent5 - 20% 2 2 2" xfId="0"/>
    <cellStyle name="Accent5 - 20% 2_Market Fresh Cost" xfId="0"/>
    <cellStyle name="Accent5 - 20% 3" xfId="0"/>
    <cellStyle name="Accent5 - 20% 3 2" xfId="0"/>
    <cellStyle name="Accent5 - 20% 4" xfId="0"/>
    <cellStyle name="Accent5 - 20% 4 2" xfId="0"/>
    <cellStyle name="Accent5 - 20% 5" xfId="0"/>
    <cellStyle name="Accent5 - 20% 6" xfId="0"/>
    <cellStyle name="Accent5 - 20% 7" xfId="0"/>
    <cellStyle name="Accent5 - 20%_Market Fresh Cost" xfId="0"/>
    <cellStyle name="Accent5 - 40%" xfId="0"/>
    <cellStyle name="Accent5 - 40% 2" xfId="0"/>
    <cellStyle name="Accent5 - 40% 2 2" xfId="0"/>
    <cellStyle name="Accent5 - 40% 2 2 2" xfId="0"/>
    <cellStyle name="Accent5 - 40% 2_Market Fresh Cost" xfId="0"/>
    <cellStyle name="Accent5 - 40% 3" xfId="0"/>
    <cellStyle name="Accent5 - 40% 3 2" xfId="0"/>
    <cellStyle name="Accent5 - 40% 4" xfId="0"/>
    <cellStyle name="Accent5 - 40% 4 2" xfId="0"/>
    <cellStyle name="Accent5 - 40% 5" xfId="0"/>
    <cellStyle name="Accent5 - 40% 6" xfId="0"/>
    <cellStyle name="Accent5 - 40% 7" xfId="0"/>
    <cellStyle name="Accent5 - 40%_Market Fresh Cost" xfId="0"/>
    <cellStyle name="Accent5 - 60%" xfId="0"/>
    <cellStyle name="Accent5 - 60% 2" xfId="0"/>
    <cellStyle name="Accent5 - 60% 2 2" xfId="0"/>
    <cellStyle name="Accent5 - 60% 2 2 2" xfId="0"/>
    <cellStyle name="Accent5 - 60% 2 3" xfId="0"/>
    <cellStyle name="Accent5 - 60% 2_Market Fresh Cost" xfId="0"/>
    <cellStyle name="Accent5 - 60% 3" xfId="0"/>
    <cellStyle name="Accent5 - 60% 3 2" xfId="0"/>
    <cellStyle name="Accent5 - 60% 3 3" xfId="0"/>
    <cellStyle name="Accent5 - 60% 4" xfId="0"/>
    <cellStyle name="Accent5 - 60% 5" xfId="0"/>
    <cellStyle name="Accent5 - 60% 6" xfId="0"/>
    <cellStyle name="Accent5 - 60% 7" xfId="0"/>
    <cellStyle name="Accent5 - 60% 8" xfId="0"/>
    <cellStyle name="Accent5 - 60%_LCD" xfId="0"/>
    <cellStyle name="Accent5 10" xfId="0"/>
    <cellStyle name="Accent5 10 2" xfId="0"/>
    <cellStyle name="Accent5 10 2 2" xfId="0"/>
    <cellStyle name="Accent5 100" xfId="0"/>
    <cellStyle name="Accent5 101" xfId="0"/>
    <cellStyle name="Accent5 102" xfId="0"/>
    <cellStyle name="Accent5 103" xfId="0"/>
    <cellStyle name="Accent5 104" xfId="0"/>
    <cellStyle name="Accent5 105" xfId="0"/>
    <cellStyle name="Accent5 106" xfId="0"/>
    <cellStyle name="Accent5 107" xfId="0"/>
    <cellStyle name="Accent5 108" xfId="0"/>
    <cellStyle name="Accent5 109" xfId="0"/>
    <cellStyle name="Accent5 11" xfId="0"/>
    <cellStyle name="Accent5 11 2" xfId="0"/>
    <cellStyle name="Accent5 11 2 2" xfId="0"/>
    <cellStyle name="Accent5 110" xfId="0"/>
    <cellStyle name="Accent5 111" xfId="0"/>
    <cellStyle name="Accent5 112" xfId="0"/>
    <cellStyle name="Accent5 113" xfId="0"/>
    <cellStyle name="Accent5 114" xfId="0"/>
    <cellStyle name="Accent5 115" xfId="0"/>
    <cellStyle name="Accent5 116" xfId="0"/>
    <cellStyle name="Accent5 117" xfId="0"/>
    <cellStyle name="Accent5 118" xfId="0"/>
    <cellStyle name="Accent5 119" xfId="0"/>
    <cellStyle name="Accent5 12" xfId="0"/>
    <cellStyle name="Accent5 12 2" xfId="0"/>
    <cellStyle name="Accent5 12 2 2" xfId="0"/>
    <cellStyle name="Accent5 120" xfId="0"/>
    <cellStyle name="Accent5 121" xfId="0"/>
    <cellStyle name="Accent5 122" xfId="0"/>
    <cellStyle name="Accent5 123" xfId="0"/>
    <cellStyle name="Accent5 124" xfId="0"/>
    <cellStyle name="Accent5 125" xfId="0"/>
    <cellStyle name="Accent5 126" xfId="0"/>
    <cellStyle name="Accent5 127" xfId="0"/>
    <cellStyle name="Accent5 128" xfId="0"/>
    <cellStyle name="Accent5 129" xfId="0"/>
    <cellStyle name="Accent5 13" xfId="0"/>
    <cellStyle name="Accent5 13 2" xfId="0"/>
    <cellStyle name="Accent5 13 2 2" xfId="0"/>
    <cellStyle name="Accent5 130" xfId="0"/>
    <cellStyle name="Accent5 131" xfId="0"/>
    <cellStyle name="Accent5 132" xfId="0"/>
    <cellStyle name="Accent5 133" xfId="0"/>
    <cellStyle name="Accent5 134" xfId="0"/>
    <cellStyle name="Accent5 135" xfId="0"/>
    <cellStyle name="Accent5 136" xfId="0"/>
    <cellStyle name="Accent5 137" xfId="0"/>
    <cellStyle name="Accent5 138" xfId="0"/>
    <cellStyle name="Accent5 139" xfId="0"/>
    <cellStyle name="Accent5 14" xfId="0"/>
    <cellStyle name="Accent5 14 2" xfId="0"/>
    <cellStyle name="Accent5 14 2 2" xfId="0"/>
    <cellStyle name="Accent5 140" xfId="0"/>
    <cellStyle name="Accent5 141" xfId="0"/>
    <cellStyle name="Accent5 142" xfId="0"/>
    <cellStyle name="Accent5 143" xfId="0"/>
    <cellStyle name="Accent5 144" xfId="0"/>
    <cellStyle name="Accent5 145" xfId="0"/>
    <cellStyle name="Accent5 146" xfId="0"/>
    <cellStyle name="Accent5 147" xfId="0"/>
    <cellStyle name="Accent5 148" xfId="0"/>
    <cellStyle name="Accent5 149" xfId="0"/>
    <cellStyle name="Accent5 15" xfId="0"/>
    <cellStyle name="Accent5 15 2" xfId="0"/>
    <cellStyle name="Accent5 15 2 2" xfId="0"/>
    <cellStyle name="Accent5 150" xfId="0"/>
    <cellStyle name="Accent5 151" xfId="0"/>
    <cellStyle name="Accent5 152" xfId="0"/>
    <cellStyle name="Accent5 153" xfId="0"/>
    <cellStyle name="Accent5 154" xfId="0"/>
    <cellStyle name="Accent5 155" xfId="0"/>
    <cellStyle name="Accent5 156" xfId="0"/>
    <cellStyle name="Accent5 157" xfId="0"/>
    <cellStyle name="Accent5 158" xfId="0"/>
    <cellStyle name="Accent5 159" xfId="0"/>
    <cellStyle name="Accent5 16" xfId="0"/>
    <cellStyle name="Accent5 16 2" xfId="0"/>
    <cellStyle name="Accent5 16 2 2" xfId="0"/>
    <cellStyle name="Accent5 160" xfId="0"/>
    <cellStyle name="Accent5 161" xfId="0"/>
    <cellStyle name="Accent5 162" xfId="0"/>
    <cellStyle name="Accent5 163" xfId="0"/>
    <cellStyle name="Accent5 164" xfId="0"/>
    <cellStyle name="Accent5 165" xfId="0"/>
    <cellStyle name="Accent5 166" xfId="0"/>
    <cellStyle name="Accent5 167" xfId="0"/>
    <cellStyle name="Accent5 168" xfId="0"/>
    <cellStyle name="Accent5 169" xfId="0"/>
    <cellStyle name="Accent5 17" xfId="0"/>
    <cellStyle name="Accent5 17 2" xfId="0"/>
    <cellStyle name="Accent5 17 2 2" xfId="0"/>
    <cellStyle name="Accent5 170" xfId="0"/>
    <cellStyle name="Accent5 171" xfId="0"/>
    <cellStyle name="Accent5 172" xfId="0"/>
    <cellStyle name="Accent5 173" xfId="0"/>
    <cellStyle name="Accent5 174" xfId="0"/>
    <cellStyle name="Accent5 175" xfId="0"/>
    <cellStyle name="Accent5 176" xfId="0"/>
    <cellStyle name="Accent5 177" xfId="0"/>
    <cellStyle name="Accent5 178" xfId="0"/>
    <cellStyle name="Accent5 179" xfId="0"/>
    <cellStyle name="Accent5 18" xfId="0"/>
    <cellStyle name="Accent5 18 2" xfId="0"/>
    <cellStyle name="Accent5 18 2 2" xfId="0"/>
    <cellStyle name="Accent5 180" xfId="0"/>
    <cellStyle name="Accent5 181" xfId="0"/>
    <cellStyle name="Accent5 182" xfId="0"/>
    <cellStyle name="Accent5 183" xfId="0"/>
    <cellStyle name="Accent5 184" xfId="0"/>
    <cellStyle name="Accent5 185" xfId="0"/>
    <cellStyle name="Accent5 186" xfId="0"/>
    <cellStyle name="Accent5 187" xfId="0"/>
    <cellStyle name="Accent5 188" xfId="0"/>
    <cellStyle name="Accent5 189" xfId="0"/>
    <cellStyle name="Accent5 19" xfId="0"/>
    <cellStyle name="Accent5 19 2" xfId="0"/>
    <cellStyle name="Accent5 19 2 2" xfId="0"/>
    <cellStyle name="Accent5 190" xfId="0"/>
    <cellStyle name="Accent5 191" xfId="0"/>
    <cellStyle name="Accent5 192" xfId="0"/>
    <cellStyle name="Accent5 193" xfId="0"/>
    <cellStyle name="Accent5 194" xfId="0"/>
    <cellStyle name="Accent5 195" xfId="0"/>
    <cellStyle name="Accent5 196" xfId="0"/>
    <cellStyle name="Accent5 197" xfId="0"/>
    <cellStyle name="Accent5 198" xfId="0"/>
    <cellStyle name="Accent5 199" xfId="0"/>
    <cellStyle name="Accent5 2" xfId="0"/>
    <cellStyle name="Accent5 2 2" xfId="0"/>
    <cellStyle name="Accent5 2 2 2" xfId="0"/>
    <cellStyle name="Accent5 2 2 3" xfId="0"/>
    <cellStyle name="Accent5 2 3" xfId="0"/>
    <cellStyle name="Accent5 2 3 2" xfId="0"/>
    <cellStyle name="Accent5 2 3 3" xfId="0"/>
    <cellStyle name="Accent5 2 4" xfId="0"/>
    <cellStyle name="Accent5 2 4 2" xfId="0"/>
    <cellStyle name="Accent5 2 5" xfId="0"/>
    <cellStyle name="Accent5 2 5 2" xfId="0"/>
    <cellStyle name="Accent5 2 6" xfId="0"/>
    <cellStyle name="Accent5 20" xfId="0"/>
    <cellStyle name="Accent5 20 2" xfId="0"/>
    <cellStyle name="Accent5 20 2 2" xfId="0"/>
    <cellStyle name="Accent5 200" xfId="0"/>
    <cellStyle name="Accent5 201" xfId="0"/>
    <cellStyle name="Accent5 202" xfId="0"/>
    <cellStyle name="Accent5 203" xfId="0"/>
    <cellStyle name="Accent5 204" xfId="0"/>
    <cellStyle name="Accent5 205" xfId="0"/>
    <cellStyle name="Accent5 206" xfId="0"/>
    <cellStyle name="Accent5 207" xfId="0"/>
    <cellStyle name="Accent5 208" xfId="0"/>
    <cellStyle name="Accent5 209" xfId="0"/>
    <cellStyle name="Accent5 21" xfId="0"/>
    <cellStyle name="Accent5 21 2" xfId="0"/>
    <cellStyle name="Accent5 21 2 2" xfId="0"/>
    <cellStyle name="Accent5 210" xfId="0"/>
    <cellStyle name="Accent5 211" xfId="0"/>
    <cellStyle name="Accent5 212" xfId="0"/>
    <cellStyle name="Accent5 213" xfId="0"/>
    <cellStyle name="Accent5 214" xfId="0"/>
    <cellStyle name="Accent5 215" xfId="0"/>
    <cellStyle name="Accent5 216" xfId="0"/>
    <cellStyle name="Accent5 217" xfId="0"/>
    <cellStyle name="Accent5 218" xfId="0"/>
    <cellStyle name="Accent5 219" xfId="0"/>
    <cellStyle name="Accent5 22" xfId="0"/>
    <cellStyle name="Accent5 22 2" xfId="0"/>
    <cellStyle name="Accent5 22 2 2" xfId="0"/>
    <cellStyle name="Accent5 220" xfId="0"/>
    <cellStyle name="Accent5 221" xfId="0"/>
    <cellStyle name="Accent5 222" xfId="0"/>
    <cellStyle name="Accent5 223" xfId="0"/>
    <cellStyle name="Accent5 224" xfId="0"/>
    <cellStyle name="Accent5 225" xfId="0"/>
    <cellStyle name="Accent5 226" xfId="0"/>
    <cellStyle name="Accent5 227" xfId="0"/>
    <cellStyle name="Accent5 228" xfId="0"/>
    <cellStyle name="Accent5 229" xfId="0"/>
    <cellStyle name="Accent5 23" xfId="0"/>
    <cellStyle name="Accent5 23 2" xfId="0"/>
    <cellStyle name="Accent5 23 2 2" xfId="0"/>
    <cellStyle name="Accent5 230" xfId="0"/>
    <cellStyle name="Accent5 231" xfId="0"/>
    <cellStyle name="Accent5 232" xfId="0"/>
    <cellStyle name="Accent5 233" xfId="0"/>
    <cellStyle name="Accent5 234" xfId="0"/>
    <cellStyle name="Accent5 235" xfId="0"/>
    <cellStyle name="Accent5 236" xfId="0"/>
    <cellStyle name="Accent5 237" xfId="0"/>
    <cellStyle name="Accent5 238" xfId="0"/>
    <cellStyle name="Accent5 239" xfId="0"/>
    <cellStyle name="Accent5 24" xfId="0"/>
    <cellStyle name="Accent5 24 2" xfId="0"/>
    <cellStyle name="Accent5 24 2 2" xfId="0"/>
    <cellStyle name="Accent5 240" xfId="0"/>
    <cellStyle name="Accent5 241" xfId="0"/>
    <cellStyle name="Accent5 242" xfId="0"/>
    <cellStyle name="Accent5 243" xfId="0"/>
    <cellStyle name="Accent5 244" xfId="0"/>
    <cellStyle name="Accent5 245" xfId="0"/>
    <cellStyle name="Accent5 246" xfId="0"/>
    <cellStyle name="Accent5 247" xfId="0"/>
    <cellStyle name="Accent5 248" xfId="0"/>
    <cellStyle name="Accent5 249" xfId="0"/>
    <cellStyle name="Accent5 25" xfId="0"/>
    <cellStyle name="Accent5 25 2" xfId="0"/>
    <cellStyle name="Accent5 25 2 2" xfId="0"/>
    <cellStyle name="Accent5 250" xfId="0"/>
    <cellStyle name="Accent5 251" xfId="0"/>
    <cellStyle name="Accent5 252" xfId="0"/>
    <cellStyle name="Accent5 253" xfId="0"/>
    <cellStyle name="Accent5 254" xfId="0"/>
    <cellStyle name="Accent5 255" xfId="0"/>
    <cellStyle name="Accent5 256" xfId="0"/>
    <cellStyle name="Accent5 257" xfId="0"/>
    <cellStyle name="Accent5 258" xfId="0"/>
    <cellStyle name="Accent5 259" xfId="0"/>
    <cellStyle name="Accent5 26" xfId="0"/>
    <cellStyle name="Accent5 26 2" xfId="0"/>
    <cellStyle name="Accent5 26 2 2" xfId="0"/>
    <cellStyle name="Accent5 260" xfId="0"/>
    <cellStyle name="Accent5 261" xfId="0"/>
    <cellStyle name="Accent5 262" xfId="0"/>
    <cellStyle name="Accent5 263" xfId="0"/>
    <cellStyle name="Accent5 264" xfId="0"/>
    <cellStyle name="Accent5 265" xfId="0"/>
    <cellStyle name="Accent5 266" xfId="0"/>
    <cellStyle name="Accent5 267" xfId="0"/>
    <cellStyle name="Accent5 268" xfId="0"/>
    <cellStyle name="Accent5 269" xfId="0"/>
    <cellStyle name="Accent5 27" xfId="0"/>
    <cellStyle name="Accent5 27 2" xfId="0"/>
    <cellStyle name="Accent5 27 2 2" xfId="0"/>
    <cellStyle name="Accent5 270" xfId="0"/>
    <cellStyle name="Accent5 271" xfId="0"/>
    <cellStyle name="Accent5 272" xfId="0"/>
    <cellStyle name="Accent5 273" xfId="0"/>
    <cellStyle name="Accent5 274" xfId="0"/>
    <cellStyle name="Accent5 275" xfId="0"/>
    <cellStyle name="Accent5 28" xfId="0"/>
    <cellStyle name="Accent5 28 2" xfId="0"/>
    <cellStyle name="Accent5 28 2 2" xfId="0"/>
    <cellStyle name="Accent5 29" xfId="0"/>
    <cellStyle name="Accent5 29 2" xfId="0"/>
    <cellStyle name="Accent5 29 2 2" xfId="0"/>
    <cellStyle name="Accent5 2_Market Fresh Cost" xfId="0"/>
    <cellStyle name="Accent5 3" xfId="0"/>
    <cellStyle name="Accent5 3 2" xfId="0"/>
    <cellStyle name="Accent5 3 2 2" xfId="0"/>
    <cellStyle name="Accent5 3 2 3" xfId="0"/>
    <cellStyle name="Accent5 3 3" xfId="0"/>
    <cellStyle name="Accent5 3 3 2" xfId="0"/>
    <cellStyle name="Accent5 3 4" xfId="0"/>
    <cellStyle name="Accent5 3 4 2" xfId="0"/>
    <cellStyle name="Accent5 3 5" xfId="0"/>
    <cellStyle name="Accent5 3 5 2" xfId="0"/>
    <cellStyle name="Accent5 3 6" xfId="0"/>
    <cellStyle name="Accent5 30" xfId="0"/>
    <cellStyle name="Accent5 30 2" xfId="0"/>
    <cellStyle name="Accent5 30 2 2" xfId="0"/>
    <cellStyle name="Accent5 31" xfId="0"/>
    <cellStyle name="Accent5 31 2" xfId="0"/>
    <cellStyle name="Accent5 31 2 2" xfId="0"/>
    <cellStyle name="Accent5 32" xfId="0"/>
    <cellStyle name="Accent5 32 2" xfId="0"/>
    <cellStyle name="Accent5 32 2 2" xfId="0"/>
    <cellStyle name="Accent5 33" xfId="0"/>
    <cellStyle name="Accent5 33 2" xfId="0"/>
    <cellStyle name="Accent5 33 2 2" xfId="0"/>
    <cellStyle name="Accent5 34" xfId="0"/>
    <cellStyle name="Accent5 34 2" xfId="0"/>
    <cellStyle name="Accent5 34 2 2" xfId="0"/>
    <cellStyle name="Accent5 35" xfId="0"/>
    <cellStyle name="Accent5 35 2" xfId="0"/>
    <cellStyle name="Accent5 35 2 2" xfId="0"/>
    <cellStyle name="Accent5 36" xfId="0"/>
    <cellStyle name="Accent5 36 2" xfId="0"/>
    <cellStyle name="Accent5 36 3" xfId="0"/>
    <cellStyle name="Accent5 37" xfId="0"/>
    <cellStyle name="Accent5 37 2" xfId="0"/>
    <cellStyle name="Accent5 37 3" xfId="0"/>
    <cellStyle name="Accent5 38" xfId="0"/>
    <cellStyle name="Accent5 38 2" xfId="0"/>
    <cellStyle name="Accent5 38 3" xfId="0"/>
    <cellStyle name="Accent5 39" xfId="0"/>
    <cellStyle name="Accent5 39 2" xfId="0"/>
    <cellStyle name="Accent5 39 3" xfId="0"/>
    <cellStyle name="Accent5 3_Profitability Detail NT$ Sep-12" xfId="0"/>
    <cellStyle name="Accent5 4" xfId="0"/>
    <cellStyle name="Accent5 4 2" xfId="0"/>
    <cellStyle name="Accent5 4 2 2" xfId="0"/>
    <cellStyle name="Accent5 4 2 3" xfId="0"/>
    <cellStyle name="Accent5 4 3" xfId="0"/>
    <cellStyle name="Accent5 4 3 2" xfId="0"/>
    <cellStyle name="Accent5 4 4" xfId="0"/>
    <cellStyle name="Accent5 4 4 2" xfId="0"/>
    <cellStyle name="Accent5 4 5" xfId="0"/>
    <cellStyle name="Accent5 4 5 2" xfId="0"/>
    <cellStyle name="Accent5 4 6" xfId="0"/>
    <cellStyle name="Accent5 40" xfId="0"/>
    <cellStyle name="Accent5 40 2" xfId="0"/>
    <cellStyle name="Accent5 40 3" xfId="0"/>
    <cellStyle name="Accent5 41" xfId="0"/>
    <cellStyle name="Accent5 41 2" xfId="0"/>
    <cellStyle name="Accent5 41 3" xfId="0"/>
    <cellStyle name="Accent5 42" xfId="0"/>
    <cellStyle name="Accent5 42 2" xfId="0"/>
    <cellStyle name="Accent5 42 3" xfId="0"/>
    <cellStyle name="Accent5 43" xfId="0"/>
    <cellStyle name="Accent5 43 2" xfId="0"/>
    <cellStyle name="Accent5 43 3" xfId="0"/>
    <cellStyle name="Accent5 44" xfId="0"/>
    <cellStyle name="Accent5 44 2" xfId="0"/>
    <cellStyle name="Accent5 45" xfId="0"/>
    <cellStyle name="Accent5 45 2" xfId="0"/>
    <cellStyle name="Accent5 46" xfId="0"/>
    <cellStyle name="Accent5 46 2" xfId="0"/>
    <cellStyle name="Accent5 47" xfId="0"/>
    <cellStyle name="Accent5 47 2" xfId="0"/>
    <cellStyle name="Accent5 48" xfId="0"/>
    <cellStyle name="Accent5 48 2" xfId="0"/>
    <cellStyle name="Accent5 49" xfId="0"/>
    <cellStyle name="Accent5 49 2" xfId="0"/>
    <cellStyle name="Accent5 4_Profitability Detail NT$ Sep-12" xfId="0"/>
    <cellStyle name="Accent5 5" xfId="0"/>
    <cellStyle name="Accent5 5 2" xfId="0"/>
    <cellStyle name="Accent5 5 2 2" xfId="0"/>
    <cellStyle name="Accent5 50" xfId="0"/>
    <cellStyle name="Accent5 50 2" xfId="0"/>
    <cellStyle name="Accent5 51" xfId="0"/>
    <cellStyle name="Accent5 51 2" xfId="0"/>
    <cellStyle name="Accent5 52" xfId="0"/>
    <cellStyle name="Accent5 52 2" xfId="0"/>
    <cellStyle name="Accent5 53" xfId="0"/>
    <cellStyle name="Accent5 53 2" xfId="0"/>
    <cellStyle name="Accent5 54" xfId="0"/>
    <cellStyle name="Accent5 54 2" xfId="0"/>
    <cellStyle name="Accent5 55" xfId="0"/>
    <cellStyle name="Accent5 56" xfId="0"/>
    <cellStyle name="Accent5 56 2" xfId="0"/>
    <cellStyle name="Accent5 57" xfId="0"/>
    <cellStyle name="Accent5 57 2" xfId="0"/>
    <cellStyle name="Accent5 58" xfId="0"/>
    <cellStyle name="Accent5 58 2" xfId="0"/>
    <cellStyle name="Accent5 59" xfId="0"/>
    <cellStyle name="Accent5 59 2" xfId="0"/>
    <cellStyle name="Accent5 6" xfId="0"/>
    <cellStyle name="Accent5 6 2" xfId="0"/>
    <cellStyle name="Accent5 6 2 2" xfId="0"/>
    <cellStyle name="Accent5 60" xfId="0"/>
    <cellStyle name="Accent5 60 2" xfId="0"/>
    <cellStyle name="Accent5 61" xfId="0"/>
    <cellStyle name="Accent5 61 2" xfId="0"/>
    <cellStyle name="Accent5 62" xfId="0"/>
    <cellStyle name="Accent5 62 2" xfId="0"/>
    <cellStyle name="Accent5 63" xfId="0"/>
    <cellStyle name="Accent5 63 2" xfId="0"/>
    <cellStyle name="Accent5 64" xfId="0"/>
    <cellStyle name="Accent5 64 2" xfId="0"/>
    <cellStyle name="Accent5 65" xfId="0"/>
    <cellStyle name="Accent5 65 2" xfId="0"/>
    <cellStyle name="Accent5 66" xfId="0"/>
    <cellStyle name="Accent5 66 2" xfId="0"/>
    <cellStyle name="Accent5 67" xfId="0"/>
    <cellStyle name="Accent5 67 2" xfId="0"/>
    <cellStyle name="Accent5 68" xfId="0"/>
    <cellStyle name="Accent5 68 2" xfId="0"/>
    <cellStyle name="Accent5 69" xfId="0"/>
    <cellStyle name="Accent5 69 2" xfId="0"/>
    <cellStyle name="Accent5 7" xfId="0"/>
    <cellStyle name="Accent5 7 2" xfId="0"/>
    <cellStyle name="Accent5 7 2 2" xfId="0"/>
    <cellStyle name="Accent5 70" xfId="0"/>
    <cellStyle name="Accent5 70 2" xfId="0"/>
    <cellStyle name="Accent5 71" xfId="0"/>
    <cellStyle name="Accent5 71 2" xfId="0"/>
    <cellStyle name="Accent5 72" xfId="0"/>
    <cellStyle name="Accent5 72 2" xfId="0"/>
    <cellStyle name="Accent5 73" xfId="0"/>
    <cellStyle name="Accent5 74" xfId="0"/>
    <cellStyle name="Accent5 75" xfId="0"/>
    <cellStyle name="Accent5 76" xfId="0"/>
    <cellStyle name="Accent5 77" xfId="0"/>
    <cellStyle name="Accent5 78" xfId="0"/>
    <cellStyle name="Accent5 79" xfId="0"/>
    <cellStyle name="Accent5 8" xfId="0"/>
    <cellStyle name="Accent5 8 2" xfId="0"/>
    <cellStyle name="Accent5 8 2 2" xfId="0"/>
    <cellStyle name="Accent5 80" xfId="0"/>
    <cellStyle name="Accent5 81" xfId="0"/>
    <cellStyle name="Accent5 82" xfId="0"/>
    <cellStyle name="Accent5 83" xfId="0"/>
    <cellStyle name="Accent5 84" xfId="0"/>
    <cellStyle name="Accent5 85" xfId="0"/>
    <cellStyle name="Accent5 86" xfId="0"/>
    <cellStyle name="Accent5 87" xfId="0"/>
    <cellStyle name="Accent5 88" xfId="0"/>
    <cellStyle name="Accent5 89" xfId="0"/>
    <cellStyle name="Accent5 9" xfId="0"/>
    <cellStyle name="Accent5 9 2" xfId="0"/>
    <cellStyle name="Accent5 9 2 2" xfId="0"/>
    <cellStyle name="Accent5 90" xfId="0"/>
    <cellStyle name="Accent5 91" xfId="0"/>
    <cellStyle name="Accent5 92" xfId="0"/>
    <cellStyle name="Accent5 93" xfId="0"/>
    <cellStyle name="Accent5 94" xfId="0"/>
    <cellStyle name="Accent5 95" xfId="0"/>
    <cellStyle name="Accent5 96" xfId="0"/>
    <cellStyle name="Accent5 97" xfId="0"/>
    <cellStyle name="Accent5 98" xfId="0"/>
    <cellStyle name="Accent5 99" xfId="0"/>
    <cellStyle name="Accent5_13-wk VSA_Revised" xfId="0"/>
    <cellStyle name="Accent6" xfId="0"/>
    <cellStyle name="Accent6 - 20%" xfId="0"/>
    <cellStyle name="Accent6 - 20% 2" xfId="0"/>
    <cellStyle name="Accent6 - 20% 2 2" xfId="0"/>
    <cellStyle name="Accent6 - 20% 2_Market Fresh Cost" xfId="0"/>
    <cellStyle name="Accent6 - 20% 3" xfId="0"/>
    <cellStyle name="Accent6 - 20% 3 2" xfId="0"/>
    <cellStyle name="Accent6 - 20% 4" xfId="0"/>
    <cellStyle name="Accent6 - 20% 5" xfId="0"/>
    <cellStyle name="Accent6 - 20% 6" xfId="0"/>
    <cellStyle name="Accent6 - 20% 7" xfId="0"/>
    <cellStyle name="Accent6 - 20%_Market Fresh Cost" xfId="0"/>
    <cellStyle name="Accent6 - 40%" xfId="0"/>
    <cellStyle name="Accent6 - 40% 2" xfId="0"/>
    <cellStyle name="Accent6 - 40% 2 2" xfId="0"/>
    <cellStyle name="Accent6 - 40% 2_Market Fresh Cost" xfId="0"/>
    <cellStyle name="Accent6 - 40% 3" xfId="0"/>
    <cellStyle name="Accent6 - 40% 3 2" xfId="0"/>
    <cellStyle name="Accent6 - 40% 4" xfId="0"/>
    <cellStyle name="Accent6 - 40% 5" xfId="0"/>
    <cellStyle name="Accent6 - 40% 6" xfId="0"/>
    <cellStyle name="Accent6 - 40% 7" xfId="0"/>
    <cellStyle name="Accent6 - 40%_Market Fresh Cost" xfId="0"/>
    <cellStyle name="Accent6 - 60%" xfId="0"/>
    <cellStyle name="Accent6 - 60% 2" xfId="0"/>
    <cellStyle name="Accent6 - 60% 2 2" xfId="0"/>
    <cellStyle name="Accent6 - 60% 2_Market Fresh Cost" xfId="0"/>
    <cellStyle name="Accent6 - 60% 3" xfId="0"/>
    <cellStyle name="Accent6 - 60% 3 2" xfId="0"/>
    <cellStyle name="Accent6 - 60% 4" xfId="0"/>
    <cellStyle name="Accent6 - 60% 5" xfId="0"/>
    <cellStyle name="Accent6 - 60% 6" xfId="0"/>
    <cellStyle name="Accent6 - 60% 7" xfId="0"/>
    <cellStyle name="Accent6 - 60% 8" xfId="0"/>
    <cellStyle name="Accent6 - 60%_LCD" xfId="0"/>
    <cellStyle name="Accent6 10" xfId="0"/>
    <cellStyle name="Accent6 10 2" xfId="0"/>
    <cellStyle name="Accent6 10 2 2" xfId="0"/>
    <cellStyle name="Accent6 10 3" xfId="0"/>
    <cellStyle name="Accent6 10 4" xfId="0"/>
    <cellStyle name="Accent6 100" xfId="0"/>
    <cellStyle name="Accent6 101" xfId="0"/>
    <cellStyle name="Accent6 102" xfId="0"/>
    <cellStyle name="Accent6 103" xfId="0"/>
    <cellStyle name="Accent6 104" xfId="0"/>
    <cellStyle name="Accent6 105" xfId="0"/>
    <cellStyle name="Accent6 106" xfId="0"/>
    <cellStyle name="Accent6 107" xfId="0"/>
    <cellStyle name="Accent6 108" xfId="0"/>
    <cellStyle name="Accent6 109" xfId="0"/>
    <cellStyle name="Accent6 11" xfId="0"/>
    <cellStyle name="Accent6 11 2" xfId="0"/>
    <cellStyle name="Accent6 11 2 2" xfId="0"/>
    <cellStyle name="Accent6 11 3" xfId="0"/>
    <cellStyle name="Accent6 11 4" xfId="0"/>
    <cellStyle name="Accent6 110" xfId="0"/>
    <cellStyle name="Accent6 111" xfId="0"/>
    <cellStyle name="Accent6 112" xfId="0"/>
    <cellStyle name="Accent6 113" xfId="0"/>
    <cellStyle name="Accent6 114" xfId="0"/>
    <cellStyle name="Accent6 115" xfId="0"/>
    <cellStyle name="Accent6 116" xfId="0"/>
    <cellStyle name="Accent6 117" xfId="0"/>
    <cellStyle name="Accent6 118" xfId="0"/>
    <cellStyle name="Accent6 119" xfId="0"/>
    <cellStyle name="Accent6 12" xfId="0"/>
    <cellStyle name="Accent6 12 2" xfId="0"/>
    <cellStyle name="Accent6 12 2 2" xfId="0"/>
    <cellStyle name="Accent6 12 3" xfId="0"/>
    <cellStyle name="Accent6 12 4" xfId="0"/>
    <cellStyle name="Accent6 120" xfId="0"/>
    <cellStyle name="Accent6 121" xfId="0"/>
    <cellStyle name="Accent6 122" xfId="0"/>
    <cellStyle name="Accent6 123" xfId="0"/>
    <cellStyle name="Accent6 124" xfId="0"/>
    <cellStyle name="Accent6 125" xfId="0"/>
    <cellStyle name="Accent6 126" xfId="0"/>
    <cellStyle name="Accent6 127" xfId="0"/>
    <cellStyle name="Accent6 128" xfId="0"/>
    <cellStyle name="Accent6 129" xfId="0"/>
    <cellStyle name="Accent6 13" xfId="0"/>
    <cellStyle name="Accent6 13 2" xfId="0"/>
    <cellStyle name="Accent6 13 2 2" xfId="0"/>
    <cellStyle name="Accent6 13 3" xfId="0"/>
    <cellStyle name="Accent6 13 4" xfId="0"/>
    <cellStyle name="Accent6 130" xfId="0"/>
    <cellStyle name="Accent6 131" xfId="0"/>
    <cellStyle name="Accent6 132" xfId="0"/>
    <cellStyle name="Accent6 133" xfId="0"/>
    <cellStyle name="Accent6 134" xfId="0"/>
    <cellStyle name="Accent6 135" xfId="0"/>
    <cellStyle name="Accent6 136" xfId="0"/>
    <cellStyle name="Accent6 137" xfId="0"/>
    <cellStyle name="Accent6 138" xfId="0"/>
    <cellStyle name="Accent6 139" xfId="0"/>
    <cellStyle name="Accent6 14" xfId="0"/>
    <cellStyle name="Accent6 14 2" xfId="0"/>
    <cellStyle name="Accent6 14 2 2" xfId="0"/>
    <cellStyle name="Accent6 14 3" xfId="0"/>
    <cellStyle name="Accent6 14 4" xfId="0"/>
    <cellStyle name="Accent6 140" xfId="0"/>
    <cellStyle name="Accent6 141" xfId="0"/>
    <cellStyle name="Accent6 142" xfId="0"/>
    <cellStyle name="Accent6 143" xfId="0"/>
    <cellStyle name="Accent6 144" xfId="0"/>
    <cellStyle name="Accent6 145" xfId="0"/>
    <cellStyle name="Accent6 146" xfId="0"/>
    <cellStyle name="Accent6 147" xfId="0"/>
    <cellStyle name="Accent6 148" xfId="0"/>
    <cellStyle name="Accent6 149" xfId="0"/>
    <cellStyle name="Accent6 15" xfId="0"/>
    <cellStyle name="Accent6 15 2" xfId="0"/>
    <cellStyle name="Accent6 15 2 2" xfId="0"/>
    <cellStyle name="Accent6 15 3" xfId="0"/>
    <cellStyle name="Accent6 15 4" xfId="0"/>
    <cellStyle name="Accent6 150" xfId="0"/>
    <cellStyle name="Accent6 151" xfId="0"/>
    <cellStyle name="Accent6 152" xfId="0"/>
    <cellStyle name="Accent6 153" xfId="0"/>
    <cellStyle name="Accent6 154" xfId="0"/>
    <cellStyle name="Accent6 155" xfId="0"/>
    <cellStyle name="Accent6 156" xfId="0"/>
    <cellStyle name="Accent6 157" xfId="0"/>
    <cellStyle name="Accent6 158" xfId="0"/>
    <cellStyle name="Accent6 159" xfId="0"/>
    <cellStyle name="Accent6 16" xfId="0"/>
    <cellStyle name="Accent6 16 2" xfId="0"/>
    <cellStyle name="Accent6 16 2 2" xfId="0"/>
    <cellStyle name="Accent6 16 3" xfId="0"/>
    <cellStyle name="Accent6 16 4" xfId="0"/>
    <cellStyle name="Accent6 160" xfId="0"/>
    <cellStyle name="Accent6 161" xfId="0"/>
    <cellStyle name="Accent6 162" xfId="0"/>
    <cellStyle name="Accent6 163" xfId="0"/>
    <cellStyle name="Accent6 164" xfId="0"/>
    <cellStyle name="Accent6 165" xfId="0"/>
    <cellStyle name="Accent6 166" xfId="0"/>
    <cellStyle name="Accent6 167" xfId="0"/>
    <cellStyle name="Accent6 168" xfId="0"/>
    <cellStyle name="Accent6 169" xfId="0"/>
    <cellStyle name="Accent6 17" xfId="0"/>
    <cellStyle name="Accent6 17 2" xfId="0"/>
    <cellStyle name="Accent6 17 2 2" xfId="0"/>
    <cellStyle name="Accent6 17 3" xfId="0"/>
    <cellStyle name="Accent6 17 4" xfId="0"/>
    <cellStyle name="Accent6 170" xfId="0"/>
    <cellStyle name="Accent6 171" xfId="0"/>
    <cellStyle name="Accent6 172" xfId="0"/>
    <cellStyle name="Accent6 173" xfId="0"/>
    <cellStyle name="Accent6 174" xfId="0"/>
    <cellStyle name="Accent6 175" xfId="0"/>
    <cellStyle name="Accent6 176" xfId="0"/>
    <cellStyle name="Accent6 177" xfId="0"/>
    <cellStyle name="Accent6 178" xfId="0"/>
    <cellStyle name="Accent6 179" xfId="0"/>
    <cellStyle name="Accent6 18" xfId="0"/>
    <cellStyle name="Accent6 18 2" xfId="0"/>
    <cellStyle name="Accent6 18 2 2" xfId="0"/>
    <cellStyle name="Accent6 18 3" xfId="0"/>
    <cellStyle name="Accent6 18 4" xfId="0"/>
    <cellStyle name="Accent6 180" xfId="0"/>
    <cellStyle name="Accent6 181" xfId="0"/>
    <cellStyle name="Accent6 182" xfId="0"/>
    <cellStyle name="Accent6 183" xfId="0"/>
    <cellStyle name="Accent6 184" xfId="0"/>
    <cellStyle name="Accent6 185" xfId="0"/>
    <cellStyle name="Accent6 186" xfId="0"/>
    <cellStyle name="Accent6 187" xfId="0"/>
    <cellStyle name="Accent6 188" xfId="0"/>
    <cellStyle name="Accent6 189" xfId="0"/>
    <cellStyle name="Accent6 19" xfId="0"/>
    <cellStyle name="Accent6 19 2" xfId="0"/>
    <cellStyle name="Accent6 19 2 2" xfId="0"/>
    <cellStyle name="Accent6 19 3" xfId="0"/>
    <cellStyle name="Accent6 19 4" xfId="0"/>
    <cellStyle name="Accent6 190" xfId="0"/>
    <cellStyle name="Accent6 191" xfId="0"/>
    <cellStyle name="Accent6 192" xfId="0"/>
    <cellStyle name="Accent6 193" xfId="0"/>
    <cellStyle name="Accent6 194" xfId="0"/>
    <cellStyle name="Accent6 195" xfId="0"/>
    <cellStyle name="Accent6 196" xfId="0"/>
    <cellStyle name="Accent6 197" xfId="0"/>
    <cellStyle name="Accent6 198" xfId="0"/>
    <cellStyle name="Accent6 199" xfId="0"/>
    <cellStyle name="Accent6 2" xfId="0"/>
    <cellStyle name="Accent6 2 2" xfId="0"/>
    <cellStyle name="Accent6 2 2 2" xfId="0"/>
    <cellStyle name="Accent6 2 2 2 2" xfId="0"/>
    <cellStyle name="Accent6 2 2 3" xfId="0"/>
    <cellStyle name="Accent6 2 3" xfId="0"/>
    <cellStyle name="Accent6 2 3 2" xfId="0"/>
    <cellStyle name="Accent6 2 3 3" xfId="0"/>
    <cellStyle name="Accent6 2 4" xfId="0"/>
    <cellStyle name="Accent6 2 4 2" xfId="0"/>
    <cellStyle name="Accent6 2 5" xfId="0"/>
    <cellStyle name="Accent6 2 5 2" xfId="0"/>
    <cellStyle name="Accent6 2 6" xfId="0"/>
    <cellStyle name="Accent6 2 7" xfId="0"/>
    <cellStyle name="Accent6 2 8" xfId="0"/>
    <cellStyle name="Accent6 20" xfId="0"/>
    <cellStyle name="Accent6 20 2" xfId="0"/>
    <cellStyle name="Accent6 20 2 2" xfId="0"/>
    <cellStyle name="Accent6 20 3" xfId="0"/>
    <cellStyle name="Accent6 20 4" xfId="0"/>
    <cellStyle name="Accent6 200" xfId="0"/>
    <cellStyle name="Accent6 201" xfId="0"/>
    <cellStyle name="Accent6 202" xfId="0"/>
    <cellStyle name="Accent6 203" xfId="0"/>
    <cellStyle name="Accent6 204" xfId="0"/>
    <cellStyle name="Accent6 205" xfId="0"/>
    <cellStyle name="Accent6 206" xfId="0"/>
    <cellStyle name="Accent6 207" xfId="0"/>
    <cellStyle name="Accent6 208" xfId="0"/>
    <cellStyle name="Accent6 209" xfId="0"/>
    <cellStyle name="Accent6 21" xfId="0"/>
    <cellStyle name="Accent6 21 2" xfId="0"/>
    <cellStyle name="Accent6 21 2 2" xfId="0"/>
    <cellStyle name="Accent6 21 3" xfId="0"/>
    <cellStyle name="Accent6 210" xfId="0"/>
    <cellStyle name="Accent6 211" xfId="0"/>
    <cellStyle name="Accent6 212" xfId="0"/>
    <cellStyle name="Accent6 213" xfId="0"/>
    <cellStyle name="Accent6 214" xfId="0"/>
    <cellStyle name="Accent6 215" xfId="0"/>
    <cellStyle name="Accent6 216" xfId="0"/>
    <cellStyle name="Accent6 217" xfId="0"/>
    <cellStyle name="Accent6 218" xfId="0"/>
    <cellStyle name="Accent6 219" xfId="0"/>
    <cellStyle name="Accent6 22" xfId="0"/>
    <cellStyle name="Accent6 22 2" xfId="0"/>
    <cellStyle name="Accent6 22 2 2" xfId="0"/>
    <cellStyle name="Accent6 22 3" xfId="0"/>
    <cellStyle name="Accent6 220" xfId="0"/>
    <cellStyle name="Accent6 221" xfId="0"/>
    <cellStyle name="Accent6 222" xfId="0"/>
    <cellStyle name="Accent6 223" xfId="0"/>
    <cellStyle name="Accent6 224" xfId="0"/>
    <cellStyle name="Accent6 225" xfId="0"/>
    <cellStyle name="Accent6 226" xfId="0"/>
    <cellStyle name="Accent6 227" xfId="0"/>
    <cellStyle name="Accent6 228" xfId="0"/>
    <cellStyle name="Accent6 229" xfId="0"/>
    <cellStyle name="Accent6 23" xfId="0"/>
    <cellStyle name="Accent6 23 2" xfId="0"/>
    <cellStyle name="Accent6 23 2 2" xfId="0"/>
    <cellStyle name="Accent6 23 3" xfId="0"/>
    <cellStyle name="Accent6 230" xfId="0"/>
    <cellStyle name="Accent6 231" xfId="0"/>
    <cellStyle name="Accent6 232" xfId="0"/>
    <cellStyle name="Accent6 233" xfId="0"/>
    <cellStyle name="Accent6 234" xfId="0"/>
    <cellStyle name="Accent6 235" xfId="0"/>
    <cellStyle name="Accent6 236" xfId="0"/>
    <cellStyle name="Accent6 237" xfId="0"/>
    <cellStyle name="Accent6 238" xfId="0"/>
    <cellStyle name="Accent6 239" xfId="0"/>
    <cellStyle name="Accent6 24" xfId="0"/>
    <cellStyle name="Accent6 24 2" xfId="0"/>
    <cellStyle name="Accent6 24 2 2" xfId="0"/>
    <cellStyle name="Accent6 240" xfId="0"/>
    <cellStyle name="Accent6 241" xfId="0"/>
    <cellStyle name="Accent6 242" xfId="0"/>
    <cellStyle name="Accent6 243" xfId="0"/>
    <cellStyle name="Accent6 244" xfId="0"/>
    <cellStyle name="Accent6 245" xfId="0"/>
    <cellStyle name="Accent6 246" xfId="0"/>
    <cellStyle name="Accent6 247" xfId="0"/>
    <cellStyle name="Accent6 248" xfId="0"/>
    <cellStyle name="Accent6 249" xfId="0"/>
    <cellStyle name="Accent6 25" xfId="0"/>
    <cellStyle name="Accent6 25 2" xfId="0"/>
    <cellStyle name="Accent6 25 2 2" xfId="0"/>
    <cellStyle name="Accent6 250" xfId="0"/>
    <cellStyle name="Accent6 251" xfId="0"/>
    <cellStyle name="Accent6 252" xfId="0"/>
    <cellStyle name="Accent6 253" xfId="0"/>
    <cellStyle name="Accent6 254" xfId="0"/>
    <cellStyle name="Accent6 255" xfId="0"/>
    <cellStyle name="Accent6 256" xfId="0"/>
    <cellStyle name="Accent6 257" xfId="0"/>
    <cellStyle name="Accent6 258" xfId="0"/>
    <cellStyle name="Accent6 259" xfId="0"/>
    <cellStyle name="Accent6 26" xfId="0"/>
    <cellStyle name="Accent6 26 2" xfId="0"/>
    <cellStyle name="Accent6 26 2 2" xfId="0"/>
    <cellStyle name="Accent6 26 3" xfId="0"/>
    <cellStyle name="Accent6 260" xfId="0"/>
    <cellStyle name="Accent6 261" xfId="0"/>
    <cellStyle name="Accent6 262" xfId="0"/>
    <cellStyle name="Accent6 263" xfId="0"/>
    <cellStyle name="Accent6 264" xfId="0"/>
    <cellStyle name="Accent6 265" xfId="0"/>
    <cellStyle name="Accent6 266" xfId="0"/>
    <cellStyle name="Accent6 267" xfId="0"/>
    <cellStyle name="Accent6 268" xfId="0"/>
    <cellStyle name="Accent6 269" xfId="0"/>
    <cellStyle name="Accent6 27" xfId="0"/>
    <cellStyle name="Accent6 27 2" xfId="0"/>
    <cellStyle name="Accent6 27 2 2" xfId="0"/>
    <cellStyle name="Accent6 27 3" xfId="0"/>
    <cellStyle name="Accent6 270" xfId="0"/>
    <cellStyle name="Accent6 271" xfId="0"/>
    <cellStyle name="Accent6 272" xfId="0"/>
    <cellStyle name="Accent6 273" xfId="0"/>
    <cellStyle name="Accent6 274" xfId="0"/>
    <cellStyle name="Accent6 275" xfId="0"/>
    <cellStyle name="Accent6 28" xfId="0"/>
    <cellStyle name="Accent6 28 2" xfId="0"/>
    <cellStyle name="Accent6 28 2 2" xfId="0"/>
    <cellStyle name="Accent6 28 3" xfId="0"/>
    <cellStyle name="Accent6 29" xfId="0"/>
    <cellStyle name="Accent6 29 2" xfId="0"/>
    <cellStyle name="Accent6 29 2 2" xfId="0"/>
    <cellStyle name="Accent6 29 3" xfId="0"/>
    <cellStyle name="Accent6 2_Market Fresh Cost" xfId="0"/>
    <cellStyle name="Accent6 3" xfId="0"/>
    <cellStyle name="Accent6 3 2" xfId="0"/>
    <cellStyle name="Accent6 3 2 2" xfId="0"/>
    <cellStyle name="Accent6 3 2 3" xfId="0"/>
    <cellStyle name="Accent6 3 3" xfId="0"/>
    <cellStyle name="Accent6 3 3 2" xfId="0"/>
    <cellStyle name="Accent6 3 3 3" xfId="0"/>
    <cellStyle name="Accent6 3 4" xfId="0"/>
    <cellStyle name="Accent6 3 4 2" xfId="0"/>
    <cellStyle name="Accent6 3 5" xfId="0"/>
    <cellStyle name="Accent6 3 5 2" xfId="0"/>
    <cellStyle name="Accent6 3 6" xfId="0"/>
    <cellStyle name="Accent6 3 7" xfId="0"/>
    <cellStyle name="Accent6 3 8" xfId="0"/>
    <cellStyle name="Accent6 30" xfId="0"/>
    <cellStyle name="Accent6 30 2" xfId="0"/>
    <cellStyle name="Accent6 30 2 2" xfId="0"/>
    <cellStyle name="Accent6 30 3" xfId="0"/>
    <cellStyle name="Accent6 31" xfId="0"/>
    <cellStyle name="Accent6 31 2" xfId="0"/>
    <cellStyle name="Accent6 31 2 2" xfId="0"/>
    <cellStyle name="Accent6 31 3" xfId="0"/>
    <cellStyle name="Accent6 32" xfId="0"/>
    <cellStyle name="Accent6 32 2" xfId="0"/>
    <cellStyle name="Accent6 32 2 2" xfId="0"/>
    <cellStyle name="Accent6 32 3" xfId="0"/>
    <cellStyle name="Accent6 33" xfId="0"/>
    <cellStyle name="Accent6 33 2" xfId="0"/>
    <cellStyle name="Accent6 33 2 2" xfId="0"/>
    <cellStyle name="Accent6 33 3" xfId="0"/>
    <cellStyle name="Accent6 34" xfId="0"/>
    <cellStyle name="Accent6 34 2" xfId="0"/>
    <cellStyle name="Accent6 34 2 2" xfId="0"/>
    <cellStyle name="Accent6 34 3" xfId="0"/>
    <cellStyle name="Accent6 35" xfId="0"/>
    <cellStyle name="Accent6 35 2" xfId="0"/>
    <cellStyle name="Accent6 35 2 2" xfId="0"/>
    <cellStyle name="Accent6 35 3" xfId="0"/>
    <cellStyle name="Accent6 36" xfId="0"/>
    <cellStyle name="Accent6 36 2" xfId="0"/>
    <cellStyle name="Accent6 36 3" xfId="0"/>
    <cellStyle name="Accent6 37" xfId="0"/>
    <cellStyle name="Accent6 37 2" xfId="0"/>
    <cellStyle name="Accent6 37 3" xfId="0"/>
    <cellStyle name="Accent6 38" xfId="0"/>
    <cellStyle name="Accent6 38 2" xfId="0"/>
    <cellStyle name="Accent6 38 3" xfId="0"/>
    <cellStyle name="Accent6 39" xfId="0"/>
    <cellStyle name="Accent6 39 2" xfId="0"/>
    <cellStyle name="Accent6 39 3" xfId="0"/>
    <cellStyle name="Accent6 3_Profitability Detail NT$ Sep-12" xfId="0"/>
    <cellStyle name="Accent6 4" xfId="0"/>
    <cellStyle name="Accent6 4 2" xfId="0"/>
    <cellStyle name="Accent6 4 2 2" xfId="0"/>
    <cellStyle name="Accent6 4 2 3" xfId="0"/>
    <cellStyle name="Accent6 4 3" xfId="0"/>
    <cellStyle name="Accent6 4 3 2" xfId="0"/>
    <cellStyle name="Accent6 4 3 3" xfId="0"/>
    <cellStyle name="Accent6 4 4" xfId="0"/>
    <cellStyle name="Accent6 4 4 2" xfId="0"/>
    <cellStyle name="Accent6 4 5" xfId="0"/>
    <cellStyle name="Accent6 4 5 2" xfId="0"/>
    <cellStyle name="Accent6 4 6" xfId="0"/>
    <cellStyle name="Accent6 4 7" xfId="0"/>
    <cellStyle name="Accent6 4 8" xfId="0"/>
    <cellStyle name="Accent6 40" xfId="0"/>
    <cellStyle name="Accent6 40 2" xfId="0"/>
    <cellStyle name="Accent6 40 3" xfId="0"/>
    <cellStyle name="Accent6 41" xfId="0"/>
    <cellStyle name="Accent6 41 2" xfId="0"/>
    <cellStyle name="Accent6 41 3" xfId="0"/>
    <cellStyle name="Accent6 42" xfId="0"/>
    <cellStyle name="Accent6 42 2" xfId="0"/>
    <cellStyle name="Accent6 42 3" xfId="0"/>
    <cellStyle name="Accent6 43" xfId="0"/>
    <cellStyle name="Accent6 43 2" xfId="0"/>
    <cellStyle name="Accent6 43 3" xfId="0"/>
    <cellStyle name="Accent6 44" xfId="0"/>
    <cellStyle name="Accent6 44 2" xfId="0"/>
    <cellStyle name="Accent6 45" xfId="0"/>
    <cellStyle name="Accent6 45 2" xfId="0"/>
    <cellStyle name="Accent6 46" xfId="0"/>
    <cellStyle name="Accent6 46 2" xfId="0"/>
    <cellStyle name="Accent6 47" xfId="0"/>
    <cellStyle name="Accent6 47 2" xfId="0"/>
    <cellStyle name="Accent6 48" xfId="0"/>
    <cellStyle name="Accent6 48 2" xfId="0"/>
    <cellStyle name="Accent6 49" xfId="0"/>
    <cellStyle name="Accent6 49 2" xfId="0"/>
    <cellStyle name="Accent6 4_Profitability Detail NT$ Sep-12" xfId="0"/>
    <cellStyle name="Accent6 5" xfId="0"/>
    <cellStyle name="Accent6 5 2" xfId="0"/>
    <cellStyle name="Accent6 5 3" xfId="0"/>
    <cellStyle name="Accent6 5 4" xfId="0"/>
    <cellStyle name="Accent6 50" xfId="0"/>
    <cellStyle name="Accent6 50 2" xfId="0"/>
    <cellStyle name="Accent6 51" xfId="0"/>
    <cellStyle name="Accent6 51 2" xfId="0"/>
    <cellStyle name="Accent6 52" xfId="0"/>
    <cellStyle name="Accent6 52 2" xfId="0"/>
    <cellStyle name="Accent6 53" xfId="0"/>
    <cellStyle name="Accent6 53 2" xfId="0"/>
    <cellStyle name="Accent6 54" xfId="0"/>
    <cellStyle name="Accent6 54 2" xfId="0"/>
    <cellStyle name="Accent6 55" xfId="0"/>
    <cellStyle name="Accent6 56" xfId="0"/>
    <cellStyle name="Accent6 56 2" xfId="0"/>
    <cellStyle name="Accent6 57" xfId="0"/>
    <cellStyle name="Accent6 57 2" xfId="0"/>
    <cellStyle name="Accent6 58" xfId="0"/>
    <cellStyle name="Accent6 58 2" xfId="0"/>
    <cellStyle name="Accent6 59" xfId="0"/>
    <cellStyle name="Accent6 59 2" xfId="0"/>
    <cellStyle name="Accent6 6" xfId="0"/>
    <cellStyle name="Accent6 6 2" xfId="0"/>
    <cellStyle name="Accent6 6 3" xfId="0"/>
    <cellStyle name="Accent6 6 4" xfId="0"/>
    <cellStyle name="Accent6 60" xfId="0"/>
    <cellStyle name="Accent6 60 2" xfId="0"/>
    <cellStyle name="Accent6 61" xfId="0"/>
    <cellStyle name="Accent6 61 2" xfId="0"/>
    <cellStyle name="Accent6 62" xfId="0"/>
    <cellStyle name="Accent6 62 2" xfId="0"/>
    <cellStyle name="Accent6 63" xfId="0"/>
    <cellStyle name="Accent6 63 2" xfId="0"/>
    <cellStyle name="Accent6 64" xfId="0"/>
    <cellStyle name="Accent6 64 2" xfId="0"/>
    <cellStyle name="Accent6 65" xfId="0"/>
    <cellStyle name="Accent6 65 2" xfId="0"/>
    <cellStyle name="Accent6 66" xfId="0"/>
    <cellStyle name="Accent6 66 2" xfId="0"/>
    <cellStyle name="Accent6 67" xfId="0"/>
    <cellStyle name="Accent6 67 2" xfId="0"/>
    <cellStyle name="Accent6 68" xfId="0"/>
    <cellStyle name="Accent6 68 2" xfId="0"/>
    <cellStyle name="Accent6 69" xfId="0"/>
    <cellStyle name="Accent6 69 2" xfId="0"/>
    <cellStyle name="Accent6 7" xfId="0"/>
    <cellStyle name="Accent6 7 2" xfId="0"/>
    <cellStyle name="Accent6 7 3" xfId="0"/>
    <cellStyle name="Accent6 7 4" xfId="0"/>
    <cellStyle name="Accent6 70" xfId="0"/>
    <cellStyle name="Accent6 70 2" xfId="0"/>
    <cellStyle name="Accent6 71" xfId="0"/>
    <cellStyle name="Accent6 71 2" xfId="0"/>
    <cellStyle name="Accent6 72" xfId="0"/>
    <cellStyle name="Accent6 72 2" xfId="0"/>
    <cellStyle name="Accent6 73" xfId="0"/>
    <cellStyle name="Accent6 74" xfId="0"/>
    <cellStyle name="Accent6 75" xfId="0"/>
    <cellStyle name="Accent6 76" xfId="0"/>
    <cellStyle name="Accent6 77" xfId="0"/>
    <cellStyle name="Accent6 78" xfId="0"/>
    <cellStyle name="Accent6 79" xfId="0"/>
    <cellStyle name="Accent6 8" xfId="0"/>
    <cellStyle name="Accent6 8 2" xfId="0"/>
    <cellStyle name="Accent6 8 3" xfId="0"/>
    <cellStyle name="Accent6 8 4" xfId="0"/>
    <cellStyle name="Accent6 80" xfId="0"/>
    <cellStyle name="Accent6 81" xfId="0"/>
    <cellStyle name="Accent6 82" xfId="0"/>
    <cellStyle name="Accent6 83" xfId="0"/>
    <cellStyle name="Accent6 84" xfId="0"/>
    <cellStyle name="Accent6 85" xfId="0"/>
    <cellStyle name="Accent6 86" xfId="0"/>
    <cellStyle name="Accent6 87" xfId="0"/>
    <cellStyle name="Accent6 88" xfId="0"/>
    <cellStyle name="Accent6 89" xfId="0"/>
    <cellStyle name="Accent6 9" xfId="0"/>
    <cellStyle name="Accent6 9 2" xfId="0"/>
    <cellStyle name="Accent6 9 2 2" xfId="0"/>
    <cellStyle name="Accent6 9 3" xfId="0"/>
    <cellStyle name="Accent6 9 4" xfId="0"/>
    <cellStyle name="Accent6 90" xfId="0"/>
    <cellStyle name="Accent6 91" xfId="0"/>
    <cellStyle name="Accent6 92" xfId="0"/>
    <cellStyle name="Accent6 93" xfId="0"/>
    <cellStyle name="Accent6 94" xfId="0"/>
    <cellStyle name="Accent6 95" xfId="0"/>
    <cellStyle name="Accent6 96" xfId="0"/>
    <cellStyle name="Accent6 97" xfId="0"/>
    <cellStyle name="Accent6 98" xfId="0"/>
    <cellStyle name="Accent6 99" xfId="0"/>
    <cellStyle name="Accent6_13-wk VSA_Revised" xfId="0"/>
    <cellStyle name="Akzent1" xfId="0"/>
    <cellStyle name="Akzent1 2" xfId="0"/>
    <cellStyle name="Akzent2" xfId="0"/>
    <cellStyle name="Akzent2 2" xfId="0"/>
    <cellStyle name="Akzent3" xfId="0"/>
    <cellStyle name="Akzent3 2" xfId="0"/>
    <cellStyle name="Akzent4" xfId="0"/>
    <cellStyle name="Akzent4 2" xfId="0"/>
    <cellStyle name="Akzent5" xfId="0"/>
    <cellStyle name="Akzent5 2" xfId="0"/>
    <cellStyle name="Akzent6" xfId="0"/>
    <cellStyle name="Akzent6 2" xfId="0"/>
    <cellStyle name="args.style" xfId="0"/>
    <cellStyle name="args.style 2" xfId="0"/>
    <cellStyle name="args.style 2 2" xfId="0"/>
    <cellStyle name="args.style 3" xfId="0"/>
    <cellStyle name="args.style_Prod Line MTD" xfId="0"/>
    <cellStyle name="Ausgabe" xfId="0"/>
    <cellStyle name="Ausgabe 2" xfId="0"/>
    <cellStyle name="Bad 1" xfId="0"/>
    <cellStyle name="Bad 10" xfId="0"/>
    <cellStyle name="Bad 10 2" xfId="0"/>
    <cellStyle name="Bad 11" xfId="0"/>
    <cellStyle name="Bad 11 2" xfId="0"/>
    <cellStyle name="Bad 12" xfId="0"/>
    <cellStyle name="Bad 12 2" xfId="0"/>
    <cellStyle name="Bad 13" xfId="0"/>
    <cellStyle name="Bad 13 2" xfId="0"/>
    <cellStyle name="Bad 14" xfId="0"/>
    <cellStyle name="Bad 14 2" xfId="0"/>
    <cellStyle name="Bad 15" xfId="0"/>
    <cellStyle name="Bad 15 2" xfId="0"/>
    <cellStyle name="Bad 16" xfId="0"/>
    <cellStyle name="Bad 16 2" xfId="0"/>
    <cellStyle name="Bad 17" xfId="0"/>
    <cellStyle name="Bad 17 2" xfId="0"/>
    <cellStyle name="Bad 18" xfId="0"/>
    <cellStyle name="Bad 18 2" xfId="0"/>
    <cellStyle name="Bad 19" xfId="0"/>
    <cellStyle name="Bad 19 2" xfId="0"/>
    <cellStyle name="Bad 2" xfId="0"/>
    <cellStyle name="Bad 2 2" xfId="0"/>
    <cellStyle name="Bad 2 2 2" xfId="0"/>
    <cellStyle name="Bad 2 2 3" xfId="0"/>
    <cellStyle name="Bad 2 3" xfId="0"/>
    <cellStyle name="Bad 2 3 2" xfId="0"/>
    <cellStyle name="Bad 2 3 3" xfId="0"/>
    <cellStyle name="Bad 2 4" xfId="0"/>
    <cellStyle name="Bad 2 4 2" xfId="0"/>
    <cellStyle name="Bad 2 5" xfId="0"/>
    <cellStyle name="Bad 2 5 2" xfId="0"/>
    <cellStyle name="Bad 2 6" xfId="0"/>
    <cellStyle name="Bad 2 7" xfId="0"/>
    <cellStyle name="Bad 2 8" xfId="0"/>
    <cellStyle name="Bad 20" xfId="0"/>
    <cellStyle name="Bad 20 2" xfId="0"/>
    <cellStyle name="Bad 21" xfId="0"/>
    <cellStyle name="Bad 21 2" xfId="0"/>
    <cellStyle name="Bad 22" xfId="0"/>
    <cellStyle name="Bad 22 2" xfId="0"/>
    <cellStyle name="Bad 23" xfId="0"/>
    <cellStyle name="Bad 23 2" xfId="0"/>
    <cellStyle name="Bad 24" xfId="0"/>
    <cellStyle name="Bad 25" xfId="0"/>
    <cellStyle name="Bad 26" xfId="0"/>
    <cellStyle name="Bad 27" xfId="0"/>
    <cellStyle name="Bad 28" xfId="0"/>
    <cellStyle name="Bad 29" xfId="0"/>
    <cellStyle name="Bad 2_Profitability Detail NT$ Sep-12" xfId="0"/>
    <cellStyle name="Bad 3" xfId="0"/>
    <cellStyle name="Bad 3 2" xfId="0"/>
    <cellStyle name="Bad 3 2 2" xfId="0"/>
    <cellStyle name="Bad 3 3" xfId="0"/>
    <cellStyle name="Bad 3 3 2" xfId="0"/>
    <cellStyle name="Bad 3 4" xfId="0"/>
    <cellStyle name="Bad 3 4 2" xfId="0"/>
    <cellStyle name="Bad 3 5" xfId="0"/>
    <cellStyle name="Bad 3 5 2" xfId="0"/>
    <cellStyle name="Bad 3 6" xfId="0"/>
    <cellStyle name="Bad 3 7" xfId="0"/>
    <cellStyle name="Bad 30" xfId="0"/>
    <cellStyle name="Bad 31" xfId="0"/>
    <cellStyle name="Bad 32" xfId="0"/>
    <cellStyle name="Bad 33" xfId="0"/>
    <cellStyle name="Bad 34" xfId="0"/>
    <cellStyle name="Bad 35" xfId="0"/>
    <cellStyle name="Bad 3_Profitability Detail NT$ Sep-12" xfId="0"/>
    <cellStyle name="Bad 4" xfId="0"/>
    <cellStyle name="Bad 4 2" xfId="0"/>
    <cellStyle name="Bad 4 2 2" xfId="0"/>
    <cellStyle name="Bad 4 3" xfId="0"/>
    <cellStyle name="Bad 4 3 2" xfId="0"/>
    <cellStyle name="Bad 4 4" xfId="0"/>
    <cellStyle name="Bad 4 4 2" xfId="0"/>
    <cellStyle name="Bad 4 5" xfId="0"/>
    <cellStyle name="Bad 4 5 2" xfId="0"/>
    <cellStyle name="Bad 4 6" xfId="0"/>
    <cellStyle name="Bad 4 7" xfId="0"/>
    <cellStyle name="Bad 4_Profitability Detail NT$ Sep-12" xfId="0"/>
    <cellStyle name="Bad 5" xfId="0"/>
    <cellStyle name="Bad 5 2" xfId="0"/>
    <cellStyle name="Bad 5 3" xfId="0"/>
    <cellStyle name="Bad 5 4" xfId="0"/>
    <cellStyle name="Bad 6" xfId="0"/>
    <cellStyle name="Bad 6 2" xfId="0"/>
    <cellStyle name="Bad 6 3" xfId="0"/>
    <cellStyle name="Bad 7" xfId="0"/>
    <cellStyle name="Bad 7 2" xfId="0"/>
    <cellStyle name="Bad 8" xfId="0"/>
    <cellStyle name="Bad 8 2" xfId="0"/>
    <cellStyle name="Bad 9" xfId="0"/>
    <cellStyle name="Bad 9 2" xfId="0"/>
    <cellStyle name="Bad_13-wk VSA_Revised" xfId="0"/>
    <cellStyle name="Berechnung" xfId="0"/>
    <cellStyle name="Berechnung 2" xfId="0"/>
    <cellStyle name="Calc Currency (0)" xfId="0"/>
    <cellStyle name="Calc Currency (0) 2" xfId="0"/>
    <cellStyle name="Calc Currency (0)_090424 WMR_VSE (2)" xfId="0"/>
    <cellStyle name="Calc Currency (2)" xfId="0"/>
    <cellStyle name="Calc Percent (0)" xfId="0"/>
    <cellStyle name="Calc Percent (1)" xfId="0"/>
    <cellStyle name="Calc Percent (2)" xfId="0"/>
    <cellStyle name="Calc Units (0)" xfId="0"/>
    <cellStyle name="Calc Units (1)" xfId="0"/>
    <cellStyle name="Calc Units (2)" xfId="0"/>
    <cellStyle name="Calculation" xfId="0"/>
    <cellStyle name="Calculation 10" xfId="0"/>
    <cellStyle name="Calculation 10 2" xfId="0"/>
    <cellStyle name="Calculation 10 3" xfId="0"/>
    <cellStyle name="Calculation 11" xfId="0"/>
    <cellStyle name="Calculation 11 2" xfId="0"/>
    <cellStyle name="Calculation 12" xfId="0"/>
    <cellStyle name="Calculation 12 2" xfId="0"/>
    <cellStyle name="Calculation 13" xfId="0"/>
    <cellStyle name="Calculation 13 2" xfId="0"/>
    <cellStyle name="Calculation 14" xfId="0"/>
    <cellStyle name="Calculation 14 2" xfId="0"/>
    <cellStyle name="Calculation 15" xfId="0"/>
    <cellStyle name="Calculation 15 2" xfId="0"/>
    <cellStyle name="Calculation 16" xfId="0"/>
    <cellStyle name="Calculation 16 2" xfId="0"/>
    <cellStyle name="Calculation 17" xfId="0"/>
    <cellStyle name="Calculation 17 2" xfId="0"/>
    <cellStyle name="Calculation 18" xfId="0"/>
    <cellStyle name="Calculation 18 2" xfId="0"/>
    <cellStyle name="Calculation 19" xfId="0"/>
    <cellStyle name="Calculation 19 2" xfId="0"/>
    <cellStyle name="Calculation 2" xfId="0"/>
    <cellStyle name="Calculation 2 2" xfId="0"/>
    <cellStyle name="Calculation 2 2 2" xfId="0"/>
    <cellStyle name="Calculation 2 2 2 2" xfId="0"/>
    <cellStyle name="Calculation 2 2 3" xfId="0"/>
    <cellStyle name="Calculation 2 3" xfId="0"/>
    <cellStyle name="Calculation 2 3 2" xfId="0"/>
    <cellStyle name="Calculation 2 3 3" xfId="0"/>
    <cellStyle name="Calculation 2 4" xfId="0"/>
    <cellStyle name="Calculation 2 4 2" xfId="0"/>
    <cellStyle name="Calculation 2 5" xfId="0"/>
    <cellStyle name="Calculation 2 5 2" xfId="0"/>
    <cellStyle name="Calculation 2 6" xfId="0"/>
    <cellStyle name="Calculation 2 7" xfId="0"/>
    <cellStyle name="Calculation 2 8" xfId="0"/>
    <cellStyle name="Calculation 20" xfId="0"/>
    <cellStyle name="Calculation 20 2" xfId="0"/>
    <cellStyle name="Calculation 21" xfId="0"/>
    <cellStyle name="Calculation 21 2" xfId="0"/>
    <cellStyle name="Calculation 22" xfId="0"/>
    <cellStyle name="Calculation 22 2" xfId="0"/>
    <cellStyle name="Calculation 23" xfId="0"/>
    <cellStyle name="Calculation 23 2" xfId="0"/>
    <cellStyle name="Calculation 24" xfId="0"/>
    <cellStyle name="Calculation 25" xfId="0"/>
    <cellStyle name="Calculation 26" xfId="0"/>
    <cellStyle name="Calculation 27" xfId="0"/>
    <cellStyle name="Calculation 28" xfId="0"/>
    <cellStyle name="Calculation 29" xfId="0"/>
    <cellStyle name="Calculation 2_Market Fresh Cost" xfId="0"/>
    <cellStyle name="Calculation 3" xfId="0"/>
    <cellStyle name="Calculation 3 2" xfId="0"/>
    <cellStyle name="Calculation 3 2 2" xfId="0"/>
    <cellStyle name="Calculation 3 3" xfId="0"/>
    <cellStyle name="Calculation 3 3 2" xfId="0"/>
    <cellStyle name="Calculation 3 4" xfId="0"/>
    <cellStyle name="Calculation 3 4 2" xfId="0"/>
    <cellStyle name="Calculation 3 5" xfId="0"/>
    <cellStyle name="Calculation 3 5 2" xfId="0"/>
    <cellStyle name="Calculation 3 6" xfId="0"/>
    <cellStyle name="Calculation 3 7" xfId="0"/>
    <cellStyle name="Calculation 30" xfId="0"/>
    <cellStyle name="Calculation 31" xfId="0"/>
    <cellStyle name="Calculation 32" xfId="0"/>
    <cellStyle name="Calculation 33" xfId="0"/>
    <cellStyle name="Calculation 34" xfId="0"/>
    <cellStyle name="Calculation 35" xfId="0"/>
    <cellStyle name="Calculation 3_Profitability Detail NT$ Sep-12" xfId="0"/>
    <cellStyle name="Calculation 4" xfId="0"/>
    <cellStyle name="Calculation 4 2" xfId="0"/>
    <cellStyle name="Calculation 4 2 2" xfId="0"/>
    <cellStyle name="Calculation 4 3" xfId="0"/>
    <cellStyle name="Calculation 4 3 2" xfId="0"/>
    <cellStyle name="Calculation 4 4" xfId="0"/>
    <cellStyle name="Calculation 4 4 2" xfId="0"/>
    <cellStyle name="Calculation 4 5" xfId="0"/>
    <cellStyle name="Calculation 4 5 2" xfId="0"/>
    <cellStyle name="Calculation 4 6" xfId="0"/>
    <cellStyle name="Calculation 4 7" xfId="0"/>
    <cellStyle name="Calculation 4_Profitability Detail NT$ Sep-12" xfId="0"/>
    <cellStyle name="Calculation 5" xfId="0"/>
    <cellStyle name="Calculation 5 2" xfId="0"/>
    <cellStyle name="Calculation 5 3" xfId="0"/>
    <cellStyle name="Calculation 5 4" xfId="0"/>
    <cellStyle name="Calculation 6" xfId="0"/>
    <cellStyle name="Calculation 6 2" xfId="0"/>
    <cellStyle name="Calculation 6 3" xfId="0"/>
    <cellStyle name="Calculation 7" xfId="0"/>
    <cellStyle name="Calculation 7 2" xfId="0"/>
    <cellStyle name="Calculation 7 3" xfId="0"/>
    <cellStyle name="Calculation 8" xfId="0"/>
    <cellStyle name="Calculation 8 2" xfId="0"/>
    <cellStyle name="Calculation 8 3" xfId="0"/>
    <cellStyle name="Calculation 9" xfId="0"/>
    <cellStyle name="Calculation 9 2" xfId="0"/>
    <cellStyle name="Calculation 9 3" xfId="0"/>
    <cellStyle name="Calculation_13-wk VSA_Revised" xfId="0"/>
    <cellStyle name="Centered Heading" xfId="0"/>
    <cellStyle name="Centered Heading 2" xfId="0"/>
    <cellStyle name="Check Cell" xfId="0"/>
    <cellStyle name="Check Cell 10" xfId="0"/>
    <cellStyle name="Check Cell 10 2" xfId="0"/>
    <cellStyle name="Check Cell 10 3" xfId="0"/>
    <cellStyle name="Check Cell 11" xfId="0"/>
    <cellStyle name="Check Cell 11 2" xfId="0"/>
    <cellStyle name="Check Cell 12" xfId="0"/>
    <cellStyle name="Check Cell 12 2" xfId="0"/>
    <cellStyle name="Check Cell 13" xfId="0"/>
    <cellStyle name="Check Cell 13 2" xfId="0"/>
    <cellStyle name="Check Cell 14" xfId="0"/>
    <cellStyle name="Check Cell 14 2" xfId="0"/>
    <cellStyle name="Check Cell 15" xfId="0"/>
    <cellStyle name="Check Cell 15 2" xfId="0"/>
    <cellStyle name="Check Cell 16" xfId="0"/>
    <cellStyle name="Check Cell 16 2" xfId="0"/>
    <cellStyle name="Check Cell 17" xfId="0"/>
    <cellStyle name="Check Cell 17 2" xfId="0"/>
    <cellStyle name="Check Cell 18" xfId="0"/>
    <cellStyle name="Check Cell 18 2" xfId="0"/>
    <cellStyle name="Check Cell 19" xfId="0"/>
    <cellStyle name="Check Cell 19 2" xfId="0"/>
    <cellStyle name="Check Cell 2" xfId="0"/>
    <cellStyle name="Check Cell 2 10" xfId="0"/>
    <cellStyle name="Check Cell 2 2" xfId="0"/>
    <cellStyle name="Check Cell 2 2 2" xfId="0"/>
    <cellStyle name="Check Cell 2 2 3" xfId="0"/>
    <cellStyle name="Check Cell 2 2 4" xfId="0"/>
    <cellStyle name="Check Cell 2 2 5" xfId="0"/>
    <cellStyle name="Check Cell 2 2 6" xfId="0"/>
    <cellStyle name="Check Cell 2 2 7" xfId="0"/>
    <cellStyle name="Check Cell 2 2 8" xfId="0"/>
    <cellStyle name="Check Cell 2 3" xfId="0"/>
    <cellStyle name="Check Cell 2 3 2" xfId="0"/>
    <cellStyle name="Check Cell 2 3 3" xfId="0"/>
    <cellStyle name="Check Cell 2 4" xfId="0"/>
    <cellStyle name="Check Cell 2 4 2" xfId="0"/>
    <cellStyle name="Check Cell 2 5" xfId="0"/>
    <cellStyle name="Check Cell 2 5 2" xfId="0"/>
    <cellStyle name="Check Cell 2 6" xfId="0"/>
    <cellStyle name="Check Cell 2 6 2" xfId="0"/>
    <cellStyle name="Check Cell 2 7" xfId="0"/>
    <cellStyle name="Check Cell 2 8" xfId="0"/>
    <cellStyle name="Check Cell 2 9" xfId="0"/>
    <cellStyle name="Check Cell 20" xfId="0"/>
    <cellStyle name="Check Cell 20 2" xfId="0"/>
    <cellStyle name="Check Cell 21" xfId="0"/>
    <cellStyle name="Check Cell 21 2" xfId="0"/>
    <cellStyle name="Check Cell 22" xfId="0"/>
    <cellStyle name="Check Cell 22 2" xfId="0"/>
    <cellStyle name="Check Cell 23" xfId="0"/>
    <cellStyle name="Check Cell 23 2" xfId="0"/>
    <cellStyle name="Check Cell 24" xfId="0"/>
    <cellStyle name="Check Cell 25" xfId="0"/>
    <cellStyle name="Check Cell 26" xfId="0"/>
    <cellStyle name="Check Cell 27" xfId="0"/>
    <cellStyle name="Check Cell 28" xfId="0"/>
    <cellStyle name="Check Cell 29" xfId="0"/>
    <cellStyle name="Check Cell 2_Market Fresh Cost" xfId="0"/>
    <cellStyle name="Check Cell 3" xfId="0"/>
    <cellStyle name="Check Cell 3 10" xfId="0"/>
    <cellStyle name="Check Cell 3 2" xfId="0"/>
    <cellStyle name="Check Cell 3 2 2" xfId="0"/>
    <cellStyle name="Check Cell 3 2 3" xfId="0"/>
    <cellStyle name="Check Cell 3 2 4" xfId="0"/>
    <cellStyle name="Check Cell 3 2 5" xfId="0"/>
    <cellStyle name="Check Cell 3 2 6" xfId="0"/>
    <cellStyle name="Check Cell 3 2 7" xfId="0"/>
    <cellStyle name="Check Cell 3 3" xfId="0"/>
    <cellStyle name="Check Cell 3 3 2" xfId="0"/>
    <cellStyle name="Check Cell 3 4" xfId="0"/>
    <cellStyle name="Check Cell 3 4 2" xfId="0"/>
    <cellStyle name="Check Cell 3 5" xfId="0"/>
    <cellStyle name="Check Cell 3 5 2" xfId="0"/>
    <cellStyle name="Check Cell 3 6" xfId="0"/>
    <cellStyle name="Check Cell 3 6 2" xfId="0"/>
    <cellStyle name="Check Cell 3 7" xfId="0"/>
    <cellStyle name="Check Cell 3 7 2" xfId="0"/>
    <cellStyle name="Check Cell 3 8" xfId="0"/>
    <cellStyle name="Check Cell 3 9" xfId="0"/>
    <cellStyle name="Check Cell 30" xfId="0"/>
    <cellStyle name="Check Cell 3_Profitability Detail NT$ Sep-12" xfId="0"/>
    <cellStyle name="Check Cell 4" xfId="0"/>
    <cellStyle name="Check Cell 4 10" xfId="0"/>
    <cellStyle name="Check Cell 4 2" xfId="0"/>
    <cellStyle name="Check Cell 4 2 2" xfId="0"/>
    <cellStyle name="Check Cell 4 2 3" xfId="0"/>
    <cellStyle name="Check Cell 4 2 4" xfId="0"/>
    <cellStyle name="Check Cell 4 2 5" xfId="0"/>
    <cellStyle name="Check Cell 4 2 6" xfId="0"/>
    <cellStyle name="Check Cell 4 2 7" xfId="0"/>
    <cellStyle name="Check Cell 4 3" xfId="0"/>
    <cellStyle name="Check Cell 4 3 2" xfId="0"/>
    <cellStyle name="Check Cell 4 4" xfId="0"/>
    <cellStyle name="Check Cell 4 4 2" xfId="0"/>
    <cellStyle name="Check Cell 4 5" xfId="0"/>
    <cellStyle name="Check Cell 4 5 2" xfId="0"/>
    <cellStyle name="Check Cell 4 6" xfId="0"/>
    <cellStyle name="Check Cell 4 6 2" xfId="0"/>
    <cellStyle name="Check Cell 4 7" xfId="0"/>
    <cellStyle name="Check Cell 4 7 2" xfId="0"/>
    <cellStyle name="Check Cell 4 8" xfId="0"/>
    <cellStyle name="Check Cell 4 9" xfId="0"/>
    <cellStyle name="Check Cell 4_Profitability Detail NT$ Sep-12" xfId="0"/>
    <cellStyle name="Check Cell 5" xfId="0"/>
    <cellStyle name="Check Cell 5 2" xfId="0"/>
    <cellStyle name="Check Cell 5 3" xfId="0"/>
    <cellStyle name="Check Cell 6" xfId="0"/>
    <cellStyle name="Check Cell 6 2" xfId="0"/>
    <cellStyle name="Check Cell 6 3" xfId="0"/>
    <cellStyle name="Check Cell 7" xfId="0"/>
    <cellStyle name="Check Cell 7 2" xfId="0"/>
    <cellStyle name="Check Cell 7 3" xfId="0"/>
    <cellStyle name="Check Cell 8" xfId="0"/>
    <cellStyle name="Check Cell 8 2" xfId="0"/>
    <cellStyle name="Check Cell 8 3" xfId="0"/>
    <cellStyle name="Check Cell 9" xfId="0"/>
    <cellStyle name="Check Cell 9 2" xfId="0"/>
    <cellStyle name="Check Cell 9 3" xfId="0"/>
    <cellStyle name="Check Cell_13-wk VSA_Revised" xfId="0"/>
    <cellStyle name="Column Header" xfId="0"/>
    <cellStyle name="Column Header 2" xfId="0"/>
    <cellStyle name="Column_Title" xfId="0"/>
    <cellStyle name="ColumnHeading" xfId="0"/>
    <cellStyle name="ColumnHeading 2" xfId="0"/>
    <cellStyle name="ColumnHeading 3" xfId="0"/>
    <cellStyle name="Comma %" xfId="0"/>
    <cellStyle name="Comma % 2" xfId="0"/>
    <cellStyle name="Comma % 3" xfId="0"/>
    <cellStyle name="Comma (0)" xfId="0"/>
    <cellStyle name="Comma 0.0" xfId="0"/>
    <cellStyle name="Comma 0.0%" xfId="0"/>
    <cellStyle name="Comma 0.00" xfId="0"/>
    <cellStyle name="Comma 0.00%" xfId="0"/>
    <cellStyle name="Comma 0.000" xfId="0"/>
    <cellStyle name="Comma 0.000%" xfId="0"/>
    <cellStyle name="Comma 0.0000" xfId="0"/>
    <cellStyle name="Comma 10" xfId="0"/>
    <cellStyle name="Comma 10 2" xfId="0"/>
    <cellStyle name="Comma 10 3" xfId="0"/>
    <cellStyle name="Comma 11" xfId="0"/>
    <cellStyle name="Comma 12" xfId="0"/>
    <cellStyle name="Comma 13" xfId="0"/>
    <cellStyle name="Comma 14" xfId="0"/>
    <cellStyle name="Comma 15" xfId="0"/>
    <cellStyle name="Comma 16" xfId="0"/>
    <cellStyle name="Comma 17" xfId="0"/>
    <cellStyle name="Comma 18" xfId="0"/>
    <cellStyle name="Comma 19" xfId="0"/>
    <cellStyle name="Comma 2" xfId="0"/>
    <cellStyle name="Comma 2 2" xfId="0"/>
    <cellStyle name="Comma 2 2 2" xfId="0"/>
    <cellStyle name="Comma 2 2 2 2" xfId="0"/>
    <cellStyle name="Comma 2 2 3" xfId="0"/>
    <cellStyle name="Comma 2 3" xfId="0"/>
    <cellStyle name="Comma 2 3 2" xfId="0"/>
    <cellStyle name="Comma 2 4" xfId="0"/>
    <cellStyle name="Comma 2 4 2" xfId="0"/>
    <cellStyle name="Comma 2 5" xfId="0"/>
    <cellStyle name="Comma 2 5 2" xfId="0"/>
    <cellStyle name="Comma 2 6" xfId="0"/>
    <cellStyle name="Comma 2 7" xfId="0"/>
    <cellStyle name="Comma 20" xfId="0"/>
    <cellStyle name="Comma 21" xfId="0"/>
    <cellStyle name="Comma 22" xfId="0"/>
    <cellStyle name="Comma 23" xfId="0"/>
    <cellStyle name="Comma 24" xfId="0"/>
    <cellStyle name="Comma 25" xfId="0"/>
    <cellStyle name="Comma 26" xfId="0"/>
    <cellStyle name="Comma 27" xfId="0"/>
    <cellStyle name="Comma 28" xfId="0"/>
    <cellStyle name="Comma 29" xfId="0"/>
    <cellStyle name="Comma 2_BU Allocation" xfId="0"/>
    <cellStyle name="Comma 3" xfId="0"/>
    <cellStyle name="Comma 3 2" xfId="0"/>
    <cellStyle name="Comma 3 2 2" xfId="0"/>
    <cellStyle name="Comma 3 3" xfId="0"/>
    <cellStyle name="Comma 30" xfId="0"/>
    <cellStyle name="Comma 31" xfId="0"/>
    <cellStyle name="Comma 32" xfId="0"/>
    <cellStyle name="Comma 33" xfId="0"/>
    <cellStyle name="Comma 34" xfId="0"/>
    <cellStyle name="Comma 4" xfId="0"/>
    <cellStyle name="Comma 4 2" xfId="0"/>
    <cellStyle name="Comma 4 2 2" xfId="0"/>
    <cellStyle name="Comma 4 3" xfId="0"/>
    <cellStyle name="Comma 5" xfId="0"/>
    <cellStyle name="Comma 5 2" xfId="0"/>
    <cellStyle name="Comma 5 2 2" xfId="0"/>
    <cellStyle name="Comma 5 3" xfId="0"/>
    <cellStyle name="Comma 5 3 2" xfId="0"/>
    <cellStyle name="Comma 5 4" xfId="0"/>
    <cellStyle name="Comma 5 4 2" xfId="0"/>
    <cellStyle name="Comma 5 5" xfId="0"/>
    <cellStyle name="Comma 6" xfId="0"/>
    <cellStyle name="Comma 6 2" xfId="0"/>
    <cellStyle name="Comma 6 2 2" xfId="0"/>
    <cellStyle name="Comma 6 3" xfId="0"/>
    <cellStyle name="Comma 7" xfId="0"/>
    <cellStyle name="Comma 7 2" xfId="0"/>
    <cellStyle name="Comma 7 2 2" xfId="0"/>
    <cellStyle name="Comma 7 3" xfId="0"/>
    <cellStyle name="Comma 7 4" xfId="0"/>
    <cellStyle name="Comma 8" xfId="0"/>
    <cellStyle name="Comma 8 2" xfId="0"/>
    <cellStyle name="Comma 8 2 2" xfId="0"/>
    <cellStyle name="Comma 8 2 2 2" xfId="0"/>
    <cellStyle name="Comma 8 2 2 2 2" xfId="0"/>
    <cellStyle name="Comma 8 2 2 2 2 2" xfId="0"/>
    <cellStyle name="Comma 8 2 2 2 2 2 2" xfId="0"/>
    <cellStyle name="Comma 8 2 2 2 2 3" xfId="0"/>
    <cellStyle name="Comma 8 2 2 2 3" xfId="0"/>
    <cellStyle name="Comma 8 2 2 2 3 2" xfId="0"/>
    <cellStyle name="Comma 8 2 2 2 4" xfId="0"/>
    <cellStyle name="Comma 8 2 2 3" xfId="0"/>
    <cellStyle name="Comma 8 2 2 3 2" xfId="0"/>
    <cellStyle name="Comma 8 2 2 3 2 2" xfId="0"/>
    <cellStyle name="Comma 8 2 2 3 3" xfId="0"/>
    <cellStyle name="Comma 8 2 2 4" xfId="0"/>
    <cellStyle name="Comma 8 2 2 4 2" xfId="0"/>
    <cellStyle name="Comma 8 2 2 5" xfId="0"/>
    <cellStyle name="Comma 8 2 3" xfId="0"/>
    <cellStyle name="Comma 8 2 3 2" xfId="0"/>
    <cellStyle name="Comma 8 2 3 2 2" xfId="0"/>
    <cellStyle name="Comma 8 2 3 2 2 2" xfId="0"/>
    <cellStyle name="Comma 8 2 3 2 3" xfId="0"/>
    <cellStyle name="Comma 8 2 3 3" xfId="0"/>
    <cellStyle name="Comma 8 2 3 3 2" xfId="0"/>
    <cellStyle name="Comma 8 2 3 4" xfId="0"/>
    <cellStyle name="Comma 8 2 4" xfId="0"/>
    <cellStyle name="Comma 8 2 4 2" xfId="0"/>
    <cellStyle name="Comma 8 2 4 2 2" xfId="0"/>
    <cellStyle name="Comma 8 2 4 3" xfId="0"/>
    <cellStyle name="Comma 8 2 5" xfId="0"/>
    <cellStyle name="Comma 8 2 5 2" xfId="0"/>
    <cellStyle name="Comma 8 2 6" xfId="0"/>
    <cellStyle name="Comma 8 2 7" xfId="0"/>
    <cellStyle name="Comma 8 3" xfId="0"/>
    <cellStyle name="Comma 8 3 2" xfId="0"/>
    <cellStyle name="Comma 8 3 2 2" xfId="0"/>
    <cellStyle name="Comma 8 3 2 2 2" xfId="0"/>
    <cellStyle name="Comma 8 3 2 2 2 2" xfId="0"/>
    <cellStyle name="Comma 8 3 2 2 3" xfId="0"/>
    <cellStyle name="Comma 8 3 2 3" xfId="0"/>
    <cellStyle name="Comma 8 3 2 3 2" xfId="0"/>
    <cellStyle name="Comma 8 3 2 4" xfId="0"/>
    <cellStyle name="Comma 8 3 3" xfId="0"/>
    <cellStyle name="Comma 8 3 3 2" xfId="0"/>
    <cellStyle name="Comma 8 3 3 2 2" xfId="0"/>
    <cellStyle name="Comma 8 3 3 3" xfId="0"/>
    <cellStyle name="Comma 8 3 4" xfId="0"/>
    <cellStyle name="Comma 8 3 4 2" xfId="0"/>
    <cellStyle name="Comma 8 3 5" xfId="0"/>
    <cellStyle name="Comma 8 4" xfId="0"/>
    <cellStyle name="Comma 8 4 2" xfId="0"/>
    <cellStyle name="Comma 8 4 2 2" xfId="0"/>
    <cellStyle name="Comma 8 4 2 2 2" xfId="0"/>
    <cellStyle name="Comma 8 4 2 3" xfId="0"/>
    <cellStyle name="Comma 8 4 3" xfId="0"/>
    <cellStyle name="Comma 8 4 3 2" xfId="0"/>
    <cellStyle name="Comma 8 4 4" xfId="0"/>
    <cellStyle name="Comma 8 5" xfId="0"/>
    <cellStyle name="Comma 8 5 2" xfId="0"/>
    <cellStyle name="Comma 8 5 2 2" xfId="0"/>
    <cellStyle name="Comma 8 5 3" xfId="0"/>
    <cellStyle name="Comma 8 6" xfId="0"/>
    <cellStyle name="Comma 8 6 2" xfId="0"/>
    <cellStyle name="Comma 8 7" xfId="0"/>
    <cellStyle name="Comma 8 8" xfId="0"/>
    <cellStyle name="Comma 9" xfId="0"/>
    <cellStyle name="Comma 9 2" xfId="0"/>
    <cellStyle name="Comma 9 3" xfId="0"/>
    <cellStyle name="Comma [00]" xfId="0"/>
    <cellStyle name="Company Name" xfId="0"/>
    <cellStyle name="Company Name 2" xfId="0"/>
    <cellStyle name="Copied" xfId="0"/>
    <cellStyle name="Copied 10" xfId="0"/>
    <cellStyle name="Copied 10 2" xfId="0"/>
    <cellStyle name="Copied 11" xfId="0"/>
    <cellStyle name="Copied 11 2" xfId="0"/>
    <cellStyle name="Copied 12" xfId="0"/>
    <cellStyle name="Copied 2" xfId="0"/>
    <cellStyle name="Copied 2 2" xfId="0"/>
    <cellStyle name="Copied 3" xfId="0"/>
    <cellStyle name="Copied 3 2" xfId="0"/>
    <cellStyle name="Copied 4" xfId="0"/>
    <cellStyle name="Copied 4 2" xfId="0"/>
    <cellStyle name="Copied 5" xfId="0"/>
    <cellStyle name="Copied 5 2" xfId="0"/>
    <cellStyle name="Copied 6" xfId="0"/>
    <cellStyle name="Copied 6 2" xfId="0"/>
    <cellStyle name="Copied 7" xfId="0"/>
    <cellStyle name="Copied 7 2" xfId="0"/>
    <cellStyle name="Copied 8" xfId="0"/>
    <cellStyle name="Copied 8 2" xfId="0"/>
    <cellStyle name="Copied 9" xfId="0"/>
    <cellStyle name="Copied 9 2" xfId="0"/>
    <cellStyle name="COST1" xfId="0"/>
    <cellStyle name="COST1 2" xfId="0"/>
    <cellStyle name="COST1 2 2" xfId="0"/>
    <cellStyle name="COST1 3" xfId="0"/>
    <cellStyle name="CR Comma" xfId="0"/>
    <cellStyle name="CR Currency" xfId="0"/>
    <cellStyle name="Credit" xfId="0"/>
    <cellStyle name="Credit subtotal" xfId="0"/>
    <cellStyle name="Credit subtotal 2" xfId="0"/>
    <cellStyle name="Credit Total" xfId="0"/>
    <cellStyle name="Currency %" xfId="0"/>
    <cellStyle name="Currency % 2" xfId="0"/>
    <cellStyle name="Currency % 3" xfId="0"/>
    <cellStyle name="Currency 0.0" xfId="0"/>
    <cellStyle name="Currency 0.0%" xfId="0"/>
    <cellStyle name="Currency 0.00" xfId="0"/>
    <cellStyle name="Currency 0.00%" xfId="0"/>
    <cellStyle name="Currency 0.000" xfId="0"/>
    <cellStyle name="Currency 0.000%" xfId="0"/>
    <cellStyle name="Currency 0.0000" xfId="0"/>
    <cellStyle name="Currency 10" xfId="0"/>
    <cellStyle name="Currency 11" xfId="0"/>
    <cellStyle name="Currency 12" xfId="0"/>
    <cellStyle name="Currency 13" xfId="0"/>
    <cellStyle name="Currency 2" xfId="0"/>
    <cellStyle name="Currency 2 2" xfId="0"/>
    <cellStyle name="Currency 3" xfId="0"/>
    <cellStyle name="Currency 3 2" xfId="0"/>
    <cellStyle name="Currency 4" xfId="0"/>
    <cellStyle name="Currency 4 2" xfId="0"/>
    <cellStyle name="Currency 5" xfId="0"/>
    <cellStyle name="Currency 6" xfId="0"/>
    <cellStyle name="Currency 7" xfId="0"/>
    <cellStyle name="Currency 8" xfId="0"/>
    <cellStyle name="Currency 9" xfId="0"/>
    <cellStyle name="Currency [00]" xfId="0"/>
    <cellStyle name="Date" xfId="0"/>
    <cellStyle name="Date 2" xfId="0"/>
    <cellStyle name="Date 3" xfId="0"/>
    <cellStyle name="Date Short" xfId="0"/>
    <cellStyle name="Debit" xfId="0"/>
    <cellStyle name="Debit subtotal" xfId="0"/>
    <cellStyle name="Debit subtotal 2" xfId="0"/>
    <cellStyle name="Debit Total" xfId="0"/>
    <cellStyle name="Dziesietny [0]_PLDT" xfId="0"/>
    <cellStyle name="Dziesietny [0]_PLDT 10" xfId="0"/>
    <cellStyle name="Dziesietny [0]_PLDT 11" xfId="0"/>
    <cellStyle name="Dziesietny [0]_PLDT 12" xfId="0"/>
    <cellStyle name="Dziesietny [0]_PLDT 2" xfId="0"/>
    <cellStyle name="Dziesietny [0]_PLDT 2 2" xfId="0"/>
    <cellStyle name="Dziesietny [0]_PLDT 2 2 2" xfId="0"/>
    <cellStyle name="Dziesietny [0]_PLDT 2 2 3" xfId="0"/>
    <cellStyle name="Dziesietny [0]_PLDT 2 2 4" xfId="0"/>
    <cellStyle name="Dziesietny [0]_PLDT 2 2 5" xfId="0"/>
    <cellStyle name="Dziesietny [0]_PLDT 3" xfId="0"/>
    <cellStyle name="Dziesietny [0]_PLDT 3 2" xfId="0"/>
    <cellStyle name="Dziesietny [0]_PLDT 3 3" xfId="0"/>
    <cellStyle name="Dziesietny [0]_PLDT 3 4" xfId="0"/>
    <cellStyle name="Dziesietny [0]_PLDT 3 5" xfId="0"/>
    <cellStyle name="Dziesietny [0]_PLDT 4" xfId="0"/>
    <cellStyle name="Dziesietny [0]_PLDT 4 2" xfId="0"/>
    <cellStyle name="Dziesietny [0]_PLDT 4 3" xfId="0"/>
    <cellStyle name="Dziesietny [0]_PLDT 4 4" xfId="0"/>
    <cellStyle name="Dziesietny [0]_PLDT 4 5" xfId="0"/>
    <cellStyle name="Dziesietny [0]_PLDT 5" xfId="0"/>
    <cellStyle name="Dziesietny [0]_PLDT 5 2" xfId="0"/>
    <cellStyle name="Dziesietny [0]_PLDT 5 3" xfId="0"/>
    <cellStyle name="Dziesietny [0]_PLDT 5 4" xfId="0"/>
    <cellStyle name="Dziesietny [0]_PLDT 5 5" xfId="0"/>
    <cellStyle name="Dziesietny [0]_PLDT 6" xfId="0"/>
    <cellStyle name="Dziesietny [0]_PLDT 6 2" xfId="0"/>
    <cellStyle name="Dziesietny [0]_PLDT 6 3" xfId="0"/>
    <cellStyle name="Dziesietny [0]_PLDT 6 4" xfId="0"/>
    <cellStyle name="Dziesietny [0]_PLDT 6 5" xfId="0"/>
    <cellStyle name="Dziesietny [0]_PLDT 7" xfId="0"/>
    <cellStyle name="Dziesietny [0]_PLDT 8" xfId="0"/>
    <cellStyle name="Dziesietny [0]_PLDT 9" xfId="0"/>
    <cellStyle name="Dziesietny_PLDT" xfId="0"/>
    <cellStyle name="Dziesietny_PLDT 10" xfId="0"/>
    <cellStyle name="Dziesietny_PLDT 11" xfId="0"/>
    <cellStyle name="Dziesietny_PLDT 12" xfId="0"/>
    <cellStyle name="Dziesietny_PLDT 2" xfId="0"/>
    <cellStyle name="Dziesietny_PLDT 2 2" xfId="0"/>
    <cellStyle name="Dziesietny_PLDT 2 2 2" xfId="0"/>
    <cellStyle name="Dziesietny_PLDT 2 2 3" xfId="0"/>
    <cellStyle name="Dziesietny_PLDT 2 2 4" xfId="0"/>
    <cellStyle name="Dziesietny_PLDT 2 2 5" xfId="0"/>
    <cellStyle name="Dziesietny_PLDT 3" xfId="0"/>
    <cellStyle name="Dziesietny_PLDT 3 2" xfId="0"/>
    <cellStyle name="Dziesietny_PLDT 3 3" xfId="0"/>
    <cellStyle name="Dziesietny_PLDT 3 4" xfId="0"/>
    <cellStyle name="Dziesietny_PLDT 3 5" xfId="0"/>
    <cellStyle name="Dziesietny_PLDT 4" xfId="0"/>
    <cellStyle name="Dziesietny_PLDT 4 2" xfId="0"/>
    <cellStyle name="Dziesietny_PLDT 4 3" xfId="0"/>
    <cellStyle name="Dziesietny_PLDT 4 4" xfId="0"/>
    <cellStyle name="Dziesietny_PLDT 4 5" xfId="0"/>
    <cellStyle name="Dziesietny_PLDT 5" xfId="0"/>
    <cellStyle name="Dziesietny_PLDT 5 2" xfId="0"/>
    <cellStyle name="Dziesietny_PLDT 5 3" xfId="0"/>
    <cellStyle name="Dziesietny_PLDT 5 4" xfId="0"/>
    <cellStyle name="Dziesietny_PLDT 5 5" xfId="0"/>
    <cellStyle name="Dziesietny_PLDT 6" xfId="0"/>
    <cellStyle name="Dziesietny_PLDT 6 2" xfId="0"/>
    <cellStyle name="Dziesietny_PLDT 6 3" xfId="0"/>
    <cellStyle name="Dziesietny_PLDT 6 4" xfId="0"/>
    <cellStyle name="Dziesietny_PLDT 6 5" xfId="0"/>
    <cellStyle name="Dziesietny_PLDT 7" xfId="0"/>
    <cellStyle name="Dziesietny_PLDT 8" xfId="0"/>
    <cellStyle name="Dziesietny_PLDT 9" xfId="0"/>
    <cellStyle name="Dziesiętny [0]_PLDT" xfId="0"/>
    <cellStyle name="Dziesiętny [0]_PLDT 10" xfId="0"/>
    <cellStyle name="Dziesiętny [0]_PLDT 11" xfId="0"/>
    <cellStyle name="Dziesiętny [0]_PLDT 12" xfId="0"/>
    <cellStyle name="Dziesiętny [0]_PLDT 2" xfId="0"/>
    <cellStyle name="Dziesiętny [0]_PLDT 2 2" xfId="0"/>
    <cellStyle name="Dziesiętny [0]_PLDT 2 2 2" xfId="0"/>
    <cellStyle name="Dziesiętny [0]_PLDT 2 2 3" xfId="0"/>
    <cellStyle name="Dziesiętny [0]_PLDT 2 2 4" xfId="0"/>
    <cellStyle name="Dziesiętny [0]_PLDT 2 2 5" xfId="0"/>
    <cellStyle name="Dziesiętny [0]_PLDT 3" xfId="0"/>
    <cellStyle name="Dziesiętny [0]_PLDT 3 2" xfId="0"/>
    <cellStyle name="Dziesiętny [0]_PLDT 3 3" xfId="0"/>
    <cellStyle name="Dziesiętny [0]_PLDT 3 4" xfId="0"/>
    <cellStyle name="Dziesiętny [0]_PLDT 3 5" xfId="0"/>
    <cellStyle name="Dziesiętny [0]_PLDT 4" xfId="0"/>
    <cellStyle name="Dziesiętny [0]_PLDT 4 2" xfId="0"/>
    <cellStyle name="Dziesiętny [0]_PLDT 4 3" xfId="0"/>
    <cellStyle name="Dziesiętny [0]_PLDT 4 4" xfId="0"/>
    <cellStyle name="Dziesiętny [0]_PLDT 4 5" xfId="0"/>
    <cellStyle name="Dziesiętny [0]_PLDT 5" xfId="0"/>
    <cellStyle name="Dziesiętny [0]_PLDT 5 2" xfId="0"/>
    <cellStyle name="Dziesiętny [0]_PLDT 5 3" xfId="0"/>
    <cellStyle name="Dziesiętny [0]_PLDT 5 4" xfId="0"/>
    <cellStyle name="Dziesiętny [0]_PLDT 5 5" xfId="0"/>
    <cellStyle name="Dziesiętny [0]_PLDT 6" xfId="0"/>
    <cellStyle name="Dziesiętny [0]_PLDT 6 2" xfId="0"/>
    <cellStyle name="Dziesiętny [0]_PLDT 6 3" xfId="0"/>
    <cellStyle name="Dziesiętny [0]_PLDT 6 4" xfId="0"/>
    <cellStyle name="Dziesiętny [0]_PLDT 6 5" xfId="0"/>
    <cellStyle name="Dziesiętny [0]_PLDT 7" xfId="0"/>
    <cellStyle name="Dziesiętny [0]_PLDT 8" xfId="0"/>
    <cellStyle name="Dziesiętny [0]_PLDT 9" xfId="0"/>
    <cellStyle name="Dziesiętny_PLDT" xfId="0"/>
    <cellStyle name="Dziesiętny_PLDT 10" xfId="0"/>
    <cellStyle name="Dziesiętny_PLDT 11" xfId="0"/>
    <cellStyle name="Dziesiętny_PLDT 12" xfId="0"/>
    <cellStyle name="Dziesiętny_PLDT 2" xfId="0"/>
    <cellStyle name="Dziesiętny_PLDT 2 2" xfId="0"/>
    <cellStyle name="Dziesiętny_PLDT 2 2 2" xfId="0"/>
    <cellStyle name="Dziesiętny_PLDT 2 2 3" xfId="0"/>
    <cellStyle name="Dziesiętny_PLDT 2 2 4" xfId="0"/>
    <cellStyle name="Dziesiętny_PLDT 2 2 5" xfId="0"/>
    <cellStyle name="Dziesiętny_PLDT 3" xfId="0"/>
    <cellStyle name="Dziesiętny_PLDT 3 2" xfId="0"/>
    <cellStyle name="Dziesiętny_PLDT 3 3" xfId="0"/>
    <cellStyle name="Dziesiętny_PLDT 3 4" xfId="0"/>
    <cellStyle name="Dziesiętny_PLDT 3 5" xfId="0"/>
    <cellStyle name="Dziesiętny_PLDT 4" xfId="0"/>
    <cellStyle name="Dziesiętny_PLDT 4 2" xfId="0"/>
    <cellStyle name="Dziesiętny_PLDT 4 3" xfId="0"/>
    <cellStyle name="Dziesiętny_PLDT 4 4" xfId="0"/>
    <cellStyle name="Dziesiętny_PLDT 4 5" xfId="0"/>
    <cellStyle name="Dziesiętny_PLDT 5" xfId="0"/>
    <cellStyle name="Dziesiętny_PLDT 5 2" xfId="0"/>
    <cellStyle name="Dziesiętny_PLDT 5 3" xfId="0"/>
    <cellStyle name="Dziesiętny_PLDT 5 4" xfId="0"/>
    <cellStyle name="Dziesiętny_PLDT 5 5" xfId="0"/>
    <cellStyle name="Dziesiętny_PLDT 6" xfId="0"/>
    <cellStyle name="Dziesiętny_PLDT 6 2" xfId="0"/>
    <cellStyle name="Dziesiętny_PLDT 6 3" xfId="0"/>
    <cellStyle name="Dziesiętny_PLDT 6 4" xfId="0"/>
    <cellStyle name="Dziesiętny_PLDT 6 5" xfId="0"/>
    <cellStyle name="Dziesiętny_PLDT 7" xfId="0"/>
    <cellStyle name="Dziesiętny_PLDT 8" xfId="0"/>
    <cellStyle name="Dziesiętny_PLDT 9" xfId="0"/>
    <cellStyle name="Eingabe" xfId="0"/>
    <cellStyle name="Eingabe 2" xfId="0"/>
    <cellStyle name="Emphasis 1" xfId="0"/>
    <cellStyle name="Emphasis 1 2" xfId="0"/>
    <cellStyle name="Emphasis 1 2 2" xfId="0"/>
    <cellStyle name="Emphasis 1 2_Market Fresh Cost" xfId="0"/>
    <cellStyle name="Emphasis 1 3" xfId="0"/>
    <cellStyle name="Emphasis 1 3 2" xfId="0"/>
    <cellStyle name="Emphasis 1 4" xfId="0"/>
    <cellStyle name="Emphasis 1 5" xfId="0"/>
    <cellStyle name="Emphasis 1 6" xfId="0"/>
    <cellStyle name="Emphasis 1_Market Fresh Cost" xfId="0"/>
    <cellStyle name="Emphasis 2" xfId="0"/>
    <cellStyle name="Emphasis 2 2" xfId="0"/>
    <cellStyle name="Emphasis 2 2 2" xfId="0"/>
    <cellStyle name="Emphasis 2 2 2 2" xfId="0"/>
    <cellStyle name="Emphasis 2 2_Market Fresh Cost" xfId="0"/>
    <cellStyle name="Emphasis 2 3" xfId="0"/>
    <cellStyle name="Emphasis 2 3 2" xfId="0"/>
    <cellStyle name="Emphasis 2 4" xfId="0"/>
    <cellStyle name="Emphasis 2 4 2" xfId="0"/>
    <cellStyle name="Emphasis 2 5" xfId="0"/>
    <cellStyle name="Emphasis 2 6" xfId="0"/>
    <cellStyle name="Emphasis 2_Market Fresh Cost" xfId="0"/>
    <cellStyle name="Emphasis 3" xfId="0"/>
    <cellStyle name="Emphasis 3 2" xfId="0"/>
    <cellStyle name="Emphasis 3 2 2" xfId="0"/>
    <cellStyle name="Emphasis 3 2_Market Fresh Cost" xfId="0"/>
    <cellStyle name="Emphasis 3 3" xfId="0"/>
    <cellStyle name="Emphasis 3 3 2" xfId="0"/>
    <cellStyle name="Emphasis 3 4" xfId="0"/>
    <cellStyle name="Emphasis 3 5" xfId="0"/>
    <cellStyle name="Emphasis 3 6" xfId="0"/>
    <cellStyle name="Emphasis 3_Market Fresh Cost" xfId="0"/>
    <cellStyle name="Enter Currency (0)" xfId="0"/>
    <cellStyle name="Enter Currency (2)" xfId="0"/>
    <cellStyle name="Enter Units (0)" xfId="0"/>
    <cellStyle name="Enter Units (1)" xfId="0"/>
    <cellStyle name="Enter Units (2)" xfId="0"/>
    <cellStyle name="Entered" xfId="0"/>
    <cellStyle name="Entered 10" xfId="0"/>
    <cellStyle name="Entered 10 2" xfId="0"/>
    <cellStyle name="Entered 11" xfId="0"/>
    <cellStyle name="Entered 11 2" xfId="0"/>
    <cellStyle name="Entered 12" xfId="0"/>
    <cellStyle name="Entered 2" xfId="0"/>
    <cellStyle name="Entered 2 2" xfId="0"/>
    <cellStyle name="Entered 3" xfId="0"/>
    <cellStyle name="Entered 3 2" xfId="0"/>
    <cellStyle name="Entered 4" xfId="0"/>
    <cellStyle name="Entered 4 2" xfId="0"/>
    <cellStyle name="Entered 5" xfId="0"/>
    <cellStyle name="Entered 5 2" xfId="0"/>
    <cellStyle name="Entered 6" xfId="0"/>
    <cellStyle name="Entered 6 2" xfId="0"/>
    <cellStyle name="Entered 7" xfId="0"/>
    <cellStyle name="Entered 7 2" xfId="0"/>
    <cellStyle name="Entered 8" xfId="0"/>
    <cellStyle name="Entered 8 2" xfId="0"/>
    <cellStyle name="Entered 9" xfId="0"/>
    <cellStyle name="Entered 9 2" xfId="0"/>
    <cellStyle name="Ergebnis" xfId="0"/>
    <cellStyle name="Ergebnis 2" xfId="0"/>
    <cellStyle name="Erklärender Text" xfId="0"/>
    <cellStyle name="Erklärender Text 2" xfId="0"/>
    <cellStyle name="Euro" xfId="0"/>
    <cellStyle name="Euro 2" xfId="0"/>
    <cellStyle name="Euro 2 10" xfId="0"/>
    <cellStyle name="Euro 2 11" xfId="0"/>
    <cellStyle name="Euro 2 12" xfId="0"/>
    <cellStyle name="Euro 2 13" xfId="0"/>
    <cellStyle name="Euro 2 2" xfId="0"/>
    <cellStyle name="Euro 2 2 2" xfId="0"/>
    <cellStyle name="Euro 2 2 2 2" xfId="0"/>
    <cellStyle name="Euro 2 3" xfId="0"/>
    <cellStyle name="Euro 2 4" xfId="0"/>
    <cellStyle name="Euro 2 5" xfId="0"/>
    <cellStyle name="Euro 2 6" xfId="0"/>
    <cellStyle name="Euro 2 7" xfId="0"/>
    <cellStyle name="Euro 2 8" xfId="0"/>
    <cellStyle name="Euro 2 9" xfId="0"/>
    <cellStyle name="Euro 3" xfId="0"/>
    <cellStyle name="Euro 3 10" xfId="0"/>
    <cellStyle name="Euro 3 11" xfId="0"/>
    <cellStyle name="Euro 3 12" xfId="0"/>
    <cellStyle name="Euro 3 13" xfId="0"/>
    <cellStyle name="Euro 3 2" xfId="0"/>
    <cellStyle name="Euro 3 2 2" xfId="0"/>
    <cellStyle name="Euro 3 3" xfId="0"/>
    <cellStyle name="Euro 3 4" xfId="0"/>
    <cellStyle name="Euro 3 5" xfId="0"/>
    <cellStyle name="Euro 3 6" xfId="0"/>
    <cellStyle name="Euro 3 7" xfId="0"/>
    <cellStyle name="Euro 3 8" xfId="0"/>
    <cellStyle name="Euro 3 9" xfId="0"/>
    <cellStyle name="Euro 4" xfId="0"/>
    <cellStyle name="Euro 4 10" xfId="0"/>
    <cellStyle name="Euro 4 11" xfId="0"/>
    <cellStyle name="Euro 4 12" xfId="0"/>
    <cellStyle name="Euro 4 13" xfId="0"/>
    <cellStyle name="Euro 4 2" xfId="0"/>
    <cellStyle name="Euro 4 2 2" xfId="0"/>
    <cellStyle name="Euro 4 3" xfId="0"/>
    <cellStyle name="Euro 4 4" xfId="0"/>
    <cellStyle name="Euro 4 5" xfId="0"/>
    <cellStyle name="Euro 4 6" xfId="0"/>
    <cellStyle name="Euro 4 7" xfId="0"/>
    <cellStyle name="Euro 4 8" xfId="0"/>
    <cellStyle name="Euro 4 9" xfId="0"/>
    <cellStyle name="Euro 5" xfId="0"/>
    <cellStyle name="Euro 5 2" xfId="0"/>
    <cellStyle name="Euro 6" xfId="0"/>
    <cellStyle name="Euro 7" xfId="0"/>
    <cellStyle name="Explanatory Text" xfId="0"/>
    <cellStyle name="Explanatory Text 10" xfId="0"/>
    <cellStyle name="Explanatory Text 10 2" xfId="0"/>
    <cellStyle name="Explanatory Text 11" xfId="0"/>
    <cellStyle name="Explanatory Text 11 2" xfId="0"/>
    <cellStyle name="Explanatory Text 12" xfId="0"/>
    <cellStyle name="Explanatory Text 12 2" xfId="0"/>
    <cellStyle name="Explanatory Text 13" xfId="0"/>
    <cellStyle name="Explanatory Text 13 2" xfId="0"/>
    <cellStyle name="Explanatory Text 14" xfId="0"/>
    <cellStyle name="Explanatory Text 14 2" xfId="0"/>
    <cellStyle name="Explanatory Text 15" xfId="0"/>
    <cellStyle name="Explanatory Text 15 2" xfId="0"/>
    <cellStyle name="Explanatory Text 16" xfId="0"/>
    <cellStyle name="Explanatory Text 16 2" xfId="0"/>
    <cellStyle name="Explanatory Text 17" xfId="0"/>
    <cellStyle name="Explanatory Text 17 2" xfId="0"/>
    <cellStyle name="Explanatory Text 18" xfId="0"/>
    <cellStyle name="Explanatory Text 18 2" xfId="0"/>
    <cellStyle name="Explanatory Text 19" xfId="0"/>
    <cellStyle name="Explanatory Text 19 2" xfId="0"/>
    <cellStyle name="Explanatory Text 2" xfId="0"/>
    <cellStyle name="Explanatory Text 2 2" xfId="0"/>
    <cellStyle name="Explanatory Text 2 2 2" xfId="0"/>
    <cellStyle name="Explanatory Text 2 2 3" xfId="0"/>
    <cellStyle name="Explanatory Text 2 3" xfId="0"/>
    <cellStyle name="Explanatory Text 2 3 2" xfId="0"/>
    <cellStyle name="Explanatory Text 2 3 3" xfId="0"/>
    <cellStyle name="Explanatory Text 2 4" xfId="0"/>
    <cellStyle name="Explanatory Text 2 4 2" xfId="0"/>
    <cellStyle name="Explanatory Text 2 5" xfId="0"/>
    <cellStyle name="Explanatory Text 2 5 2" xfId="0"/>
    <cellStyle name="Explanatory Text 2 6" xfId="0"/>
    <cellStyle name="Explanatory Text 2 7" xfId="0"/>
    <cellStyle name="Explanatory Text 2 8" xfId="0"/>
    <cellStyle name="Explanatory Text 20" xfId="0"/>
    <cellStyle name="Explanatory Text 20 2" xfId="0"/>
    <cellStyle name="Explanatory Text 21" xfId="0"/>
    <cellStyle name="Explanatory Text 21 2" xfId="0"/>
    <cellStyle name="Explanatory Text 22" xfId="0"/>
    <cellStyle name="Explanatory Text 22 2" xfId="0"/>
    <cellStyle name="Explanatory Text 23" xfId="0"/>
    <cellStyle name="Explanatory Text 24" xfId="0"/>
    <cellStyle name="Explanatory Text 25" xfId="0"/>
    <cellStyle name="Explanatory Text 26" xfId="0"/>
    <cellStyle name="Explanatory Text 27" xfId="0"/>
    <cellStyle name="Explanatory Text 28" xfId="0"/>
    <cellStyle name="Explanatory Text 29" xfId="0"/>
    <cellStyle name="Explanatory Text 2_Profitability Detail NT$ Sep-12" xfId="0"/>
    <cellStyle name="Explanatory Text 3" xfId="0"/>
    <cellStyle name="Explanatory Text 3 2" xfId="0"/>
    <cellStyle name="Explanatory Text 3 2 2" xfId="0"/>
    <cellStyle name="Explanatory Text 3 3" xfId="0"/>
    <cellStyle name="Explanatory Text 3 3 2" xfId="0"/>
    <cellStyle name="Explanatory Text 3 4" xfId="0"/>
    <cellStyle name="Explanatory Text 3 4 2" xfId="0"/>
    <cellStyle name="Explanatory Text 3 5" xfId="0"/>
    <cellStyle name="Explanatory Text 3 5 2" xfId="0"/>
    <cellStyle name="Explanatory Text 3 6" xfId="0"/>
    <cellStyle name="Explanatory Text 3 7" xfId="0"/>
    <cellStyle name="Explanatory Text 30" xfId="0"/>
    <cellStyle name="Explanatory Text 31" xfId="0"/>
    <cellStyle name="Explanatory Text 32" xfId="0"/>
    <cellStyle name="Explanatory Text 33" xfId="0"/>
    <cellStyle name="Explanatory Text 34" xfId="0"/>
    <cellStyle name="Explanatory Text 35" xfId="0"/>
    <cellStyle name="Explanatory Text 3_Profitability Detail NT$ Sep-12" xfId="0"/>
    <cellStyle name="Explanatory Text 4" xfId="0"/>
    <cellStyle name="Explanatory Text 4 2" xfId="0"/>
    <cellStyle name="Explanatory Text 4 2 2" xfId="0"/>
    <cellStyle name="Explanatory Text 4 3" xfId="0"/>
    <cellStyle name="Explanatory Text 4 3 2" xfId="0"/>
    <cellStyle name="Explanatory Text 4 4" xfId="0"/>
    <cellStyle name="Explanatory Text 4 4 2" xfId="0"/>
    <cellStyle name="Explanatory Text 4 5" xfId="0"/>
    <cellStyle name="Explanatory Text 4 5 2" xfId="0"/>
    <cellStyle name="Explanatory Text 4 6" xfId="0"/>
    <cellStyle name="Explanatory Text 4 7" xfId="0"/>
    <cellStyle name="Explanatory Text 4_Profitability Detail NT$ Sep-12" xfId="0"/>
    <cellStyle name="Explanatory Text 5" xfId="0"/>
    <cellStyle name="Explanatory Text 5 2" xfId="0"/>
    <cellStyle name="Explanatory Text 5 3" xfId="0"/>
    <cellStyle name="Explanatory Text 6" xfId="0"/>
    <cellStyle name="Explanatory Text 6 2" xfId="0"/>
    <cellStyle name="Explanatory Text 7" xfId="0"/>
    <cellStyle name="Explanatory Text 7 2" xfId="0"/>
    <cellStyle name="Explanatory Text 8" xfId="0"/>
    <cellStyle name="Explanatory Text 8 2" xfId="0"/>
    <cellStyle name="Explanatory Text 9" xfId="0"/>
    <cellStyle name="Explanatory Text 9 2" xfId="0"/>
    <cellStyle name="Explanatory Text_Apr CPC" xfId="0"/>
    <cellStyle name="Good 10" xfId="0"/>
    <cellStyle name="Good 10 2" xfId="0"/>
    <cellStyle name="Good 11" xfId="0"/>
    <cellStyle name="Good 11 2" xfId="0"/>
    <cellStyle name="Good 12" xfId="0"/>
    <cellStyle name="Good 12 2" xfId="0"/>
    <cellStyle name="Good 13" xfId="0"/>
    <cellStyle name="Good 13 2" xfId="0"/>
    <cellStyle name="Good 14" xfId="0"/>
    <cellStyle name="Good 14 2" xfId="0"/>
    <cellStyle name="Good 15" xfId="0"/>
    <cellStyle name="Good 15 2" xfId="0"/>
    <cellStyle name="Good 16" xfId="0"/>
    <cellStyle name="Good 16 2" xfId="0"/>
    <cellStyle name="Good 17" xfId="0"/>
    <cellStyle name="Good 17 2" xfId="0"/>
    <cellStyle name="Good 18" xfId="0"/>
    <cellStyle name="Good 18 2" xfId="0"/>
    <cellStyle name="Good 19" xfId="0"/>
    <cellStyle name="Good 19 2" xfId="0"/>
    <cellStyle name="Good 2" xfId="0"/>
    <cellStyle name="Good 2 2" xfId="0"/>
    <cellStyle name="Good 2 2 2" xfId="0"/>
    <cellStyle name="Good 2 2 3" xfId="0"/>
    <cellStyle name="Good 2 3" xfId="0"/>
    <cellStyle name="Good 2 3 2" xfId="0"/>
    <cellStyle name="Good 2 4" xfId="0"/>
    <cellStyle name="Good 2 4 2" xfId="0"/>
    <cellStyle name="Good 2 5" xfId="0"/>
    <cellStyle name="Good 2 5 2" xfId="0"/>
    <cellStyle name="Good 2 6" xfId="0"/>
    <cellStyle name="Good 20" xfId="0"/>
    <cellStyle name="Good 20 2" xfId="0"/>
    <cellStyle name="Good 21" xfId="0"/>
    <cellStyle name="Good 21 2" xfId="0"/>
    <cellStyle name="Good 22" xfId="0"/>
    <cellStyle name="Good 22 2" xfId="0"/>
    <cellStyle name="Good 23" xfId="0"/>
    <cellStyle name="Good 23 2" xfId="0"/>
    <cellStyle name="Good 24" xfId="0"/>
    <cellStyle name="Good 25" xfId="0"/>
    <cellStyle name="Good 26" xfId="0"/>
    <cellStyle name="Good 27" xfId="0"/>
    <cellStyle name="Good 28" xfId="0"/>
    <cellStyle name="Good 29" xfId="0"/>
    <cellStyle name="Good 2_Profitability Detail NT$ Sep-12" xfId="0"/>
    <cellStyle name="Good 3" xfId="0"/>
    <cellStyle name="Good 3 2" xfId="0"/>
    <cellStyle name="Good 3 2 2" xfId="0"/>
    <cellStyle name="Good 3 3" xfId="0"/>
    <cellStyle name="Good 3 3 2" xfId="0"/>
    <cellStyle name="Good 3 4" xfId="0"/>
    <cellStyle name="Good 3 4 2" xfId="0"/>
    <cellStyle name="Good 3 5" xfId="0"/>
    <cellStyle name="Good 3 5 2" xfId="0"/>
    <cellStyle name="Good 3 6" xfId="0"/>
    <cellStyle name="Good 3 7" xfId="0"/>
    <cellStyle name="Good 30" xfId="0"/>
    <cellStyle name="Good 31" xfId="0"/>
    <cellStyle name="Good 3_Profitability Detail NT$ Sep-12" xfId="0"/>
    <cellStyle name="Good 4" xfId="0"/>
    <cellStyle name="Good 4 2" xfId="0"/>
    <cellStyle name="Good 4 2 2" xfId="0"/>
    <cellStyle name="Good 4 3" xfId="0"/>
    <cellStyle name="Good 4 3 2" xfId="0"/>
    <cellStyle name="Good 4 4" xfId="0"/>
    <cellStyle name="Good 4 4 2" xfId="0"/>
    <cellStyle name="Good 4 5" xfId="0"/>
    <cellStyle name="Good 4 5 2" xfId="0"/>
    <cellStyle name="Good 4 6" xfId="0"/>
    <cellStyle name="Good 4 7" xfId="0"/>
    <cellStyle name="Good 4_Profitability Detail NT$ Sep-12" xfId="0"/>
    <cellStyle name="Good 5" xfId="0"/>
    <cellStyle name="Good 5 2" xfId="0"/>
    <cellStyle name="Good 5 3" xfId="0"/>
    <cellStyle name="Good 6" xfId="0"/>
    <cellStyle name="Good 6 2" xfId="0"/>
    <cellStyle name="Good 6 3" xfId="0"/>
    <cellStyle name="Good 7" xfId="0"/>
    <cellStyle name="Good 7 2" xfId="0"/>
    <cellStyle name="Good 8" xfId="0"/>
    <cellStyle name="Good 8 2" xfId="0"/>
    <cellStyle name="Good 9" xfId="0"/>
    <cellStyle name="Good 9 2" xfId="0"/>
    <cellStyle name="Good_090703 WMR-VSC" xfId="0"/>
    <cellStyle name="Grey" xfId="0"/>
    <cellStyle name="Gut" xfId="0"/>
    <cellStyle name="Gut 2" xfId="0"/>
    <cellStyle name="Header1" xfId="0"/>
    <cellStyle name="Header1 2" xfId="0"/>
    <cellStyle name="Header1 2 2" xfId="0"/>
    <cellStyle name="Header2" xfId="0"/>
    <cellStyle name="Header2 2" xfId="0"/>
    <cellStyle name="Header2 2 2" xfId="0"/>
    <cellStyle name="Header2_Prod Line MTD" xfId="0"/>
    <cellStyle name="Heading 1 10" xfId="0"/>
    <cellStyle name="Heading 1 10 2" xfId="0"/>
    <cellStyle name="Heading 1 11" xfId="0"/>
    <cellStyle name="Heading 1 11 2" xfId="0"/>
    <cellStyle name="Heading 1 12" xfId="0"/>
    <cellStyle name="Heading 1 12 2" xfId="0"/>
    <cellStyle name="Heading 1 13" xfId="0"/>
    <cellStyle name="Heading 1 13 2" xfId="0"/>
    <cellStyle name="Heading 1 14" xfId="0"/>
    <cellStyle name="Heading 1 14 2" xfId="0"/>
    <cellStyle name="Heading 1 15" xfId="0"/>
    <cellStyle name="Heading 1 15 2" xfId="0"/>
    <cellStyle name="Heading 1 16" xfId="0"/>
    <cellStyle name="Heading 1 16 2" xfId="0"/>
    <cellStyle name="Heading 1 17" xfId="0"/>
    <cellStyle name="Heading 1 17 2" xfId="0"/>
    <cellStyle name="Heading 1 18" xfId="0"/>
    <cellStyle name="Heading 1 18 2" xfId="0"/>
    <cellStyle name="Heading 1 19" xfId="0"/>
    <cellStyle name="Heading 1 19 2" xfId="0"/>
    <cellStyle name="Heading 1 2" xfId="0"/>
    <cellStyle name="Heading 1 2 2" xfId="0"/>
    <cellStyle name="Heading 1 2 2 2" xfId="0"/>
    <cellStyle name="Heading 1 2 2 3" xfId="0"/>
    <cellStyle name="Heading 1 2 3" xfId="0"/>
    <cellStyle name="Heading 1 2 3 2" xfId="0"/>
    <cellStyle name="Heading 1 2 3 3" xfId="0"/>
    <cellStyle name="Heading 1 2 4" xfId="0"/>
    <cellStyle name="Heading 1 2 4 2" xfId="0"/>
    <cellStyle name="Heading 1 2 5" xfId="0"/>
    <cellStyle name="Heading 1 2 5 2" xfId="0"/>
    <cellStyle name="Heading 1 2 6" xfId="0"/>
    <cellStyle name="Heading 1 2 7" xfId="0"/>
    <cellStyle name="Heading 1 2 8" xfId="0"/>
    <cellStyle name="Heading 1 20" xfId="0"/>
    <cellStyle name="Heading 1 20 2" xfId="0"/>
    <cellStyle name="Heading 1 21" xfId="0"/>
    <cellStyle name="Heading 1 21 2" xfId="0"/>
    <cellStyle name="Heading 1 22" xfId="0"/>
    <cellStyle name="Heading 1 22 2" xfId="0"/>
    <cellStyle name="Heading 1 23" xfId="0"/>
    <cellStyle name="Heading 1 23 2" xfId="0"/>
    <cellStyle name="Heading 1 24" xfId="0"/>
    <cellStyle name="Heading 1 25" xfId="0"/>
    <cellStyle name="Heading 1 26" xfId="0"/>
    <cellStyle name="Heading 1 27" xfId="0"/>
    <cellStyle name="Heading 1 28" xfId="0"/>
    <cellStyle name="Heading 1 29" xfId="0"/>
    <cellStyle name="Heading 1 2_Profitability Detail NT$ Sep-12" xfId="0"/>
    <cellStyle name="Heading 1 3" xfId="0"/>
    <cellStyle name="Heading 1 3 2" xfId="0"/>
    <cellStyle name="Heading 1 3 2 2" xfId="0"/>
    <cellStyle name="Heading 1 3 3" xfId="0"/>
    <cellStyle name="Heading 1 3 3 2" xfId="0"/>
    <cellStyle name="Heading 1 3 4" xfId="0"/>
    <cellStyle name="Heading 1 3 4 2" xfId="0"/>
    <cellStyle name="Heading 1 3 5" xfId="0"/>
    <cellStyle name="Heading 1 3 5 2" xfId="0"/>
    <cellStyle name="Heading 1 3 6" xfId="0"/>
    <cellStyle name="Heading 1 3 7" xfId="0"/>
    <cellStyle name="Heading 1 3 8" xfId="0"/>
    <cellStyle name="Heading 1 30" xfId="0"/>
    <cellStyle name="Heading 1 31" xfId="0"/>
    <cellStyle name="Heading 1 32" xfId="0"/>
    <cellStyle name="Heading 1 33" xfId="0"/>
    <cellStyle name="Heading 1 34" xfId="0"/>
    <cellStyle name="Heading 1 35" xfId="0"/>
    <cellStyle name="Heading 1 36" xfId="0"/>
    <cellStyle name="Heading 1 3_Profitability Detail NT$ Sep-12" xfId="0"/>
    <cellStyle name="Heading 1 4" xfId="0"/>
    <cellStyle name="Heading 1 4 2" xfId="0"/>
    <cellStyle name="Heading 1 4 2 2" xfId="0"/>
    <cellStyle name="Heading 1 4 3" xfId="0"/>
    <cellStyle name="Heading 1 4 3 2" xfId="0"/>
    <cellStyle name="Heading 1 4 4" xfId="0"/>
    <cellStyle name="Heading 1 4 4 2" xfId="0"/>
    <cellStyle name="Heading 1 4 5" xfId="0"/>
    <cellStyle name="Heading 1 4 5 2" xfId="0"/>
    <cellStyle name="Heading 1 4 6" xfId="0"/>
    <cellStyle name="Heading 1 4 7" xfId="0"/>
    <cellStyle name="Heading 1 4 8" xfId="0"/>
    <cellStyle name="Heading 1 4_Profitability Detail NT$ Sep-12" xfId="0"/>
    <cellStyle name="Heading 1 5" xfId="0"/>
    <cellStyle name="Heading 1 5 2" xfId="0"/>
    <cellStyle name="Heading 1 5 3" xfId="0"/>
    <cellStyle name="Heading 1 6" xfId="0"/>
    <cellStyle name="Heading 1 6 2" xfId="0"/>
    <cellStyle name="Heading 1 7" xfId="0"/>
    <cellStyle name="Heading 1 7 2" xfId="0"/>
    <cellStyle name="Heading 1 8" xfId="0"/>
    <cellStyle name="Heading 1 8 2" xfId="0"/>
    <cellStyle name="Heading 1 9" xfId="0"/>
    <cellStyle name="Heading 1 9 2" xfId="0"/>
    <cellStyle name="Heading 1_13-wk VSA_Revised" xfId="0"/>
    <cellStyle name="Heading 2 10" xfId="0"/>
    <cellStyle name="Heading 2 10 2" xfId="0"/>
    <cellStyle name="Heading 2 11" xfId="0"/>
    <cellStyle name="Heading 2 11 2" xfId="0"/>
    <cellStyle name="Heading 2 12" xfId="0"/>
    <cellStyle name="Heading 2 12 2" xfId="0"/>
    <cellStyle name="Heading 2 13" xfId="0"/>
    <cellStyle name="Heading 2 13 2" xfId="0"/>
    <cellStyle name="Heading 2 14" xfId="0"/>
    <cellStyle name="Heading 2 14 2" xfId="0"/>
    <cellStyle name="Heading 2 15" xfId="0"/>
    <cellStyle name="Heading 2 15 2" xfId="0"/>
    <cellStyle name="Heading 2 16" xfId="0"/>
    <cellStyle name="Heading 2 16 2" xfId="0"/>
    <cellStyle name="Heading 2 17" xfId="0"/>
    <cellStyle name="Heading 2 17 2" xfId="0"/>
    <cellStyle name="Heading 2 18" xfId="0"/>
    <cellStyle name="Heading 2 18 2" xfId="0"/>
    <cellStyle name="Heading 2 19" xfId="0"/>
    <cellStyle name="Heading 2 19 2" xfId="0"/>
    <cellStyle name="Heading 2 2" xfId="0"/>
    <cellStyle name="Heading 2 2 2" xfId="0"/>
    <cellStyle name="Heading 2 2 2 2" xfId="0"/>
    <cellStyle name="Heading 2 2 2 3" xfId="0"/>
    <cellStyle name="Heading 2 2 3" xfId="0"/>
    <cellStyle name="Heading 2 2 3 2" xfId="0"/>
    <cellStyle name="Heading 2 2 3 3" xfId="0"/>
    <cellStyle name="Heading 2 2 4" xfId="0"/>
    <cellStyle name="Heading 2 2 4 2" xfId="0"/>
    <cellStyle name="Heading 2 2 5" xfId="0"/>
    <cellStyle name="Heading 2 2 5 2" xfId="0"/>
    <cellStyle name="Heading 2 2 6" xfId="0"/>
    <cellStyle name="Heading 2 2 7" xfId="0"/>
    <cellStyle name="Heading 2 2 8" xfId="0"/>
    <cellStyle name="Heading 2 2 9" xfId="0"/>
    <cellStyle name="Heading 2 20" xfId="0"/>
    <cellStyle name="Heading 2 20 2" xfId="0"/>
    <cellStyle name="Heading 2 21" xfId="0"/>
    <cellStyle name="Heading 2 21 2" xfId="0"/>
    <cellStyle name="Heading 2 22" xfId="0"/>
    <cellStyle name="Heading 2 22 2" xfId="0"/>
    <cellStyle name="Heading 2 23" xfId="0"/>
    <cellStyle name="Heading 2 23 2" xfId="0"/>
    <cellStyle name="Heading 2 24" xfId="0"/>
    <cellStyle name="Heading 2 25" xfId="0"/>
    <cellStyle name="Heading 2 26" xfId="0"/>
    <cellStyle name="Heading 2 27" xfId="0"/>
    <cellStyle name="Heading 2 28" xfId="0"/>
    <cellStyle name="Heading 2 29" xfId="0"/>
    <cellStyle name="Heading 2 2_Profitability Detail NT$ Sep-12" xfId="0"/>
    <cellStyle name="Heading 2 3" xfId="0"/>
    <cellStyle name="Heading 2 3 2" xfId="0"/>
    <cellStyle name="Heading 2 3 2 2" xfId="0"/>
    <cellStyle name="Heading 2 3 3" xfId="0"/>
    <cellStyle name="Heading 2 3 3 2" xfId="0"/>
    <cellStyle name="Heading 2 3 4" xfId="0"/>
    <cellStyle name="Heading 2 3 4 2" xfId="0"/>
    <cellStyle name="Heading 2 3 5" xfId="0"/>
    <cellStyle name="Heading 2 3 5 2" xfId="0"/>
    <cellStyle name="Heading 2 3 6" xfId="0"/>
    <cellStyle name="Heading 2 3 7" xfId="0"/>
    <cellStyle name="Heading 2 3 8" xfId="0"/>
    <cellStyle name="Heading 2 30" xfId="0"/>
    <cellStyle name="Heading 2 31" xfId="0"/>
    <cellStyle name="Heading 2 32" xfId="0"/>
    <cellStyle name="Heading 2 33" xfId="0"/>
    <cellStyle name="Heading 2 34" xfId="0"/>
    <cellStyle name="Heading 2 35" xfId="0"/>
    <cellStyle name="Heading 2 37" xfId="0"/>
    <cellStyle name="Heading 2 3_Profitability Detail NT$ Sep-12" xfId="0"/>
    <cellStyle name="Heading 2 4" xfId="0"/>
    <cellStyle name="Heading 2 4 2" xfId="0"/>
    <cellStyle name="Heading 2 4 2 2" xfId="0"/>
    <cellStyle name="Heading 2 4 3" xfId="0"/>
    <cellStyle name="Heading 2 4 3 2" xfId="0"/>
    <cellStyle name="Heading 2 4 4" xfId="0"/>
    <cellStyle name="Heading 2 4 4 2" xfId="0"/>
    <cellStyle name="Heading 2 4 5" xfId="0"/>
    <cellStyle name="Heading 2 4 5 2" xfId="0"/>
    <cellStyle name="Heading 2 4 6" xfId="0"/>
    <cellStyle name="Heading 2 4 7" xfId="0"/>
    <cellStyle name="Heading 2 4_Profitability Detail NT$ Sep-12" xfId="0"/>
    <cellStyle name="Heading 2 5" xfId="0"/>
    <cellStyle name="Heading 2 5 2" xfId="0"/>
    <cellStyle name="Heading 2 5 3" xfId="0"/>
    <cellStyle name="Heading 2 6" xfId="0"/>
    <cellStyle name="Heading 2 6 2" xfId="0"/>
    <cellStyle name="Heading 2 7" xfId="0"/>
    <cellStyle name="Heading 2 7 2" xfId="0"/>
    <cellStyle name="Heading 2 8" xfId="0"/>
    <cellStyle name="Heading 2 8 2" xfId="0"/>
    <cellStyle name="Heading 2 9" xfId="0"/>
    <cellStyle name="Heading 2 9 2" xfId="0"/>
    <cellStyle name="Heading 2_13-wk VSA_Revised" xfId="0"/>
    <cellStyle name="Heading 3" xfId="0"/>
    <cellStyle name="Heading 3 10" xfId="0"/>
    <cellStyle name="Heading 3 10 2" xfId="0"/>
    <cellStyle name="Heading 3 10 3" xfId="0"/>
    <cellStyle name="Heading 3 10 4" xfId="0"/>
    <cellStyle name="Heading 3 11" xfId="0"/>
    <cellStyle name="Heading 3 11 2" xfId="0"/>
    <cellStyle name="Heading 3 11 3" xfId="0"/>
    <cellStyle name="Heading 3 11 4" xfId="0"/>
    <cellStyle name="Heading 3 12" xfId="0"/>
    <cellStyle name="Heading 3 12 2" xfId="0"/>
    <cellStyle name="Heading 3 12 3" xfId="0"/>
    <cellStyle name="Heading 3 12 4" xfId="0"/>
    <cellStyle name="Heading 3 13" xfId="0"/>
    <cellStyle name="Heading 3 13 2" xfId="0"/>
    <cellStyle name="Heading 3 13 3" xfId="0"/>
    <cellStyle name="Heading 3 13 4" xfId="0"/>
    <cellStyle name="Heading 3 14" xfId="0"/>
    <cellStyle name="Heading 3 14 2" xfId="0"/>
    <cellStyle name="Heading 3 14 3" xfId="0"/>
    <cellStyle name="Heading 3 14 4" xfId="0"/>
    <cellStyle name="Heading 3 15" xfId="0"/>
    <cellStyle name="Heading 3 15 2" xfId="0"/>
    <cellStyle name="Heading 3 15 3" xfId="0"/>
    <cellStyle name="Heading 3 15 4" xfId="0"/>
    <cellStyle name="Heading 3 16" xfId="0"/>
    <cellStyle name="Heading 3 16 2" xfId="0"/>
    <cellStyle name="Heading 3 16 3" xfId="0"/>
    <cellStyle name="Heading 3 16 4" xfId="0"/>
    <cellStyle name="Heading 3 17" xfId="0"/>
    <cellStyle name="Heading 3 17 2" xfId="0"/>
    <cellStyle name="Heading 3 17 3" xfId="0"/>
    <cellStyle name="Heading 3 17 4" xfId="0"/>
    <cellStyle name="Heading 3 18" xfId="0"/>
    <cellStyle name="Heading 3 18 2" xfId="0"/>
    <cellStyle name="Heading 3 18 3" xfId="0"/>
    <cellStyle name="Heading 3 18 4" xfId="0"/>
    <cellStyle name="Heading 3 19" xfId="0"/>
    <cellStyle name="Heading 3 19 2" xfId="0"/>
    <cellStyle name="Heading 3 19 3" xfId="0"/>
    <cellStyle name="Heading 3 19 4" xfId="0"/>
    <cellStyle name="Heading 3 2" xfId="0"/>
    <cellStyle name="Heading 3 2 10" xfId="0"/>
    <cellStyle name="Heading 3 2 2" xfId="0"/>
    <cellStyle name="Heading 3 2 2 2" xfId="0"/>
    <cellStyle name="Heading 3 2 2 2 2" xfId="0"/>
    <cellStyle name="Heading 3 2 2 2 3" xfId="0"/>
    <cellStyle name="Heading 3 2 2 3" xfId="0"/>
    <cellStyle name="Heading 3 2 2 3 2" xfId="0"/>
    <cellStyle name="Heading 3 2 2 3 3" xfId="0"/>
    <cellStyle name="Heading 3 2 2 4" xfId="0"/>
    <cellStyle name="Heading 3 2 2 5" xfId="0"/>
    <cellStyle name="Heading 3 2 2 6" xfId="0"/>
    <cellStyle name="Heading 3 2 2 7" xfId="0"/>
    <cellStyle name="Heading 3 2 3" xfId="0"/>
    <cellStyle name="Heading 3 2 3 2" xfId="0"/>
    <cellStyle name="Heading 3 2 3 2 2" xfId="0"/>
    <cellStyle name="Heading 3 2 3 3" xfId="0"/>
    <cellStyle name="Heading 3 2 3 3 2" xfId="0"/>
    <cellStyle name="Heading 3 2 3 4" xfId="0"/>
    <cellStyle name="Heading 3 2 3 5" xfId="0"/>
    <cellStyle name="Heading 3 2 3 6" xfId="0"/>
    <cellStyle name="Heading 3 2 4" xfId="0"/>
    <cellStyle name="Heading 3 2 4 2" xfId="0"/>
    <cellStyle name="Heading 3 2 4 2 2" xfId="0"/>
    <cellStyle name="Heading 3 2 4 3" xfId="0"/>
    <cellStyle name="Heading 3 2 4 3 2" xfId="0"/>
    <cellStyle name="Heading 3 2 4 4" xfId="0"/>
    <cellStyle name="Heading 3 2 4 5" xfId="0"/>
    <cellStyle name="Heading 3 2 5" xfId="0"/>
    <cellStyle name="Heading 3 2 5 2" xfId="0"/>
    <cellStyle name="Heading 3 2 5 2 2" xfId="0"/>
    <cellStyle name="Heading 3 2 5 3" xfId="0"/>
    <cellStyle name="Heading 3 2 5 3 2" xfId="0"/>
    <cellStyle name="Heading 3 2 5 4" xfId="0"/>
    <cellStyle name="Heading 3 2 5 5" xfId="0"/>
    <cellStyle name="Heading 3 2 6" xfId="0"/>
    <cellStyle name="Heading 3 2 6 2" xfId="0"/>
    <cellStyle name="Heading 3 2 6 3" xfId="0"/>
    <cellStyle name="Heading 3 2 6 4" xfId="0"/>
    <cellStyle name="Heading 3 2 7" xfId="0"/>
    <cellStyle name="Heading 3 2 7 2" xfId="0"/>
    <cellStyle name="Heading 3 2 7 3" xfId="0"/>
    <cellStyle name="Heading 3 2 7 4" xfId="0"/>
    <cellStyle name="Heading 3 2 8" xfId="0"/>
    <cellStyle name="Heading 3 2 8 2" xfId="0"/>
    <cellStyle name="Heading 3 2 9" xfId="0"/>
    <cellStyle name="Heading 3 20" xfId="0"/>
    <cellStyle name="Heading 3 20 2" xfId="0"/>
    <cellStyle name="Heading 3 20 3" xfId="0"/>
    <cellStyle name="Heading 3 20 4" xfId="0"/>
    <cellStyle name="Heading 3 21" xfId="0"/>
    <cellStyle name="Heading 3 21 2" xfId="0"/>
    <cellStyle name="Heading 3 21 3" xfId="0"/>
    <cellStyle name="Heading 3 21 4" xfId="0"/>
    <cellStyle name="Heading 3 22" xfId="0"/>
    <cellStyle name="Heading 3 22 2" xfId="0"/>
    <cellStyle name="Heading 3 22 3" xfId="0"/>
    <cellStyle name="Heading 3 22 4" xfId="0"/>
    <cellStyle name="Heading 3 23" xfId="0"/>
    <cellStyle name="Heading 3 23 2" xfId="0"/>
    <cellStyle name="Heading 3 23 3" xfId="0"/>
    <cellStyle name="Heading 3 23 4" xfId="0"/>
    <cellStyle name="Heading 3 24" xfId="0"/>
    <cellStyle name="Heading 3 24 2" xfId="0"/>
    <cellStyle name="Heading 3 25" xfId="0"/>
    <cellStyle name="Heading 3 25 2" xfId="0"/>
    <cellStyle name="Heading 3 26" xfId="0"/>
    <cellStyle name="Heading 3 27" xfId="0"/>
    <cellStyle name="Heading 3 28" xfId="0"/>
    <cellStyle name="Heading 3 29" xfId="0"/>
    <cellStyle name="Heading 3 2_Profitability Detail NT$ Sep-12" xfId="0"/>
    <cellStyle name="Heading 3 3" xfId="0"/>
    <cellStyle name="Heading 3 3 10" xfId="0"/>
    <cellStyle name="Heading 3 3 2" xfId="0"/>
    <cellStyle name="Heading 3 3 2 2" xfId="0"/>
    <cellStyle name="Heading 3 3 2 2 2" xfId="0"/>
    <cellStyle name="Heading 3 3 2 2 3" xfId="0"/>
    <cellStyle name="Heading 3 3 2 3" xfId="0"/>
    <cellStyle name="Heading 3 3 2 3 2" xfId="0"/>
    <cellStyle name="Heading 3 3 2 3 3" xfId="0"/>
    <cellStyle name="Heading 3 3 2 4" xfId="0"/>
    <cellStyle name="Heading 3 3 2 5" xfId="0"/>
    <cellStyle name="Heading 3 3 2 6" xfId="0"/>
    <cellStyle name="Heading 3 3 3" xfId="0"/>
    <cellStyle name="Heading 3 3 3 2" xfId="0"/>
    <cellStyle name="Heading 3 3 3 2 2" xfId="0"/>
    <cellStyle name="Heading 3 3 3 3" xfId="0"/>
    <cellStyle name="Heading 3 3 3 3 2" xfId="0"/>
    <cellStyle name="Heading 3 3 3 4" xfId="0"/>
    <cellStyle name="Heading 3 3 3 5" xfId="0"/>
    <cellStyle name="Heading 3 3 4" xfId="0"/>
    <cellStyle name="Heading 3 3 4 2" xfId="0"/>
    <cellStyle name="Heading 3 3 4 2 2" xfId="0"/>
    <cellStyle name="Heading 3 3 4 3" xfId="0"/>
    <cellStyle name="Heading 3 3 4 3 2" xfId="0"/>
    <cellStyle name="Heading 3 3 4 4" xfId="0"/>
    <cellStyle name="Heading 3 3 4 5" xfId="0"/>
    <cellStyle name="Heading 3 3 5" xfId="0"/>
    <cellStyle name="Heading 3 3 5 2" xfId="0"/>
    <cellStyle name="Heading 3 3 5 2 2" xfId="0"/>
    <cellStyle name="Heading 3 3 5 3" xfId="0"/>
    <cellStyle name="Heading 3 3 5 3 2" xfId="0"/>
    <cellStyle name="Heading 3 3 5 4" xfId="0"/>
    <cellStyle name="Heading 3 3 5 5" xfId="0"/>
    <cellStyle name="Heading 3 3 6" xfId="0"/>
    <cellStyle name="Heading 3 3 6 2" xfId="0"/>
    <cellStyle name="Heading 3 3 6 3" xfId="0"/>
    <cellStyle name="Heading 3 3 6 4" xfId="0"/>
    <cellStyle name="Heading 3 3 7" xfId="0"/>
    <cellStyle name="Heading 3 3 7 2" xfId="0"/>
    <cellStyle name="Heading 3 3 7 3" xfId="0"/>
    <cellStyle name="Heading 3 3 7 4" xfId="0"/>
    <cellStyle name="Heading 3 3 8" xfId="0"/>
    <cellStyle name="Heading 3 3 9" xfId="0"/>
    <cellStyle name="Heading 3 30" xfId="0"/>
    <cellStyle name="Heading 3 31" xfId="0"/>
    <cellStyle name="Heading 3 32" xfId="0"/>
    <cellStyle name="Heading 3 33" xfId="0"/>
    <cellStyle name="Heading 3 34" xfId="0"/>
    <cellStyle name="Heading 3 35" xfId="0"/>
    <cellStyle name="Heading 3 3_Profitability Detail NT$ Sep-12" xfId="0"/>
    <cellStyle name="Heading 3 4" xfId="0"/>
    <cellStyle name="Heading 3 4 2" xfId="0"/>
    <cellStyle name="Heading 3 4 2 2" xfId="0"/>
    <cellStyle name="Heading 3 4 2 2 2" xfId="0"/>
    <cellStyle name="Heading 3 4 2 2 3" xfId="0"/>
    <cellStyle name="Heading 3 4 2 3" xfId="0"/>
    <cellStyle name="Heading 3 4 2 3 2" xfId="0"/>
    <cellStyle name="Heading 3 4 2 3 3" xfId="0"/>
    <cellStyle name="Heading 3 4 2 4" xfId="0"/>
    <cellStyle name="Heading 3 4 2 5" xfId="0"/>
    <cellStyle name="Heading 3 4 2 6" xfId="0"/>
    <cellStyle name="Heading 3 4 3" xfId="0"/>
    <cellStyle name="Heading 3 4 3 2" xfId="0"/>
    <cellStyle name="Heading 3 4 3 2 2" xfId="0"/>
    <cellStyle name="Heading 3 4 3 3" xfId="0"/>
    <cellStyle name="Heading 3 4 3 3 2" xfId="0"/>
    <cellStyle name="Heading 3 4 3 4" xfId="0"/>
    <cellStyle name="Heading 3 4 3 5" xfId="0"/>
    <cellStyle name="Heading 3 4 4" xfId="0"/>
    <cellStyle name="Heading 3 4 4 2" xfId="0"/>
    <cellStyle name="Heading 3 4 4 2 2" xfId="0"/>
    <cellStyle name="Heading 3 4 4 3" xfId="0"/>
    <cellStyle name="Heading 3 4 4 3 2" xfId="0"/>
    <cellStyle name="Heading 3 4 4 4" xfId="0"/>
    <cellStyle name="Heading 3 4 4 5" xfId="0"/>
    <cellStyle name="Heading 3 4 5" xfId="0"/>
    <cellStyle name="Heading 3 4 5 2" xfId="0"/>
    <cellStyle name="Heading 3 4 5 2 2" xfId="0"/>
    <cellStyle name="Heading 3 4 5 3" xfId="0"/>
    <cellStyle name="Heading 3 4 5 3 2" xfId="0"/>
    <cellStyle name="Heading 3 4 5 4" xfId="0"/>
    <cellStyle name="Heading 3 4 5 5" xfId="0"/>
    <cellStyle name="Heading 3 4 6" xfId="0"/>
    <cellStyle name="Heading 3 4 6 2" xfId="0"/>
    <cellStyle name="Heading 3 4 6 3" xfId="0"/>
    <cellStyle name="Heading 3 4 6 4" xfId="0"/>
    <cellStyle name="Heading 3 4 7" xfId="0"/>
    <cellStyle name="Heading 3 4 7 2" xfId="0"/>
    <cellStyle name="Heading 3 4 7 3" xfId="0"/>
    <cellStyle name="Heading 3 4 7 4" xfId="0"/>
    <cellStyle name="Heading 3 4 8" xfId="0"/>
    <cellStyle name="Heading 3 4 9" xfId="0"/>
    <cellStyle name="Heading 3 4_Profitability Detail NT$ Sep-12" xfId="0"/>
    <cellStyle name="Heading 3 5" xfId="0"/>
    <cellStyle name="Heading 3 5 2" xfId="0"/>
    <cellStyle name="Heading 3 5 2 2" xfId="0"/>
    <cellStyle name="Heading 3 5 2 3" xfId="0"/>
    <cellStyle name="Heading 3 5 3" xfId="0"/>
    <cellStyle name="Heading 3 5 3 2" xfId="0"/>
    <cellStyle name="Heading 3 5 4" xfId="0"/>
    <cellStyle name="Heading 3 5 5" xfId="0"/>
    <cellStyle name="Heading 3 6" xfId="0"/>
    <cellStyle name="Heading 3 6 2" xfId="0"/>
    <cellStyle name="Heading 3 6 3" xfId="0"/>
    <cellStyle name="Heading 3 6 4" xfId="0"/>
    <cellStyle name="Heading 3 7" xfId="0"/>
    <cellStyle name="Heading 3 7 2" xfId="0"/>
    <cellStyle name="Heading 3 7 3" xfId="0"/>
    <cellStyle name="Heading 3 7 4" xfId="0"/>
    <cellStyle name="Heading 3 8" xfId="0"/>
    <cellStyle name="Heading 3 8 2" xfId="0"/>
    <cellStyle name="Heading 3 8 3" xfId="0"/>
    <cellStyle name="Heading 3 8 4" xfId="0"/>
    <cellStyle name="Heading 3 9" xfId="0"/>
    <cellStyle name="Heading 3 9 2" xfId="0"/>
    <cellStyle name="Heading 3 9 3" xfId="0"/>
    <cellStyle name="Heading 3 9 4" xfId="0"/>
    <cellStyle name="Heading 32" xfId="0"/>
    <cellStyle name="Heading 3_13-wk VSA_Revised" xfId="0"/>
    <cellStyle name="Heading 4" xfId="0"/>
    <cellStyle name="Heading 4 10" xfId="0"/>
    <cellStyle name="Heading 4 10 2" xfId="0"/>
    <cellStyle name="Heading 4 11" xfId="0"/>
    <cellStyle name="Heading 4 11 2" xfId="0"/>
    <cellStyle name="Heading 4 12" xfId="0"/>
    <cellStyle name="Heading 4 12 2" xfId="0"/>
    <cellStyle name="Heading 4 13" xfId="0"/>
    <cellStyle name="Heading 4 13 2" xfId="0"/>
    <cellStyle name="Heading 4 14" xfId="0"/>
    <cellStyle name="Heading 4 14 2" xfId="0"/>
    <cellStyle name="Heading 4 15" xfId="0"/>
    <cellStyle name="Heading 4 15 2" xfId="0"/>
    <cellStyle name="Heading 4 16" xfId="0"/>
    <cellStyle name="Heading 4 16 2" xfId="0"/>
    <cellStyle name="Heading 4 17" xfId="0"/>
    <cellStyle name="Heading 4 17 2" xfId="0"/>
    <cellStyle name="Heading 4 18" xfId="0"/>
    <cellStyle name="Heading 4 18 2" xfId="0"/>
    <cellStyle name="Heading 4 19" xfId="0"/>
    <cellStyle name="Heading 4 19 2" xfId="0"/>
    <cellStyle name="Heading 4 2" xfId="0"/>
    <cellStyle name="Heading 4 2 2" xfId="0"/>
    <cellStyle name="Heading 4 2 2 2" xfId="0"/>
    <cellStyle name="Heading 4 2 2 3" xfId="0"/>
    <cellStyle name="Heading 4 2 3" xfId="0"/>
    <cellStyle name="Heading 4 2 3 2" xfId="0"/>
    <cellStyle name="Heading 4 2 3 3" xfId="0"/>
    <cellStyle name="Heading 4 2 4" xfId="0"/>
    <cellStyle name="Heading 4 2 4 2" xfId="0"/>
    <cellStyle name="Heading 4 2 5" xfId="0"/>
    <cellStyle name="Heading 4 2 5 2" xfId="0"/>
    <cellStyle name="Heading 4 2 6" xfId="0"/>
    <cellStyle name="Heading 4 2 7" xfId="0"/>
    <cellStyle name="Heading 4 20" xfId="0"/>
    <cellStyle name="Heading 4 20 2" xfId="0"/>
    <cellStyle name="Heading 4 21" xfId="0"/>
    <cellStyle name="Heading 4 21 2" xfId="0"/>
    <cellStyle name="Heading 4 22" xfId="0"/>
    <cellStyle name="Heading 4 22 2" xfId="0"/>
    <cellStyle name="Heading 4 23" xfId="0"/>
    <cellStyle name="Heading 4 24" xfId="0"/>
    <cellStyle name="Heading 4 25" xfId="0"/>
    <cellStyle name="Heading 4 26" xfId="0"/>
    <cellStyle name="Heading 4 27" xfId="0"/>
    <cellStyle name="Heading 4 28" xfId="0"/>
    <cellStyle name="Heading 4 29" xfId="0"/>
    <cellStyle name="Heading 4 2_Profitability Detail NT$ Sep-12" xfId="0"/>
    <cellStyle name="Heading 4 3" xfId="0"/>
    <cellStyle name="Heading 4 3 2" xfId="0"/>
    <cellStyle name="Heading 4 3 2 2" xfId="0"/>
    <cellStyle name="Heading 4 3 3" xfId="0"/>
    <cellStyle name="Heading 4 3 3 2" xfId="0"/>
    <cellStyle name="Heading 4 3 4" xfId="0"/>
    <cellStyle name="Heading 4 3 4 2" xfId="0"/>
    <cellStyle name="Heading 4 3 5" xfId="0"/>
    <cellStyle name="Heading 4 3 5 2" xfId="0"/>
    <cellStyle name="Heading 4 3 6" xfId="0"/>
    <cellStyle name="Heading 4 3 7" xfId="0"/>
    <cellStyle name="Heading 4 3 8" xfId="0"/>
    <cellStyle name="Heading 4 3_Profitability Detail NT$ Sep-12" xfId="0"/>
    <cellStyle name="Heading 4 4" xfId="0"/>
    <cellStyle name="Heading 4 4 2" xfId="0"/>
    <cellStyle name="Heading 4 4 2 2" xfId="0"/>
    <cellStyle name="Heading 4 4 3" xfId="0"/>
    <cellStyle name="Heading 4 4 3 2" xfId="0"/>
    <cellStyle name="Heading 4 4 4" xfId="0"/>
    <cellStyle name="Heading 4 4 4 2" xfId="0"/>
    <cellStyle name="Heading 4 4 5" xfId="0"/>
    <cellStyle name="Heading 4 4 5 2" xfId="0"/>
    <cellStyle name="Heading 4 4 6" xfId="0"/>
    <cellStyle name="Heading 4 4 7" xfId="0"/>
    <cellStyle name="Heading 4 4_Profitability Detail NT$ Sep-12" xfId="0"/>
    <cellStyle name="Heading 4 5" xfId="0"/>
    <cellStyle name="Heading 4 5 2" xfId="0"/>
    <cellStyle name="Heading 4 6" xfId="0"/>
    <cellStyle name="Heading 4 6 2" xfId="0"/>
    <cellStyle name="Heading 4 7" xfId="0"/>
    <cellStyle name="Heading 4 7 2" xfId="0"/>
    <cellStyle name="Heading 4 8" xfId="0"/>
    <cellStyle name="Heading 4 8 2" xfId="0"/>
    <cellStyle name="Heading 4 9" xfId="0"/>
    <cellStyle name="Heading 4 9 2" xfId="0"/>
    <cellStyle name="Heading 4_Apr CPC" xfId="0"/>
    <cellStyle name="Heading No Underline" xfId="0"/>
    <cellStyle name="Heading No Underline 2" xfId="0"/>
    <cellStyle name="Heading With Underline" xfId="0"/>
    <cellStyle name="Heading With Underline 2" xfId="0"/>
    <cellStyle name="Heading_RETIREMEN vsi" xfId="0"/>
    <cellStyle name="Hiperlacze" xfId="0"/>
    <cellStyle name="Hiperlacze 2" xfId="0"/>
    <cellStyle name="Hiperlacze 2 2" xfId="0"/>
    <cellStyle name="Hiperlacze 2 2 2" xfId="0"/>
    <cellStyle name="Hiperlacze 2 2 3" xfId="0"/>
    <cellStyle name="Hiperlacze 2 2 4" xfId="0"/>
    <cellStyle name="Hiperlacze 2 3" xfId="0"/>
    <cellStyle name="Hiperlacze 2 3 2" xfId="0"/>
    <cellStyle name="Hiperlacze 2 3 3" xfId="0"/>
    <cellStyle name="Hiperlacze 2 3 4" xfId="0"/>
    <cellStyle name="Hiperlacze 2 4" xfId="0"/>
    <cellStyle name="Hiperlacze 2 4 2" xfId="0"/>
    <cellStyle name="Hiperlacze 2 4 3" xfId="0"/>
    <cellStyle name="Hiperlacze 2 4 4" xfId="0"/>
    <cellStyle name="Hiperlacze 2 5" xfId="0"/>
    <cellStyle name="Hiperlacze 2 5 2" xfId="0"/>
    <cellStyle name="Hiperlacze 2 5 3" xfId="0"/>
    <cellStyle name="Hiperlacze 2 5 4" xfId="0"/>
    <cellStyle name="Hiperlacze 2 6" xfId="0"/>
    <cellStyle name="Hiperlacze 2 7" xfId="0"/>
    <cellStyle name="Hiperlacze 2 8" xfId="0"/>
    <cellStyle name="Hiperlacze 3" xfId="0"/>
    <cellStyle name="Hiperlacze 3 2" xfId="0"/>
    <cellStyle name="Hiperlacze 3 2 2" xfId="0"/>
    <cellStyle name="Hiperlacze 3 2 3" xfId="0"/>
    <cellStyle name="Hiperlacze 3 2 4" xfId="0"/>
    <cellStyle name="Hiperlacze 3 3" xfId="0"/>
    <cellStyle name="Hiperlacze 3 3 2" xfId="0"/>
    <cellStyle name="Hiperlacze 3 3 3" xfId="0"/>
    <cellStyle name="Hiperlacze 3 3 4" xfId="0"/>
    <cellStyle name="Hiperlacze 3 4" xfId="0"/>
    <cellStyle name="Hiperlacze 3 4 2" xfId="0"/>
    <cellStyle name="Hiperlacze 3 4 3" xfId="0"/>
    <cellStyle name="Hiperlacze 3 4 4" xfId="0"/>
    <cellStyle name="Hiperlacze 3 5" xfId="0"/>
    <cellStyle name="Hiperlacze 3 6" xfId="0"/>
    <cellStyle name="Hiperlacze 3 7" xfId="0"/>
    <cellStyle name="Hiperlacze 4" xfId="0"/>
    <cellStyle name="Hiperlacze 5" xfId="0"/>
    <cellStyle name="Hiperlacze 6" xfId="0"/>
    <cellStyle name="Hiperłącze" xfId="0"/>
    <cellStyle name="Hiperłącze 2" xfId="0"/>
    <cellStyle name="Hiperłącze 2 2" xfId="0"/>
    <cellStyle name="Hiperłącze 2 2 2" xfId="0"/>
    <cellStyle name="Hiperłącze 2 2 3" xfId="0"/>
    <cellStyle name="Hiperłącze 2 2 4" xfId="0"/>
    <cellStyle name="Hiperłącze 2 3" xfId="0"/>
    <cellStyle name="Hiperłącze 2 3 2" xfId="0"/>
    <cellStyle name="Hiperłącze 2 3 3" xfId="0"/>
    <cellStyle name="Hiperłącze 2 3 4" xfId="0"/>
    <cellStyle name="Hiperłącze 2 4" xfId="0"/>
    <cellStyle name="Hiperłącze 2 4 2" xfId="0"/>
    <cellStyle name="Hiperłącze 2 4 3" xfId="0"/>
    <cellStyle name="Hiperłącze 2 4 4" xfId="0"/>
    <cellStyle name="Hiperłącze 2 5" xfId="0"/>
    <cellStyle name="Hiperłącze 2 5 2" xfId="0"/>
    <cellStyle name="Hiperłącze 2 5 3" xfId="0"/>
    <cellStyle name="Hiperłącze 2 5 4" xfId="0"/>
    <cellStyle name="Hiperłącze 2 6" xfId="0"/>
    <cellStyle name="Hiperłącze 2 7" xfId="0"/>
    <cellStyle name="Hiperłącze 2 8" xfId="0"/>
    <cellStyle name="Hiperłącze 3" xfId="0"/>
    <cellStyle name="Hiperłącze 3 2" xfId="0"/>
    <cellStyle name="Hiperłącze 3 2 2" xfId="0"/>
    <cellStyle name="Hiperłącze 3 2 3" xfId="0"/>
    <cellStyle name="Hiperłącze 3 2 4" xfId="0"/>
    <cellStyle name="Hiperłącze 3 3" xfId="0"/>
    <cellStyle name="Hiperłącze 3 3 2" xfId="0"/>
    <cellStyle name="Hiperłącze 3 3 3" xfId="0"/>
    <cellStyle name="Hiperłącze 3 3 4" xfId="0"/>
    <cellStyle name="Hiperłącze 3 4" xfId="0"/>
    <cellStyle name="Hiperłącze 3 4 2" xfId="0"/>
    <cellStyle name="Hiperłącze 3 4 3" xfId="0"/>
    <cellStyle name="Hiperłącze 3 4 4" xfId="0"/>
    <cellStyle name="Hiperłącze 3 5" xfId="0"/>
    <cellStyle name="Hiperłącze 3 6" xfId="0"/>
    <cellStyle name="Hiperłącze 3 7" xfId="0"/>
    <cellStyle name="Hiperłącze 4" xfId="0"/>
    <cellStyle name="Hiperłącze 5" xfId="0"/>
    <cellStyle name="Hiperłącze 6" xfId="0"/>
    <cellStyle name="Hyperlink 2" xfId="0"/>
    <cellStyle name="Hyperlink 2 2" xfId="0"/>
    <cellStyle name="Input" xfId="0"/>
    <cellStyle name="Input 10" xfId="0"/>
    <cellStyle name="Input 10 2" xfId="0"/>
    <cellStyle name="Input 10 3" xfId="0"/>
    <cellStyle name="Input 11" xfId="0"/>
    <cellStyle name="Input 11 2" xfId="0"/>
    <cellStyle name="Input 11 3" xfId="0"/>
    <cellStyle name="Input 12" xfId="0"/>
    <cellStyle name="Input 12 2" xfId="0"/>
    <cellStyle name="Input 12 3" xfId="0"/>
    <cellStyle name="Input 13" xfId="0"/>
    <cellStyle name="Input 13 2" xfId="0"/>
    <cellStyle name="Input 13 3" xfId="0"/>
    <cellStyle name="Input 14" xfId="0"/>
    <cellStyle name="Input 14 2" xfId="0"/>
    <cellStyle name="Input 14 3" xfId="0"/>
    <cellStyle name="Input 15" xfId="0"/>
    <cellStyle name="Input 15 2" xfId="0"/>
    <cellStyle name="Input 15 3" xfId="0"/>
    <cellStyle name="Input 16" xfId="0"/>
    <cellStyle name="Input 16 2" xfId="0"/>
    <cellStyle name="Input 16 3" xfId="0"/>
    <cellStyle name="Input 17" xfId="0"/>
    <cellStyle name="Input 17 2" xfId="0"/>
    <cellStyle name="Input 17 3" xfId="0"/>
    <cellStyle name="Input 18" xfId="0"/>
    <cellStyle name="Input 18 2" xfId="0"/>
    <cellStyle name="Input 18 3" xfId="0"/>
    <cellStyle name="Input 19" xfId="0"/>
    <cellStyle name="Input 19 2" xfId="0"/>
    <cellStyle name="Input 2" xfId="0"/>
    <cellStyle name="Input 2 2" xfId="0"/>
    <cellStyle name="Input 2 2 2" xfId="0"/>
    <cellStyle name="Input 2 2 3" xfId="0"/>
    <cellStyle name="Input 2 3" xfId="0"/>
    <cellStyle name="Input 2 3 2" xfId="0"/>
    <cellStyle name="Input 2 3 3" xfId="0"/>
    <cellStyle name="Input 2 4" xfId="0"/>
    <cellStyle name="Input 2 4 2" xfId="0"/>
    <cellStyle name="Input 2 5" xfId="0"/>
    <cellStyle name="Input 2 5 2" xfId="0"/>
    <cellStyle name="Input 2 6" xfId="0"/>
    <cellStyle name="Input 2 7" xfId="0"/>
    <cellStyle name="Input 2 8" xfId="0"/>
    <cellStyle name="Input 2 9" xfId="0"/>
    <cellStyle name="Input 20" xfId="0"/>
    <cellStyle name="Input 20 2" xfId="0"/>
    <cellStyle name="Input 21" xfId="0"/>
    <cellStyle name="Input 21 2" xfId="0"/>
    <cellStyle name="Input 22" xfId="0"/>
    <cellStyle name="Input 22 2" xfId="0"/>
    <cellStyle name="Input 23" xfId="0"/>
    <cellStyle name="Input 23 2" xfId="0"/>
    <cellStyle name="Input 24" xfId="0"/>
    <cellStyle name="Input 25" xfId="0"/>
    <cellStyle name="Input 26" xfId="0"/>
    <cellStyle name="Input 27" xfId="0"/>
    <cellStyle name="Input 28" xfId="0"/>
    <cellStyle name="Input 29" xfId="0"/>
    <cellStyle name="Input 2_Profitability Detail NT$ Sep-12" xfId="0"/>
    <cellStyle name="Input 3" xfId="0"/>
    <cellStyle name="Input 3 2" xfId="0"/>
    <cellStyle name="Input 3 2 2" xfId="0"/>
    <cellStyle name="Input 3 3" xfId="0"/>
    <cellStyle name="Input 3 3 2" xfId="0"/>
    <cellStyle name="Input 3 4" xfId="0"/>
    <cellStyle name="Input 3 4 2" xfId="0"/>
    <cellStyle name="Input 3 5" xfId="0"/>
    <cellStyle name="Input 3 5 2" xfId="0"/>
    <cellStyle name="Input 3 6" xfId="0"/>
    <cellStyle name="Input 3 7" xfId="0"/>
    <cellStyle name="Input 3 8" xfId="0"/>
    <cellStyle name="Input 30" xfId="0"/>
    <cellStyle name="Input 31" xfId="0"/>
    <cellStyle name="Input 32" xfId="0"/>
    <cellStyle name="Input 33" xfId="0"/>
    <cellStyle name="Input 34" xfId="0"/>
    <cellStyle name="Input 35" xfId="0"/>
    <cellStyle name="Input 36" xfId="0"/>
    <cellStyle name="Input 37" xfId="0"/>
    <cellStyle name="Input 38" xfId="0"/>
    <cellStyle name="Input 39" xfId="0"/>
    <cellStyle name="Input 3_Profitability Detail NT$ Sep-12" xfId="0"/>
    <cellStyle name="Input 4" xfId="0"/>
    <cellStyle name="Input 4 2" xfId="0"/>
    <cellStyle name="Input 4 2 2" xfId="0"/>
    <cellStyle name="Input 4 3" xfId="0"/>
    <cellStyle name="Input 4 3 2" xfId="0"/>
    <cellStyle name="Input 4 4" xfId="0"/>
    <cellStyle name="Input 4 4 2" xfId="0"/>
    <cellStyle name="Input 4 5" xfId="0"/>
    <cellStyle name="Input 4 5 2" xfId="0"/>
    <cellStyle name="Input 4 6" xfId="0"/>
    <cellStyle name="Input 4 7" xfId="0"/>
    <cellStyle name="Input 4 8" xfId="0"/>
    <cellStyle name="Input 40" xfId="0"/>
    <cellStyle name="Input 41" xfId="0"/>
    <cellStyle name="Input 42" xfId="0"/>
    <cellStyle name="Input 43" xfId="0"/>
    <cellStyle name="Input 44" xfId="0"/>
    <cellStyle name="Input 45" xfId="0"/>
    <cellStyle name="Input 46" xfId="0"/>
    <cellStyle name="Input 47" xfId="0"/>
    <cellStyle name="Input 48" xfId="0"/>
    <cellStyle name="Input 49" xfId="0"/>
    <cellStyle name="Input 4_Profitability Detail NT$ Sep-12" xfId="0"/>
    <cellStyle name="Input 5" xfId="0"/>
    <cellStyle name="Input 5 2" xfId="0"/>
    <cellStyle name="Input 5 3" xfId="0"/>
    <cellStyle name="Input 5 4" xfId="0"/>
    <cellStyle name="Input 50" xfId="0"/>
    <cellStyle name="Input 51" xfId="0"/>
    <cellStyle name="Input 6" xfId="0"/>
    <cellStyle name="Input 6 2" xfId="0"/>
    <cellStyle name="Input 6 3" xfId="0"/>
    <cellStyle name="Input 7" xfId="0"/>
    <cellStyle name="Input 7 2" xfId="0"/>
    <cellStyle name="Input 7 3" xfId="0"/>
    <cellStyle name="Input 8" xfId="0"/>
    <cellStyle name="Input 8 2" xfId="0"/>
    <cellStyle name="Input 8 3" xfId="0"/>
    <cellStyle name="Input 9" xfId="0"/>
    <cellStyle name="Input 9 2" xfId="0"/>
    <cellStyle name="Input 9 3" xfId="0"/>
    <cellStyle name="Input [yellow]" xfId="0"/>
    <cellStyle name="Input [yellow] 2" xfId="0"/>
    <cellStyle name="Input Cells" xfId="0"/>
    <cellStyle name="Input Cells 10" xfId="0"/>
    <cellStyle name="Input Cells 11" xfId="0"/>
    <cellStyle name="Input Cells 2" xfId="0"/>
    <cellStyle name="Input Cells 3" xfId="0"/>
    <cellStyle name="Input Cells 4" xfId="0"/>
    <cellStyle name="Input Cells 5" xfId="0"/>
    <cellStyle name="Input Cells 6" xfId="0"/>
    <cellStyle name="Input Cells 7" xfId="0"/>
    <cellStyle name="Input Cells 8" xfId="0"/>
    <cellStyle name="Input Cells 9" xfId="0"/>
    <cellStyle name="Input_13-wk VSA_Revised" xfId="0"/>
    <cellStyle name="l]&#13;&#10;Path=h:&#13;&#10;Name=Diana Chang&#13;&#10;DDEApps=nsf,nsg,nsh,ntf,ns2,ors,org&#13;&#10;SmartIcons=Read Message&#13;&#10;&#13;&#10;&#13;&#10;[cc:Edit" xfId="0"/>
    <cellStyle name="l]&#13;&#10;Path=h:&#13;&#10;Name=Diana Chang&#13;&#10;DDEApps=nsf,nsg,nsh,ntf,ns2,ors,org&#13;&#10;SmartIcons=Read Message&#13;&#10;&#13;&#10;&#13;&#10;[cc:Edit 2" xfId="0"/>
    <cellStyle name="Linked Cell" xfId="0"/>
    <cellStyle name="Linked Cell 10" xfId="0"/>
    <cellStyle name="Linked Cell 10 2" xfId="0"/>
    <cellStyle name="Linked Cell 10 3" xfId="0"/>
    <cellStyle name="Linked Cell 11" xfId="0"/>
    <cellStyle name="Linked Cell 11 2" xfId="0"/>
    <cellStyle name="Linked Cell 12" xfId="0"/>
    <cellStyle name="Linked Cell 12 2" xfId="0"/>
    <cellStyle name="Linked Cell 13" xfId="0"/>
    <cellStyle name="Linked Cell 13 2" xfId="0"/>
    <cellStyle name="Linked Cell 14" xfId="0"/>
    <cellStyle name="Linked Cell 14 2" xfId="0"/>
    <cellStyle name="Linked Cell 15" xfId="0"/>
    <cellStyle name="Linked Cell 15 2" xfId="0"/>
    <cellStyle name="Linked Cell 16" xfId="0"/>
    <cellStyle name="Linked Cell 16 2" xfId="0"/>
    <cellStyle name="Linked Cell 17" xfId="0"/>
    <cellStyle name="Linked Cell 17 2" xfId="0"/>
    <cellStyle name="Linked Cell 18" xfId="0"/>
    <cellStyle name="Linked Cell 18 2" xfId="0"/>
    <cellStyle name="Linked Cell 19" xfId="0"/>
    <cellStyle name="Linked Cell 19 2" xfId="0"/>
    <cellStyle name="Linked Cell 2" xfId="0"/>
    <cellStyle name="Linked Cell 2 2" xfId="0"/>
    <cellStyle name="Linked Cell 2 2 2" xfId="0"/>
    <cellStyle name="Linked Cell 2 2 2 2" xfId="0"/>
    <cellStyle name="Linked Cell 2 2 3" xfId="0"/>
    <cellStyle name="Linked Cell 2 2 4" xfId="0"/>
    <cellStyle name="Linked Cell 2 3" xfId="0"/>
    <cellStyle name="Linked Cell 2 3 2" xfId="0"/>
    <cellStyle name="Linked Cell 2 3 3" xfId="0"/>
    <cellStyle name="Linked Cell 2 3 4" xfId="0"/>
    <cellStyle name="Linked Cell 2 4" xfId="0"/>
    <cellStyle name="Linked Cell 2 4 2" xfId="0"/>
    <cellStyle name="Linked Cell 2 4 3" xfId="0"/>
    <cellStyle name="Linked Cell 2 4 4" xfId="0"/>
    <cellStyle name="Linked Cell 2 5" xfId="0"/>
    <cellStyle name="Linked Cell 2 5 2" xfId="0"/>
    <cellStyle name="Linked Cell 2 5 3" xfId="0"/>
    <cellStyle name="Linked Cell 2 6" xfId="0"/>
    <cellStyle name="Linked Cell 2 6 2" xfId="0"/>
    <cellStyle name="Linked Cell 2 7" xfId="0"/>
    <cellStyle name="Linked Cell 2 8" xfId="0"/>
    <cellStyle name="Linked Cell 20" xfId="0"/>
    <cellStyle name="Linked Cell 20 2" xfId="0"/>
    <cellStyle name="Linked Cell 21" xfId="0"/>
    <cellStyle name="Linked Cell 21 2" xfId="0"/>
    <cellStyle name="Linked Cell 22" xfId="0"/>
    <cellStyle name="Linked Cell 22 2" xfId="0"/>
    <cellStyle name="Linked Cell 23" xfId="0"/>
    <cellStyle name="Linked Cell 23 2" xfId="0"/>
    <cellStyle name="Linked Cell 24" xfId="0"/>
    <cellStyle name="Linked Cell 24 2" xfId="0"/>
    <cellStyle name="Linked Cell 25" xfId="0"/>
    <cellStyle name="Linked Cell 25 2" xfId="0"/>
    <cellStyle name="Linked Cell 26" xfId="0"/>
    <cellStyle name="Linked Cell 26 2" xfId="0"/>
    <cellStyle name="Linked Cell 27" xfId="0"/>
    <cellStyle name="Linked Cell 27 2" xfId="0"/>
    <cellStyle name="Linked Cell 28" xfId="0"/>
    <cellStyle name="Linked Cell 29" xfId="0"/>
    <cellStyle name="Linked Cell 2_Market Fresh Cost" xfId="0"/>
    <cellStyle name="Linked Cell 3" xfId="0"/>
    <cellStyle name="Linked Cell 3 2" xfId="0"/>
    <cellStyle name="Linked Cell 3 2 2" xfId="0"/>
    <cellStyle name="Linked Cell 3 2 3" xfId="0"/>
    <cellStyle name="Linked Cell 3 3" xfId="0"/>
    <cellStyle name="Linked Cell 3 3 2" xfId="0"/>
    <cellStyle name="Linked Cell 3 3 3" xfId="0"/>
    <cellStyle name="Linked Cell 3 4" xfId="0"/>
    <cellStyle name="Linked Cell 3 4 2" xfId="0"/>
    <cellStyle name="Linked Cell 3 4 3" xfId="0"/>
    <cellStyle name="Linked Cell 3 5" xfId="0"/>
    <cellStyle name="Linked Cell 3 5 2" xfId="0"/>
    <cellStyle name="Linked Cell 3 5 3" xfId="0"/>
    <cellStyle name="Linked Cell 3 6" xfId="0"/>
    <cellStyle name="Linked Cell 3 6 2" xfId="0"/>
    <cellStyle name="Linked Cell 3 7" xfId="0"/>
    <cellStyle name="Linked Cell 30" xfId="0"/>
    <cellStyle name="Linked Cell 31" xfId="0"/>
    <cellStyle name="Linked Cell 32" xfId="0"/>
    <cellStyle name="Linked Cell 33" xfId="0"/>
    <cellStyle name="Linked Cell 34" xfId="0"/>
    <cellStyle name="Linked Cell 35" xfId="0"/>
    <cellStyle name="Linked Cell 3_Profitability Detail NT$ Sep-12" xfId="0"/>
    <cellStyle name="Linked Cell 4" xfId="0"/>
    <cellStyle name="Linked Cell 4 2" xfId="0"/>
    <cellStyle name="Linked Cell 4 2 2" xfId="0"/>
    <cellStyle name="Linked Cell 4 2 3" xfId="0"/>
    <cellStyle name="Linked Cell 4 3" xfId="0"/>
    <cellStyle name="Linked Cell 4 3 2" xfId="0"/>
    <cellStyle name="Linked Cell 4 3 3" xfId="0"/>
    <cellStyle name="Linked Cell 4 4" xfId="0"/>
    <cellStyle name="Linked Cell 4 4 2" xfId="0"/>
    <cellStyle name="Linked Cell 4 4 3" xfId="0"/>
    <cellStyle name="Linked Cell 4 5" xfId="0"/>
    <cellStyle name="Linked Cell 4 5 2" xfId="0"/>
    <cellStyle name="Linked Cell 4 5 3" xfId="0"/>
    <cellStyle name="Linked Cell 4 6" xfId="0"/>
    <cellStyle name="Linked Cell 4 6 2" xfId="0"/>
    <cellStyle name="Linked Cell 4 7" xfId="0"/>
    <cellStyle name="Linked Cell 4_Profitability Detail NT$ Sep-12" xfId="0"/>
    <cellStyle name="Linked Cell 5" xfId="0"/>
    <cellStyle name="Linked Cell 5 2" xfId="0"/>
    <cellStyle name="Linked Cell 5 2 2" xfId="0"/>
    <cellStyle name="Linked Cell 5 3" xfId="0"/>
    <cellStyle name="Linked Cell 5 4" xfId="0"/>
    <cellStyle name="Linked Cell 6" xfId="0"/>
    <cellStyle name="Linked Cell 6 2" xfId="0"/>
    <cellStyle name="Linked Cell 6 3" xfId="0"/>
    <cellStyle name="Linked Cell 7" xfId="0"/>
    <cellStyle name="Linked Cell 7 2" xfId="0"/>
    <cellStyle name="Linked Cell 7 3" xfId="0"/>
    <cellStyle name="Linked Cell 8" xfId="0"/>
    <cellStyle name="Linked Cell 8 2" xfId="0"/>
    <cellStyle name="Linked Cell 8 3" xfId="0"/>
    <cellStyle name="Linked Cell 9" xfId="0"/>
    <cellStyle name="Linked Cell 9 2" xfId="0"/>
    <cellStyle name="Linked Cell 9 3" xfId="0"/>
    <cellStyle name="Linked Cell_13-wk VSA_Revised" xfId="0"/>
    <cellStyle name="Linked Cells" xfId="0"/>
    <cellStyle name="Linked Cells 10" xfId="0"/>
    <cellStyle name="Linked Cells 11" xfId="0"/>
    <cellStyle name="Linked Cells 2" xfId="0"/>
    <cellStyle name="Linked Cells 3" xfId="0"/>
    <cellStyle name="Linked Cells 4" xfId="0"/>
    <cellStyle name="Linked Cells 5" xfId="0"/>
    <cellStyle name="Linked Cells 6" xfId="0"/>
    <cellStyle name="Linked Cells 7" xfId="0"/>
    <cellStyle name="Linked Cells 8" xfId="0"/>
    <cellStyle name="Linked Cells 9" xfId="0"/>
    <cellStyle name="Milliers [0]_!!!GO" xfId="0"/>
    <cellStyle name="Milliers_!!!GO" xfId="0"/>
    <cellStyle name="Monétaire [0]_!!!GO" xfId="0"/>
    <cellStyle name="Monétaire_!!!GO" xfId="0"/>
    <cellStyle name="Neutral 10" xfId="0"/>
    <cellStyle name="Neutral 10 2" xfId="0"/>
    <cellStyle name="Neutral 11" xfId="0"/>
    <cellStyle name="Neutral 11 2" xfId="0"/>
    <cellStyle name="Neutral 12" xfId="0"/>
    <cellStyle name="Neutral 12 2" xfId="0"/>
    <cellStyle name="Neutral 13" xfId="0"/>
    <cellStyle name="Neutral 13 2" xfId="0"/>
    <cellStyle name="Neutral 14" xfId="0"/>
    <cellStyle name="Neutral 14 2" xfId="0"/>
    <cellStyle name="Neutral 15" xfId="0"/>
    <cellStyle name="Neutral 15 2" xfId="0"/>
    <cellStyle name="Neutral 16" xfId="0"/>
    <cellStyle name="Neutral 16 2" xfId="0"/>
    <cellStyle name="Neutral 17" xfId="0"/>
    <cellStyle name="Neutral 17 2" xfId="0"/>
    <cellStyle name="Neutral 18" xfId="0"/>
    <cellStyle name="Neutral 18 2" xfId="0"/>
    <cellStyle name="Neutral 19" xfId="0"/>
    <cellStyle name="Neutral 19 2" xfId="0"/>
    <cellStyle name="Neutral 2" xfId="0"/>
    <cellStyle name="Neutral 2 2" xfId="0"/>
    <cellStyle name="Neutral 2 2 2" xfId="0"/>
    <cellStyle name="Neutral 2 2 3" xfId="0"/>
    <cellStyle name="Neutral 2 3" xfId="0"/>
    <cellStyle name="Neutral 2 3 2" xfId="0"/>
    <cellStyle name="Neutral 2 3 3" xfId="0"/>
    <cellStyle name="Neutral 2 4" xfId="0"/>
    <cellStyle name="Neutral 2 4 2" xfId="0"/>
    <cellStyle name="Neutral 2 5" xfId="0"/>
    <cellStyle name="Neutral 2 5 2" xfId="0"/>
    <cellStyle name="Neutral 2 6" xfId="0"/>
    <cellStyle name="Neutral 2 7" xfId="0"/>
    <cellStyle name="Neutral 2 8" xfId="0"/>
    <cellStyle name="Neutral 2 9" xfId="0"/>
    <cellStyle name="Neutral 20" xfId="0"/>
    <cellStyle name="Neutral 20 2" xfId="0"/>
    <cellStyle name="Neutral 21" xfId="0"/>
    <cellStyle name="Neutral 21 2" xfId="0"/>
    <cellStyle name="Neutral 22" xfId="0"/>
    <cellStyle name="Neutral 22 2" xfId="0"/>
    <cellStyle name="Neutral 23" xfId="0"/>
    <cellStyle name="Neutral 23 2" xfId="0"/>
    <cellStyle name="Neutral 24" xfId="0"/>
    <cellStyle name="Neutral 25" xfId="0"/>
    <cellStyle name="Neutral 26" xfId="0"/>
    <cellStyle name="Neutral 27" xfId="0"/>
    <cellStyle name="Neutral 28" xfId="0"/>
    <cellStyle name="Neutral 29" xfId="0"/>
    <cellStyle name="Neutral 2_Profitability Detail NT$ Sep-12" xfId="0"/>
    <cellStyle name="Neutral 3" xfId="0"/>
    <cellStyle name="Neutral 3 2" xfId="0"/>
    <cellStyle name="Neutral 3 2 2" xfId="0"/>
    <cellStyle name="Neutral 3 3" xfId="0"/>
    <cellStyle name="Neutral 3 3 2" xfId="0"/>
    <cellStyle name="Neutral 3 4" xfId="0"/>
    <cellStyle name="Neutral 3 4 2" xfId="0"/>
    <cellStyle name="Neutral 3 5" xfId="0"/>
    <cellStyle name="Neutral 3 5 2" xfId="0"/>
    <cellStyle name="Neutral 3 6" xfId="0"/>
    <cellStyle name="Neutral 3 7" xfId="0"/>
    <cellStyle name="Neutral 3 8" xfId="0"/>
    <cellStyle name="Neutral 30" xfId="0"/>
    <cellStyle name="Neutral 31" xfId="0"/>
    <cellStyle name="Neutral 32" xfId="0"/>
    <cellStyle name="Neutral 33" xfId="0"/>
    <cellStyle name="Neutral 34" xfId="0"/>
    <cellStyle name="Neutral 35" xfId="0"/>
    <cellStyle name="Neutral 38" xfId="0"/>
    <cellStyle name="Neutral 3_Profitability Detail NT$ Sep-12" xfId="0"/>
    <cellStyle name="Neutral 4" xfId="0"/>
    <cellStyle name="Neutral 4 2" xfId="0"/>
    <cellStyle name="Neutral 4 2 2" xfId="0"/>
    <cellStyle name="Neutral 4 3" xfId="0"/>
    <cellStyle name="Neutral 4 3 2" xfId="0"/>
    <cellStyle name="Neutral 4 4" xfId="0"/>
    <cellStyle name="Neutral 4 4 2" xfId="0"/>
    <cellStyle name="Neutral 4 5" xfId="0"/>
    <cellStyle name="Neutral 4 5 2" xfId="0"/>
    <cellStyle name="Neutral 4 6" xfId="0"/>
    <cellStyle name="Neutral 4 7" xfId="0"/>
    <cellStyle name="Neutral 4_Profitability Detail NT$ Sep-12" xfId="0"/>
    <cellStyle name="Neutral 5" xfId="0"/>
    <cellStyle name="Neutral 5 2" xfId="0"/>
    <cellStyle name="Neutral 5 3" xfId="0"/>
    <cellStyle name="Neutral 6" xfId="0"/>
    <cellStyle name="Neutral 6 2" xfId="0"/>
    <cellStyle name="Neutral 7" xfId="0"/>
    <cellStyle name="Neutral 7 2" xfId="0"/>
    <cellStyle name="Neutral 8" xfId="0"/>
    <cellStyle name="Neutral 8 2" xfId="0"/>
    <cellStyle name="Neutral 9" xfId="0"/>
    <cellStyle name="Neutral 9 2" xfId="0"/>
    <cellStyle name="Neutral_13-wk VSA_Revised" xfId="0"/>
    <cellStyle name="no dec" xfId="0"/>
    <cellStyle name="no dec 10" xfId="0"/>
    <cellStyle name="no dec 11" xfId="0"/>
    <cellStyle name="no dec 2" xfId="0"/>
    <cellStyle name="no dec 3" xfId="0"/>
    <cellStyle name="no dec 4" xfId="0"/>
    <cellStyle name="no dec 5" xfId="0"/>
    <cellStyle name="no dec 6" xfId="0"/>
    <cellStyle name="no dec 7" xfId="0"/>
    <cellStyle name="no dec 8" xfId="0"/>
    <cellStyle name="no dec 9" xfId="0"/>
    <cellStyle name="Norm??" xfId="0"/>
    <cellStyle name="Norm?? 2" xfId="0"/>
    <cellStyle name="Normal - Style1" xfId="0"/>
    <cellStyle name="Normal - Style1 10" xfId="0"/>
    <cellStyle name="Normal - Style1 11" xfId="0"/>
    <cellStyle name="Normal - Style1 2" xfId="0"/>
    <cellStyle name="Normal - Style1 3" xfId="0"/>
    <cellStyle name="Normal - Style1 4" xfId="0"/>
    <cellStyle name="Normal - Style1 5" xfId="0"/>
    <cellStyle name="Normal - Style1 6" xfId="0"/>
    <cellStyle name="Normal - Style1 7" xfId="0"/>
    <cellStyle name="Normal - Style1 8" xfId="0"/>
    <cellStyle name="Normal - Style1 9" xfId="0"/>
    <cellStyle name="Normal 10" xfId="0"/>
    <cellStyle name="Normal 10 2" xfId="0"/>
    <cellStyle name="Normal 10 2 2" xfId="0"/>
    <cellStyle name="Normal 10 2 3" xfId="0"/>
    <cellStyle name="Normal 10 3" xfId="0"/>
    <cellStyle name="Normal 10 3 2" xfId="0"/>
    <cellStyle name="Normal 10 4" xfId="0"/>
    <cellStyle name="Normal 100" xfId="0"/>
    <cellStyle name="Normal 101" xfId="0"/>
    <cellStyle name="Normal 102" xfId="0"/>
    <cellStyle name="Normal 103" xfId="0"/>
    <cellStyle name="Normal 104" xfId="0"/>
    <cellStyle name="Normal 105" xfId="0"/>
    <cellStyle name="Normal 106" xfId="0"/>
    <cellStyle name="Normal 107" xfId="0"/>
    <cellStyle name="Normal 108" xfId="0"/>
    <cellStyle name="Normal 109" xfId="0"/>
    <cellStyle name="Normal 11" xfId="0"/>
    <cellStyle name="Normal 11 2" xfId="0"/>
    <cellStyle name="Normal 11 2 2" xfId="0"/>
    <cellStyle name="Normal 11 2 3" xfId="0"/>
    <cellStyle name="Normal 11 3" xfId="0"/>
    <cellStyle name="Normal 11 4" xfId="0"/>
    <cellStyle name="Normal 110" xfId="0"/>
    <cellStyle name="Normal 111" xfId="0"/>
    <cellStyle name="Normal 112" xfId="0"/>
    <cellStyle name="Normal 113" xfId="0"/>
    <cellStyle name="Normal 114" xfId="0"/>
    <cellStyle name="Normal 115" xfId="0"/>
    <cellStyle name="Normal 116" xfId="0"/>
    <cellStyle name="Normal 117" xfId="0"/>
    <cellStyle name="Normal 118" xfId="0"/>
    <cellStyle name="Normal 118 2" xfId="0"/>
    <cellStyle name="Normal 118 2 2" xfId="0"/>
    <cellStyle name="Normal 118 2 2 2" xfId="0"/>
    <cellStyle name="Normal 118 2 2 2 2" xfId="0"/>
    <cellStyle name="Normal 118 2 2 2 2 2" xfId="0"/>
    <cellStyle name="Normal 118 2 2 2 3" xfId="0"/>
    <cellStyle name="Normal 118 2 2 3" xfId="0"/>
    <cellStyle name="Normal 118 2 2 3 2" xfId="0"/>
    <cellStyle name="Normal 118 2 2 4" xfId="0"/>
    <cellStyle name="Normal 118 2 3" xfId="0"/>
    <cellStyle name="Normal 118 2 3 2" xfId="0"/>
    <cellStyle name="Normal 118 2 3 2 2" xfId="0"/>
    <cellStyle name="Normal 118 2 3 3" xfId="0"/>
    <cellStyle name="Normal 118 2 4" xfId="0"/>
    <cellStyle name="Normal 118 2 4 2" xfId="0"/>
    <cellStyle name="Normal 118 2 5" xfId="0"/>
    <cellStyle name="Normal 118 3" xfId="0"/>
    <cellStyle name="Normal 118 3 2" xfId="0"/>
    <cellStyle name="Normal 118 3 2 2" xfId="0"/>
    <cellStyle name="Normal 118 3 2 2 2" xfId="0"/>
    <cellStyle name="Normal 118 3 2 3" xfId="0"/>
    <cellStyle name="Normal 118 3 3" xfId="0"/>
    <cellStyle name="Normal 118 3 3 2" xfId="0"/>
    <cellStyle name="Normal 118 3 4" xfId="0"/>
    <cellStyle name="Normal 118 4" xfId="0"/>
    <cellStyle name="Normal 118 4 2" xfId="0"/>
    <cellStyle name="Normal 118 4 2 2" xfId="0"/>
    <cellStyle name="Normal 118 4 3" xfId="0"/>
    <cellStyle name="Normal 118 5" xfId="0"/>
    <cellStyle name="Normal 118 5 2" xfId="0"/>
    <cellStyle name="Normal 118 6" xfId="0"/>
    <cellStyle name="Normal 119" xfId="0"/>
    <cellStyle name="Normal 119 2" xfId="0"/>
    <cellStyle name="Normal 119 2 2" xfId="0"/>
    <cellStyle name="Normal 119 2 2 2" xfId="0"/>
    <cellStyle name="Normal 119 2 2 2 2" xfId="0"/>
    <cellStyle name="Normal 119 2 2 2 2 2" xfId="0"/>
    <cellStyle name="Normal 119 2 2 2 3" xfId="0"/>
    <cellStyle name="Normal 119 2 2 3" xfId="0"/>
    <cellStyle name="Normal 119 2 2 3 2" xfId="0"/>
    <cellStyle name="Normal 119 2 2 4" xfId="0"/>
    <cellStyle name="Normal 119 2 3" xfId="0"/>
    <cellStyle name="Normal 119 2 3 2" xfId="0"/>
    <cellStyle name="Normal 119 2 3 2 2" xfId="0"/>
    <cellStyle name="Normal 119 2 3 3" xfId="0"/>
    <cellStyle name="Normal 119 2 4" xfId="0"/>
    <cellStyle name="Normal 119 2 4 2" xfId="0"/>
    <cellStyle name="Normal 119 2 5" xfId="0"/>
    <cellStyle name="Normal 119 3" xfId="0"/>
    <cellStyle name="Normal 119 3 2" xfId="0"/>
    <cellStyle name="Normal 119 3 2 2" xfId="0"/>
    <cellStyle name="Normal 119 3 2 2 2" xfId="0"/>
    <cellStyle name="Normal 119 3 2 3" xfId="0"/>
    <cellStyle name="Normal 119 3 3" xfId="0"/>
    <cellStyle name="Normal 119 3 3 2" xfId="0"/>
    <cellStyle name="Normal 119 3 4" xfId="0"/>
    <cellStyle name="Normal 119 4" xfId="0"/>
    <cellStyle name="Normal 119 4 2" xfId="0"/>
    <cellStyle name="Normal 119 4 2 2" xfId="0"/>
    <cellStyle name="Normal 119 4 3" xfId="0"/>
    <cellStyle name="Normal 119 5" xfId="0"/>
    <cellStyle name="Normal 119 5 2" xfId="0"/>
    <cellStyle name="Normal 119 6" xfId="0"/>
    <cellStyle name="Normal 12" xfId="0"/>
    <cellStyle name="Normal 12 10" xfId="0"/>
    <cellStyle name="Normal 12 10 2" xfId="0"/>
    <cellStyle name="Normal 12 10 2 2" xfId="0"/>
    <cellStyle name="Normal 12 10 2 2 2" xfId="0"/>
    <cellStyle name="Normal 12 10 2 2 2 2" xfId="0"/>
    <cellStyle name="Normal 12 10 2 2 2 2 2" xfId="0"/>
    <cellStyle name="Normal 12 10 2 2 2 3" xfId="0"/>
    <cellStyle name="Normal 12 10 2 2 3" xfId="0"/>
    <cellStyle name="Normal 12 10 2 2 3 2" xfId="0"/>
    <cellStyle name="Normal 12 10 2 2 4" xfId="0"/>
    <cellStyle name="Normal 12 10 2 3" xfId="0"/>
    <cellStyle name="Normal 12 10 2 3 2" xfId="0"/>
    <cellStyle name="Normal 12 10 2 3 2 2" xfId="0"/>
    <cellStyle name="Normal 12 10 2 3 3" xfId="0"/>
    <cellStyle name="Normal 12 10 2 4" xfId="0"/>
    <cellStyle name="Normal 12 10 2 4 2" xfId="0"/>
    <cellStyle name="Normal 12 10 2 5" xfId="0"/>
    <cellStyle name="Normal 12 10 3" xfId="0"/>
    <cellStyle name="Normal 12 10 3 2" xfId="0"/>
    <cellStyle name="Normal 12 10 3 2 2" xfId="0"/>
    <cellStyle name="Normal 12 10 3 2 2 2" xfId="0"/>
    <cellStyle name="Normal 12 10 3 2 3" xfId="0"/>
    <cellStyle name="Normal 12 10 3 3" xfId="0"/>
    <cellStyle name="Normal 12 10 3 3 2" xfId="0"/>
    <cellStyle name="Normal 12 10 3 4" xfId="0"/>
    <cellStyle name="Normal 12 10 4" xfId="0"/>
    <cellStyle name="Normal 12 10 4 2" xfId="0"/>
    <cellStyle name="Normal 12 10 4 2 2" xfId="0"/>
    <cellStyle name="Normal 12 10 4 3" xfId="0"/>
    <cellStyle name="Normal 12 10 5" xfId="0"/>
    <cellStyle name="Normal 12 10 5 2" xfId="0"/>
    <cellStyle name="Normal 12 10 6" xfId="0"/>
    <cellStyle name="Normal 12 11" xfId="0"/>
    <cellStyle name="Normal 12 11 2" xfId="0"/>
    <cellStyle name="Normal 12 11 2 2" xfId="0"/>
    <cellStyle name="Normal 12 11 2 2 2" xfId="0"/>
    <cellStyle name="Normal 12 11 2 2 2 2" xfId="0"/>
    <cellStyle name="Normal 12 11 2 2 3" xfId="0"/>
    <cellStyle name="Normal 12 11 2 3" xfId="0"/>
    <cellStyle name="Normal 12 11 2 3 2" xfId="0"/>
    <cellStyle name="Normal 12 11 2 4" xfId="0"/>
    <cellStyle name="Normal 12 11 3" xfId="0"/>
    <cellStyle name="Normal 12 11 3 2" xfId="0"/>
    <cellStyle name="Normal 12 11 3 2 2" xfId="0"/>
    <cellStyle name="Normal 12 11 3 3" xfId="0"/>
    <cellStyle name="Normal 12 11 4" xfId="0"/>
    <cellStyle name="Normal 12 11 4 2" xfId="0"/>
    <cellStyle name="Normal 12 11 5" xfId="0"/>
    <cellStyle name="Normal 12 12" xfId="0"/>
    <cellStyle name="Normal 12 12 2" xfId="0"/>
    <cellStyle name="Normal 12 12 2 2" xfId="0"/>
    <cellStyle name="Normal 12 12 2 2 2" xfId="0"/>
    <cellStyle name="Normal 12 12 2 3" xfId="0"/>
    <cellStyle name="Normal 12 12 3" xfId="0"/>
    <cellStyle name="Normal 12 12 3 2" xfId="0"/>
    <cellStyle name="Normal 12 12 4" xfId="0"/>
    <cellStyle name="Normal 12 13" xfId="0"/>
    <cellStyle name="Normal 12 13 2" xfId="0"/>
    <cellStyle name="Normal 12 13 2 2" xfId="0"/>
    <cellStyle name="Normal 12 13 3" xfId="0"/>
    <cellStyle name="Normal 12 14" xfId="0"/>
    <cellStyle name="Normal 12 14 2" xfId="0"/>
    <cellStyle name="Normal 12 15" xfId="0"/>
    <cellStyle name="Normal 12 16" xfId="0"/>
    <cellStyle name="Normal 12 17" xfId="0"/>
    <cellStyle name="Normal 12 2" xfId="0"/>
    <cellStyle name="Normal 12 2 2" xfId="0"/>
    <cellStyle name="Normal 12 2 3" xfId="0"/>
    <cellStyle name="Normal 12 3" xfId="0"/>
    <cellStyle name="Normal 12 3 10" xfId="0"/>
    <cellStyle name="Normal 12 3 10 2" xfId="0"/>
    <cellStyle name="Normal 12 3 10 2 2" xfId="0"/>
    <cellStyle name="Normal 12 3 10 3" xfId="0"/>
    <cellStyle name="Normal 12 3 11" xfId="0"/>
    <cellStyle name="Normal 12 3 11 2" xfId="0"/>
    <cellStyle name="Normal 12 3 12" xfId="0"/>
    <cellStyle name="Normal 12 3 13" xfId="0"/>
    <cellStyle name="Normal 12 3 2" xfId="0"/>
    <cellStyle name="Normal 12 3 2 10" xfId="0"/>
    <cellStyle name="Normal 12 3 2 10 2" xfId="0"/>
    <cellStyle name="Normal 12 3 2 11" xfId="0"/>
    <cellStyle name="Normal 12 3 2 2" xfId="0"/>
    <cellStyle name="Normal 12 3 2 2 2" xfId="0"/>
    <cellStyle name="Normal 12 3 2 2 2 2" xfId="0"/>
    <cellStyle name="Normal 12 3 2 2 2 2 2" xfId="0"/>
    <cellStyle name="Normal 12 3 2 2 2 2 2 2" xfId="0"/>
    <cellStyle name="Normal 12 3 2 2 2 2 2 2 2" xfId="0"/>
    <cellStyle name="Normal 12 3 2 2 2 2 2 2 2 2" xfId="0"/>
    <cellStyle name="Normal 12 3 2 2 2 2 2 2 2 2 2" xfId="0"/>
    <cellStyle name="Normal 12 3 2 2 2 2 2 2 2 3" xfId="0"/>
    <cellStyle name="Normal 12 3 2 2 2 2 2 2 3" xfId="0"/>
    <cellStyle name="Normal 12 3 2 2 2 2 2 2 3 2" xfId="0"/>
    <cellStyle name="Normal 12 3 2 2 2 2 2 2 4" xfId="0"/>
    <cellStyle name="Normal 12 3 2 2 2 2 2 3" xfId="0"/>
    <cellStyle name="Normal 12 3 2 2 2 2 2 3 2" xfId="0"/>
    <cellStyle name="Normal 12 3 2 2 2 2 2 3 2 2" xfId="0"/>
    <cellStyle name="Normal 12 3 2 2 2 2 2 3 3" xfId="0"/>
    <cellStyle name="Normal 12 3 2 2 2 2 2 4" xfId="0"/>
    <cellStyle name="Normal 12 3 2 2 2 2 2 4 2" xfId="0"/>
    <cellStyle name="Normal 12 3 2 2 2 2 2 5" xfId="0"/>
    <cellStyle name="Normal 12 3 2 2 2 2 3" xfId="0"/>
    <cellStyle name="Normal 12 3 2 2 2 2 3 2" xfId="0"/>
    <cellStyle name="Normal 12 3 2 2 2 2 3 2 2" xfId="0"/>
    <cellStyle name="Normal 12 3 2 2 2 2 3 2 2 2" xfId="0"/>
    <cellStyle name="Normal 12 3 2 2 2 2 3 2 3" xfId="0"/>
    <cellStyle name="Normal 12 3 2 2 2 2 3 3" xfId="0"/>
    <cellStyle name="Normal 12 3 2 2 2 2 3 3 2" xfId="0"/>
    <cellStyle name="Normal 12 3 2 2 2 2 3 4" xfId="0"/>
    <cellStyle name="Normal 12 3 2 2 2 2 4" xfId="0"/>
    <cellStyle name="Normal 12 3 2 2 2 2 4 2" xfId="0"/>
    <cellStyle name="Normal 12 3 2 2 2 2 4 2 2" xfId="0"/>
    <cellStyle name="Normal 12 3 2 2 2 2 4 3" xfId="0"/>
    <cellStyle name="Normal 12 3 2 2 2 2 5" xfId="0"/>
    <cellStyle name="Normal 12 3 2 2 2 2 5 2" xfId="0"/>
    <cellStyle name="Normal 12 3 2 2 2 2 6" xfId="0"/>
    <cellStyle name="Normal 12 3 2 2 2 3" xfId="0"/>
    <cellStyle name="Normal 12 3 2 2 2 3 2" xfId="0"/>
    <cellStyle name="Normal 12 3 2 2 2 3 2 2" xfId="0"/>
    <cellStyle name="Normal 12 3 2 2 2 3 2 2 2" xfId="0"/>
    <cellStyle name="Normal 12 3 2 2 2 3 2 2 2 2" xfId="0"/>
    <cellStyle name="Normal 12 3 2 2 2 3 2 2 3" xfId="0"/>
    <cellStyle name="Normal 12 3 2 2 2 3 2 3" xfId="0"/>
    <cellStyle name="Normal 12 3 2 2 2 3 2 3 2" xfId="0"/>
    <cellStyle name="Normal 12 3 2 2 2 3 2 4" xfId="0"/>
    <cellStyle name="Normal 12 3 2 2 2 3 3" xfId="0"/>
    <cellStyle name="Normal 12 3 2 2 2 3 3 2" xfId="0"/>
    <cellStyle name="Normal 12 3 2 2 2 3 3 2 2" xfId="0"/>
    <cellStyle name="Normal 12 3 2 2 2 3 3 3" xfId="0"/>
    <cellStyle name="Normal 12 3 2 2 2 3 4" xfId="0"/>
    <cellStyle name="Normal 12 3 2 2 2 3 4 2" xfId="0"/>
    <cellStyle name="Normal 12 3 2 2 2 3 5" xfId="0"/>
    <cellStyle name="Normal 12 3 2 2 2 4" xfId="0"/>
    <cellStyle name="Normal 12 3 2 2 2 4 2" xfId="0"/>
    <cellStyle name="Normal 12 3 2 2 2 4 2 2" xfId="0"/>
    <cellStyle name="Normal 12 3 2 2 2 4 2 2 2" xfId="0"/>
    <cellStyle name="Normal 12 3 2 2 2 4 2 3" xfId="0"/>
    <cellStyle name="Normal 12 3 2 2 2 4 3" xfId="0"/>
    <cellStyle name="Normal 12 3 2 2 2 4 3 2" xfId="0"/>
    <cellStyle name="Normal 12 3 2 2 2 4 4" xfId="0"/>
    <cellStyle name="Normal 12 3 2 2 2 5" xfId="0"/>
    <cellStyle name="Normal 12 3 2 2 2 5 2" xfId="0"/>
    <cellStyle name="Normal 12 3 2 2 2 5 2 2" xfId="0"/>
    <cellStyle name="Normal 12 3 2 2 2 5 3" xfId="0"/>
    <cellStyle name="Normal 12 3 2 2 2 6" xfId="0"/>
    <cellStyle name="Normal 12 3 2 2 2 6 2" xfId="0"/>
    <cellStyle name="Normal 12 3 2 2 2 7" xfId="0"/>
    <cellStyle name="Normal 12 3 2 2 3" xfId="0"/>
    <cellStyle name="Normal 12 3 2 2 3 2" xfId="0"/>
    <cellStyle name="Normal 12 3 2 2 3 2 2" xfId="0"/>
    <cellStyle name="Normal 12 3 2 2 3 2 2 2" xfId="0"/>
    <cellStyle name="Normal 12 3 2 2 3 2 2 2 2" xfId="0"/>
    <cellStyle name="Normal 12 3 2 2 3 2 2 2 2 2" xfId="0"/>
    <cellStyle name="Normal 12 3 2 2 3 2 2 2 3" xfId="0"/>
    <cellStyle name="Normal 12 3 2 2 3 2 2 3" xfId="0"/>
    <cellStyle name="Normal 12 3 2 2 3 2 2 3 2" xfId="0"/>
    <cellStyle name="Normal 12 3 2 2 3 2 2 4" xfId="0"/>
    <cellStyle name="Normal 12 3 2 2 3 2 3" xfId="0"/>
    <cellStyle name="Normal 12 3 2 2 3 2 3 2" xfId="0"/>
    <cellStyle name="Normal 12 3 2 2 3 2 3 2 2" xfId="0"/>
    <cellStyle name="Normal 12 3 2 2 3 2 3 3" xfId="0"/>
    <cellStyle name="Normal 12 3 2 2 3 2 4" xfId="0"/>
    <cellStyle name="Normal 12 3 2 2 3 2 4 2" xfId="0"/>
    <cellStyle name="Normal 12 3 2 2 3 2 5" xfId="0"/>
    <cellStyle name="Normal 12 3 2 2 3 3" xfId="0"/>
    <cellStyle name="Normal 12 3 2 2 3 3 2" xfId="0"/>
    <cellStyle name="Normal 12 3 2 2 3 3 2 2" xfId="0"/>
    <cellStyle name="Normal 12 3 2 2 3 3 2 2 2" xfId="0"/>
    <cellStyle name="Normal 12 3 2 2 3 3 2 3" xfId="0"/>
    <cellStyle name="Normal 12 3 2 2 3 3 3" xfId="0"/>
    <cellStyle name="Normal 12 3 2 2 3 3 3 2" xfId="0"/>
    <cellStyle name="Normal 12 3 2 2 3 3 4" xfId="0"/>
    <cellStyle name="Normal 12 3 2 2 3 4" xfId="0"/>
    <cellStyle name="Normal 12 3 2 2 3 4 2" xfId="0"/>
    <cellStyle name="Normal 12 3 2 2 3 4 2 2" xfId="0"/>
    <cellStyle name="Normal 12 3 2 2 3 4 3" xfId="0"/>
    <cellStyle name="Normal 12 3 2 2 3 5" xfId="0"/>
    <cellStyle name="Normal 12 3 2 2 3 5 2" xfId="0"/>
    <cellStyle name="Normal 12 3 2 2 3 6" xfId="0"/>
    <cellStyle name="Normal 12 3 2 2 4" xfId="0"/>
    <cellStyle name="Normal 12 3 2 2 4 2" xfId="0"/>
    <cellStyle name="Normal 12 3 2 2 4 2 2" xfId="0"/>
    <cellStyle name="Normal 12 3 2 2 4 2 2 2" xfId="0"/>
    <cellStyle name="Normal 12 3 2 2 4 2 2 2 2" xfId="0"/>
    <cellStyle name="Normal 12 3 2 2 4 2 2 3" xfId="0"/>
    <cellStyle name="Normal 12 3 2 2 4 2 3" xfId="0"/>
    <cellStyle name="Normal 12 3 2 2 4 2 3 2" xfId="0"/>
    <cellStyle name="Normal 12 3 2 2 4 2 4" xfId="0"/>
    <cellStyle name="Normal 12 3 2 2 4 3" xfId="0"/>
    <cellStyle name="Normal 12 3 2 2 4 3 2" xfId="0"/>
    <cellStyle name="Normal 12 3 2 2 4 3 2 2" xfId="0"/>
    <cellStyle name="Normal 12 3 2 2 4 3 3" xfId="0"/>
    <cellStyle name="Normal 12 3 2 2 4 4" xfId="0"/>
    <cellStyle name="Normal 12 3 2 2 4 4 2" xfId="0"/>
    <cellStyle name="Normal 12 3 2 2 4 5" xfId="0"/>
    <cellStyle name="Normal 12 3 2 2 5" xfId="0"/>
    <cellStyle name="Normal 12 3 2 2 5 2" xfId="0"/>
    <cellStyle name="Normal 12 3 2 2 5 2 2" xfId="0"/>
    <cellStyle name="Normal 12 3 2 2 5 2 2 2" xfId="0"/>
    <cellStyle name="Normal 12 3 2 2 5 2 3" xfId="0"/>
    <cellStyle name="Normal 12 3 2 2 5 3" xfId="0"/>
    <cellStyle name="Normal 12 3 2 2 5 3 2" xfId="0"/>
    <cellStyle name="Normal 12 3 2 2 5 4" xfId="0"/>
    <cellStyle name="Normal 12 3 2 2 6" xfId="0"/>
    <cellStyle name="Normal 12 3 2 2 6 2" xfId="0"/>
    <cellStyle name="Normal 12 3 2 2 6 2 2" xfId="0"/>
    <cellStyle name="Normal 12 3 2 2 6 3" xfId="0"/>
    <cellStyle name="Normal 12 3 2 2 7" xfId="0"/>
    <cellStyle name="Normal 12 3 2 2 7 2" xfId="0"/>
    <cellStyle name="Normal 12 3 2 2 8" xfId="0"/>
    <cellStyle name="Normal 12 3 2 3" xfId="0"/>
    <cellStyle name="Normal 12 3 2 3 2" xfId="0"/>
    <cellStyle name="Normal 12 3 2 3 2 2" xfId="0"/>
    <cellStyle name="Normal 12 3 2 3 2 2 2" xfId="0"/>
    <cellStyle name="Normal 12 3 2 3 2 2 2 2" xfId="0"/>
    <cellStyle name="Normal 12 3 2 3 2 2 2 2 2" xfId="0"/>
    <cellStyle name="Normal 12 3 2 3 2 2 2 2 2 2" xfId="0"/>
    <cellStyle name="Normal 12 3 2 3 2 2 2 2 2 2 2" xfId="0"/>
    <cellStyle name="Normal 12 3 2 3 2 2 2 2 2 3" xfId="0"/>
    <cellStyle name="Normal 12 3 2 3 2 2 2 2 3" xfId="0"/>
    <cellStyle name="Normal 12 3 2 3 2 2 2 2 3 2" xfId="0"/>
    <cellStyle name="Normal 12 3 2 3 2 2 2 2 4" xfId="0"/>
    <cellStyle name="Normal 12 3 2 3 2 2 2 3" xfId="0"/>
    <cellStyle name="Normal 12 3 2 3 2 2 2 3 2" xfId="0"/>
    <cellStyle name="Normal 12 3 2 3 2 2 2 3 2 2" xfId="0"/>
    <cellStyle name="Normal 12 3 2 3 2 2 2 3 3" xfId="0"/>
    <cellStyle name="Normal 12 3 2 3 2 2 2 4" xfId="0"/>
    <cellStyle name="Normal 12 3 2 3 2 2 2 4 2" xfId="0"/>
    <cellStyle name="Normal 12 3 2 3 2 2 2 5" xfId="0"/>
    <cellStyle name="Normal 12 3 2 3 2 2 3" xfId="0"/>
    <cellStyle name="Normal 12 3 2 3 2 2 3 2" xfId="0"/>
    <cellStyle name="Normal 12 3 2 3 2 2 3 2 2" xfId="0"/>
    <cellStyle name="Normal 12 3 2 3 2 2 3 2 2 2" xfId="0"/>
    <cellStyle name="Normal 12 3 2 3 2 2 3 2 3" xfId="0"/>
    <cellStyle name="Normal 12 3 2 3 2 2 3 3" xfId="0"/>
    <cellStyle name="Normal 12 3 2 3 2 2 3 3 2" xfId="0"/>
    <cellStyle name="Normal 12 3 2 3 2 2 3 4" xfId="0"/>
    <cellStyle name="Normal 12 3 2 3 2 2 4" xfId="0"/>
    <cellStyle name="Normal 12 3 2 3 2 2 4 2" xfId="0"/>
    <cellStyle name="Normal 12 3 2 3 2 2 4 2 2" xfId="0"/>
    <cellStyle name="Normal 12 3 2 3 2 2 4 3" xfId="0"/>
    <cellStyle name="Normal 12 3 2 3 2 2 5" xfId="0"/>
    <cellStyle name="Normal 12 3 2 3 2 2 5 2" xfId="0"/>
    <cellStyle name="Normal 12 3 2 3 2 2 6" xfId="0"/>
    <cellStyle name="Normal 12 3 2 3 2 3" xfId="0"/>
    <cellStyle name="Normal 12 3 2 3 2 3 2" xfId="0"/>
    <cellStyle name="Normal 12 3 2 3 2 3 2 2" xfId="0"/>
    <cellStyle name="Normal 12 3 2 3 2 3 2 2 2" xfId="0"/>
    <cellStyle name="Normal 12 3 2 3 2 3 2 2 2 2" xfId="0"/>
    <cellStyle name="Normal 12 3 2 3 2 3 2 2 3" xfId="0"/>
    <cellStyle name="Normal 12 3 2 3 2 3 2 3" xfId="0"/>
    <cellStyle name="Normal 12 3 2 3 2 3 2 3 2" xfId="0"/>
    <cellStyle name="Normal 12 3 2 3 2 3 2 4" xfId="0"/>
    <cellStyle name="Normal 12 3 2 3 2 3 3" xfId="0"/>
    <cellStyle name="Normal 12 3 2 3 2 3 3 2" xfId="0"/>
    <cellStyle name="Normal 12 3 2 3 2 3 3 2 2" xfId="0"/>
    <cellStyle name="Normal 12 3 2 3 2 3 3 3" xfId="0"/>
    <cellStyle name="Normal 12 3 2 3 2 3 4" xfId="0"/>
    <cellStyle name="Normal 12 3 2 3 2 3 4 2" xfId="0"/>
    <cellStyle name="Normal 12 3 2 3 2 3 5" xfId="0"/>
    <cellStyle name="Normal 12 3 2 3 2 4" xfId="0"/>
    <cellStyle name="Normal 12 3 2 3 2 4 2" xfId="0"/>
    <cellStyle name="Normal 12 3 2 3 2 4 2 2" xfId="0"/>
    <cellStyle name="Normal 12 3 2 3 2 4 2 2 2" xfId="0"/>
    <cellStyle name="Normal 12 3 2 3 2 4 2 3" xfId="0"/>
    <cellStyle name="Normal 12 3 2 3 2 4 3" xfId="0"/>
    <cellStyle name="Normal 12 3 2 3 2 4 3 2" xfId="0"/>
    <cellStyle name="Normal 12 3 2 3 2 4 4" xfId="0"/>
    <cellStyle name="Normal 12 3 2 3 2 5" xfId="0"/>
    <cellStyle name="Normal 12 3 2 3 2 5 2" xfId="0"/>
    <cellStyle name="Normal 12 3 2 3 2 5 2 2" xfId="0"/>
    <cellStyle name="Normal 12 3 2 3 2 5 3" xfId="0"/>
    <cellStyle name="Normal 12 3 2 3 2 6" xfId="0"/>
    <cellStyle name="Normal 12 3 2 3 2 6 2" xfId="0"/>
    <cellStyle name="Normal 12 3 2 3 2 7" xfId="0"/>
    <cellStyle name="Normal 12 3 2 3 3" xfId="0"/>
    <cellStyle name="Normal 12 3 2 3 3 2" xfId="0"/>
    <cellStyle name="Normal 12 3 2 3 3 2 2" xfId="0"/>
    <cellStyle name="Normal 12 3 2 3 3 2 2 2" xfId="0"/>
    <cellStyle name="Normal 12 3 2 3 3 2 2 2 2" xfId="0"/>
    <cellStyle name="Normal 12 3 2 3 3 2 2 2 2 2" xfId="0"/>
    <cellStyle name="Normal 12 3 2 3 3 2 2 2 3" xfId="0"/>
    <cellStyle name="Normal 12 3 2 3 3 2 2 3" xfId="0"/>
    <cellStyle name="Normal 12 3 2 3 3 2 2 3 2" xfId="0"/>
    <cellStyle name="Normal 12 3 2 3 3 2 2 4" xfId="0"/>
    <cellStyle name="Normal 12 3 2 3 3 2 3" xfId="0"/>
    <cellStyle name="Normal 12 3 2 3 3 2 3 2" xfId="0"/>
    <cellStyle name="Normal 12 3 2 3 3 2 3 2 2" xfId="0"/>
    <cellStyle name="Normal 12 3 2 3 3 2 3 3" xfId="0"/>
    <cellStyle name="Normal 12 3 2 3 3 2 4" xfId="0"/>
    <cellStyle name="Normal 12 3 2 3 3 2 4 2" xfId="0"/>
    <cellStyle name="Normal 12 3 2 3 3 2 5" xfId="0"/>
    <cellStyle name="Normal 12 3 2 3 3 3" xfId="0"/>
    <cellStyle name="Normal 12 3 2 3 3 3 2" xfId="0"/>
    <cellStyle name="Normal 12 3 2 3 3 3 2 2" xfId="0"/>
    <cellStyle name="Normal 12 3 2 3 3 3 2 2 2" xfId="0"/>
    <cellStyle name="Normal 12 3 2 3 3 3 2 3" xfId="0"/>
    <cellStyle name="Normal 12 3 2 3 3 3 3" xfId="0"/>
    <cellStyle name="Normal 12 3 2 3 3 3 3 2" xfId="0"/>
    <cellStyle name="Normal 12 3 2 3 3 3 4" xfId="0"/>
    <cellStyle name="Normal 12 3 2 3 3 4" xfId="0"/>
    <cellStyle name="Normal 12 3 2 3 3 4 2" xfId="0"/>
    <cellStyle name="Normal 12 3 2 3 3 4 2 2" xfId="0"/>
    <cellStyle name="Normal 12 3 2 3 3 4 3" xfId="0"/>
    <cellStyle name="Normal 12 3 2 3 3 5" xfId="0"/>
    <cellStyle name="Normal 12 3 2 3 3 5 2" xfId="0"/>
    <cellStyle name="Normal 12 3 2 3 3 6" xfId="0"/>
    <cellStyle name="Normal 12 3 2 3 4" xfId="0"/>
    <cellStyle name="Normal 12 3 2 3 4 2" xfId="0"/>
    <cellStyle name="Normal 12 3 2 3 4 2 2" xfId="0"/>
    <cellStyle name="Normal 12 3 2 3 4 2 2 2" xfId="0"/>
    <cellStyle name="Normal 12 3 2 3 4 2 2 2 2" xfId="0"/>
    <cellStyle name="Normal 12 3 2 3 4 2 2 3" xfId="0"/>
    <cellStyle name="Normal 12 3 2 3 4 2 3" xfId="0"/>
    <cellStyle name="Normal 12 3 2 3 4 2 3 2" xfId="0"/>
    <cellStyle name="Normal 12 3 2 3 4 2 4" xfId="0"/>
    <cellStyle name="Normal 12 3 2 3 4 3" xfId="0"/>
    <cellStyle name="Normal 12 3 2 3 4 3 2" xfId="0"/>
    <cellStyle name="Normal 12 3 2 3 4 3 2 2" xfId="0"/>
    <cellStyle name="Normal 12 3 2 3 4 3 3" xfId="0"/>
    <cellStyle name="Normal 12 3 2 3 4 4" xfId="0"/>
    <cellStyle name="Normal 12 3 2 3 4 4 2" xfId="0"/>
    <cellStyle name="Normal 12 3 2 3 4 5" xfId="0"/>
    <cellStyle name="Normal 12 3 2 3 5" xfId="0"/>
    <cellStyle name="Normal 12 3 2 3 5 2" xfId="0"/>
    <cellStyle name="Normal 12 3 2 3 5 2 2" xfId="0"/>
    <cellStyle name="Normal 12 3 2 3 5 2 2 2" xfId="0"/>
    <cellStyle name="Normal 12 3 2 3 5 2 3" xfId="0"/>
    <cellStyle name="Normal 12 3 2 3 5 3" xfId="0"/>
    <cellStyle name="Normal 12 3 2 3 5 3 2" xfId="0"/>
    <cellStyle name="Normal 12 3 2 3 5 4" xfId="0"/>
    <cellStyle name="Normal 12 3 2 3 6" xfId="0"/>
    <cellStyle name="Normal 12 3 2 3 6 2" xfId="0"/>
    <cellStyle name="Normal 12 3 2 3 6 2 2" xfId="0"/>
    <cellStyle name="Normal 12 3 2 3 6 3" xfId="0"/>
    <cellStyle name="Normal 12 3 2 3 7" xfId="0"/>
    <cellStyle name="Normal 12 3 2 3 7 2" xfId="0"/>
    <cellStyle name="Normal 12 3 2 3 8" xfId="0"/>
    <cellStyle name="Normal 12 3 2 4" xfId="0"/>
    <cellStyle name="Normal 12 3 2 4 2" xfId="0"/>
    <cellStyle name="Normal 12 3 2 4 2 2" xfId="0"/>
    <cellStyle name="Normal 12 3 2 4 2 2 2" xfId="0"/>
    <cellStyle name="Normal 12 3 2 4 2 2 2 2" xfId="0"/>
    <cellStyle name="Normal 12 3 2 4 2 2 2 2 2" xfId="0"/>
    <cellStyle name="Normal 12 3 2 4 2 2 2 2 2 2" xfId="0"/>
    <cellStyle name="Normal 12 3 2 4 2 2 2 2 3" xfId="0"/>
    <cellStyle name="Normal 12 3 2 4 2 2 2 3" xfId="0"/>
    <cellStyle name="Normal 12 3 2 4 2 2 2 3 2" xfId="0"/>
    <cellStyle name="Normal 12 3 2 4 2 2 2 4" xfId="0"/>
    <cellStyle name="Normal 12 3 2 4 2 2 3" xfId="0"/>
    <cellStyle name="Normal 12 3 2 4 2 2 3 2" xfId="0"/>
    <cellStyle name="Normal 12 3 2 4 2 2 3 2 2" xfId="0"/>
    <cellStyle name="Normal 12 3 2 4 2 2 3 3" xfId="0"/>
    <cellStyle name="Normal 12 3 2 4 2 2 4" xfId="0"/>
    <cellStyle name="Normal 12 3 2 4 2 2 4 2" xfId="0"/>
    <cellStyle name="Normal 12 3 2 4 2 2 5" xfId="0"/>
    <cellStyle name="Normal 12 3 2 4 2 3" xfId="0"/>
    <cellStyle name="Normal 12 3 2 4 2 3 2" xfId="0"/>
    <cellStyle name="Normal 12 3 2 4 2 3 2 2" xfId="0"/>
    <cellStyle name="Normal 12 3 2 4 2 3 2 2 2" xfId="0"/>
    <cellStyle name="Normal 12 3 2 4 2 3 2 3" xfId="0"/>
    <cellStyle name="Normal 12 3 2 4 2 3 3" xfId="0"/>
    <cellStyle name="Normal 12 3 2 4 2 3 3 2" xfId="0"/>
    <cellStyle name="Normal 12 3 2 4 2 3 4" xfId="0"/>
    <cellStyle name="Normal 12 3 2 4 2 4" xfId="0"/>
    <cellStyle name="Normal 12 3 2 4 2 4 2" xfId="0"/>
    <cellStyle name="Normal 12 3 2 4 2 4 2 2" xfId="0"/>
    <cellStyle name="Normal 12 3 2 4 2 4 3" xfId="0"/>
    <cellStyle name="Normal 12 3 2 4 2 5" xfId="0"/>
    <cellStyle name="Normal 12 3 2 4 2 5 2" xfId="0"/>
    <cellStyle name="Normal 12 3 2 4 2 6" xfId="0"/>
    <cellStyle name="Normal 12 3 2 4 3" xfId="0"/>
    <cellStyle name="Normal 12 3 2 4 3 2" xfId="0"/>
    <cellStyle name="Normal 12 3 2 4 3 2 2" xfId="0"/>
    <cellStyle name="Normal 12 3 2 4 3 2 2 2" xfId="0"/>
    <cellStyle name="Normal 12 3 2 4 3 2 2 2 2" xfId="0"/>
    <cellStyle name="Normal 12 3 2 4 3 2 2 3" xfId="0"/>
    <cellStyle name="Normal 12 3 2 4 3 2 3" xfId="0"/>
    <cellStyle name="Normal 12 3 2 4 3 2 3 2" xfId="0"/>
    <cellStyle name="Normal 12 3 2 4 3 2 4" xfId="0"/>
    <cellStyle name="Normal 12 3 2 4 3 3" xfId="0"/>
    <cellStyle name="Normal 12 3 2 4 3 3 2" xfId="0"/>
    <cellStyle name="Normal 12 3 2 4 3 3 2 2" xfId="0"/>
    <cellStyle name="Normal 12 3 2 4 3 3 3" xfId="0"/>
    <cellStyle name="Normal 12 3 2 4 3 4" xfId="0"/>
    <cellStyle name="Normal 12 3 2 4 3 4 2" xfId="0"/>
    <cellStyle name="Normal 12 3 2 4 3 5" xfId="0"/>
    <cellStyle name="Normal 12 3 2 4 4" xfId="0"/>
    <cellStyle name="Normal 12 3 2 4 4 2" xfId="0"/>
    <cellStyle name="Normal 12 3 2 4 4 2 2" xfId="0"/>
    <cellStyle name="Normal 12 3 2 4 4 2 2 2" xfId="0"/>
    <cellStyle name="Normal 12 3 2 4 4 2 3" xfId="0"/>
    <cellStyle name="Normal 12 3 2 4 4 3" xfId="0"/>
    <cellStyle name="Normal 12 3 2 4 4 3 2" xfId="0"/>
    <cellStyle name="Normal 12 3 2 4 4 4" xfId="0"/>
    <cellStyle name="Normal 12 3 2 4 5" xfId="0"/>
    <cellStyle name="Normal 12 3 2 4 5 2" xfId="0"/>
    <cellStyle name="Normal 12 3 2 4 5 2 2" xfId="0"/>
    <cellStyle name="Normal 12 3 2 4 5 3" xfId="0"/>
    <cellStyle name="Normal 12 3 2 4 6" xfId="0"/>
    <cellStyle name="Normal 12 3 2 4 6 2" xfId="0"/>
    <cellStyle name="Normal 12 3 2 4 7" xfId="0"/>
    <cellStyle name="Normal 12 3 2 5" xfId="0"/>
    <cellStyle name="Normal 12 3 2 5 2" xfId="0"/>
    <cellStyle name="Normal 12 3 2 5 2 2" xfId="0"/>
    <cellStyle name="Normal 12 3 2 5 2 2 2" xfId="0"/>
    <cellStyle name="Normal 12 3 2 5 2 2 2 2" xfId="0"/>
    <cellStyle name="Normal 12 3 2 5 2 2 2 2 2" xfId="0"/>
    <cellStyle name="Normal 12 3 2 5 2 2 2 2 2 2" xfId="0"/>
    <cellStyle name="Normal 12 3 2 5 2 2 2 2 3" xfId="0"/>
    <cellStyle name="Normal 12 3 2 5 2 2 2 3" xfId="0"/>
    <cellStyle name="Normal 12 3 2 5 2 2 2 3 2" xfId="0"/>
    <cellStyle name="Normal 12 3 2 5 2 2 2 4" xfId="0"/>
    <cellStyle name="Normal 12 3 2 5 2 2 3" xfId="0"/>
    <cellStyle name="Normal 12 3 2 5 2 2 3 2" xfId="0"/>
    <cellStyle name="Normal 12 3 2 5 2 2 3 2 2" xfId="0"/>
    <cellStyle name="Normal 12 3 2 5 2 2 3 3" xfId="0"/>
    <cellStyle name="Normal 12 3 2 5 2 2 4" xfId="0"/>
    <cellStyle name="Normal 12 3 2 5 2 2 4 2" xfId="0"/>
    <cellStyle name="Normal 12 3 2 5 2 2 5" xfId="0"/>
    <cellStyle name="Normal 12 3 2 5 2 3" xfId="0"/>
    <cellStyle name="Normal 12 3 2 5 2 3 2" xfId="0"/>
    <cellStyle name="Normal 12 3 2 5 2 3 2 2" xfId="0"/>
    <cellStyle name="Normal 12 3 2 5 2 3 2 2 2" xfId="0"/>
    <cellStyle name="Normal 12 3 2 5 2 3 2 3" xfId="0"/>
    <cellStyle name="Normal 12 3 2 5 2 3 3" xfId="0"/>
    <cellStyle name="Normal 12 3 2 5 2 3 3 2" xfId="0"/>
    <cellStyle name="Normal 12 3 2 5 2 3 4" xfId="0"/>
    <cellStyle name="Normal 12 3 2 5 2 4" xfId="0"/>
    <cellStyle name="Normal 12 3 2 5 2 4 2" xfId="0"/>
    <cellStyle name="Normal 12 3 2 5 2 4 2 2" xfId="0"/>
    <cellStyle name="Normal 12 3 2 5 2 4 3" xfId="0"/>
    <cellStyle name="Normal 12 3 2 5 2 5" xfId="0"/>
    <cellStyle name="Normal 12 3 2 5 2 5 2" xfId="0"/>
    <cellStyle name="Normal 12 3 2 5 2 6" xfId="0"/>
    <cellStyle name="Normal 12 3 2 5 3" xfId="0"/>
    <cellStyle name="Normal 12 3 2 5 3 2" xfId="0"/>
    <cellStyle name="Normal 12 3 2 5 3 2 2" xfId="0"/>
    <cellStyle name="Normal 12 3 2 5 3 2 2 2" xfId="0"/>
    <cellStyle name="Normal 12 3 2 5 3 2 2 2 2" xfId="0"/>
    <cellStyle name="Normal 12 3 2 5 3 2 2 3" xfId="0"/>
    <cellStyle name="Normal 12 3 2 5 3 2 3" xfId="0"/>
    <cellStyle name="Normal 12 3 2 5 3 2 3 2" xfId="0"/>
    <cellStyle name="Normal 12 3 2 5 3 2 4" xfId="0"/>
    <cellStyle name="Normal 12 3 2 5 3 3" xfId="0"/>
    <cellStyle name="Normal 12 3 2 5 3 3 2" xfId="0"/>
    <cellStyle name="Normal 12 3 2 5 3 3 2 2" xfId="0"/>
    <cellStyle name="Normal 12 3 2 5 3 3 3" xfId="0"/>
    <cellStyle name="Normal 12 3 2 5 3 4" xfId="0"/>
    <cellStyle name="Normal 12 3 2 5 3 4 2" xfId="0"/>
    <cellStyle name="Normal 12 3 2 5 3 5" xfId="0"/>
    <cellStyle name="Normal 12 3 2 5 4" xfId="0"/>
    <cellStyle name="Normal 12 3 2 5 4 2" xfId="0"/>
    <cellStyle name="Normal 12 3 2 5 4 2 2" xfId="0"/>
    <cellStyle name="Normal 12 3 2 5 4 2 2 2" xfId="0"/>
    <cellStyle name="Normal 12 3 2 5 4 2 3" xfId="0"/>
    <cellStyle name="Normal 12 3 2 5 4 3" xfId="0"/>
    <cellStyle name="Normal 12 3 2 5 4 3 2" xfId="0"/>
    <cellStyle name="Normal 12 3 2 5 4 4" xfId="0"/>
    <cellStyle name="Normal 12 3 2 5 5" xfId="0"/>
    <cellStyle name="Normal 12 3 2 5 5 2" xfId="0"/>
    <cellStyle name="Normal 12 3 2 5 5 2 2" xfId="0"/>
    <cellStyle name="Normal 12 3 2 5 5 3" xfId="0"/>
    <cellStyle name="Normal 12 3 2 5 6" xfId="0"/>
    <cellStyle name="Normal 12 3 2 5 6 2" xfId="0"/>
    <cellStyle name="Normal 12 3 2 5 7" xfId="0"/>
    <cellStyle name="Normal 12 3 2 6" xfId="0"/>
    <cellStyle name="Normal 12 3 2 6 2" xfId="0"/>
    <cellStyle name="Normal 12 3 2 6 2 2" xfId="0"/>
    <cellStyle name="Normal 12 3 2 6 2 2 2" xfId="0"/>
    <cellStyle name="Normal 12 3 2 6 2 2 2 2" xfId="0"/>
    <cellStyle name="Normal 12 3 2 6 2 2 2 2 2" xfId="0"/>
    <cellStyle name="Normal 12 3 2 6 2 2 2 3" xfId="0"/>
    <cellStyle name="Normal 12 3 2 6 2 2 3" xfId="0"/>
    <cellStyle name="Normal 12 3 2 6 2 2 3 2" xfId="0"/>
    <cellStyle name="Normal 12 3 2 6 2 2 4" xfId="0"/>
    <cellStyle name="Normal 12 3 2 6 2 3" xfId="0"/>
    <cellStyle name="Normal 12 3 2 6 2 3 2" xfId="0"/>
    <cellStyle name="Normal 12 3 2 6 2 3 2 2" xfId="0"/>
    <cellStyle name="Normal 12 3 2 6 2 3 3" xfId="0"/>
    <cellStyle name="Normal 12 3 2 6 2 4" xfId="0"/>
    <cellStyle name="Normal 12 3 2 6 2 4 2" xfId="0"/>
    <cellStyle name="Normal 12 3 2 6 2 5" xfId="0"/>
    <cellStyle name="Normal 12 3 2 6 3" xfId="0"/>
    <cellStyle name="Normal 12 3 2 6 3 2" xfId="0"/>
    <cellStyle name="Normal 12 3 2 6 3 2 2" xfId="0"/>
    <cellStyle name="Normal 12 3 2 6 3 2 2 2" xfId="0"/>
    <cellStyle name="Normal 12 3 2 6 3 2 3" xfId="0"/>
    <cellStyle name="Normal 12 3 2 6 3 3" xfId="0"/>
    <cellStyle name="Normal 12 3 2 6 3 3 2" xfId="0"/>
    <cellStyle name="Normal 12 3 2 6 3 4" xfId="0"/>
    <cellStyle name="Normal 12 3 2 6 4" xfId="0"/>
    <cellStyle name="Normal 12 3 2 6 4 2" xfId="0"/>
    <cellStyle name="Normal 12 3 2 6 4 2 2" xfId="0"/>
    <cellStyle name="Normal 12 3 2 6 4 3" xfId="0"/>
    <cellStyle name="Normal 12 3 2 6 5" xfId="0"/>
    <cellStyle name="Normal 12 3 2 6 5 2" xfId="0"/>
    <cellStyle name="Normal 12 3 2 6 6" xfId="0"/>
    <cellStyle name="Normal 12 3 2 7" xfId="0"/>
    <cellStyle name="Normal 12 3 2 7 2" xfId="0"/>
    <cellStyle name="Normal 12 3 2 7 2 2" xfId="0"/>
    <cellStyle name="Normal 12 3 2 7 2 2 2" xfId="0"/>
    <cellStyle name="Normal 12 3 2 7 2 2 2 2" xfId="0"/>
    <cellStyle name="Normal 12 3 2 7 2 2 3" xfId="0"/>
    <cellStyle name="Normal 12 3 2 7 2 3" xfId="0"/>
    <cellStyle name="Normal 12 3 2 7 2 3 2" xfId="0"/>
    <cellStyle name="Normal 12 3 2 7 2 4" xfId="0"/>
    <cellStyle name="Normal 12 3 2 7 3" xfId="0"/>
    <cellStyle name="Normal 12 3 2 7 3 2" xfId="0"/>
    <cellStyle name="Normal 12 3 2 7 3 2 2" xfId="0"/>
    <cellStyle name="Normal 12 3 2 7 3 3" xfId="0"/>
    <cellStyle name="Normal 12 3 2 7 4" xfId="0"/>
    <cellStyle name="Normal 12 3 2 7 4 2" xfId="0"/>
    <cellStyle name="Normal 12 3 2 7 5" xfId="0"/>
    <cellStyle name="Normal 12 3 2 8" xfId="0"/>
    <cellStyle name="Normal 12 3 2 8 2" xfId="0"/>
    <cellStyle name="Normal 12 3 2 8 2 2" xfId="0"/>
    <cellStyle name="Normal 12 3 2 8 2 2 2" xfId="0"/>
    <cellStyle name="Normal 12 3 2 8 2 3" xfId="0"/>
    <cellStyle name="Normal 12 3 2 8 3" xfId="0"/>
    <cellStyle name="Normal 12 3 2 8 3 2" xfId="0"/>
    <cellStyle name="Normal 12 3 2 8 4" xfId="0"/>
    <cellStyle name="Normal 12 3 2 9" xfId="0"/>
    <cellStyle name="Normal 12 3 2 9 2" xfId="0"/>
    <cellStyle name="Normal 12 3 2 9 2 2" xfId="0"/>
    <cellStyle name="Normal 12 3 2 9 3" xfId="0"/>
    <cellStyle name="Normal 12 3 3" xfId="0"/>
    <cellStyle name="Normal 12 3 3 2" xfId="0"/>
    <cellStyle name="Normal 12 3 3 2 2" xfId="0"/>
    <cellStyle name="Normal 12 3 3 2 2 2" xfId="0"/>
    <cellStyle name="Normal 12 3 3 2 2 2 2" xfId="0"/>
    <cellStyle name="Normal 12 3 3 2 2 2 2 2" xfId="0"/>
    <cellStyle name="Normal 12 3 3 2 2 2 2 2 2" xfId="0"/>
    <cellStyle name="Normal 12 3 3 2 2 2 2 2 2 2" xfId="0"/>
    <cellStyle name="Normal 12 3 3 2 2 2 2 2 3" xfId="0"/>
    <cellStyle name="Normal 12 3 3 2 2 2 2 3" xfId="0"/>
    <cellStyle name="Normal 12 3 3 2 2 2 2 3 2" xfId="0"/>
    <cellStyle name="Normal 12 3 3 2 2 2 2 4" xfId="0"/>
    <cellStyle name="Normal 12 3 3 2 2 2 3" xfId="0"/>
    <cellStyle name="Normal 12 3 3 2 2 2 3 2" xfId="0"/>
    <cellStyle name="Normal 12 3 3 2 2 2 3 2 2" xfId="0"/>
    <cellStyle name="Normal 12 3 3 2 2 2 3 3" xfId="0"/>
    <cellStyle name="Normal 12 3 3 2 2 2 4" xfId="0"/>
    <cellStyle name="Normal 12 3 3 2 2 2 4 2" xfId="0"/>
    <cellStyle name="Normal 12 3 3 2 2 2 5" xfId="0"/>
    <cellStyle name="Normal 12 3 3 2 2 3" xfId="0"/>
    <cellStyle name="Normal 12 3 3 2 2 3 2" xfId="0"/>
    <cellStyle name="Normal 12 3 3 2 2 3 2 2" xfId="0"/>
    <cellStyle name="Normal 12 3 3 2 2 3 2 2 2" xfId="0"/>
    <cellStyle name="Normal 12 3 3 2 2 3 2 3" xfId="0"/>
    <cellStyle name="Normal 12 3 3 2 2 3 3" xfId="0"/>
    <cellStyle name="Normal 12 3 3 2 2 3 3 2" xfId="0"/>
    <cellStyle name="Normal 12 3 3 2 2 3 4" xfId="0"/>
    <cellStyle name="Normal 12 3 3 2 2 4" xfId="0"/>
    <cellStyle name="Normal 12 3 3 2 2 4 2" xfId="0"/>
    <cellStyle name="Normal 12 3 3 2 2 4 2 2" xfId="0"/>
    <cellStyle name="Normal 12 3 3 2 2 4 3" xfId="0"/>
    <cellStyle name="Normal 12 3 3 2 2 5" xfId="0"/>
    <cellStyle name="Normal 12 3 3 2 2 5 2" xfId="0"/>
    <cellStyle name="Normal 12 3 3 2 2 6" xfId="0"/>
    <cellStyle name="Normal 12 3 3 2 3" xfId="0"/>
    <cellStyle name="Normal 12 3 3 2 3 2" xfId="0"/>
    <cellStyle name="Normal 12 3 3 2 3 2 2" xfId="0"/>
    <cellStyle name="Normal 12 3 3 2 3 2 2 2" xfId="0"/>
    <cellStyle name="Normal 12 3 3 2 3 2 2 2 2" xfId="0"/>
    <cellStyle name="Normal 12 3 3 2 3 2 2 3" xfId="0"/>
    <cellStyle name="Normal 12 3 3 2 3 2 3" xfId="0"/>
    <cellStyle name="Normal 12 3 3 2 3 2 3 2" xfId="0"/>
    <cellStyle name="Normal 12 3 3 2 3 2 4" xfId="0"/>
    <cellStyle name="Normal 12 3 3 2 3 3" xfId="0"/>
    <cellStyle name="Normal 12 3 3 2 3 3 2" xfId="0"/>
    <cellStyle name="Normal 12 3 3 2 3 3 2 2" xfId="0"/>
    <cellStyle name="Normal 12 3 3 2 3 3 3" xfId="0"/>
    <cellStyle name="Normal 12 3 3 2 3 4" xfId="0"/>
    <cellStyle name="Normal 12 3 3 2 3 4 2" xfId="0"/>
    <cellStyle name="Normal 12 3 3 2 3 5" xfId="0"/>
    <cellStyle name="Normal 12 3 3 2 4" xfId="0"/>
    <cellStyle name="Normal 12 3 3 2 4 2" xfId="0"/>
    <cellStyle name="Normal 12 3 3 2 4 2 2" xfId="0"/>
    <cellStyle name="Normal 12 3 3 2 4 2 2 2" xfId="0"/>
    <cellStyle name="Normal 12 3 3 2 4 2 3" xfId="0"/>
    <cellStyle name="Normal 12 3 3 2 4 3" xfId="0"/>
    <cellStyle name="Normal 12 3 3 2 4 3 2" xfId="0"/>
    <cellStyle name="Normal 12 3 3 2 4 4" xfId="0"/>
    <cellStyle name="Normal 12 3 3 2 5" xfId="0"/>
    <cellStyle name="Normal 12 3 3 2 5 2" xfId="0"/>
    <cellStyle name="Normal 12 3 3 2 5 2 2" xfId="0"/>
    <cellStyle name="Normal 12 3 3 2 5 3" xfId="0"/>
    <cellStyle name="Normal 12 3 3 2 6" xfId="0"/>
    <cellStyle name="Normal 12 3 3 2 6 2" xfId="0"/>
    <cellStyle name="Normal 12 3 3 2 7" xfId="0"/>
    <cellStyle name="Normal 12 3 3 3" xfId="0"/>
    <cellStyle name="Normal 12 3 3 3 2" xfId="0"/>
    <cellStyle name="Normal 12 3 3 3 2 2" xfId="0"/>
    <cellStyle name="Normal 12 3 3 3 2 2 2" xfId="0"/>
    <cellStyle name="Normal 12 3 3 3 2 2 2 2" xfId="0"/>
    <cellStyle name="Normal 12 3 3 3 2 2 2 2 2" xfId="0"/>
    <cellStyle name="Normal 12 3 3 3 2 2 2 3" xfId="0"/>
    <cellStyle name="Normal 12 3 3 3 2 2 3" xfId="0"/>
    <cellStyle name="Normal 12 3 3 3 2 2 3 2" xfId="0"/>
    <cellStyle name="Normal 12 3 3 3 2 2 4" xfId="0"/>
    <cellStyle name="Normal 12 3 3 3 2 3" xfId="0"/>
    <cellStyle name="Normal 12 3 3 3 2 3 2" xfId="0"/>
    <cellStyle name="Normal 12 3 3 3 2 3 2 2" xfId="0"/>
    <cellStyle name="Normal 12 3 3 3 2 3 3" xfId="0"/>
    <cellStyle name="Normal 12 3 3 3 2 4" xfId="0"/>
    <cellStyle name="Normal 12 3 3 3 2 4 2" xfId="0"/>
    <cellStyle name="Normal 12 3 3 3 2 5" xfId="0"/>
    <cellStyle name="Normal 12 3 3 3 3" xfId="0"/>
    <cellStyle name="Normal 12 3 3 3 3 2" xfId="0"/>
    <cellStyle name="Normal 12 3 3 3 3 2 2" xfId="0"/>
    <cellStyle name="Normal 12 3 3 3 3 2 2 2" xfId="0"/>
    <cellStyle name="Normal 12 3 3 3 3 2 3" xfId="0"/>
    <cellStyle name="Normal 12 3 3 3 3 3" xfId="0"/>
    <cellStyle name="Normal 12 3 3 3 3 3 2" xfId="0"/>
    <cellStyle name="Normal 12 3 3 3 3 4" xfId="0"/>
    <cellStyle name="Normal 12 3 3 3 4" xfId="0"/>
    <cellStyle name="Normal 12 3 3 3 4 2" xfId="0"/>
    <cellStyle name="Normal 12 3 3 3 4 2 2" xfId="0"/>
    <cellStyle name="Normal 12 3 3 3 4 3" xfId="0"/>
    <cellStyle name="Normal 12 3 3 3 5" xfId="0"/>
    <cellStyle name="Normal 12 3 3 3 5 2" xfId="0"/>
    <cellStyle name="Normal 12 3 3 3 6" xfId="0"/>
    <cellStyle name="Normal 12 3 3 4" xfId="0"/>
    <cellStyle name="Normal 12 3 3 4 2" xfId="0"/>
    <cellStyle name="Normal 12 3 3 4 2 2" xfId="0"/>
    <cellStyle name="Normal 12 3 3 4 2 2 2" xfId="0"/>
    <cellStyle name="Normal 12 3 3 4 2 2 2 2" xfId="0"/>
    <cellStyle name="Normal 12 3 3 4 2 2 3" xfId="0"/>
    <cellStyle name="Normal 12 3 3 4 2 3" xfId="0"/>
    <cellStyle name="Normal 12 3 3 4 2 3 2" xfId="0"/>
    <cellStyle name="Normal 12 3 3 4 2 4" xfId="0"/>
    <cellStyle name="Normal 12 3 3 4 3" xfId="0"/>
    <cellStyle name="Normal 12 3 3 4 3 2" xfId="0"/>
    <cellStyle name="Normal 12 3 3 4 3 2 2" xfId="0"/>
    <cellStyle name="Normal 12 3 3 4 3 3" xfId="0"/>
    <cellStyle name="Normal 12 3 3 4 4" xfId="0"/>
    <cellStyle name="Normal 12 3 3 4 4 2" xfId="0"/>
    <cellStyle name="Normal 12 3 3 4 5" xfId="0"/>
    <cellStyle name="Normal 12 3 3 5" xfId="0"/>
    <cellStyle name="Normal 12 3 3 5 2" xfId="0"/>
    <cellStyle name="Normal 12 3 3 5 2 2" xfId="0"/>
    <cellStyle name="Normal 12 3 3 5 2 2 2" xfId="0"/>
    <cellStyle name="Normal 12 3 3 5 2 3" xfId="0"/>
    <cellStyle name="Normal 12 3 3 5 3" xfId="0"/>
    <cellStyle name="Normal 12 3 3 5 3 2" xfId="0"/>
    <cellStyle name="Normal 12 3 3 5 4" xfId="0"/>
    <cellStyle name="Normal 12 3 3 6" xfId="0"/>
    <cellStyle name="Normal 12 3 3 6 2" xfId="0"/>
    <cellStyle name="Normal 12 3 3 6 2 2" xfId="0"/>
    <cellStyle name="Normal 12 3 3 6 3" xfId="0"/>
    <cellStyle name="Normal 12 3 3 7" xfId="0"/>
    <cellStyle name="Normal 12 3 3 7 2" xfId="0"/>
    <cellStyle name="Normal 12 3 3 8" xfId="0"/>
    <cellStyle name="Normal 12 3 4" xfId="0"/>
    <cellStyle name="Normal 12 3 4 2" xfId="0"/>
    <cellStyle name="Normal 12 3 4 2 2" xfId="0"/>
    <cellStyle name="Normal 12 3 4 2 2 2" xfId="0"/>
    <cellStyle name="Normal 12 3 4 2 2 2 2" xfId="0"/>
    <cellStyle name="Normal 12 3 4 2 2 2 2 2" xfId="0"/>
    <cellStyle name="Normal 12 3 4 2 2 2 2 2 2" xfId="0"/>
    <cellStyle name="Normal 12 3 4 2 2 2 2 2 2 2" xfId="0"/>
    <cellStyle name="Normal 12 3 4 2 2 2 2 2 3" xfId="0"/>
    <cellStyle name="Normal 12 3 4 2 2 2 2 3" xfId="0"/>
    <cellStyle name="Normal 12 3 4 2 2 2 2 3 2" xfId="0"/>
    <cellStyle name="Normal 12 3 4 2 2 2 2 4" xfId="0"/>
    <cellStyle name="Normal 12 3 4 2 2 2 3" xfId="0"/>
    <cellStyle name="Normal 12 3 4 2 2 2 3 2" xfId="0"/>
    <cellStyle name="Normal 12 3 4 2 2 2 3 2 2" xfId="0"/>
    <cellStyle name="Normal 12 3 4 2 2 2 3 3" xfId="0"/>
    <cellStyle name="Normal 12 3 4 2 2 2 4" xfId="0"/>
    <cellStyle name="Normal 12 3 4 2 2 2 4 2" xfId="0"/>
    <cellStyle name="Normal 12 3 4 2 2 2 5" xfId="0"/>
    <cellStyle name="Normal 12 3 4 2 2 3" xfId="0"/>
    <cellStyle name="Normal 12 3 4 2 2 3 2" xfId="0"/>
    <cellStyle name="Normal 12 3 4 2 2 3 2 2" xfId="0"/>
    <cellStyle name="Normal 12 3 4 2 2 3 2 2 2" xfId="0"/>
    <cellStyle name="Normal 12 3 4 2 2 3 2 3" xfId="0"/>
    <cellStyle name="Normal 12 3 4 2 2 3 3" xfId="0"/>
    <cellStyle name="Normal 12 3 4 2 2 3 3 2" xfId="0"/>
    <cellStyle name="Normal 12 3 4 2 2 3 4" xfId="0"/>
    <cellStyle name="Normal 12 3 4 2 2 4" xfId="0"/>
    <cellStyle name="Normal 12 3 4 2 2 4 2" xfId="0"/>
    <cellStyle name="Normal 12 3 4 2 2 4 2 2" xfId="0"/>
    <cellStyle name="Normal 12 3 4 2 2 4 3" xfId="0"/>
    <cellStyle name="Normal 12 3 4 2 2 5" xfId="0"/>
    <cellStyle name="Normal 12 3 4 2 2 5 2" xfId="0"/>
    <cellStyle name="Normal 12 3 4 2 2 6" xfId="0"/>
    <cellStyle name="Normal 12 3 4 2 3" xfId="0"/>
    <cellStyle name="Normal 12 3 4 2 3 2" xfId="0"/>
    <cellStyle name="Normal 12 3 4 2 3 2 2" xfId="0"/>
    <cellStyle name="Normal 12 3 4 2 3 2 2 2" xfId="0"/>
    <cellStyle name="Normal 12 3 4 2 3 2 2 2 2" xfId="0"/>
    <cellStyle name="Normal 12 3 4 2 3 2 2 3" xfId="0"/>
    <cellStyle name="Normal 12 3 4 2 3 2 3" xfId="0"/>
    <cellStyle name="Normal 12 3 4 2 3 2 3 2" xfId="0"/>
    <cellStyle name="Normal 12 3 4 2 3 2 4" xfId="0"/>
    <cellStyle name="Normal 12 3 4 2 3 3" xfId="0"/>
    <cellStyle name="Normal 12 3 4 2 3 3 2" xfId="0"/>
    <cellStyle name="Normal 12 3 4 2 3 3 2 2" xfId="0"/>
    <cellStyle name="Normal 12 3 4 2 3 3 3" xfId="0"/>
    <cellStyle name="Normal 12 3 4 2 3 4" xfId="0"/>
    <cellStyle name="Normal 12 3 4 2 3 4 2" xfId="0"/>
    <cellStyle name="Normal 12 3 4 2 3 5" xfId="0"/>
    <cellStyle name="Normal 12 3 4 2 4" xfId="0"/>
    <cellStyle name="Normal 12 3 4 2 4 2" xfId="0"/>
    <cellStyle name="Normal 12 3 4 2 4 2 2" xfId="0"/>
    <cellStyle name="Normal 12 3 4 2 4 2 2 2" xfId="0"/>
    <cellStyle name="Normal 12 3 4 2 4 2 3" xfId="0"/>
    <cellStyle name="Normal 12 3 4 2 4 3" xfId="0"/>
    <cellStyle name="Normal 12 3 4 2 4 3 2" xfId="0"/>
    <cellStyle name="Normal 12 3 4 2 4 4" xfId="0"/>
    <cellStyle name="Normal 12 3 4 2 5" xfId="0"/>
    <cellStyle name="Normal 12 3 4 2 5 2" xfId="0"/>
    <cellStyle name="Normal 12 3 4 2 5 2 2" xfId="0"/>
    <cellStyle name="Normal 12 3 4 2 5 3" xfId="0"/>
    <cellStyle name="Normal 12 3 4 2 6" xfId="0"/>
    <cellStyle name="Normal 12 3 4 2 6 2" xfId="0"/>
    <cellStyle name="Normal 12 3 4 2 7" xfId="0"/>
    <cellStyle name="Normal 12 3 4 3" xfId="0"/>
    <cellStyle name="Normal 12 3 4 3 2" xfId="0"/>
    <cellStyle name="Normal 12 3 4 3 2 2" xfId="0"/>
    <cellStyle name="Normal 12 3 4 3 2 2 2" xfId="0"/>
    <cellStyle name="Normal 12 3 4 3 2 2 2 2" xfId="0"/>
    <cellStyle name="Normal 12 3 4 3 2 2 2 2 2" xfId="0"/>
    <cellStyle name="Normal 12 3 4 3 2 2 2 3" xfId="0"/>
    <cellStyle name="Normal 12 3 4 3 2 2 3" xfId="0"/>
    <cellStyle name="Normal 12 3 4 3 2 2 3 2" xfId="0"/>
    <cellStyle name="Normal 12 3 4 3 2 2 4" xfId="0"/>
    <cellStyle name="Normal 12 3 4 3 2 3" xfId="0"/>
    <cellStyle name="Normal 12 3 4 3 2 3 2" xfId="0"/>
    <cellStyle name="Normal 12 3 4 3 2 3 2 2" xfId="0"/>
    <cellStyle name="Normal 12 3 4 3 2 3 3" xfId="0"/>
    <cellStyle name="Normal 12 3 4 3 2 4" xfId="0"/>
    <cellStyle name="Normal 12 3 4 3 2 4 2" xfId="0"/>
    <cellStyle name="Normal 12 3 4 3 2 5" xfId="0"/>
    <cellStyle name="Normal 12 3 4 3 3" xfId="0"/>
    <cellStyle name="Normal 12 3 4 3 3 2" xfId="0"/>
    <cellStyle name="Normal 12 3 4 3 3 2 2" xfId="0"/>
    <cellStyle name="Normal 12 3 4 3 3 2 2 2" xfId="0"/>
    <cellStyle name="Normal 12 3 4 3 3 2 3" xfId="0"/>
    <cellStyle name="Normal 12 3 4 3 3 3" xfId="0"/>
    <cellStyle name="Normal 12 3 4 3 3 3 2" xfId="0"/>
    <cellStyle name="Normal 12 3 4 3 3 4" xfId="0"/>
    <cellStyle name="Normal 12 3 4 3 4" xfId="0"/>
    <cellStyle name="Normal 12 3 4 3 4 2" xfId="0"/>
    <cellStyle name="Normal 12 3 4 3 4 2 2" xfId="0"/>
    <cellStyle name="Normal 12 3 4 3 4 3" xfId="0"/>
    <cellStyle name="Normal 12 3 4 3 5" xfId="0"/>
    <cellStyle name="Normal 12 3 4 3 5 2" xfId="0"/>
    <cellStyle name="Normal 12 3 4 3 6" xfId="0"/>
    <cellStyle name="Normal 12 3 4 4" xfId="0"/>
    <cellStyle name="Normal 12 3 4 4 2" xfId="0"/>
    <cellStyle name="Normal 12 3 4 4 2 2" xfId="0"/>
    <cellStyle name="Normal 12 3 4 4 2 2 2" xfId="0"/>
    <cellStyle name="Normal 12 3 4 4 2 2 2 2" xfId="0"/>
    <cellStyle name="Normal 12 3 4 4 2 2 3" xfId="0"/>
    <cellStyle name="Normal 12 3 4 4 2 3" xfId="0"/>
    <cellStyle name="Normal 12 3 4 4 2 3 2" xfId="0"/>
    <cellStyle name="Normal 12 3 4 4 2 4" xfId="0"/>
    <cellStyle name="Normal 12 3 4 4 3" xfId="0"/>
    <cellStyle name="Normal 12 3 4 4 3 2" xfId="0"/>
    <cellStyle name="Normal 12 3 4 4 3 2 2" xfId="0"/>
    <cellStyle name="Normal 12 3 4 4 3 3" xfId="0"/>
    <cellStyle name="Normal 12 3 4 4 4" xfId="0"/>
    <cellStyle name="Normal 12 3 4 4 4 2" xfId="0"/>
    <cellStyle name="Normal 12 3 4 4 5" xfId="0"/>
    <cellStyle name="Normal 12 3 4 5" xfId="0"/>
    <cellStyle name="Normal 12 3 4 5 2" xfId="0"/>
    <cellStyle name="Normal 12 3 4 5 2 2" xfId="0"/>
    <cellStyle name="Normal 12 3 4 5 2 2 2" xfId="0"/>
    <cellStyle name="Normal 12 3 4 5 2 3" xfId="0"/>
    <cellStyle name="Normal 12 3 4 5 3" xfId="0"/>
    <cellStyle name="Normal 12 3 4 5 3 2" xfId="0"/>
    <cellStyle name="Normal 12 3 4 5 4" xfId="0"/>
    <cellStyle name="Normal 12 3 4 6" xfId="0"/>
    <cellStyle name="Normal 12 3 4 6 2" xfId="0"/>
    <cellStyle name="Normal 12 3 4 6 2 2" xfId="0"/>
    <cellStyle name="Normal 12 3 4 6 3" xfId="0"/>
    <cellStyle name="Normal 12 3 4 7" xfId="0"/>
    <cellStyle name="Normal 12 3 4 7 2" xfId="0"/>
    <cellStyle name="Normal 12 3 4 8" xfId="0"/>
    <cellStyle name="Normal 12 3 5" xfId="0"/>
    <cellStyle name="Normal 12 3 5 2" xfId="0"/>
    <cellStyle name="Normal 12 3 5 2 2" xfId="0"/>
    <cellStyle name="Normal 12 3 5 2 2 2" xfId="0"/>
    <cellStyle name="Normal 12 3 5 2 2 2 2" xfId="0"/>
    <cellStyle name="Normal 12 3 5 2 2 2 2 2" xfId="0"/>
    <cellStyle name="Normal 12 3 5 2 2 2 2 2 2" xfId="0"/>
    <cellStyle name="Normal 12 3 5 2 2 2 2 3" xfId="0"/>
    <cellStyle name="Normal 12 3 5 2 2 2 3" xfId="0"/>
    <cellStyle name="Normal 12 3 5 2 2 2 3 2" xfId="0"/>
    <cellStyle name="Normal 12 3 5 2 2 2 4" xfId="0"/>
    <cellStyle name="Normal 12 3 5 2 2 3" xfId="0"/>
    <cellStyle name="Normal 12 3 5 2 2 3 2" xfId="0"/>
    <cellStyle name="Normal 12 3 5 2 2 3 2 2" xfId="0"/>
    <cellStyle name="Normal 12 3 5 2 2 3 3" xfId="0"/>
    <cellStyle name="Normal 12 3 5 2 2 4" xfId="0"/>
    <cellStyle name="Normal 12 3 5 2 2 4 2" xfId="0"/>
    <cellStyle name="Normal 12 3 5 2 2 5" xfId="0"/>
    <cellStyle name="Normal 12 3 5 2 3" xfId="0"/>
    <cellStyle name="Normal 12 3 5 2 3 2" xfId="0"/>
    <cellStyle name="Normal 12 3 5 2 3 2 2" xfId="0"/>
    <cellStyle name="Normal 12 3 5 2 3 2 2 2" xfId="0"/>
    <cellStyle name="Normal 12 3 5 2 3 2 3" xfId="0"/>
    <cellStyle name="Normal 12 3 5 2 3 3" xfId="0"/>
    <cellStyle name="Normal 12 3 5 2 3 3 2" xfId="0"/>
    <cellStyle name="Normal 12 3 5 2 3 4" xfId="0"/>
    <cellStyle name="Normal 12 3 5 2 4" xfId="0"/>
    <cellStyle name="Normal 12 3 5 2 4 2" xfId="0"/>
    <cellStyle name="Normal 12 3 5 2 4 2 2" xfId="0"/>
    <cellStyle name="Normal 12 3 5 2 4 3" xfId="0"/>
    <cellStyle name="Normal 12 3 5 2 5" xfId="0"/>
    <cellStyle name="Normal 12 3 5 2 5 2" xfId="0"/>
    <cellStyle name="Normal 12 3 5 2 6" xfId="0"/>
    <cellStyle name="Normal 12 3 5 3" xfId="0"/>
    <cellStyle name="Normal 12 3 5 3 2" xfId="0"/>
    <cellStyle name="Normal 12 3 5 3 2 2" xfId="0"/>
    <cellStyle name="Normal 12 3 5 3 2 2 2" xfId="0"/>
    <cellStyle name="Normal 12 3 5 3 2 2 2 2" xfId="0"/>
    <cellStyle name="Normal 12 3 5 3 2 2 3" xfId="0"/>
    <cellStyle name="Normal 12 3 5 3 2 3" xfId="0"/>
    <cellStyle name="Normal 12 3 5 3 2 3 2" xfId="0"/>
    <cellStyle name="Normal 12 3 5 3 2 4" xfId="0"/>
    <cellStyle name="Normal 12 3 5 3 3" xfId="0"/>
    <cellStyle name="Normal 12 3 5 3 3 2" xfId="0"/>
    <cellStyle name="Normal 12 3 5 3 3 2 2" xfId="0"/>
    <cellStyle name="Normal 12 3 5 3 3 3" xfId="0"/>
    <cellStyle name="Normal 12 3 5 3 4" xfId="0"/>
    <cellStyle name="Normal 12 3 5 3 4 2" xfId="0"/>
    <cellStyle name="Normal 12 3 5 3 5" xfId="0"/>
    <cellStyle name="Normal 12 3 5 4" xfId="0"/>
    <cellStyle name="Normal 12 3 5 4 2" xfId="0"/>
    <cellStyle name="Normal 12 3 5 4 2 2" xfId="0"/>
    <cellStyle name="Normal 12 3 5 4 2 2 2" xfId="0"/>
    <cellStyle name="Normal 12 3 5 4 2 3" xfId="0"/>
    <cellStyle name="Normal 12 3 5 4 3" xfId="0"/>
    <cellStyle name="Normal 12 3 5 4 3 2" xfId="0"/>
    <cellStyle name="Normal 12 3 5 4 4" xfId="0"/>
    <cellStyle name="Normal 12 3 5 5" xfId="0"/>
    <cellStyle name="Normal 12 3 5 5 2" xfId="0"/>
    <cellStyle name="Normal 12 3 5 5 2 2" xfId="0"/>
    <cellStyle name="Normal 12 3 5 5 3" xfId="0"/>
    <cellStyle name="Normal 12 3 5 6" xfId="0"/>
    <cellStyle name="Normal 12 3 5 6 2" xfId="0"/>
    <cellStyle name="Normal 12 3 5 7" xfId="0"/>
    <cellStyle name="Normal 12 3 6" xfId="0"/>
    <cellStyle name="Normal 12 3 6 2" xfId="0"/>
    <cellStyle name="Normal 12 3 6 2 2" xfId="0"/>
    <cellStyle name="Normal 12 3 6 2 2 2" xfId="0"/>
    <cellStyle name="Normal 12 3 6 2 2 2 2" xfId="0"/>
    <cellStyle name="Normal 12 3 6 2 2 2 2 2" xfId="0"/>
    <cellStyle name="Normal 12 3 6 2 2 2 2 2 2" xfId="0"/>
    <cellStyle name="Normal 12 3 6 2 2 2 2 3" xfId="0"/>
    <cellStyle name="Normal 12 3 6 2 2 2 3" xfId="0"/>
    <cellStyle name="Normal 12 3 6 2 2 2 3 2" xfId="0"/>
    <cellStyle name="Normal 12 3 6 2 2 2 4" xfId="0"/>
    <cellStyle name="Normal 12 3 6 2 2 3" xfId="0"/>
    <cellStyle name="Normal 12 3 6 2 2 3 2" xfId="0"/>
    <cellStyle name="Normal 12 3 6 2 2 3 2 2" xfId="0"/>
    <cellStyle name="Normal 12 3 6 2 2 3 3" xfId="0"/>
    <cellStyle name="Normal 12 3 6 2 2 4" xfId="0"/>
    <cellStyle name="Normal 12 3 6 2 2 4 2" xfId="0"/>
    <cellStyle name="Normal 12 3 6 2 2 5" xfId="0"/>
    <cellStyle name="Normal 12 3 6 2 3" xfId="0"/>
    <cellStyle name="Normal 12 3 6 2 3 2" xfId="0"/>
    <cellStyle name="Normal 12 3 6 2 3 2 2" xfId="0"/>
    <cellStyle name="Normal 12 3 6 2 3 2 2 2" xfId="0"/>
    <cellStyle name="Normal 12 3 6 2 3 2 3" xfId="0"/>
    <cellStyle name="Normal 12 3 6 2 3 3" xfId="0"/>
    <cellStyle name="Normal 12 3 6 2 3 3 2" xfId="0"/>
    <cellStyle name="Normal 12 3 6 2 3 4" xfId="0"/>
    <cellStyle name="Normal 12 3 6 2 4" xfId="0"/>
    <cellStyle name="Normal 12 3 6 2 4 2" xfId="0"/>
    <cellStyle name="Normal 12 3 6 2 4 2 2" xfId="0"/>
    <cellStyle name="Normal 12 3 6 2 4 3" xfId="0"/>
    <cellStyle name="Normal 12 3 6 2 5" xfId="0"/>
    <cellStyle name="Normal 12 3 6 2 5 2" xfId="0"/>
    <cellStyle name="Normal 12 3 6 2 6" xfId="0"/>
    <cellStyle name="Normal 12 3 6 3" xfId="0"/>
    <cellStyle name="Normal 12 3 6 3 2" xfId="0"/>
    <cellStyle name="Normal 12 3 6 3 2 2" xfId="0"/>
    <cellStyle name="Normal 12 3 6 3 2 2 2" xfId="0"/>
    <cellStyle name="Normal 12 3 6 3 2 2 2 2" xfId="0"/>
    <cellStyle name="Normal 12 3 6 3 2 2 3" xfId="0"/>
    <cellStyle name="Normal 12 3 6 3 2 3" xfId="0"/>
    <cellStyle name="Normal 12 3 6 3 2 3 2" xfId="0"/>
    <cellStyle name="Normal 12 3 6 3 2 4" xfId="0"/>
    <cellStyle name="Normal 12 3 6 3 3" xfId="0"/>
    <cellStyle name="Normal 12 3 6 3 3 2" xfId="0"/>
    <cellStyle name="Normal 12 3 6 3 3 2 2" xfId="0"/>
    <cellStyle name="Normal 12 3 6 3 3 3" xfId="0"/>
    <cellStyle name="Normal 12 3 6 3 4" xfId="0"/>
    <cellStyle name="Normal 12 3 6 3 4 2" xfId="0"/>
    <cellStyle name="Normal 12 3 6 3 5" xfId="0"/>
    <cellStyle name="Normal 12 3 6 4" xfId="0"/>
    <cellStyle name="Normal 12 3 6 4 2" xfId="0"/>
    <cellStyle name="Normal 12 3 6 4 2 2" xfId="0"/>
    <cellStyle name="Normal 12 3 6 4 2 2 2" xfId="0"/>
    <cellStyle name="Normal 12 3 6 4 2 3" xfId="0"/>
    <cellStyle name="Normal 12 3 6 4 3" xfId="0"/>
    <cellStyle name="Normal 12 3 6 4 3 2" xfId="0"/>
    <cellStyle name="Normal 12 3 6 4 4" xfId="0"/>
    <cellStyle name="Normal 12 3 6 5" xfId="0"/>
    <cellStyle name="Normal 12 3 6 5 2" xfId="0"/>
    <cellStyle name="Normal 12 3 6 5 2 2" xfId="0"/>
    <cellStyle name="Normal 12 3 6 5 3" xfId="0"/>
    <cellStyle name="Normal 12 3 6 6" xfId="0"/>
    <cellStyle name="Normal 12 3 6 6 2" xfId="0"/>
    <cellStyle name="Normal 12 3 6 7" xfId="0"/>
    <cellStyle name="Normal 12 3 7" xfId="0"/>
    <cellStyle name="Normal 12 3 7 2" xfId="0"/>
    <cellStyle name="Normal 12 3 7 2 2" xfId="0"/>
    <cellStyle name="Normal 12 3 7 2 2 2" xfId="0"/>
    <cellStyle name="Normal 12 3 7 2 2 2 2" xfId="0"/>
    <cellStyle name="Normal 12 3 7 2 2 2 2 2" xfId="0"/>
    <cellStyle name="Normal 12 3 7 2 2 2 3" xfId="0"/>
    <cellStyle name="Normal 12 3 7 2 2 3" xfId="0"/>
    <cellStyle name="Normal 12 3 7 2 2 3 2" xfId="0"/>
    <cellStyle name="Normal 12 3 7 2 2 4" xfId="0"/>
    <cellStyle name="Normal 12 3 7 2 3" xfId="0"/>
    <cellStyle name="Normal 12 3 7 2 3 2" xfId="0"/>
    <cellStyle name="Normal 12 3 7 2 3 2 2" xfId="0"/>
    <cellStyle name="Normal 12 3 7 2 3 3" xfId="0"/>
    <cellStyle name="Normal 12 3 7 2 4" xfId="0"/>
    <cellStyle name="Normal 12 3 7 2 4 2" xfId="0"/>
    <cellStyle name="Normal 12 3 7 2 5" xfId="0"/>
    <cellStyle name="Normal 12 3 7 3" xfId="0"/>
    <cellStyle name="Normal 12 3 7 3 2" xfId="0"/>
    <cellStyle name="Normal 12 3 7 3 2 2" xfId="0"/>
    <cellStyle name="Normal 12 3 7 3 2 2 2" xfId="0"/>
    <cellStyle name="Normal 12 3 7 3 2 3" xfId="0"/>
    <cellStyle name="Normal 12 3 7 3 3" xfId="0"/>
    <cellStyle name="Normal 12 3 7 3 3 2" xfId="0"/>
    <cellStyle name="Normal 12 3 7 3 4" xfId="0"/>
    <cellStyle name="Normal 12 3 7 4" xfId="0"/>
    <cellStyle name="Normal 12 3 7 4 2" xfId="0"/>
    <cellStyle name="Normal 12 3 7 4 2 2" xfId="0"/>
    <cellStyle name="Normal 12 3 7 4 3" xfId="0"/>
    <cellStyle name="Normal 12 3 7 5" xfId="0"/>
    <cellStyle name="Normal 12 3 7 5 2" xfId="0"/>
    <cellStyle name="Normal 12 3 7 6" xfId="0"/>
    <cellStyle name="Normal 12 3 8" xfId="0"/>
    <cellStyle name="Normal 12 3 8 2" xfId="0"/>
    <cellStyle name="Normal 12 3 8 2 2" xfId="0"/>
    <cellStyle name="Normal 12 3 8 2 2 2" xfId="0"/>
    <cellStyle name="Normal 12 3 8 2 2 2 2" xfId="0"/>
    <cellStyle name="Normal 12 3 8 2 2 3" xfId="0"/>
    <cellStyle name="Normal 12 3 8 2 3" xfId="0"/>
    <cellStyle name="Normal 12 3 8 2 3 2" xfId="0"/>
    <cellStyle name="Normal 12 3 8 2 4" xfId="0"/>
    <cellStyle name="Normal 12 3 8 3" xfId="0"/>
    <cellStyle name="Normal 12 3 8 3 2" xfId="0"/>
    <cellStyle name="Normal 12 3 8 3 2 2" xfId="0"/>
    <cellStyle name="Normal 12 3 8 3 3" xfId="0"/>
    <cellStyle name="Normal 12 3 8 4" xfId="0"/>
    <cellStyle name="Normal 12 3 8 4 2" xfId="0"/>
    <cellStyle name="Normal 12 3 8 5" xfId="0"/>
    <cellStyle name="Normal 12 3 9" xfId="0"/>
    <cellStyle name="Normal 12 3 9 2" xfId="0"/>
    <cellStyle name="Normal 12 3 9 2 2" xfId="0"/>
    <cellStyle name="Normal 12 3 9 2 2 2" xfId="0"/>
    <cellStyle name="Normal 12 3 9 2 3" xfId="0"/>
    <cellStyle name="Normal 12 3 9 3" xfId="0"/>
    <cellStyle name="Normal 12 3 9 3 2" xfId="0"/>
    <cellStyle name="Normal 12 3 9 4" xfId="0"/>
    <cellStyle name="Normal 12 4" xfId="0"/>
    <cellStyle name="Normal 12 4 10" xfId="0"/>
    <cellStyle name="Normal 12 4 10 2" xfId="0"/>
    <cellStyle name="Normal 12 4 10 2 2" xfId="0"/>
    <cellStyle name="Normal 12 4 10 3" xfId="0"/>
    <cellStyle name="Normal 12 4 11" xfId="0"/>
    <cellStyle name="Normal 12 4 11 2" xfId="0"/>
    <cellStyle name="Normal 12 4 12" xfId="0"/>
    <cellStyle name="Normal 12 4 2" xfId="0"/>
    <cellStyle name="Normal 12 4 2 10" xfId="0"/>
    <cellStyle name="Normal 12 4 2 10 2" xfId="0"/>
    <cellStyle name="Normal 12 4 2 11" xfId="0"/>
    <cellStyle name="Normal 12 4 2 2" xfId="0"/>
    <cellStyle name="Normal 12 4 2 2 2" xfId="0"/>
    <cellStyle name="Normal 12 4 2 2 2 2" xfId="0"/>
    <cellStyle name="Normal 12 4 2 2 2 2 2" xfId="0"/>
    <cellStyle name="Normal 12 4 2 2 2 2 2 2" xfId="0"/>
    <cellStyle name="Normal 12 4 2 2 2 2 2 2 2" xfId="0"/>
    <cellStyle name="Normal 12 4 2 2 2 2 2 2 2 2" xfId="0"/>
    <cellStyle name="Normal 12 4 2 2 2 2 2 2 2 2 2" xfId="0"/>
    <cellStyle name="Normal 12 4 2 2 2 2 2 2 2 3" xfId="0"/>
    <cellStyle name="Normal 12 4 2 2 2 2 2 2 3" xfId="0"/>
    <cellStyle name="Normal 12 4 2 2 2 2 2 2 3 2" xfId="0"/>
    <cellStyle name="Normal 12 4 2 2 2 2 2 2 4" xfId="0"/>
    <cellStyle name="Normal 12 4 2 2 2 2 2 3" xfId="0"/>
    <cellStyle name="Normal 12 4 2 2 2 2 2 3 2" xfId="0"/>
    <cellStyle name="Normal 12 4 2 2 2 2 2 3 2 2" xfId="0"/>
    <cellStyle name="Normal 12 4 2 2 2 2 2 3 3" xfId="0"/>
    <cellStyle name="Normal 12 4 2 2 2 2 2 4" xfId="0"/>
    <cellStyle name="Normal 12 4 2 2 2 2 2 4 2" xfId="0"/>
    <cellStyle name="Normal 12 4 2 2 2 2 2 5" xfId="0"/>
    <cellStyle name="Normal 12 4 2 2 2 2 3" xfId="0"/>
    <cellStyle name="Normal 12 4 2 2 2 2 3 2" xfId="0"/>
    <cellStyle name="Normal 12 4 2 2 2 2 3 2 2" xfId="0"/>
    <cellStyle name="Normal 12 4 2 2 2 2 3 2 2 2" xfId="0"/>
    <cellStyle name="Normal 12 4 2 2 2 2 3 2 3" xfId="0"/>
    <cellStyle name="Normal 12 4 2 2 2 2 3 3" xfId="0"/>
    <cellStyle name="Normal 12 4 2 2 2 2 3 3 2" xfId="0"/>
    <cellStyle name="Normal 12 4 2 2 2 2 3 4" xfId="0"/>
    <cellStyle name="Normal 12 4 2 2 2 2 4" xfId="0"/>
    <cellStyle name="Normal 12 4 2 2 2 2 4 2" xfId="0"/>
    <cellStyle name="Normal 12 4 2 2 2 2 4 2 2" xfId="0"/>
    <cellStyle name="Normal 12 4 2 2 2 2 4 3" xfId="0"/>
    <cellStyle name="Normal 12 4 2 2 2 2 5" xfId="0"/>
    <cellStyle name="Normal 12 4 2 2 2 2 5 2" xfId="0"/>
    <cellStyle name="Normal 12 4 2 2 2 2 6" xfId="0"/>
    <cellStyle name="Normal 12 4 2 2 2 3" xfId="0"/>
    <cellStyle name="Normal 12 4 2 2 2 3 2" xfId="0"/>
    <cellStyle name="Normal 12 4 2 2 2 3 2 2" xfId="0"/>
    <cellStyle name="Normal 12 4 2 2 2 3 2 2 2" xfId="0"/>
    <cellStyle name="Normal 12 4 2 2 2 3 2 2 2 2" xfId="0"/>
    <cellStyle name="Normal 12 4 2 2 2 3 2 2 3" xfId="0"/>
    <cellStyle name="Normal 12 4 2 2 2 3 2 3" xfId="0"/>
    <cellStyle name="Normal 12 4 2 2 2 3 2 3 2" xfId="0"/>
    <cellStyle name="Normal 12 4 2 2 2 3 2 4" xfId="0"/>
    <cellStyle name="Normal 12 4 2 2 2 3 3" xfId="0"/>
    <cellStyle name="Normal 12 4 2 2 2 3 3 2" xfId="0"/>
    <cellStyle name="Normal 12 4 2 2 2 3 3 2 2" xfId="0"/>
    <cellStyle name="Normal 12 4 2 2 2 3 3 3" xfId="0"/>
    <cellStyle name="Normal 12 4 2 2 2 3 4" xfId="0"/>
    <cellStyle name="Normal 12 4 2 2 2 3 4 2" xfId="0"/>
    <cellStyle name="Normal 12 4 2 2 2 3 5" xfId="0"/>
    <cellStyle name="Normal 12 4 2 2 2 4" xfId="0"/>
    <cellStyle name="Normal 12 4 2 2 2 4 2" xfId="0"/>
    <cellStyle name="Normal 12 4 2 2 2 4 2 2" xfId="0"/>
    <cellStyle name="Normal 12 4 2 2 2 4 2 2 2" xfId="0"/>
    <cellStyle name="Normal 12 4 2 2 2 4 2 3" xfId="0"/>
    <cellStyle name="Normal 12 4 2 2 2 4 3" xfId="0"/>
    <cellStyle name="Normal 12 4 2 2 2 4 3 2" xfId="0"/>
    <cellStyle name="Normal 12 4 2 2 2 4 4" xfId="0"/>
    <cellStyle name="Normal 12 4 2 2 2 5" xfId="0"/>
    <cellStyle name="Normal 12 4 2 2 2 5 2" xfId="0"/>
    <cellStyle name="Normal 12 4 2 2 2 5 2 2" xfId="0"/>
    <cellStyle name="Normal 12 4 2 2 2 5 3" xfId="0"/>
    <cellStyle name="Normal 12 4 2 2 2 6" xfId="0"/>
    <cellStyle name="Normal 12 4 2 2 2 6 2" xfId="0"/>
    <cellStyle name="Normal 12 4 2 2 2 7" xfId="0"/>
    <cellStyle name="Normal 12 4 2 2 3" xfId="0"/>
    <cellStyle name="Normal 12 4 2 2 3 2" xfId="0"/>
    <cellStyle name="Normal 12 4 2 2 3 2 2" xfId="0"/>
    <cellStyle name="Normal 12 4 2 2 3 2 2 2" xfId="0"/>
    <cellStyle name="Normal 12 4 2 2 3 2 2 2 2" xfId="0"/>
    <cellStyle name="Normal 12 4 2 2 3 2 2 2 2 2" xfId="0"/>
    <cellStyle name="Normal 12 4 2 2 3 2 2 2 3" xfId="0"/>
    <cellStyle name="Normal 12 4 2 2 3 2 2 3" xfId="0"/>
    <cellStyle name="Normal 12 4 2 2 3 2 2 3 2" xfId="0"/>
    <cellStyle name="Normal 12 4 2 2 3 2 2 4" xfId="0"/>
    <cellStyle name="Normal 12 4 2 2 3 2 3" xfId="0"/>
    <cellStyle name="Normal 12 4 2 2 3 2 3 2" xfId="0"/>
    <cellStyle name="Normal 12 4 2 2 3 2 3 2 2" xfId="0"/>
    <cellStyle name="Normal 12 4 2 2 3 2 3 3" xfId="0"/>
    <cellStyle name="Normal 12 4 2 2 3 2 4" xfId="0"/>
    <cellStyle name="Normal 12 4 2 2 3 2 4 2" xfId="0"/>
    <cellStyle name="Normal 12 4 2 2 3 2 5" xfId="0"/>
    <cellStyle name="Normal 12 4 2 2 3 3" xfId="0"/>
    <cellStyle name="Normal 12 4 2 2 3 3 2" xfId="0"/>
    <cellStyle name="Normal 12 4 2 2 3 3 2 2" xfId="0"/>
    <cellStyle name="Normal 12 4 2 2 3 3 2 2 2" xfId="0"/>
    <cellStyle name="Normal 12 4 2 2 3 3 2 3" xfId="0"/>
    <cellStyle name="Normal 12 4 2 2 3 3 3" xfId="0"/>
    <cellStyle name="Normal 12 4 2 2 3 3 3 2" xfId="0"/>
    <cellStyle name="Normal 12 4 2 2 3 3 4" xfId="0"/>
    <cellStyle name="Normal 12 4 2 2 3 4" xfId="0"/>
    <cellStyle name="Normal 12 4 2 2 3 4 2" xfId="0"/>
    <cellStyle name="Normal 12 4 2 2 3 4 2 2" xfId="0"/>
    <cellStyle name="Normal 12 4 2 2 3 4 3" xfId="0"/>
    <cellStyle name="Normal 12 4 2 2 3 5" xfId="0"/>
    <cellStyle name="Normal 12 4 2 2 3 5 2" xfId="0"/>
    <cellStyle name="Normal 12 4 2 2 3 6" xfId="0"/>
    <cellStyle name="Normal 12 4 2 2 4" xfId="0"/>
    <cellStyle name="Normal 12 4 2 2 4 2" xfId="0"/>
    <cellStyle name="Normal 12 4 2 2 4 2 2" xfId="0"/>
    <cellStyle name="Normal 12 4 2 2 4 2 2 2" xfId="0"/>
    <cellStyle name="Normal 12 4 2 2 4 2 2 2 2" xfId="0"/>
    <cellStyle name="Normal 12 4 2 2 4 2 2 3" xfId="0"/>
    <cellStyle name="Normal 12 4 2 2 4 2 3" xfId="0"/>
    <cellStyle name="Normal 12 4 2 2 4 2 3 2" xfId="0"/>
    <cellStyle name="Normal 12 4 2 2 4 2 4" xfId="0"/>
    <cellStyle name="Normal 12 4 2 2 4 3" xfId="0"/>
    <cellStyle name="Normal 12 4 2 2 4 3 2" xfId="0"/>
    <cellStyle name="Normal 12 4 2 2 4 3 2 2" xfId="0"/>
    <cellStyle name="Normal 12 4 2 2 4 3 3" xfId="0"/>
    <cellStyle name="Normal 12 4 2 2 4 4" xfId="0"/>
    <cellStyle name="Normal 12 4 2 2 4 4 2" xfId="0"/>
    <cellStyle name="Normal 12 4 2 2 4 5" xfId="0"/>
    <cellStyle name="Normal 12 4 2 2 5" xfId="0"/>
    <cellStyle name="Normal 12 4 2 2 5 2" xfId="0"/>
    <cellStyle name="Normal 12 4 2 2 5 2 2" xfId="0"/>
    <cellStyle name="Normal 12 4 2 2 5 2 2 2" xfId="0"/>
    <cellStyle name="Normal 12 4 2 2 5 2 3" xfId="0"/>
    <cellStyle name="Normal 12 4 2 2 5 3" xfId="0"/>
    <cellStyle name="Normal 12 4 2 2 5 3 2" xfId="0"/>
    <cellStyle name="Normal 12 4 2 2 5 4" xfId="0"/>
    <cellStyle name="Normal 12 4 2 2 6" xfId="0"/>
    <cellStyle name="Normal 12 4 2 2 6 2" xfId="0"/>
    <cellStyle name="Normal 12 4 2 2 6 2 2" xfId="0"/>
    <cellStyle name="Normal 12 4 2 2 6 3" xfId="0"/>
    <cellStyle name="Normal 12 4 2 2 7" xfId="0"/>
    <cellStyle name="Normal 12 4 2 2 7 2" xfId="0"/>
    <cellStyle name="Normal 12 4 2 2 8" xfId="0"/>
    <cellStyle name="Normal 12 4 2 3" xfId="0"/>
    <cellStyle name="Normal 12 4 2 3 2" xfId="0"/>
    <cellStyle name="Normal 12 4 2 3 2 2" xfId="0"/>
    <cellStyle name="Normal 12 4 2 3 2 2 2" xfId="0"/>
    <cellStyle name="Normal 12 4 2 3 2 2 2 2" xfId="0"/>
    <cellStyle name="Normal 12 4 2 3 2 2 2 2 2" xfId="0"/>
    <cellStyle name="Normal 12 4 2 3 2 2 2 2 2 2" xfId="0"/>
    <cellStyle name="Normal 12 4 2 3 2 2 2 2 2 2 2" xfId="0"/>
    <cellStyle name="Normal 12 4 2 3 2 2 2 2 2 3" xfId="0"/>
    <cellStyle name="Normal 12 4 2 3 2 2 2 2 3" xfId="0"/>
    <cellStyle name="Normal 12 4 2 3 2 2 2 2 3 2" xfId="0"/>
    <cellStyle name="Normal 12 4 2 3 2 2 2 2 4" xfId="0"/>
    <cellStyle name="Normal 12 4 2 3 2 2 2 3" xfId="0"/>
    <cellStyle name="Normal 12 4 2 3 2 2 2 3 2" xfId="0"/>
    <cellStyle name="Normal 12 4 2 3 2 2 2 3 2 2" xfId="0"/>
    <cellStyle name="Normal 12 4 2 3 2 2 2 3 3" xfId="0"/>
    <cellStyle name="Normal 12 4 2 3 2 2 2 4" xfId="0"/>
    <cellStyle name="Normal 12 4 2 3 2 2 2 4 2" xfId="0"/>
    <cellStyle name="Normal 12 4 2 3 2 2 2 5" xfId="0"/>
    <cellStyle name="Normal 12 4 2 3 2 2 3" xfId="0"/>
    <cellStyle name="Normal 12 4 2 3 2 2 3 2" xfId="0"/>
    <cellStyle name="Normal 12 4 2 3 2 2 3 2 2" xfId="0"/>
    <cellStyle name="Normal 12 4 2 3 2 2 3 2 2 2" xfId="0"/>
    <cellStyle name="Normal 12 4 2 3 2 2 3 2 3" xfId="0"/>
    <cellStyle name="Normal 12 4 2 3 2 2 3 3" xfId="0"/>
    <cellStyle name="Normal 12 4 2 3 2 2 3 3 2" xfId="0"/>
    <cellStyle name="Normal 12 4 2 3 2 2 3 4" xfId="0"/>
    <cellStyle name="Normal 12 4 2 3 2 2 4" xfId="0"/>
    <cellStyle name="Normal 12 4 2 3 2 2 4 2" xfId="0"/>
    <cellStyle name="Normal 12 4 2 3 2 2 4 2 2" xfId="0"/>
    <cellStyle name="Normal 12 4 2 3 2 2 4 3" xfId="0"/>
    <cellStyle name="Normal 12 4 2 3 2 2 5" xfId="0"/>
    <cellStyle name="Normal 12 4 2 3 2 2 5 2" xfId="0"/>
    <cellStyle name="Normal 12 4 2 3 2 2 6" xfId="0"/>
    <cellStyle name="Normal 12 4 2 3 2 3" xfId="0"/>
    <cellStyle name="Normal 12 4 2 3 2 3 2" xfId="0"/>
    <cellStyle name="Normal 12 4 2 3 2 3 2 2" xfId="0"/>
    <cellStyle name="Normal 12 4 2 3 2 3 2 2 2" xfId="0"/>
    <cellStyle name="Normal 12 4 2 3 2 3 2 2 2 2" xfId="0"/>
    <cellStyle name="Normal 12 4 2 3 2 3 2 2 3" xfId="0"/>
    <cellStyle name="Normal 12 4 2 3 2 3 2 3" xfId="0"/>
    <cellStyle name="Normal 12 4 2 3 2 3 2 3 2" xfId="0"/>
    <cellStyle name="Normal 12 4 2 3 2 3 2 4" xfId="0"/>
    <cellStyle name="Normal 12 4 2 3 2 3 3" xfId="0"/>
    <cellStyle name="Normal 12 4 2 3 2 3 3 2" xfId="0"/>
    <cellStyle name="Normal 12 4 2 3 2 3 3 2 2" xfId="0"/>
    <cellStyle name="Normal 12 4 2 3 2 3 3 3" xfId="0"/>
    <cellStyle name="Normal 12 4 2 3 2 3 4" xfId="0"/>
    <cellStyle name="Normal 12 4 2 3 2 3 4 2" xfId="0"/>
    <cellStyle name="Normal 12 4 2 3 2 3 5" xfId="0"/>
    <cellStyle name="Normal 12 4 2 3 2 4" xfId="0"/>
    <cellStyle name="Normal 12 4 2 3 2 4 2" xfId="0"/>
    <cellStyle name="Normal 12 4 2 3 2 4 2 2" xfId="0"/>
    <cellStyle name="Normal 12 4 2 3 2 4 2 2 2" xfId="0"/>
    <cellStyle name="Normal 12 4 2 3 2 4 2 3" xfId="0"/>
    <cellStyle name="Normal 12 4 2 3 2 4 3" xfId="0"/>
    <cellStyle name="Normal 12 4 2 3 2 4 3 2" xfId="0"/>
    <cellStyle name="Normal 12 4 2 3 2 4 4" xfId="0"/>
    <cellStyle name="Normal 12 4 2 3 2 5" xfId="0"/>
    <cellStyle name="Normal 12 4 2 3 2 5 2" xfId="0"/>
    <cellStyle name="Normal 12 4 2 3 2 5 2 2" xfId="0"/>
    <cellStyle name="Normal 12 4 2 3 2 5 3" xfId="0"/>
    <cellStyle name="Normal 12 4 2 3 2 6" xfId="0"/>
    <cellStyle name="Normal 12 4 2 3 2 6 2" xfId="0"/>
    <cellStyle name="Normal 12 4 2 3 2 7" xfId="0"/>
    <cellStyle name="Normal 12 4 2 3 3" xfId="0"/>
    <cellStyle name="Normal 12 4 2 3 3 2" xfId="0"/>
    <cellStyle name="Normal 12 4 2 3 3 2 2" xfId="0"/>
    <cellStyle name="Normal 12 4 2 3 3 2 2 2" xfId="0"/>
    <cellStyle name="Normal 12 4 2 3 3 2 2 2 2" xfId="0"/>
    <cellStyle name="Normal 12 4 2 3 3 2 2 2 2 2" xfId="0"/>
    <cellStyle name="Normal 12 4 2 3 3 2 2 2 3" xfId="0"/>
    <cellStyle name="Normal 12 4 2 3 3 2 2 3" xfId="0"/>
    <cellStyle name="Normal 12 4 2 3 3 2 2 3 2" xfId="0"/>
    <cellStyle name="Normal 12 4 2 3 3 2 2 4" xfId="0"/>
    <cellStyle name="Normal 12 4 2 3 3 2 3" xfId="0"/>
    <cellStyle name="Normal 12 4 2 3 3 2 3 2" xfId="0"/>
    <cellStyle name="Normal 12 4 2 3 3 2 3 2 2" xfId="0"/>
    <cellStyle name="Normal 12 4 2 3 3 2 3 3" xfId="0"/>
    <cellStyle name="Normal 12 4 2 3 3 2 4" xfId="0"/>
    <cellStyle name="Normal 12 4 2 3 3 2 4 2" xfId="0"/>
    <cellStyle name="Normal 12 4 2 3 3 2 5" xfId="0"/>
    <cellStyle name="Normal 12 4 2 3 3 3" xfId="0"/>
    <cellStyle name="Normal 12 4 2 3 3 3 2" xfId="0"/>
    <cellStyle name="Normal 12 4 2 3 3 3 2 2" xfId="0"/>
    <cellStyle name="Normal 12 4 2 3 3 3 2 2 2" xfId="0"/>
    <cellStyle name="Normal 12 4 2 3 3 3 2 3" xfId="0"/>
    <cellStyle name="Normal 12 4 2 3 3 3 3" xfId="0"/>
    <cellStyle name="Normal 12 4 2 3 3 3 3 2" xfId="0"/>
    <cellStyle name="Normal 12 4 2 3 3 3 4" xfId="0"/>
    <cellStyle name="Normal 12 4 2 3 3 4" xfId="0"/>
    <cellStyle name="Normal 12 4 2 3 3 4 2" xfId="0"/>
    <cellStyle name="Normal 12 4 2 3 3 4 2 2" xfId="0"/>
    <cellStyle name="Normal 12 4 2 3 3 4 3" xfId="0"/>
    <cellStyle name="Normal 12 4 2 3 3 5" xfId="0"/>
    <cellStyle name="Normal 12 4 2 3 3 5 2" xfId="0"/>
    <cellStyle name="Normal 12 4 2 3 3 6" xfId="0"/>
    <cellStyle name="Normal 12 4 2 3 4" xfId="0"/>
    <cellStyle name="Normal 12 4 2 3 4 2" xfId="0"/>
    <cellStyle name="Normal 12 4 2 3 4 2 2" xfId="0"/>
    <cellStyle name="Normal 12 4 2 3 4 2 2 2" xfId="0"/>
    <cellStyle name="Normal 12 4 2 3 4 2 2 2 2" xfId="0"/>
    <cellStyle name="Normal 12 4 2 3 4 2 2 3" xfId="0"/>
    <cellStyle name="Normal 12 4 2 3 4 2 3" xfId="0"/>
    <cellStyle name="Normal 12 4 2 3 4 2 3 2" xfId="0"/>
    <cellStyle name="Normal 12 4 2 3 4 2 4" xfId="0"/>
    <cellStyle name="Normal 12 4 2 3 4 3" xfId="0"/>
    <cellStyle name="Normal 12 4 2 3 4 3 2" xfId="0"/>
    <cellStyle name="Normal 12 4 2 3 4 3 2 2" xfId="0"/>
    <cellStyle name="Normal 12 4 2 3 4 3 3" xfId="0"/>
    <cellStyle name="Normal 12 4 2 3 4 4" xfId="0"/>
    <cellStyle name="Normal 12 4 2 3 4 4 2" xfId="0"/>
    <cellStyle name="Normal 12 4 2 3 4 5" xfId="0"/>
    <cellStyle name="Normal 12 4 2 3 5" xfId="0"/>
    <cellStyle name="Normal 12 4 2 3 5 2" xfId="0"/>
    <cellStyle name="Normal 12 4 2 3 5 2 2" xfId="0"/>
    <cellStyle name="Normal 12 4 2 3 5 2 2 2" xfId="0"/>
    <cellStyle name="Normal 12 4 2 3 5 2 3" xfId="0"/>
    <cellStyle name="Normal 12 4 2 3 5 3" xfId="0"/>
    <cellStyle name="Normal 12 4 2 3 5 3 2" xfId="0"/>
    <cellStyle name="Normal 12 4 2 3 5 4" xfId="0"/>
    <cellStyle name="Normal 12 4 2 3 6" xfId="0"/>
    <cellStyle name="Normal 12 4 2 3 6 2" xfId="0"/>
    <cellStyle name="Normal 12 4 2 3 6 2 2" xfId="0"/>
    <cellStyle name="Normal 12 4 2 3 6 3" xfId="0"/>
    <cellStyle name="Normal 12 4 2 3 7" xfId="0"/>
    <cellStyle name="Normal 12 4 2 3 7 2" xfId="0"/>
    <cellStyle name="Normal 12 4 2 3 8" xfId="0"/>
    <cellStyle name="Normal 12 4 2 4" xfId="0"/>
    <cellStyle name="Normal 12 4 2 4 2" xfId="0"/>
    <cellStyle name="Normal 12 4 2 4 2 2" xfId="0"/>
    <cellStyle name="Normal 12 4 2 4 2 2 2" xfId="0"/>
    <cellStyle name="Normal 12 4 2 4 2 2 2 2" xfId="0"/>
    <cellStyle name="Normal 12 4 2 4 2 2 2 2 2" xfId="0"/>
    <cellStyle name="Normal 12 4 2 4 2 2 2 2 2 2" xfId="0"/>
    <cellStyle name="Normal 12 4 2 4 2 2 2 2 3" xfId="0"/>
    <cellStyle name="Normal 12 4 2 4 2 2 2 3" xfId="0"/>
    <cellStyle name="Normal 12 4 2 4 2 2 2 3 2" xfId="0"/>
    <cellStyle name="Normal 12 4 2 4 2 2 2 4" xfId="0"/>
    <cellStyle name="Normal 12 4 2 4 2 2 3" xfId="0"/>
    <cellStyle name="Normal 12 4 2 4 2 2 3 2" xfId="0"/>
    <cellStyle name="Normal 12 4 2 4 2 2 3 2 2" xfId="0"/>
    <cellStyle name="Normal 12 4 2 4 2 2 3 3" xfId="0"/>
    <cellStyle name="Normal 12 4 2 4 2 2 4" xfId="0"/>
    <cellStyle name="Normal 12 4 2 4 2 2 4 2" xfId="0"/>
    <cellStyle name="Normal 12 4 2 4 2 2 5" xfId="0"/>
    <cellStyle name="Normal 12 4 2 4 2 3" xfId="0"/>
    <cellStyle name="Normal 12 4 2 4 2 3 2" xfId="0"/>
    <cellStyle name="Normal 12 4 2 4 2 3 2 2" xfId="0"/>
    <cellStyle name="Normal 12 4 2 4 2 3 2 2 2" xfId="0"/>
    <cellStyle name="Normal 12 4 2 4 2 3 2 3" xfId="0"/>
    <cellStyle name="Normal 12 4 2 4 2 3 3" xfId="0"/>
    <cellStyle name="Normal 12 4 2 4 2 3 3 2" xfId="0"/>
    <cellStyle name="Normal 12 4 2 4 2 3 4" xfId="0"/>
    <cellStyle name="Normal 12 4 2 4 2 4" xfId="0"/>
    <cellStyle name="Normal 12 4 2 4 2 4 2" xfId="0"/>
    <cellStyle name="Normal 12 4 2 4 2 4 2 2" xfId="0"/>
    <cellStyle name="Normal 12 4 2 4 2 4 3" xfId="0"/>
    <cellStyle name="Normal 12 4 2 4 2 5" xfId="0"/>
    <cellStyle name="Normal 12 4 2 4 2 5 2" xfId="0"/>
    <cellStyle name="Normal 12 4 2 4 2 6" xfId="0"/>
    <cellStyle name="Normal 12 4 2 4 3" xfId="0"/>
    <cellStyle name="Normal 12 4 2 4 3 2" xfId="0"/>
    <cellStyle name="Normal 12 4 2 4 3 2 2" xfId="0"/>
    <cellStyle name="Normal 12 4 2 4 3 2 2 2" xfId="0"/>
    <cellStyle name="Normal 12 4 2 4 3 2 2 2 2" xfId="0"/>
    <cellStyle name="Normal 12 4 2 4 3 2 2 3" xfId="0"/>
    <cellStyle name="Normal 12 4 2 4 3 2 3" xfId="0"/>
    <cellStyle name="Normal 12 4 2 4 3 2 3 2" xfId="0"/>
    <cellStyle name="Normal 12 4 2 4 3 2 4" xfId="0"/>
    <cellStyle name="Normal 12 4 2 4 3 3" xfId="0"/>
    <cellStyle name="Normal 12 4 2 4 3 3 2" xfId="0"/>
    <cellStyle name="Normal 12 4 2 4 3 3 2 2" xfId="0"/>
    <cellStyle name="Normal 12 4 2 4 3 3 3" xfId="0"/>
    <cellStyle name="Normal 12 4 2 4 3 4" xfId="0"/>
    <cellStyle name="Normal 12 4 2 4 3 4 2" xfId="0"/>
    <cellStyle name="Normal 12 4 2 4 3 5" xfId="0"/>
    <cellStyle name="Normal 12 4 2 4 4" xfId="0"/>
    <cellStyle name="Normal 12 4 2 4 4 2" xfId="0"/>
    <cellStyle name="Normal 12 4 2 4 4 2 2" xfId="0"/>
    <cellStyle name="Normal 12 4 2 4 4 2 2 2" xfId="0"/>
    <cellStyle name="Normal 12 4 2 4 4 2 3" xfId="0"/>
    <cellStyle name="Normal 12 4 2 4 4 3" xfId="0"/>
    <cellStyle name="Normal 12 4 2 4 4 3 2" xfId="0"/>
    <cellStyle name="Normal 12 4 2 4 4 4" xfId="0"/>
    <cellStyle name="Normal 12 4 2 4 5" xfId="0"/>
    <cellStyle name="Normal 12 4 2 4 5 2" xfId="0"/>
    <cellStyle name="Normal 12 4 2 4 5 2 2" xfId="0"/>
    <cellStyle name="Normal 12 4 2 4 5 3" xfId="0"/>
    <cellStyle name="Normal 12 4 2 4 6" xfId="0"/>
    <cellStyle name="Normal 12 4 2 4 6 2" xfId="0"/>
    <cellStyle name="Normal 12 4 2 4 7" xfId="0"/>
    <cellStyle name="Normal 12 4 2 5" xfId="0"/>
    <cellStyle name="Normal 12 4 2 5 2" xfId="0"/>
    <cellStyle name="Normal 12 4 2 5 2 2" xfId="0"/>
    <cellStyle name="Normal 12 4 2 5 2 2 2" xfId="0"/>
    <cellStyle name="Normal 12 4 2 5 2 2 2 2" xfId="0"/>
    <cellStyle name="Normal 12 4 2 5 2 2 2 2 2" xfId="0"/>
    <cellStyle name="Normal 12 4 2 5 2 2 2 2 2 2" xfId="0"/>
    <cellStyle name="Normal 12 4 2 5 2 2 2 2 3" xfId="0"/>
    <cellStyle name="Normal 12 4 2 5 2 2 2 3" xfId="0"/>
    <cellStyle name="Normal 12 4 2 5 2 2 2 3 2" xfId="0"/>
    <cellStyle name="Normal 12 4 2 5 2 2 2 4" xfId="0"/>
    <cellStyle name="Normal 12 4 2 5 2 2 3" xfId="0"/>
    <cellStyle name="Normal 12 4 2 5 2 2 3 2" xfId="0"/>
    <cellStyle name="Normal 12 4 2 5 2 2 3 2 2" xfId="0"/>
    <cellStyle name="Normal 12 4 2 5 2 2 3 3" xfId="0"/>
    <cellStyle name="Normal 12 4 2 5 2 2 4" xfId="0"/>
    <cellStyle name="Normal 12 4 2 5 2 2 4 2" xfId="0"/>
    <cellStyle name="Normal 12 4 2 5 2 2 5" xfId="0"/>
    <cellStyle name="Normal 12 4 2 5 2 3" xfId="0"/>
    <cellStyle name="Normal 12 4 2 5 2 3 2" xfId="0"/>
    <cellStyle name="Normal 12 4 2 5 2 3 2 2" xfId="0"/>
    <cellStyle name="Normal 12 4 2 5 2 3 2 2 2" xfId="0"/>
    <cellStyle name="Normal 12 4 2 5 2 3 2 3" xfId="0"/>
    <cellStyle name="Normal 12 4 2 5 2 3 3" xfId="0"/>
    <cellStyle name="Normal 12 4 2 5 2 3 3 2" xfId="0"/>
    <cellStyle name="Normal 12 4 2 5 2 3 4" xfId="0"/>
    <cellStyle name="Normal 12 4 2 5 2 4" xfId="0"/>
    <cellStyle name="Normal 12 4 2 5 2 4 2" xfId="0"/>
    <cellStyle name="Normal 12 4 2 5 2 4 2 2" xfId="0"/>
    <cellStyle name="Normal 12 4 2 5 2 4 3" xfId="0"/>
    <cellStyle name="Normal 12 4 2 5 2 5" xfId="0"/>
    <cellStyle name="Normal 12 4 2 5 2 5 2" xfId="0"/>
    <cellStyle name="Normal 12 4 2 5 2 6" xfId="0"/>
    <cellStyle name="Normal 12 4 2 5 3" xfId="0"/>
    <cellStyle name="Normal 12 4 2 5 3 2" xfId="0"/>
    <cellStyle name="Normal 12 4 2 5 3 2 2" xfId="0"/>
    <cellStyle name="Normal 12 4 2 5 3 2 2 2" xfId="0"/>
    <cellStyle name="Normal 12 4 2 5 3 2 2 2 2" xfId="0"/>
    <cellStyle name="Normal 12 4 2 5 3 2 2 3" xfId="0"/>
    <cellStyle name="Normal 12 4 2 5 3 2 3" xfId="0"/>
    <cellStyle name="Normal 12 4 2 5 3 2 3 2" xfId="0"/>
    <cellStyle name="Normal 12 4 2 5 3 2 4" xfId="0"/>
    <cellStyle name="Normal 12 4 2 5 3 3" xfId="0"/>
    <cellStyle name="Normal 12 4 2 5 3 3 2" xfId="0"/>
    <cellStyle name="Normal 12 4 2 5 3 3 2 2" xfId="0"/>
    <cellStyle name="Normal 12 4 2 5 3 3 3" xfId="0"/>
    <cellStyle name="Normal 12 4 2 5 3 4" xfId="0"/>
    <cellStyle name="Normal 12 4 2 5 3 4 2" xfId="0"/>
    <cellStyle name="Normal 12 4 2 5 3 5" xfId="0"/>
    <cellStyle name="Normal 12 4 2 5 4" xfId="0"/>
    <cellStyle name="Normal 12 4 2 5 4 2" xfId="0"/>
    <cellStyle name="Normal 12 4 2 5 4 2 2" xfId="0"/>
    <cellStyle name="Normal 12 4 2 5 4 2 2 2" xfId="0"/>
    <cellStyle name="Normal 12 4 2 5 4 2 3" xfId="0"/>
    <cellStyle name="Normal 12 4 2 5 4 3" xfId="0"/>
    <cellStyle name="Normal 12 4 2 5 4 3 2" xfId="0"/>
    <cellStyle name="Normal 12 4 2 5 4 4" xfId="0"/>
    <cellStyle name="Normal 12 4 2 5 5" xfId="0"/>
    <cellStyle name="Normal 12 4 2 5 5 2" xfId="0"/>
    <cellStyle name="Normal 12 4 2 5 5 2 2" xfId="0"/>
    <cellStyle name="Normal 12 4 2 5 5 3" xfId="0"/>
    <cellStyle name="Normal 12 4 2 5 6" xfId="0"/>
    <cellStyle name="Normal 12 4 2 5 6 2" xfId="0"/>
    <cellStyle name="Normal 12 4 2 5 7" xfId="0"/>
    <cellStyle name="Normal 12 4 2 6" xfId="0"/>
    <cellStyle name="Normal 12 4 2 6 2" xfId="0"/>
    <cellStyle name="Normal 12 4 2 6 2 2" xfId="0"/>
    <cellStyle name="Normal 12 4 2 6 2 2 2" xfId="0"/>
    <cellStyle name="Normal 12 4 2 6 2 2 2 2" xfId="0"/>
    <cellStyle name="Normal 12 4 2 6 2 2 2 2 2" xfId="0"/>
    <cellStyle name="Normal 12 4 2 6 2 2 2 3" xfId="0"/>
    <cellStyle name="Normal 12 4 2 6 2 2 3" xfId="0"/>
    <cellStyle name="Normal 12 4 2 6 2 2 3 2" xfId="0"/>
    <cellStyle name="Normal 12 4 2 6 2 2 4" xfId="0"/>
    <cellStyle name="Normal 12 4 2 6 2 3" xfId="0"/>
    <cellStyle name="Normal 12 4 2 6 2 3 2" xfId="0"/>
    <cellStyle name="Normal 12 4 2 6 2 3 2 2" xfId="0"/>
    <cellStyle name="Normal 12 4 2 6 2 3 3" xfId="0"/>
    <cellStyle name="Normal 12 4 2 6 2 4" xfId="0"/>
    <cellStyle name="Normal 12 4 2 6 2 4 2" xfId="0"/>
    <cellStyle name="Normal 12 4 2 6 2 5" xfId="0"/>
    <cellStyle name="Normal 12 4 2 6 3" xfId="0"/>
    <cellStyle name="Normal 12 4 2 6 3 2" xfId="0"/>
    <cellStyle name="Normal 12 4 2 6 3 2 2" xfId="0"/>
    <cellStyle name="Normal 12 4 2 6 3 2 2 2" xfId="0"/>
    <cellStyle name="Normal 12 4 2 6 3 2 3" xfId="0"/>
    <cellStyle name="Normal 12 4 2 6 3 3" xfId="0"/>
    <cellStyle name="Normal 12 4 2 6 3 3 2" xfId="0"/>
    <cellStyle name="Normal 12 4 2 6 3 4" xfId="0"/>
    <cellStyle name="Normal 12 4 2 6 4" xfId="0"/>
    <cellStyle name="Normal 12 4 2 6 4 2" xfId="0"/>
    <cellStyle name="Normal 12 4 2 6 4 2 2" xfId="0"/>
    <cellStyle name="Normal 12 4 2 6 4 3" xfId="0"/>
    <cellStyle name="Normal 12 4 2 6 5" xfId="0"/>
    <cellStyle name="Normal 12 4 2 6 5 2" xfId="0"/>
    <cellStyle name="Normal 12 4 2 6 6" xfId="0"/>
    <cellStyle name="Normal 12 4 2 7" xfId="0"/>
    <cellStyle name="Normal 12 4 2 7 2" xfId="0"/>
    <cellStyle name="Normal 12 4 2 7 2 2" xfId="0"/>
    <cellStyle name="Normal 12 4 2 7 2 2 2" xfId="0"/>
    <cellStyle name="Normal 12 4 2 7 2 2 2 2" xfId="0"/>
    <cellStyle name="Normal 12 4 2 7 2 2 3" xfId="0"/>
    <cellStyle name="Normal 12 4 2 7 2 3" xfId="0"/>
    <cellStyle name="Normal 12 4 2 7 2 3 2" xfId="0"/>
    <cellStyle name="Normal 12 4 2 7 2 4" xfId="0"/>
    <cellStyle name="Normal 12 4 2 7 3" xfId="0"/>
    <cellStyle name="Normal 12 4 2 7 3 2" xfId="0"/>
    <cellStyle name="Normal 12 4 2 7 3 2 2" xfId="0"/>
    <cellStyle name="Normal 12 4 2 7 3 3" xfId="0"/>
    <cellStyle name="Normal 12 4 2 7 4" xfId="0"/>
    <cellStyle name="Normal 12 4 2 7 4 2" xfId="0"/>
    <cellStyle name="Normal 12 4 2 7 5" xfId="0"/>
    <cellStyle name="Normal 12 4 2 8" xfId="0"/>
    <cellStyle name="Normal 12 4 2 8 2" xfId="0"/>
    <cellStyle name="Normal 12 4 2 8 2 2" xfId="0"/>
    <cellStyle name="Normal 12 4 2 8 2 2 2" xfId="0"/>
    <cellStyle name="Normal 12 4 2 8 2 3" xfId="0"/>
    <cellStyle name="Normal 12 4 2 8 3" xfId="0"/>
    <cellStyle name="Normal 12 4 2 8 3 2" xfId="0"/>
    <cellStyle name="Normal 12 4 2 8 4" xfId="0"/>
    <cellStyle name="Normal 12 4 2 9" xfId="0"/>
    <cellStyle name="Normal 12 4 2 9 2" xfId="0"/>
    <cellStyle name="Normal 12 4 2 9 2 2" xfId="0"/>
    <cellStyle name="Normal 12 4 2 9 3" xfId="0"/>
    <cellStyle name="Normal 12 4 3" xfId="0"/>
    <cellStyle name="Normal 12 4 3 2" xfId="0"/>
    <cellStyle name="Normal 12 4 3 2 2" xfId="0"/>
    <cellStyle name="Normal 12 4 3 2 2 2" xfId="0"/>
    <cellStyle name="Normal 12 4 3 2 2 2 2" xfId="0"/>
    <cellStyle name="Normal 12 4 3 2 2 2 2 2" xfId="0"/>
    <cellStyle name="Normal 12 4 3 2 2 2 2 2 2" xfId="0"/>
    <cellStyle name="Normal 12 4 3 2 2 2 2 2 2 2" xfId="0"/>
    <cellStyle name="Normal 12 4 3 2 2 2 2 2 3" xfId="0"/>
    <cellStyle name="Normal 12 4 3 2 2 2 2 3" xfId="0"/>
    <cellStyle name="Normal 12 4 3 2 2 2 2 3 2" xfId="0"/>
    <cellStyle name="Normal 12 4 3 2 2 2 2 4" xfId="0"/>
    <cellStyle name="Normal 12 4 3 2 2 2 3" xfId="0"/>
    <cellStyle name="Normal 12 4 3 2 2 2 3 2" xfId="0"/>
    <cellStyle name="Normal 12 4 3 2 2 2 3 2 2" xfId="0"/>
    <cellStyle name="Normal 12 4 3 2 2 2 3 3" xfId="0"/>
    <cellStyle name="Normal 12 4 3 2 2 2 4" xfId="0"/>
    <cellStyle name="Normal 12 4 3 2 2 2 4 2" xfId="0"/>
    <cellStyle name="Normal 12 4 3 2 2 2 5" xfId="0"/>
    <cellStyle name="Normal 12 4 3 2 2 3" xfId="0"/>
    <cellStyle name="Normal 12 4 3 2 2 3 2" xfId="0"/>
    <cellStyle name="Normal 12 4 3 2 2 3 2 2" xfId="0"/>
    <cellStyle name="Normal 12 4 3 2 2 3 2 2 2" xfId="0"/>
    <cellStyle name="Normal 12 4 3 2 2 3 2 3" xfId="0"/>
    <cellStyle name="Normal 12 4 3 2 2 3 3" xfId="0"/>
    <cellStyle name="Normal 12 4 3 2 2 3 3 2" xfId="0"/>
    <cellStyle name="Normal 12 4 3 2 2 3 4" xfId="0"/>
    <cellStyle name="Normal 12 4 3 2 2 4" xfId="0"/>
    <cellStyle name="Normal 12 4 3 2 2 4 2" xfId="0"/>
    <cellStyle name="Normal 12 4 3 2 2 4 2 2" xfId="0"/>
    <cellStyle name="Normal 12 4 3 2 2 4 3" xfId="0"/>
    <cellStyle name="Normal 12 4 3 2 2 5" xfId="0"/>
    <cellStyle name="Normal 12 4 3 2 2 5 2" xfId="0"/>
    <cellStyle name="Normal 12 4 3 2 2 6" xfId="0"/>
    <cellStyle name="Normal 12 4 3 2 3" xfId="0"/>
    <cellStyle name="Normal 12 4 3 2 3 2" xfId="0"/>
    <cellStyle name="Normal 12 4 3 2 3 2 2" xfId="0"/>
    <cellStyle name="Normal 12 4 3 2 3 2 2 2" xfId="0"/>
    <cellStyle name="Normal 12 4 3 2 3 2 2 2 2" xfId="0"/>
    <cellStyle name="Normal 12 4 3 2 3 2 2 3" xfId="0"/>
    <cellStyle name="Normal 12 4 3 2 3 2 3" xfId="0"/>
    <cellStyle name="Normal 12 4 3 2 3 2 3 2" xfId="0"/>
    <cellStyle name="Normal 12 4 3 2 3 2 4" xfId="0"/>
    <cellStyle name="Normal 12 4 3 2 3 3" xfId="0"/>
    <cellStyle name="Normal 12 4 3 2 3 3 2" xfId="0"/>
    <cellStyle name="Normal 12 4 3 2 3 3 2 2" xfId="0"/>
    <cellStyle name="Normal 12 4 3 2 3 3 3" xfId="0"/>
    <cellStyle name="Normal 12 4 3 2 3 4" xfId="0"/>
    <cellStyle name="Normal 12 4 3 2 3 4 2" xfId="0"/>
    <cellStyle name="Normal 12 4 3 2 3 5" xfId="0"/>
    <cellStyle name="Normal 12 4 3 2 4" xfId="0"/>
    <cellStyle name="Normal 12 4 3 2 4 2" xfId="0"/>
    <cellStyle name="Normal 12 4 3 2 4 2 2" xfId="0"/>
    <cellStyle name="Normal 12 4 3 2 4 2 2 2" xfId="0"/>
    <cellStyle name="Normal 12 4 3 2 4 2 3" xfId="0"/>
    <cellStyle name="Normal 12 4 3 2 4 3" xfId="0"/>
    <cellStyle name="Normal 12 4 3 2 4 3 2" xfId="0"/>
    <cellStyle name="Normal 12 4 3 2 4 4" xfId="0"/>
    <cellStyle name="Normal 12 4 3 2 5" xfId="0"/>
    <cellStyle name="Normal 12 4 3 2 5 2" xfId="0"/>
    <cellStyle name="Normal 12 4 3 2 5 2 2" xfId="0"/>
    <cellStyle name="Normal 12 4 3 2 5 3" xfId="0"/>
    <cellStyle name="Normal 12 4 3 2 6" xfId="0"/>
    <cellStyle name="Normal 12 4 3 2 6 2" xfId="0"/>
    <cellStyle name="Normal 12 4 3 2 7" xfId="0"/>
    <cellStyle name="Normal 12 4 3 3" xfId="0"/>
    <cellStyle name="Normal 12 4 3 3 2" xfId="0"/>
    <cellStyle name="Normal 12 4 3 3 2 2" xfId="0"/>
    <cellStyle name="Normal 12 4 3 3 2 2 2" xfId="0"/>
    <cellStyle name="Normal 12 4 3 3 2 2 2 2" xfId="0"/>
    <cellStyle name="Normal 12 4 3 3 2 2 2 2 2" xfId="0"/>
    <cellStyle name="Normal 12 4 3 3 2 2 2 3" xfId="0"/>
    <cellStyle name="Normal 12 4 3 3 2 2 3" xfId="0"/>
    <cellStyle name="Normal 12 4 3 3 2 2 3 2" xfId="0"/>
    <cellStyle name="Normal 12 4 3 3 2 2 4" xfId="0"/>
    <cellStyle name="Normal 12 4 3 3 2 3" xfId="0"/>
    <cellStyle name="Normal 12 4 3 3 2 3 2" xfId="0"/>
    <cellStyle name="Normal 12 4 3 3 2 3 2 2" xfId="0"/>
    <cellStyle name="Normal 12 4 3 3 2 3 3" xfId="0"/>
    <cellStyle name="Normal 12 4 3 3 2 4" xfId="0"/>
    <cellStyle name="Normal 12 4 3 3 2 4 2" xfId="0"/>
    <cellStyle name="Normal 12 4 3 3 2 5" xfId="0"/>
    <cellStyle name="Normal 12 4 3 3 3" xfId="0"/>
    <cellStyle name="Normal 12 4 3 3 3 2" xfId="0"/>
    <cellStyle name="Normal 12 4 3 3 3 2 2" xfId="0"/>
    <cellStyle name="Normal 12 4 3 3 3 2 2 2" xfId="0"/>
    <cellStyle name="Normal 12 4 3 3 3 2 3" xfId="0"/>
    <cellStyle name="Normal 12 4 3 3 3 3" xfId="0"/>
    <cellStyle name="Normal 12 4 3 3 3 3 2" xfId="0"/>
    <cellStyle name="Normal 12 4 3 3 3 4" xfId="0"/>
    <cellStyle name="Normal 12 4 3 3 4" xfId="0"/>
    <cellStyle name="Normal 12 4 3 3 4 2" xfId="0"/>
    <cellStyle name="Normal 12 4 3 3 4 2 2" xfId="0"/>
    <cellStyle name="Normal 12 4 3 3 4 3" xfId="0"/>
    <cellStyle name="Normal 12 4 3 3 5" xfId="0"/>
    <cellStyle name="Normal 12 4 3 3 5 2" xfId="0"/>
    <cellStyle name="Normal 12 4 3 3 6" xfId="0"/>
    <cellStyle name="Normal 12 4 3 4" xfId="0"/>
    <cellStyle name="Normal 12 4 3 4 2" xfId="0"/>
    <cellStyle name="Normal 12 4 3 4 2 2" xfId="0"/>
    <cellStyle name="Normal 12 4 3 4 2 2 2" xfId="0"/>
    <cellStyle name="Normal 12 4 3 4 2 2 2 2" xfId="0"/>
    <cellStyle name="Normal 12 4 3 4 2 2 3" xfId="0"/>
    <cellStyle name="Normal 12 4 3 4 2 3" xfId="0"/>
    <cellStyle name="Normal 12 4 3 4 2 3 2" xfId="0"/>
    <cellStyle name="Normal 12 4 3 4 2 4" xfId="0"/>
    <cellStyle name="Normal 12 4 3 4 3" xfId="0"/>
    <cellStyle name="Normal 12 4 3 4 3 2" xfId="0"/>
    <cellStyle name="Normal 12 4 3 4 3 2 2" xfId="0"/>
    <cellStyle name="Normal 12 4 3 4 3 3" xfId="0"/>
    <cellStyle name="Normal 12 4 3 4 4" xfId="0"/>
    <cellStyle name="Normal 12 4 3 4 4 2" xfId="0"/>
    <cellStyle name="Normal 12 4 3 4 5" xfId="0"/>
    <cellStyle name="Normal 12 4 3 5" xfId="0"/>
    <cellStyle name="Normal 12 4 3 5 2" xfId="0"/>
    <cellStyle name="Normal 12 4 3 5 2 2" xfId="0"/>
    <cellStyle name="Normal 12 4 3 5 2 2 2" xfId="0"/>
    <cellStyle name="Normal 12 4 3 5 2 3" xfId="0"/>
    <cellStyle name="Normal 12 4 3 5 3" xfId="0"/>
    <cellStyle name="Normal 12 4 3 5 3 2" xfId="0"/>
    <cellStyle name="Normal 12 4 3 5 4" xfId="0"/>
    <cellStyle name="Normal 12 4 3 6" xfId="0"/>
    <cellStyle name="Normal 12 4 3 6 2" xfId="0"/>
    <cellStyle name="Normal 12 4 3 6 2 2" xfId="0"/>
    <cellStyle name="Normal 12 4 3 6 3" xfId="0"/>
    <cellStyle name="Normal 12 4 3 7" xfId="0"/>
    <cellStyle name="Normal 12 4 3 7 2" xfId="0"/>
    <cellStyle name="Normal 12 4 3 8" xfId="0"/>
    <cellStyle name="Normal 12 4 4" xfId="0"/>
    <cellStyle name="Normal 12 4 4 2" xfId="0"/>
    <cellStyle name="Normal 12 4 4 2 2" xfId="0"/>
    <cellStyle name="Normal 12 4 4 2 2 2" xfId="0"/>
    <cellStyle name="Normal 12 4 4 2 2 2 2" xfId="0"/>
    <cellStyle name="Normal 12 4 4 2 2 2 2 2" xfId="0"/>
    <cellStyle name="Normal 12 4 4 2 2 2 2 2 2" xfId="0"/>
    <cellStyle name="Normal 12 4 4 2 2 2 2 2 2 2" xfId="0"/>
    <cellStyle name="Normal 12 4 4 2 2 2 2 2 3" xfId="0"/>
    <cellStyle name="Normal 12 4 4 2 2 2 2 3" xfId="0"/>
    <cellStyle name="Normal 12 4 4 2 2 2 2 3 2" xfId="0"/>
    <cellStyle name="Normal 12 4 4 2 2 2 2 4" xfId="0"/>
    <cellStyle name="Normal 12 4 4 2 2 2 3" xfId="0"/>
    <cellStyle name="Normal 12 4 4 2 2 2 3 2" xfId="0"/>
    <cellStyle name="Normal 12 4 4 2 2 2 3 2 2" xfId="0"/>
    <cellStyle name="Normal 12 4 4 2 2 2 3 3" xfId="0"/>
    <cellStyle name="Normal 12 4 4 2 2 2 4" xfId="0"/>
    <cellStyle name="Normal 12 4 4 2 2 2 4 2" xfId="0"/>
    <cellStyle name="Normal 12 4 4 2 2 2 5" xfId="0"/>
    <cellStyle name="Normal 12 4 4 2 2 3" xfId="0"/>
    <cellStyle name="Normal 12 4 4 2 2 3 2" xfId="0"/>
    <cellStyle name="Normal 12 4 4 2 2 3 2 2" xfId="0"/>
    <cellStyle name="Normal 12 4 4 2 2 3 2 2 2" xfId="0"/>
    <cellStyle name="Normal 12 4 4 2 2 3 2 3" xfId="0"/>
    <cellStyle name="Normal 12 4 4 2 2 3 3" xfId="0"/>
    <cellStyle name="Normal 12 4 4 2 2 3 3 2" xfId="0"/>
    <cellStyle name="Normal 12 4 4 2 2 3 4" xfId="0"/>
    <cellStyle name="Normal 12 4 4 2 2 4" xfId="0"/>
    <cellStyle name="Normal 12 4 4 2 2 4 2" xfId="0"/>
    <cellStyle name="Normal 12 4 4 2 2 4 2 2" xfId="0"/>
    <cellStyle name="Normal 12 4 4 2 2 4 3" xfId="0"/>
    <cellStyle name="Normal 12 4 4 2 2 5" xfId="0"/>
    <cellStyle name="Normal 12 4 4 2 2 5 2" xfId="0"/>
    <cellStyle name="Normal 12 4 4 2 2 6" xfId="0"/>
    <cellStyle name="Normal 12 4 4 2 3" xfId="0"/>
    <cellStyle name="Normal 12 4 4 2 3 2" xfId="0"/>
    <cellStyle name="Normal 12 4 4 2 3 2 2" xfId="0"/>
    <cellStyle name="Normal 12 4 4 2 3 2 2 2" xfId="0"/>
    <cellStyle name="Normal 12 4 4 2 3 2 2 2 2" xfId="0"/>
    <cellStyle name="Normal 12 4 4 2 3 2 2 3" xfId="0"/>
    <cellStyle name="Normal 12 4 4 2 3 2 3" xfId="0"/>
    <cellStyle name="Normal 12 4 4 2 3 2 3 2" xfId="0"/>
    <cellStyle name="Normal 12 4 4 2 3 2 4" xfId="0"/>
    <cellStyle name="Normal 12 4 4 2 3 3" xfId="0"/>
    <cellStyle name="Normal 12 4 4 2 3 3 2" xfId="0"/>
    <cellStyle name="Normal 12 4 4 2 3 3 2 2" xfId="0"/>
    <cellStyle name="Normal 12 4 4 2 3 3 3" xfId="0"/>
    <cellStyle name="Normal 12 4 4 2 3 4" xfId="0"/>
    <cellStyle name="Normal 12 4 4 2 3 4 2" xfId="0"/>
    <cellStyle name="Normal 12 4 4 2 3 5" xfId="0"/>
    <cellStyle name="Normal 12 4 4 2 4" xfId="0"/>
    <cellStyle name="Normal 12 4 4 2 4 2" xfId="0"/>
    <cellStyle name="Normal 12 4 4 2 4 2 2" xfId="0"/>
    <cellStyle name="Normal 12 4 4 2 4 2 2 2" xfId="0"/>
    <cellStyle name="Normal 12 4 4 2 4 2 3" xfId="0"/>
    <cellStyle name="Normal 12 4 4 2 4 3" xfId="0"/>
    <cellStyle name="Normal 12 4 4 2 4 3 2" xfId="0"/>
    <cellStyle name="Normal 12 4 4 2 4 4" xfId="0"/>
    <cellStyle name="Normal 12 4 4 2 5" xfId="0"/>
    <cellStyle name="Normal 12 4 4 2 5 2" xfId="0"/>
    <cellStyle name="Normal 12 4 4 2 5 2 2" xfId="0"/>
    <cellStyle name="Normal 12 4 4 2 5 3" xfId="0"/>
    <cellStyle name="Normal 12 4 4 2 6" xfId="0"/>
    <cellStyle name="Normal 12 4 4 2 6 2" xfId="0"/>
    <cellStyle name="Normal 12 4 4 2 7" xfId="0"/>
    <cellStyle name="Normal 12 4 4 3" xfId="0"/>
    <cellStyle name="Normal 12 4 4 3 2" xfId="0"/>
    <cellStyle name="Normal 12 4 4 3 2 2" xfId="0"/>
    <cellStyle name="Normal 12 4 4 3 2 2 2" xfId="0"/>
    <cellStyle name="Normal 12 4 4 3 2 2 2 2" xfId="0"/>
    <cellStyle name="Normal 12 4 4 3 2 2 2 2 2" xfId="0"/>
    <cellStyle name="Normal 12 4 4 3 2 2 2 3" xfId="0"/>
    <cellStyle name="Normal 12 4 4 3 2 2 3" xfId="0"/>
    <cellStyle name="Normal 12 4 4 3 2 2 3 2" xfId="0"/>
    <cellStyle name="Normal 12 4 4 3 2 2 4" xfId="0"/>
    <cellStyle name="Normal 12 4 4 3 2 3" xfId="0"/>
    <cellStyle name="Normal 12 4 4 3 2 3 2" xfId="0"/>
    <cellStyle name="Normal 12 4 4 3 2 3 2 2" xfId="0"/>
    <cellStyle name="Normal 12 4 4 3 2 3 3" xfId="0"/>
    <cellStyle name="Normal 12 4 4 3 2 4" xfId="0"/>
    <cellStyle name="Normal 12 4 4 3 2 4 2" xfId="0"/>
    <cellStyle name="Normal 12 4 4 3 2 5" xfId="0"/>
    <cellStyle name="Normal 12 4 4 3 3" xfId="0"/>
    <cellStyle name="Normal 12 4 4 3 3 2" xfId="0"/>
    <cellStyle name="Normal 12 4 4 3 3 2 2" xfId="0"/>
    <cellStyle name="Normal 12 4 4 3 3 2 2 2" xfId="0"/>
    <cellStyle name="Normal 12 4 4 3 3 2 3" xfId="0"/>
    <cellStyle name="Normal 12 4 4 3 3 3" xfId="0"/>
    <cellStyle name="Normal 12 4 4 3 3 3 2" xfId="0"/>
    <cellStyle name="Normal 12 4 4 3 3 4" xfId="0"/>
    <cellStyle name="Normal 12 4 4 3 4" xfId="0"/>
    <cellStyle name="Normal 12 4 4 3 4 2" xfId="0"/>
    <cellStyle name="Normal 12 4 4 3 4 2 2" xfId="0"/>
    <cellStyle name="Normal 12 4 4 3 4 3" xfId="0"/>
    <cellStyle name="Normal 12 4 4 3 5" xfId="0"/>
    <cellStyle name="Normal 12 4 4 3 5 2" xfId="0"/>
    <cellStyle name="Normal 12 4 4 3 6" xfId="0"/>
    <cellStyle name="Normal 12 4 4 4" xfId="0"/>
    <cellStyle name="Normal 12 4 4 4 2" xfId="0"/>
    <cellStyle name="Normal 12 4 4 4 2 2" xfId="0"/>
    <cellStyle name="Normal 12 4 4 4 2 2 2" xfId="0"/>
    <cellStyle name="Normal 12 4 4 4 2 2 2 2" xfId="0"/>
    <cellStyle name="Normal 12 4 4 4 2 2 3" xfId="0"/>
    <cellStyle name="Normal 12 4 4 4 2 3" xfId="0"/>
    <cellStyle name="Normal 12 4 4 4 2 3 2" xfId="0"/>
    <cellStyle name="Normal 12 4 4 4 2 4" xfId="0"/>
    <cellStyle name="Normal 12 4 4 4 3" xfId="0"/>
    <cellStyle name="Normal 12 4 4 4 3 2" xfId="0"/>
    <cellStyle name="Normal 12 4 4 4 3 2 2" xfId="0"/>
    <cellStyle name="Normal 12 4 4 4 3 3" xfId="0"/>
    <cellStyle name="Normal 12 4 4 4 4" xfId="0"/>
    <cellStyle name="Normal 12 4 4 4 4 2" xfId="0"/>
    <cellStyle name="Normal 12 4 4 4 5" xfId="0"/>
    <cellStyle name="Normal 12 4 4 5" xfId="0"/>
    <cellStyle name="Normal 12 4 4 5 2" xfId="0"/>
    <cellStyle name="Normal 12 4 4 5 2 2" xfId="0"/>
    <cellStyle name="Normal 12 4 4 5 2 2 2" xfId="0"/>
    <cellStyle name="Normal 12 4 4 5 2 3" xfId="0"/>
    <cellStyle name="Normal 12 4 4 5 3" xfId="0"/>
    <cellStyle name="Normal 12 4 4 5 3 2" xfId="0"/>
    <cellStyle name="Normal 12 4 4 5 4" xfId="0"/>
    <cellStyle name="Normal 12 4 4 6" xfId="0"/>
    <cellStyle name="Normal 12 4 4 6 2" xfId="0"/>
    <cellStyle name="Normal 12 4 4 6 2 2" xfId="0"/>
    <cellStyle name="Normal 12 4 4 6 3" xfId="0"/>
    <cellStyle name="Normal 12 4 4 7" xfId="0"/>
    <cellStyle name="Normal 12 4 4 7 2" xfId="0"/>
    <cellStyle name="Normal 12 4 4 8" xfId="0"/>
    <cellStyle name="Normal 12 4 5" xfId="0"/>
    <cellStyle name="Normal 12 4 5 2" xfId="0"/>
    <cellStyle name="Normal 12 4 5 2 2" xfId="0"/>
    <cellStyle name="Normal 12 4 5 2 2 2" xfId="0"/>
    <cellStyle name="Normal 12 4 5 2 2 2 2" xfId="0"/>
    <cellStyle name="Normal 12 4 5 2 2 2 2 2" xfId="0"/>
    <cellStyle name="Normal 12 4 5 2 2 2 2 2 2" xfId="0"/>
    <cellStyle name="Normal 12 4 5 2 2 2 2 3" xfId="0"/>
    <cellStyle name="Normal 12 4 5 2 2 2 3" xfId="0"/>
    <cellStyle name="Normal 12 4 5 2 2 2 3 2" xfId="0"/>
    <cellStyle name="Normal 12 4 5 2 2 2 4" xfId="0"/>
    <cellStyle name="Normal 12 4 5 2 2 3" xfId="0"/>
    <cellStyle name="Normal 12 4 5 2 2 3 2" xfId="0"/>
    <cellStyle name="Normal 12 4 5 2 2 3 2 2" xfId="0"/>
    <cellStyle name="Normal 12 4 5 2 2 3 3" xfId="0"/>
    <cellStyle name="Normal 12 4 5 2 2 4" xfId="0"/>
    <cellStyle name="Normal 12 4 5 2 2 4 2" xfId="0"/>
    <cellStyle name="Normal 12 4 5 2 2 5" xfId="0"/>
    <cellStyle name="Normal 12 4 5 2 3" xfId="0"/>
    <cellStyle name="Normal 12 4 5 2 3 2" xfId="0"/>
    <cellStyle name="Normal 12 4 5 2 3 2 2" xfId="0"/>
    <cellStyle name="Normal 12 4 5 2 3 2 2 2" xfId="0"/>
    <cellStyle name="Normal 12 4 5 2 3 2 3" xfId="0"/>
    <cellStyle name="Normal 12 4 5 2 3 3" xfId="0"/>
    <cellStyle name="Normal 12 4 5 2 3 3 2" xfId="0"/>
    <cellStyle name="Normal 12 4 5 2 3 4" xfId="0"/>
    <cellStyle name="Normal 12 4 5 2 4" xfId="0"/>
    <cellStyle name="Normal 12 4 5 2 4 2" xfId="0"/>
    <cellStyle name="Normal 12 4 5 2 4 2 2" xfId="0"/>
    <cellStyle name="Normal 12 4 5 2 4 3" xfId="0"/>
    <cellStyle name="Normal 12 4 5 2 5" xfId="0"/>
    <cellStyle name="Normal 12 4 5 2 5 2" xfId="0"/>
    <cellStyle name="Normal 12 4 5 2 6" xfId="0"/>
    <cellStyle name="Normal 12 4 5 3" xfId="0"/>
    <cellStyle name="Normal 12 4 5 3 2" xfId="0"/>
    <cellStyle name="Normal 12 4 5 3 2 2" xfId="0"/>
    <cellStyle name="Normal 12 4 5 3 2 2 2" xfId="0"/>
    <cellStyle name="Normal 12 4 5 3 2 2 2 2" xfId="0"/>
    <cellStyle name="Normal 12 4 5 3 2 2 3" xfId="0"/>
    <cellStyle name="Normal 12 4 5 3 2 3" xfId="0"/>
    <cellStyle name="Normal 12 4 5 3 2 3 2" xfId="0"/>
    <cellStyle name="Normal 12 4 5 3 2 4" xfId="0"/>
    <cellStyle name="Normal 12 4 5 3 3" xfId="0"/>
    <cellStyle name="Normal 12 4 5 3 3 2" xfId="0"/>
    <cellStyle name="Normal 12 4 5 3 3 2 2" xfId="0"/>
    <cellStyle name="Normal 12 4 5 3 3 3" xfId="0"/>
    <cellStyle name="Normal 12 4 5 3 4" xfId="0"/>
    <cellStyle name="Normal 12 4 5 3 4 2" xfId="0"/>
    <cellStyle name="Normal 12 4 5 3 5" xfId="0"/>
    <cellStyle name="Normal 12 4 5 4" xfId="0"/>
    <cellStyle name="Normal 12 4 5 4 2" xfId="0"/>
    <cellStyle name="Normal 12 4 5 4 2 2" xfId="0"/>
    <cellStyle name="Normal 12 4 5 4 2 2 2" xfId="0"/>
    <cellStyle name="Normal 12 4 5 4 2 3" xfId="0"/>
    <cellStyle name="Normal 12 4 5 4 3" xfId="0"/>
    <cellStyle name="Normal 12 4 5 4 3 2" xfId="0"/>
    <cellStyle name="Normal 12 4 5 4 4" xfId="0"/>
    <cellStyle name="Normal 12 4 5 5" xfId="0"/>
    <cellStyle name="Normal 12 4 5 5 2" xfId="0"/>
    <cellStyle name="Normal 12 4 5 5 2 2" xfId="0"/>
    <cellStyle name="Normal 12 4 5 5 3" xfId="0"/>
    <cellStyle name="Normal 12 4 5 6" xfId="0"/>
    <cellStyle name="Normal 12 4 5 6 2" xfId="0"/>
    <cellStyle name="Normal 12 4 5 7" xfId="0"/>
    <cellStyle name="Normal 12 4 6" xfId="0"/>
    <cellStyle name="Normal 12 4 6 2" xfId="0"/>
    <cellStyle name="Normal 12 4 6 2 2" xfId="0"/>
    <cellStyle name="Normal 12 4 6 2 2 2" xfId="0"/>
    <cellStyle name="Normal 12 4 6 2 2 2 2" xfId="0"/>
    <cellStyle name="Normal 12 4 6 2 2 2 2 2" xfId="0"/>
    <cellStyle name="Normal 12 4 6 2 2 2 2 2 2" xfId="0"/>
    <cellStyle name="Normal 12 4 6 2 2 2 2 3" xfId="0"/>
    <cellStyle name="Normal 12 4 6 2 2 2 3" xfId="0"/>
    <cellStyle name="Normal 12 4 6 2 2 2 3 2" xfId="0"/>
    <cellStyle name="Normal 12 4 6 2 2 2 4" xfId="0"/>
    <cellStyle name="Normal 12 4 6 2 2 3" xfId="0"/>
    <cellStyle name="Normal 12 4 6 2 2 3 2" xfId="0"/>
    <cellStyle name="Normal 12 4 6 2 2 3 2 2" xfId="0"/>
    <cellStyle name="Normal 12 4 6 2 2 3 3" xfId="0"/>
    <cellStyle name="Normal 12 4 6 2 2 4" xfId="0"/>
    <cellStyle name="Normal 12 4 6 2 2 4 2" xfId="0"/>
    <cellStyle name="Normal 12 4 6 2 2 5" xfId="0"/>
    <cellStyle name="Normal 12 4 6 2 3" xfId="0"/>
    <cellStyle name="Normal 12 4 6 2 3 2" xfId="0"/>
    <cellStyle name="Normal 12 4 6 2 3 2 2" xfId="0"/>
    <cellStyle name="Normal 12 4 6 2 3 2 2 2" xfId="0"/>
    <cellStyle name="Normal 12 4 6 2 3 2 3" xfId="0"/>
    <cellStyle name="Normal 12 4 6 2 3 3" xfId="0"/>
    <cellStyle name="Normal 12 4 6 2 3 3 2" xfId="0"/>
    <cellStyle name="Normal 12 4 6 2 3 4" xfId="0"/>
    <cellStyle name="Normal 12 4 6 2 4" xfId="0"/>
    <cellStyle name="Normal 12 4 6 2 4 2" xfId="0"/>
    <cellStyle name="Normal 12 4 6 2 4 2 2" xfId="0"/>
    <cellStyle name="Normal 12 4 6 2 4 3" xfId="0"/>
    <cellStyle name="Normal 12 4 6 2 5" xfId="0"/>
    <cellStyle name="Normal 12 4 6 2 5 2" xfId="0"/>
    <cellStyle name="Normal 12 4 6 2 6" xfId="0"/>
    <cellStyle name="Normal 12 4 6 3" xfId="0"/>
    <cellStyle name="Normal 12 4 6 3 2" xfId="0"/>
    <cellStyle name="Normal 12 4 6 3 2 2" xfId="0"/>
    <cellStyle name="Normal 12 4 6 3 2 2 2" xfId="0"/>
    <cellStyle name="Normal 12 4 6 3 2 2 2 2" xfId="0"/>
    <cellStyle name="Normal 12 4 6 3 2 2 3" xfId="0"/>
    <cellStyle name="Normal 12 4 6 3 2 3" xfId="0"/>
    <cellStyle name="Normal 12 4 6 3 2 3 2" xfId="0"/>
    <cellStyle name="Normal 12 4 6 3 2 4" xfId="0"/>
    <cellStyle name="Normal 12 4 6 3 3" xfId="0"/>
    <cellStyle name="Normal 12 4 6 3 3 2" xfId="0"/>
    <cellStyle name="Normal 12 4 6 3 3 2 2" xfId="0"/>
    <cellStyle name="Normal 12 4 6 3 3 3" xfId="0"/>
    <cellStyle name="Normal 12 4 6 3 4" xfId="0"/>
    <cellStyle name="Normal 12 4 6 3 4 2" xfId="0"/>
    <cellStyle name="Normal 12 4 6 3 5" xfId="0"/>
    <cellStyle name="Normal 12 4 6 4" xfId="0"/>
    <cellStyle name="Normal 12 4 6 4 2" xfId="0"/>
    <cellStyle name="Normal 12 4 6 4 2 2" xfId="0"/>
    <cellStyle name="Normal 12 4 6 4 2 2 2" xfId="0"/>
    <cellStyle name="Normal 12 4 6 4 2 3" xfId="0"/>
    <cellStyle name="Normal 12 4 6 4 3" xfId="0"/>
    <cellStyle name="Normal 12 4 6 4 3 2" xfId="0"/>
    <cellStyle name="Normal 12 4 6 4 4" xfId="0"/>
    <cellStyle name="Normal 12 4 6 5" xfId="0"/>
    <cellStyle name="Normal 12 4 6 5 2" xfId="0"/>
    <cellStyle name="Normal 12 4 6 5 2 2" xfId="0"/>
    <cellStyle name="Normal 12 4 6 5 3" xfId="0"/>
    <cellStyle name="Normal 12 4 6 6" xfId="0"/>
    <cellStyle name="Normal 12 4 6 6 2" xfId="0"/>
    <cellStyle name="Normal 12 4 6 7" xfId="0"/>
    <cellStyle name="Normal 12 4 7" xfId="0"/>
    <cellStyle name="Normal 12 4 7 2" xfId="0"/>
    <cellStyle name="Normal 12 4 7 2 2" xfId="0"/>
    <cellStyle name="Normal 12 4 7 2 2 2" xfId="0"/>
    <cellStyle name="Normal 12 4 7 2 2 2 2" xfId="0"/>
    <cellStyle name="Normal 12 4 7 2 2 2 2 2" xfId="0"/>
    <cellStyle name="Normal 12 4 7 2 2 2 3" xfId="0"/>
    <cellStyle name="Normal 12 4 7 2 2 3" xfId="0"/>
    <cellStyle name="Normal 12 4 7 2 2 3 2" xfId="0"/>
    <cellStyle name="Normal 12 4 7 2 2 4" xfId="0"/>
    <cellStyle name="Normal 12 4 7 2 3" xfId="0"/>
    <cellStyle name="Normal 12 4 7 2 3 2" xfId="0"/>
    <cellStyle name="Normal 12 4 7 2 3 2 2" xfId="0"/>
    <cellStyle name="Normal 12 4 7 2 3 3" xfId="0"/>
    <cellStyle name="Normal 12 4 7 2 4" xfId="0"/>
    <cellStyle name="Normal 12 4 7 2 4 2" xfId="0"/>
    <cellStyle name="Normal 12 4 7 2 5" xfId="0"/>
    <cellStyle name="Normal 12 4 7 3" xfId="0"/>
    <cellStyle name="Normal 12 4 7 3 2" xfId="0"/>
    <cellStyle name="Normal 12 4 7 3 2 2" xfId="0"/>
    <cellStyle name="Normal 12 4 7 3 2 2 2" xfId="0"/>
    <cellStyle name="Normal 12 4 7 3 2 3" xfId="0"/>
    <cellStyle name="Normal 12 4 7 3 3" xfId="0"/>
    <cellStyle name="Normal 12 4 7 3 3 2" xfId="0"/>
    <cellStyle name="Normal 12 4 7 3 4" xfId="0"/>
    <cellStyle name="Normal 12 4 7 4" xfId="0"/>
    <cellStyle name="Normal 12 4 7 4 2" xfId="0"/>
    <cellStyle name="Normal 12 4 7 4 2 2" xfId="0"/>
    <cellStyle name="Normal 12 4 7 4 3" xfId="0"/>
    <cellStyle name="Normal 12 4 7 5" xfId="0"/>
    <cellStyle name="Normal 12 4 7 5 2" xfId="0"/>
    <cellStyle name="Normal 12 4 7 6" xfId="0"/>
    <cellStyle name="Normal 12 4 8" xfId="0"/>
    <cellStyle name="Normal 12 4 8 2" xfId="0"/>
    <cellStyle name="Normal 12 4 8 2 2" xfId="0"/>
    <cellStyle name="Normal 12 4 8 2 2 2" xfId="0"/>
    <cellStyle name="Normal 12 4 8 2 2 2 2" xfId="0"/>
    <cellStyle name="Normal 12 4 8 2 2 3" xfId="0"/>
    <cellStyle name="Normal 12 4 8 2 3" xfId="0"/>
    <cellStyle name="Normal 12 4 8 2 3 2" xfId="0"/>
    <cellStyle name="Normal 12 4 8 2 4" xfId="0"/>
    <cellStyle name="Normal 12 4 8 3" xfId="0"/>
    <cellStyle name="Normal 12 4 8 3 2" xfId="0"/>
    <cellStyle name="Normal 12 4 8 3 2 2" xfId="0"/>
    <cellStyle name="Normal 12 4 8 3 3" xfId="0"/>
    <cellStyle name="Normal 12 4 8 4" xfId="0"/>
    <cellStyle name="Normal 12 4 8 4 2" xfId="0"/>
    <cellStyle name="Normal 12 4 8 5" xfId="0"/>
    <cellStyle name="Normal 12 4 9" xfId="0"/>
    <cellStyle name="Normal 12 4 9 2" xfId="0"/>
    <cellStyle name="Normal 12 4 9 2 2" xfId="0"/>
    <cellStyle name="Normal 12 4 9 2 2 2" xfId="0"/>
    <cellStyle name="Normal 12 4 9 2 3" xfId="0"/>
    <cellStyle name="Normal 12 4 9 3" xfId="0"/>
    <cellStyle name="Normal 12 4 9 3 2" xfId="0"/>
    <cellStyle name="Normal 12 4 9 4" xfId="0"/>
    <cellStyle name="Normal 12 5" xfId="0"/>
    <cellStyle name="Normal 12 5 10" xfId="0"/>
    <cellStyle name="Normal 12 5 10 2" xfId="0"/>
    <cellStyle name="Normal 12 5 11" xfId="0"/>
    <cellStyle name="Normal 12 5 2" xfId="0"/>
    <cellStyle name="Normal 12 5 2 2" xfId="0"/>
    <cellStyle name="Normal 12 5 2 2 2" xfId="0"/>
    <cellStyle name="Normal 12 5 2 2 2 2" xfId="0"/>
    <cellStyle name="Normal 12 5 2 2 2 2 2" xfId="0"/>
    <cellStyle name="Normal 12 5 2 2 2 2 2 2" xfId="0"/>
    <cellStyle name="Normal 12 5 2 2 2 2 2 2 2" xfId="0"/>
    <cellStyle name="Normal 12 5 2 2 2 2 2 2 2 2" xfId="0"/>
    <cellStyle name="Normal 12 5 2 2 2 2 2 2 3" xfId="0"/>
    <cellStyle name="Normal 12 5 2 2 2 2 2 3" xfId="0"/>
    <cellStyle name="Normal 12 5 2 2 2 2 2 3 2" xfId="0"/>
    <cellStyle name="Normal 12 5 2 2 2 2 2 4" xfId="0"/>
    <cellStyle name="Normal 12 5 2 2 2 2 3" xfId="0"/>
    <cellStyle name="Normal 12 5 2 2 2 2 3 2" xfId="0"/>
    <cellStyle name="Normal 12 5 2 2 2 2 3 2 2" xfId="0"/>
    <cellStyle name="Normal 12 5 2 2 2 2 3 3" xfId="0"/>
    <cellStyle name="Normal 12 5 2 2 2 2 4" xfId="0"/>
    <cellStyle name="Normal 12 5 2 2 2 2 4 2" xfId="0"/>
    <cellStyle name="Normal 12 5 2 2 2 2 5" xfId="0"/>
    <cellStyle name="Normal 12 5 2 2 2 3" xfId="0"/>
    <cellStyle name="Normal 12 5 2 2 2 3 2" xfId="0"/>
    <cellStyle name="Normal 12 5 2 2 2 3 2 2" xfId="0"/>
    <cellStyle name="Normal 12 5 2 2 2 3 2 2 2" xfId="0"/>
    <cellStyle name="Normal 12 5 2 2 2 3 2 3" xfId="0"/>
    <cellStyle name="Normal 12 5 2 2 2 3 3" xfId="0"/>
    <cellStyle name="Normal 12 5 2 2 2 3 3 2" xfId="0"/>
    <cellStyle name="Normal 12 5 2 2 2 3 4" xfId="0"/>
    <cellStyle name="Normal 12 5 2 2 2 4" xfId="0"/>
    <cellStyle name="Normal 12 5 2 2 2 4 2" xfId="0"/>
    <cellStyle name="Normal 12 5 2 2 2 4 2 2" xfId="0"/>
    <cellStyle name="Normal 12 5 2 2 2 4 3" xfId="0"/>
    <cellStyle name="Normal 12 5 2 2 2 5" xfId="0"/>
    <cellStyle name="Normal 12 5 2 2 2 5 2" xfId="0"/>
    <cellStyle name="Normal 12 5 2 2 2 6" xfId="0"/>
    <cellStyle name="Normal 12 5 2 2 3" xfId="0"/>
    <cellStyle name="Normal 12 5 2 2 3 2" xfId="0"/>
    <cellStyle name="Normal 12 5 2 2 3 2 2" xfId="0"/>
    <cellStyle name="Normal 12 5 2 2 3 2 2 2" xfId="0"/>
    <cellStyle name="Normal 12 5 2 2 3 2 2 2 2" xfId="0"/>
    <cellStyle name="Normal 12 5 2 2 3 2 2 3" xfId="0"/>
    <cellStyle name="Normal 12 5 2 2 3 2 3" xfId="0"/>
    <cellStyle name="Normal 12 5 2 2 3 2 3 2" xfId="0"/>
    <cellStyle name="Normal 12 5 2 2 3 2 4" xfId="0"/>
    <cellStyle name="Normal 12 5 2 2 3 3" xfId="0"/>
    <cellStyle name="Normal 12 5 2 2 3 3 2" xfId="0"/>
    <cellStyle name="Normal 12 5 2 2 3 3 2 2" xfId="0"/>
    <cellStyle name="Normal 12 5 2 2 3 3 3" xfId="0"/>
    <cellStyle name="Normal 12 5 2 2 3 4" xfId="0"/>
    <cellStyle name="Normal 12 5 2 2 3 4 2" xfId="0"/>
    <cellStyle name="Normal 12 5 2 2 3 5" xfId="0"/>
    <cellStyle name="Normal 12 5 2 2 4" xfId="0"/>
    <cellStyle name="Normal 12 5 2 2 4 2" xfId="0"/>
    <cellStyle name="Normal 12 5 2 2 4 2 2" xfId="0"/>
    <cellStyle name="Normal 12 5 2 2 4 2 2 2" xfId="0"/>
    <cellStyle name="Normal 12 5 2 2 4 2 3" xfId="0"/>
    <cellStyle name="Normal 12 5 2 2 4 3" xfId="0"/>
    <cellStyle name="Normal 12 5 2 2 4 3 2" xfId="0"/>
    <cellStyle name="Normal 12 5 2 2 4 4" xfId="0"/>
    <cellStyle name="Normal 12 5 2 2 5" xfId="0"/>
    <cellStyle name="Normal 12 5 2 2 5 2" xfId="0"/>
    <cellStyle name="Normal 12 5 2 2 5 2 2" xfId="0"/>
    <cellStyle name="Normal 12 5 2 2 5 3" xfId="0"/>
    <cellStyle name="Normal 12 5 2 2 6" xfId="0"/>
    <cellStyle name="Normal 12 5 2 2 6 2" xfId="0"/>
    <cellStyle name="Normal 12 5 2 2 7" xfId="0"/>
    <cellStyle name="Normal 12 5 2 3" xfId="0"/>
    <cellStyle name="Normal 12 5 2 3 2" xfId="0"/>
    <cellStyle name="Normal 12 5 2 3 2 2" xfId="0"/>
    <cellStyle name="Normal 12 5 2 3 2 2 2" xfId="0"/>
    <cellStyle name="Normal 12 5 2 3 2 2 2 2" xfId="0"/>
    <cellStyle name="Normal 12 5 2 3 2 2 2 2 2" xfId="0"/>
    <cellStyle name="Normal 12 5 2 3 2 2 2 3" xfId="0"/>
    <cellStyle name="Normal 12 5 2 3 2 2 3" xfId="0"/>
    <cellStyle name="Normal 12 5 2 3 2 2 3 2" xfId="0"/>
    <cellStyle name="Normal 12 5 2 3 2 2 4" xfId="0"/>
    <cellStyle name="Normal 12 5 2 3 2 3" xfId="0"/>
    <cellStyle name="Normal 12 5 2 3 2 3 2" xfId="0"/>
    <cellStyle name="Normal 12 5 2 3 2 3 2 2" xfId="0"/>
    <cellStyle name="Normal 12 5 2 3 2 3 3" xfId="0"/>
    <cellStyle name="Normal 12 5 2 3 2 4" xfId="0"/>
    <cellStyle name="Normal 12 5 2 3 2 4 2" xfId="0"/>
    <cellStyle name="Normal 12 5 2 3 2 5" xfId="0"/>
    <cellStyle name="Normal 12 5 2 3 3" xfId="0"/>
    <cellStyle name="Normal 12 5 2 3 3 2" xfId="0"/>
    <cellStyle name="Normal 12 5 2 3 3 2 2" xfId="0"/>
    <cellStyle name="Normal 12 5 2 3 3 2 2 2" xfId="0"/>
    <cellStyle name="Normal 12 5 2 3 3 2 3" xfId="0"/>
    <cellStyle name="Normal 12 5 2 3 3 3" xfId="0"/>
    <cellStyle name="Normal 12 5 2 3 3 3 2" xfId="0"/>
    <cellStyle name="Normal 12 5 2 3 3 4" xfId="0"/>
    <cellStyle name="Normal 12 5 2 3 4" xfId="0"/>
    <cellStyle name="Normal 12 5 2 3 4 2" xfId="0"/>
    <cellStyle name="Normal 12 5 2 3 4 2 2" xfId="0"/>
    <cellStyle name="Normal 12 5 2 3 4 3" xfId="0"/>
    <cellStyle name="Normal 12 5 2 3 5" xfId="0"/>
    <cellStyle name="Normal 12 5 2 3 5 2" xfId="0"/>
    <cellStyle name="Normal 12 5 2 3 6" xfId="0"/>
    <cellStyle name="Normal 12 5 2 4" xfId="0"/>
    <cellStyle name="Normal 12 5 2 4 2" xfId="0"/>
    <cellStyle name="Normal 12 5 2 4 2 2" xfId="0"/>
    <cellStyle name="Normal 12 5 2 4 2 2 2" xfId="0"/>
    <cellStyle name="Normal 12 5 2 4 2 2 2 2" xfId="0"/>
    <cellStyle name="Normal 12 5 2 4 2 2 3" xfId="0"/>
    <cellStyle name="Normal 12 5 2 4 2 3" xfId="0"/>
    <cellStyle name="Normal 12 5 2 4 2 3 2" xfId="0"/>
    <cellStyle name="Normal 12 5 2 4 2 4" xfId="0"/>
    <cellStyle name="Normal 12 5 2 4 3" xfId="0"/>
    <cellStyle name="Normal 12 5 2 4 3 2" xfId="0"/>
    <cellStyle name="Normal 12 5 2 4 3 2 2" xfId="0"/>
    <cellStyle name="Normal 12 5 2 4 3 3" xfId="0"/>
    <cellStyle name="Normal 12 5 2 4 4" xfId="0"/>
    <cellStyle name="Normal 12 5 2 4 4 2" xfId="0"/>
    <cellStyle name="Normal 12 5 2 4 5" xfId="0"/>
    <cellStyle name="Normal 12 5 2 5" xfId="0"/>
    <cellStyle name="Normal 12 5 2 5 2" xfId="0"/>
    <cellStyle name="Normal 12 5 2 5 2 2" xfId="0"/>
    <cellStyle name="Normal 12 5 2 5 2 2 2" xfId="0"/>
    <cellStyle name="Normal 12 5 2 5 2 3" xfId="0"/>
    <cellStyle name="Normal 12 5 2 5 3" xfId="0"/>
    <cellStyle name="Normal 12 5 2 5 3 2" xfId="0"/>
    <cellStyle name="Normal 12 5 2 5 4" xfId="0"/>
    <cellStyle name="Normal 12 5 2 6" xfId="0"/>
    <cellStyle name="Normal 12 5 2 6 2" xfId="0"/>
    <cellStyle name="Normal 12 5 2 6 2 2" xfId="0"/>
    <cellStyle name="Normal 12 5 2 6 3" xfId="0"/>
    <cellStyle name="Normal 12 5 2 7" xfId="0"/>
    <cellStyle name="Normal 12 5 2 7 2" xfId="0"/>
    <cellStyle name="Normal 12 5 2 8" xfId="0"/>
    <cellStyle name="Normal 12 5 3" xfId="0"/>
    <cellStyle name="Normal 12 5 3 2" xfId="0"/>
    <cellStyle name="Normal 12 5 3 2 2" xfId="0"/>
    <cellStyle name="Normal 12 5 3 2 2 2" xfId="0"/>
    <cellStyle name="Normal 12 5 3 2 2 2 2" xfId="0"/>
    <cellStyle name="Normal 12 5 3 2 2 2 2 2" xfId="0"/>
    <cellStyle name="Normal 12 5 3 2 2 2 2 2 2" xfId="0"/>
    <cellStyle name="Normal 12 5 3 2 2 2 2 2 2 2" xfId="0"/>
    <cellStyle name="Normal 12 5 3 2 2 2 2 2 3" xfId="0"/>
    <cellStyle name="Normal 12 5 3 2 2 2 2 3" xfId="0"/>
    <cellStyle name="Normal 12 5 3 2 2 2 2 3 2" xfId="0"/>
    <cellStyle name="Normal 12 5 3 2 2 2 2 4" xfId="0"/>
    <cellStyle name="Normal 12 5 3 2 2 2 3" xfId="0"/>
    <cellStyle name="Normal 12 5 3 2 2 2 3 2" xfId="0"/>
    <cellStyle name="Normal 12 5 3 2 2 2 3 2 2" xfId="0"/>
    <cellStyle name="Normal 12 5 3 2 2 2 3 3" xfId="0"/>
    <cellStyle name="Normal 12 5 3 2 2 2 4" xfId="0"/>
    <cellStyle name="Normal 12 5 3 2 2 2 4 2" xfId="0"/>
    <cellStyle name="Normal 12 5 3 2 2 2 5" xfId="0"/>
    <cellStyle name="Normal 12 5 3 2 2 3" xfId="0"/>
    <cellStyle name="Normal 12 5 3 2 2 3 2" xfId="0"/>
    <cellStyle name="Normal 12 5 3 2 2 3 2 2" xfId="0"/>
    <cellStyle name="Normal 12 5 3 2 2 3 2 2 2" xfId="0"/>
    <cellStyle name="Normal 12 5 3 2 2 3 2 3" xfId="0"/>
    <cellStyle name="Normal 12 5 3 2 2 3 3" xfId="0"/>
    <cellStyle name="Normal 12 5 3 2 2 3 3 2" xfId="0"/>
    <cellStyle name="Normal 12 5 3 2 2 3 4" xfId="0"/>
    <cellStyle name="Normal 12 5 3 2 2 4" xfId="0"/>
    <cellStyle name="Normal 12 5 3 2 2 4 2" xfId="0"/>
    <cellStyle name="Normal 12 5 3 2 2 4 2 2" xfId="0"/>
    <cellStyle name="Normal 12 5 3 2 2 4 3" xfId="0"/>
    <cellStyle name="Normal 12 5 3 2 2 5" xfId="0"/>
    <cellStyle name="Normal 12 5 3 2 2 5 2" xfId="0"/>
    <cellStyle name="Normal 12 5 3 2 2 6" xfId="0"/>
    <cellStyle name="Normal 12 5 3 2 3" xfId="0"/>
    <cellStyle name="Normal 12 5 3 2 3 2" xfId="0"/>
    <cellStyle name="Normal 12 5 3 2 3 2 2" xfId="0"/>
    <cellStyle name="Normal 12 5 3 2 3 2 2 2" xfId="0"/>
    <cellStyle name="Normal 12 5 3 2 3 2 2 2 2" xfId="0"/>
    <cellStyle name="Normal 12 5 3 2 3 2 2 3" xfId="0"/>
    <cellStyle name="Normal 12 5 3 2 3 2 3" xfId="0"/>
    <cellStyle name="Normal 12 5 3 2 3 2 3 2" xfId="0"/>
    <cellStyle name="Normal 12 5 3 2 3 2 4" xfId="0"/>
    <cellStyle name="Normal 12 5 3 2 3 3" xfId="0"/>
    <cellStyle name="Normal 12 5 3 2 3 3 2" xfId="0"/>
    <cellStyle name="Normal 12 5 3 2 3 3 2 2" xfId="0"/>
    <cellStyle name="Normal 12 5 3 2 3 3 3" xfId="0"/>
    <cellStyle name="Normal 12 5 3 2 3 4" xfId="0"/>
    <cellStyle name="Normal 12 5 3 2 3 4 2" xfId="0"/>
    <cellStyle name="Normal 12 5 3 2 3 5" xfId="0"/>
    <cellStyle name="Normal 12 5 3 2 4" xfId="0"/>
    <cellStyle name="Normal 12 5 3 2 4 2" xfId="0"/>
    <cellStyle name="Normal 12 5 3 2 4 2 2" xfId="0"/>
    <cellStyle name="Normal 12 5 3 2 4 2 2 2" xfId="0"/>
    <cellStyle name="Normal 12 5 3 2 4 2 3" xfId="0"/>
    <cellStyle name="Normal 12 5 3 2 4 3" xfId="0"/>
    <cellStyle name="Normal 12 5 3 2 4 3 2" xfId="0"/>
    <cellStyle name="Normal 12 5 3 2 4 4" xfId="0"/>
    <cellStyle name="Normal 12 5 3 2 5" xfId="0"/>
    <cellStyle name="Normal 12 5 3 2 5 2" xfId="0"/>
    <cellStyle name="Normal 12 5 3 2 5 2 2" xfId="0"/>
    <cellStyle name="Normal 12 5 3 2 5 3" xfId="0"/>
    <cellStyle name="Normal 12 5 3 2 6" xfId="0"/>
    <cellStyle name="Normal 12 5 3 2 6 2" xfId="0"/>
    <cellStyle name="Normal 12 5 3 2 7" xfId="0"/>
    <cellStyle name="Normal 12 5 3 3" xfId="0"/>
    <cellStyle name="Normal 12 5 3 3 2" xfId="0"/>
    <cellStyle name="Normal 12 5 3 3 2 2" xfId="0"/>
    <cellStyle name="Normal 12 5 3 3 2 2 2" xfId="0"/>
    <cellStyle name="Normal 12 5 3 3 2 2 2 2" xfId="0"/>
    <cellStyle name="Normal 12 5 3 3 2 2 2 2 2" xfId="0"/>
    <cellStyle name="Normal 12 5 3 3 2 2 2 3" xfId="0"/>
    <cellStyle name="Normal 12 5 3 3 2 2 3" xfId="0"/>
    <cellStyle name="Normal 12 5 3 3 2 2 3 2" xfId="0"/>
    <cellStyle name="Normal 12 5 3 3 2 2 4" xfId="0"/>
    <cellStyle name="Normal 12 5 3 3 2 3" xfId="0"/>
    <cellStyle name="Normal 12 5 3 3 2 3 2" xfId="0"/>
    <cellStyle name="Normal 12 5 3 3 2 3 2 2" xfId="0"/>
    <cellStyle name="Normal 12 5 3 3 2 3 3" xfId="0"/>
    <cellStyle name="Normal 12 5 3 3 2 4" xfId="0"/>
    <cellStyle name="Normal 12 5 3 3 2 4 2" xfId="0"/>
    <cellStyle name="Normal 12 5 3 3 2 5" xfId="0"/>
    <cellStyle name="Normal 12 5 3 3 3" xfId="0"/>
    <cellStyle name="Normal 12 5 3 3 3 2" xfId="0"/>
    <cellStyle name="Normal 12 5 3 3 3 2 2" xfId="0"/>
    <cellStyle name="Normal 12 5 3 3 3 2 2 2" xfId="0"/>
    <cellStyle name="Normal 12 5 3 3 3 2 3" xfId="0"/>
    <cellStyle name="Normal 12 5 3 3 3 3" xfId="0"/>
    <cellStyle name="Normal 12 5 3 3 3 3 2" xfId="0"/>
    <cellStyle name="Normal 12 5 3 3 3 4" xfId="0"/>
    <cellStyle name="Normal 12 5 3 3 4" xfId="0"/>
    <cellStyle name="Normal 12 5 3 3 4 2" xfId="0"/>
    <cellStyle name="Normal 12 5 3 3 4 2 2" xfId="0"/>
    <cellStyle name="Normal 12 5 3 3 4 3" xfId="0"/>
    <cellStyle name="Normal 12 5 3 3 5" xfId="0"/>
    <cellStyle name="Normal 12 5 3 3 5 2" xfId="0"/>
    <cellStyle name="Normal 12 5 3 3 6" xfId="0"/>
    <cellStyle name="Normal 12 5 3 4" xfId="0"/>
    <cellStyle name="Normal 12 5 3 4 2" xfId="0"/>
    <cellStyle name="Normal 12 5 3 4 2 2" xfId="0"/>
    <cellStyle name="Normal 12 5 3 4 2 2 2" xfId="0"/>
    <cellStyle name="Normal 12 5 3 4 2 2 2 2" xfId="0"/>
    <cellStyle name="Normal 12 5 3 4 2 2 3" xfId="0"/>
    <cellStyle name="Normal 12 5 3 4 2 3" xfId="0"/>
    <cellStyle name="Normal 12 5 3 4 2 3 2" xfId="0"/>
    <cellStyle name="Normal 12 5 3 4 2 4" xfId="0"/>
    <cellStyle name="Normal 12 5 3 4 3" xfId="0"/>
    <cellStyle name="Normal 12 5 3 4 3 2" xfId="0"/>
    <cellStyle name="Normal 12 5 3 4 3 2 2" xfId="0"/>
    <cellStyle name="Normal 12 5 3 4 3 3" xfId="0"/>
    <cellStyle name="Normal 12 5 3 4 4" xfId="0"/>
    <cellStyle name="Normal 12 5 3 4 4 2" xfId="0"/>
    <cellStyle name="Normal 12 5 3 4 5" xfId="0"/>
    <cellStyle name="Normal 12 5 3 5" xfId="0"/>
    <cellStyle name="Normal 12 5 3 5 2" xfId="0"/>
    <cellStyle name="Normal 12 5 3 5 2 2" xfId="0"/>
    <cellStyle name="Normal 12 5 3 5 2 2 2" xfId="0"/>
    <cellStyle name="Normal 12 5 3 5 2 3" xfId="0"/>
    <cellStyle name="Normal 12 5 3 5 3" xfId="0"/>
    <cellStyle name="Normal 12 5 3 5 3 2" xfId="0"/>
    <cellStyle name="Normal 12 5 3 5 4" xfId="0"/>
    <cellStyle name="Normal 12 5 3 6" xfId="0"/>
    <cellStyle name="Normal 12 5 3 6 2" xfId="0"/>
    <cellStyle name="Normal 12 5 3 6 2 2" xfId="0"/>
    <cellStyle name="Normal 12 5 3 6 3" xfId="0"/>
    <cellStyle name="Normal 12 5 3 7" xfId="0"/>
    <cellStyle name="Normal 12 5 3 7 2" xfId="0"/>
    <cellStyle name="Normal 12 5 3 8" xfId="0"/>
    <cellStyle name="Normal 12 5 4" xfId="0"/>
    <cellStyle name="Normal 12 5 4 2" xfId="0"/>
    <cellStyle name="Normal 12 5 4 2 2" xfId="0"/>
    <cellStyle name="Normal 12 5 4 2 2 2" xfId="0"/>
    <cellStyle name="Normal 12 5 4 2 2 2 2" xfId="0"/>
    <cellStyle name="Normal 12 5 4 2 2 2 2 2" xfId="0"/>
    <cellStyle name="Normal 12 5 4 2 2 2 2 2 2" xfId="0"/>
    <cellStyle name="Normal 12 5 4 2 2 2 2 3" xfId="0"/>
    <cellStyle name="Normal 12 5 4 2 2 2 3" xfId="0"/>
    <cellStyle name="Normal 12 5 4 2 2 2 3 2" xfId="0"/>
    <cellStyle name="Normal 12 5 4 2 2 2 4" xfId="0"/>
    <cellStyle name="Normal 12 5 4 2 2 3" xfId="0"/>
    <cellStyle name="Normal 12 5 4 2 2 3 2" xfId="0"/>
    <cellStyle name="Normal 12 5 4 2 2 3 2 2" xfId="0"/>
    <cellStyle name="Normal 12 5 4 2 2 3 3" xfId="0"/>
    <cellStyle name="Normal 12 5 4 2 2 4" xfId="0"/>
    <cellStyle name="Normal 12 5 4 2 2 4 2" xfId="0"/>
    <cellStyle name="Normal 12 5 4 2 2 5" xfId="0"/>
    <cellStyle name="Normal 12 5 4 2 3" xfId="0"/>
    <cellStyle name="Normal 12 5 4 2 3 2" xfId="0"/>
    <cellStyle name="Normal 12 5 4 2 3 2 2" xfId="0"/>
    <cellStyle name="Normal 12 5 4 2 3 2 2 2" xfId="0"/>
    <cellStyle name="Normal 12 5 4 2 3 2 3" xfId="0"/>
    <cellStyle name="Normal 12 5 4 2 3 3" xfId="0"/>
    <cellStyle name="Normal 12 5 4 2 3 3 2" xfId="0"/>
    <cellStyle name="Normal 12 5 4 2 3 4" xfId="0"/>
    <cellStyle name="Normal 12 5 4 2 4" xfId="0"/>
    <cellStyle name="Normal 12 5 4 2 4 2" xfId="0"/>
    <cellStyle name="Normal 12 5 4 2 4 2 2" xfId="0"/>
    <cellStyle name="Normal 12 5 4 2 4 3" xfId="0"/>
    <cellStyle name="Normal 12 5 4 2 5" xfId="0"/>
    <cellStyle name="Normal 12 5 4 2 5 2" xfId="0"/>
    <cellStyle name="Normal 12 5 4 2 6" xfId="0"/>
    <cellStyle name="Normal 12 5 4 3" xfId="0"/>
    <cellStyle name="Normal 12 5 4 3 2" xfId="0"/>
    <cellStyle name="Normal 12 5 4 3 2 2" xfId="0"/>
    <cellStyle name="Normal 12 5 4 3 2 2 2" xfId="0"/>
    <cellStyle name="Normal 12 5 4 3 2 2 2 2" xfId="0"/>
    <cellStyle name="Normal 12 5 4 3 2 2 3" xfId="0"/>
    <cellStyle name="Normal 12 5 4 3 2 3" xfId="0"/>
    <cellStyle name="Normal 12 5 4 3 2 3 2" xfId="0"/>
    <cellStyle name="Normal 12 5 4 3 2 4" xfId="0"/>
    <cellStyle name="Normal 12 5 4 3 3" xfId="0"/>
    <cellStyle name="Normal 12 5 4 3 3 2" xfId="0"/>
    <cellStyle name="Normal 12 5 4 3 3 2 2" xfId="0"/>
    <cellStyle name="Normal 12 5 4 3 3 3" xfId="0"/>
    <cellStyle name="Normal 12 5 4 3 4" xfId="0"/>
    <cellStyle name="Normal 12 5 4 3 4 2" xfId="0"/>
    <cellStyle name="Normal 12 5 4 3 5" xfId="0"/>
    <cellStyle name="Normal 12 5 4 4" xfId="0"/>
    <cellStyle name="Normal 12 5 4 4 2" xfId="0"/>
    <cellStyle name="Normal 12 5 4 4 2 2" xfId="0"/>
    <cellStyle name="Normal 12 5 4 4 2 2 2" xfId="0"/>
    <cellStyle name="Normal 12 5 4 4 2 3" xfId="0"/>
    <cellStyle name="Normal 12 5 4 4 3" xfId="0"/>
    <cellStyle name="Normal 12 5 4 4 3 2" xfId="0"/>
    <cellStyle name="Normal 12 5 4 4 4" xfId="0"/>
    <cellStyle name="Normal 12 5 4 5" xfId="0"/>
    <cellStyle name="Normal 12 5 4 5 2" xfId="0"/>
    <cellStyle name="Normal 12 5 4 5 2 2" xfId="0"/>
    <cellStyle name="Normal 12 5 4 5 3" xfId="0"/>
    <cellStyle name="Normal 12 5 4 6" xfId="0"/>
    <cellStyle name="Normal 12 5 4 6 2" xfId="0"/>
    <cellStyle name="Normal 12 5 4 7" xfId="0"/>
    <cellStyle name="Normal 12 5 5" xfId="0"/>
    <cellStyle name="Normal 12 5 5 2" xfId="0"/>
    <cellStyle name="Normal 12 5 5 2 2" xfId="0"/>
    <cellStyle name="Normal 12 5 5 2 2 2" xfId="0"/>
    <cellStyle name="Normal 12 5 5 2 2 2 2" xfId="0"/>
    <cellStyle name="Normal 12 5 5 2 2 2 2 2" xfId="0"/>
    <cellStyle name="Normal 12 5 5 2 2 2 2 2 2" xfId="0"/>
    <cellStyle name="Normal 12 5 5 2 2 2 2 3" xfId="0"/>
    <cellStyle name="Normal 12 5 5 2 2 2 3" xfId="0"/>
    <cellStyle name="Normal 12 5 5 2 2 2 3 2" xfId="0"/>
    <cellStyle name="Normal 12 5 5 2 2 2 4" xfId="0"/>
    <cellStyle name="Normal 12 5 5 2 2 3" xfId="0"/>
    <cellStyle name="Normal 12 5 5 2 2 3 2" xfId="0"/>
    <cellStyle name="Normal 12 5 5 2 2 3 2 2" xfId="0"/>
    <cellStyle name="Normal 12 5 5 2 2 3 3" xfId="0"/>
    <cellStyle name="Normal 12 5 5 2 2 4" xfId="0"/>
    <cellStyle name="Normal 12 5 5 2 2 4 2" xfId="0"/>
    <cellStyle name="Normal 12 5 5 2 2 5" xfId="0"/>
    <cellStyle name="Normal 12 5 5 2 3" xfId="0"/>
    <cellStyle name="Normal 12 5 5 2 3 2" xfId="0"/>
    <cellStyle name="Normal 12 5 5 2 3 2 2" xfId="0"/>
    <cellStyle name="Normal 12 5 5 2 3 2 2 2" xfId="0"/>
    <cellStyle name="Normal 12 5 5 2 3 2 3" xfId="0"/>
    <cellStyle name="Normal 12 5 5 2 3 3" xfId="0"/>
    <cellStyle name="Normal 12 5 5 2 3 3 2" xfId="0"/>
    <cellStyle name="Normal 12 5 5 2 3 4" xfId="0"/>
    <cellStyle name="Normal 12 5 5 2 4" xfId="0"/>
    <cellStyle name="Normal 12 5 5 2 4 2" xfId="0"/>
    <cellStyle name="Normal 12 5 5 2 4 2 2" xfId="0"/>
    <cellStyle name="Normal 12 5 5 2 4 3" xfId="0"/>
    <cellStyle name="Normal 12 5 5 2 5" xfId="0"/>
    <cellStyle name="Normal 12 5 5 2 5 2" xfId="0"/>
    <cellStyle name="Normal 12 5 5 2 6" xfId="0"/>
    <cellStyle name="Normal 12 5 5 3" xfId="0"/>
    <cellStyle name="Normal 12 5 5 3 2" xfId="0"/>
    <cellStyle name="Normal 12 5 5 3 2 2" xfId="0"/>
    <cellStyle name="Normal 12 5 5 3 2 2 2" xfId="0"/>
    <cellStyle name="Normal 12 5 5 3 2 2 2 2" xfId="0"/>
    <cellStyle name="Normal 12 5 5 3 2 2 3" xfId="0"/>
    <cellStyle name="Normal 12 5 5 3 2 3" xfId="0"/>
    <cellStyle name="Normal 12 5 5 3 2 3 2" xfId="0"/>
    <cellStyle name="Normal 12 5 5 3 2 4" xfId="0"/>
    <cellStyle name="Normal 12 5 5 3 3" xfId="0"/>
    <cellStyle name="Normal 12 5 5 3 3 2" xfId="0"/>
    <cellStyle name="Normal 12 5 5 3 3 2 2" xfId="0"/>
    <cellStyle name="Normal 12 5 5 3 3 3" xfId="0"/>
    <cellStyle name="Normal 12 5 5 3 4" xfId="0"/>
    <cellStyle name="Normal 12 5 5 3 4 2" xfId="0"/>
    <cellStyle name="Normal 12 5 5 3 5" xfId="0"/>
    <cellStyle name="Normal 12 5 5 4" xfId="0"/>
    <cellStyle name="Normal 12 5 5 4 2" xfId="0"/>
    <cellStyle name="Normal 12 5 5 4 2 2" xfId="0"/>
    <cellStyle name="Normal 12 5 5 4 2 2 2" xfId="0"/>
    <cellStyle name="Normal 12 5 5 4 2 3" xfId="0"/>
    <cellStyle name="Normal 12 5 5 4 3" xfId="0"/>
    <cellStyle name="Normal 12 5 5 4 3 2" xfId="0"/>
    <cellStyle name="Normal 12 5 5 4 4" xfId="0"/>
    <cellStyle name="Normal 12 5 5 5" xfId="0"/>
    <cellStyle name="Normal 12 5 5 5 2" xfId="0"/>
    <cellStyle name="Normal 12 5 5 5 2 2" xfId="0"/>
    <cellStyle name="Normal 12 5 5 5 3" xfId="0"/>
    <cellStyle name="Normal 12 5 5 6" xfId="0"/>
    <cellStyle name="Normal 12 5 5 6 2" xfId="0"/>
    <cellStyle name="Normal 12 5 5 7" xfId="0"/>
    <cellStyle name="Normal 12 5 6" xfId="0"/>
    <cellStyle name="Normal 12 5 6 2" xfId="0"/>
    <cellStyle name="Normal 12 5 6 2 2" xfId="0"/>
    <cellStyle name="Normal 12 5 6 2 2 2" xfId="0"/>
    <cellStyle name="Normal 12 5 6 2 2 2 2" xfId="0"/>
    <cellStyle name="Normal 12 5 6 2 2 2 2 2" xfId="0"/>
    <cellStyle name="Normal 12 5 6 2 2 2 3" xfId="0"/>
    <cellStyle name="Normal 12 5 6 2 2 3" xfId="0"/>
    <cellStyle name="Normal 12 5 6 2 2 3 2" xfId="0"/>
    <cellStyle name="Normal 12 5 6 2 2 4" xfId="0"/>
    <cellStyle name="Normal 12 5 6 2 3" xfId="0"/>
    <cellStyle name="Normal 12 5 6 2 3 2" xfId="0"/>
    <cellStyle name="Normal 12 5 6 2 3 2 2" xfId="0"/>
    <cellStyle name="Normal 12 5 6 2 3 3" xfId="0"/>
    <cellStyle name="Normal 12 5 6 2 4" xfId="0"/>
    <cellStyle name="Normal 12 5 6 2 4 2" xfId="0"/>
    <cellStyle name="Normal 12 5 6 2 5" xfId="0"/>
    <cellStyle name="Normal 12 5 6 3" xfId="0"/>
    <cellStyle name="Normal 12 5 6 3 2" xfId="0"/>
    <cellStyle name="Normal 12 5 6 3 2 2" xfId="0"/>
    <cellStyle name="Normal 12 5 6 3 2 2 2" xfId="0"/>
    <cellStyle name="Normal 12 5 6 3 2 3" xfId="0"/>
    <cellStyle name="Normal 12 5 6 3 3" xfId="0"/>
    <cellStyle name="Normal 12 5 6 3 3 2" xfId="0"/>
    <cellStyle name="Normal 12 5 6 3 4" xfId="0"/>
    <cellStyle name="Normal 12 5 6 4" xfId="0"/>
    <cellStyle name="Normal 12 5 6 4 2" xfId="0"/>
    <cellStyle name="Normal 12 5 6 4 2 2" xfId="0"/>
    <cellStyle name="Normal 12 5 6 4 3" xfId="0"/>
    <cellStyle name="Normal 12 5 6 5" xfId="0"/>
    <cellStyle name="Normal 12 5 6 5 2" xfId="0"/>
    <cellStyle name="Normal 12 5 6 6" xfId="0"/>
    <cellStyle name="Normal 12 5 7" xfId="0"/>
    <cellStyle name="Normal 12 5 7 2" xfId="0"/>
    <cellStyle name="Normal 12 5 7 2 2" xfId="0"/>
    <cellStyle name="Normal 12 5 7 2 2 2" xfId="0"/>
    <cellStyle name="Normal 12 5 7 2 2 2 2" xfId="0"/>
    <cellStyle name="Normal 12 5 7 2 2 3" xfId="0"/>
    <cellStyle name="Normal 12 5 7 2 3" xfId="0"/>
    <cellStyle name="Normal 12 5 7 2 3 2" xfId="0"/>
    <cellStyle name="Normal 12 5 7 2 4" xfId="0"/>
    <cellStyle name="Normal 12 5 7 3" xfId="0"/>
    <cellStyle name="Normal 12 5 7 3 2" xfId="0"/>
    <cellStyle name="Normal 12 5 7 3 2 2" xfId="0"/>
    <cellStyle name="Normal 12 5 7 3 3" xfId="0"/>
    <cellStyle name="Normal 12 5 7 4" xfId="0"/>
    <cellStyle name="Normal 12 5 7 4 2" xfId="0"/>
    <cellStyle name="Normal 12 5 7 5" xfId="0"/>
    <cellStyle name="Normal 12 5 8" xfId="0"/>
    <cellStyle name="Normal 12 5 8 2" xfId="0"/>
    <cellStyle name="Normal 12 5 8 2 2" xfId="0"/>
    <cellStyle name="Normal 12 5 8 2 2 2" xfId="0"/>
    <cellStyle name="Normal 12 5 8 2 3" xfId="0"/>
    <cellStyle name="Normal 12 5 8 3" xfId="0"/>
    <cellStyle name="Normal 12 5 8 3 2" xfId="0"/>
    <cellStyle name="Normal 12 5 8 4" xfId="0"/>
    <cellStyle name="Normal 12 5 9" xfId="0"/>
    <cellStyle name="Normal 12 5 9 2" xfId="0"/>
    <cellStyle name="Normal 12 5 9 2 2" xfId="0"/>
    <cellStyle name="Normal 12 5 9 3" xfId="0"/>
    <cellStyle name="Normal 12 6" xfId="0"/>
    <cellStyle name="Normal 12 6 2" xfId="0"/>
    <cellStyle name="Normal 12 6 2 2" xfId="0"/>
    <cellStyle name="Normal 12 6 2 2 2" xfId="0"/>
    <cellStyle name="Normal 12 6 2 2 2 2" xfId="0"/>
    <cellStyle name="Normal 12 6 2 2 2 2 2" xfId="0"/>
    <cellStyle name="Normal 12 6 2 2 2 2 2 2" xfId="0"/>
    <cellStyle name="Normal 12 6 2 2 2 2 2 2 2" xfId="0"/>
    <cellStyle name="Normal 12 6 2 2 2 2 2 3" xfId="0"/>
    <cellStyle name="Normal 12 6 2 2 2 2 3" xfId="0"/>
    <cellStyle name="Normal 12 6 2 2 2 2 3 2" xfId="0"/>
    <cellStyle name="Normal 12 6 2 2 2 2 4" xfId="0"/>
    <cellStyle name="Normal 12 6 2 2 2 3" xfId="0"/>
    <cellStyle name="Normal 12 6 2 2 2 3 2" xfId="0"/>
    <cellStyle name="Normal 12 6 2 2 2 3 2 2" xfId="0"/>
    <cellStyle name="Normal 12 6 2 2 2 3 3" xfId="0"/>
    <cellStyle name="Normal 12 6 2 2 2 4" xfId="0"/>
    <cellStyle name="Normal 12 6 2 2 2 4 2" xfId="0"/>
    <cellStyle name="Normal 12 6 2 2 2 5" xfId="0"/>
    <cellStyle name="Normal 12 6 2 2 3" xfId="0"/>
    <cellStyle name="Normal 12 6 2 2 3 2" xfId="0"/>
    <cellStyle name="Normal 12 6 2 2 3 2 2" xfId="0"/>
    <cellStyle name="Normal 12 6 2 2 3 2 2 2" xfId="0"/>
    <cellStyle name="Normal 12 6 2 2 3 2 3" xfId="0"/>
    <cellStyle name="Normal 12 6 2 2 3 3" xfId="0"/>
    <cellStyle name="Normal 12 6 2 2 3 3 2" xfId="0"/>
    <cellStyle name="Normal 12 6 2 2 3 4" xfId="0"/>
    <cellStyle name="Normal 12 6 2 2 4" xfId="0"/>
    <cellStyle name="Normal 12 6 2 2 4 2" xfId="0"/>
    <cellStyle name="Normal 12 6 2 2 4 2 2" xfId="0"/>
    <cellStyle name="Normal 12 6 2 2 4 3" xfId="0"/>
    <cellStyle name="Normal 12 6 2 2 5" xfId="0"/>
    <cellStyle name="Normal 12 6 2 2 5 2" xfId="0"/>
    <cellStyle name="Normal 12 6 2 2 6" xfId="0"/>
    <cellStyle name="Normal 12 6 2 3" xfId="0"/>
    <cellStyle name="Normal 12 6 2 3 2" xfId="0"/>
    <cellStyle name="Normal 12 6 2 3 2 2" xfId="0"/>
    <cellStyle name="Normal 12 6 2 3 2 2 2" xfId="0"/>
    <cellStyle name="Normal 12 6 2 3 2 2 2 2" xfId="0"/>
    <cellStyle name="Normal 12 6 2 3 2 2 3" xfId="0"/>
    <cellStyle name="Normal 12 6 2 3 2 3" xfId="0"/>
    <cellStyle name="Normal 12 6 2 3 2 3 2" xfId="0"/>
    <cellStyle name="Normal 12 6 2 3 2 4" xfId="0"/>
    <cellStyle name="Normal 12 6 2 3 3" xfId="0"/>
    <cellStyle name="Normal 12 6 2 3 3 2" xfId="0"/>
    <cellStyle name="Normal 12 6 2 3 3 2 2" xfId="0"/>
    <cellStyle name="Normal 12 6 2 3 3 3" xfId="0"/>
    <cellStyle name="Normal 12 6 2 3 4" xfId="0"/>
    <cellStyle name="Normal 12 6 2 3 4 2" xfId="0"/>
    <cellStyle name="Normal 12 6 2 3 5" xfId="0"/>
    <cellStyle name="Normal 12 6 2 4" xfId="0"/>
    <cellStyle name="Normal 12 6 2 4 2" xfId="0"/>
    <cellStyle name="Normal 12 6 2 4 2 2" xfId="0"/>
    <cellStyle name="Normal 12 6 2 4 2 2 2" xfId="0"/>
    <cellStyle name="Normal 12 6 2 4 2 3" xfId="0"/>
    <cellStyle name="Normal 12 6 2 4 3" xfId="0"/>
    <cellStyle name="Normal 12 6 2 4 3 2" xfId="0"/>
    <cellStyle name="Normal 12 6 2 4 4" xfId="0"/>
    <cellStyle name="Normal 12 6 2 5" xfId="0"/>
    <cellStyle name="Normal 12 6 2 5 2" xfId="0"/>
    <cellStyle name="Normal 12 6 2 5 2 2" xfId="0"/>
    <cellStyle name="Normal 12 6 2 5 3" xfId="0"/>
    <cellStyle name="Normal 12 6 2 6" xfId="0"/>
    <cellStyle name="Normal 12 6 2 6 2" xfId="0"/>
    <cellStyle name="Normal 12 6 2 7" xfId="0"/>
    <cellStyle name="Normal 12 6 3" xfId="0"/>
    <cellStyle name="Normal 12 6 3 2" xfId="0"/>
    <cellStyle name="Normal 12 6 3 2 2" xfId="0"/>
    <cellStyle name="Normal 12 6 3 2 2 2" xfId="0"/>
    <cellStyle name="Normal 12 6 3 2 2 2 2" xfId="0"/>
    <cellStyle name="Normal 12 6 3 2 2 2 2 2" xfId="0"/>
    <cellStyle name="Normal 12 6 3 2 2 2 3" xfId="0"/>
    <cellStyle name="Normal 12 6 3 2 2 3" xfId="0"/>
    <cellStyle name="Normal 12 6 3 2 2 3 2" xfId="0"/>
    <cellStyle name="Normal 12 6 3 2 2 4" xfId="0"/>
    <cellStyle name="Normal 12 6 3 2 3" xfId="0"/>
    <cellStyle name="Normal 12 6 3 2 3 2" xfId="0"/>
    <cellStyle name="Normal 12 6 3 2 3 2 2" xfId="0"/>
    <cellStyle name="Normal 12 6 3 2 3 3" xfId="0"/>
    <cellStyle name="Normal 12 6 3 2 4" xfId="0"/>
    <cellStyle name="Normal 12 6 3 2 4 2" xfId="0"/>
    <cellStyle name="Normal 12 6 3 2 5" xfId="0"/>
    <cellStyle name="Normal 12 6 3 3" xfId="0"/>
    <cellStyle name="Normal 12 6 3 3 2" xfId="0"/>
    <cellStyle name="Normal 12 6 3 3 2 2" xfId="0"/>
    <cellStyle name="Normal 12 6 3 3 2 2 2" xfId="0"/>
    <cellStyle name="Normal 12 6 3 3 2 3" xfId="0"/>
    <cellStyle name="Normal 12 6 3 3 3" xfId="0"/>
    <cellStyle name="Normal 12 6 3 3 3 2" xfId="0"/>
    <cellStyle name="Normal 12 6 3 3 4" xfId="0"/>
    <cellStyle name="Normal 12 6 3 4" xfId="0"/>
    <cellStyle name="Normal 12 6 3 4 2" xfId="0"/>
    <cellStyle name="Normal 12 6 3 4 2 2" xfId="0"/>
    <cellStyle name="Normal 12 6 3 4 3" xfId="0"/>
    <cellStyle name="Normal 12 6 3 5" xfId="0"/>
    <cellStyle name="Normal 12 6 3 5 2" xfId="0"/>
    <cellStyle name="Normal 12 6 3 6" xfId="0"/>
    <cellStyle name="Normal 12 6 4" xfId="0"/>
    <cellStyle name="Normal 12 6 4 2" xfId="0"/>
    <cellStyle name="Normal 12 6 4 2 2" xfId="0"/>
    <cellStyle name="Normal 12 6 4 2 2 2" xfId="0"/>
    <cellStyle name="Normal 12 6 4 2 2 2 2" xfId="0"/>
    <cellStyle name="Normal 12 6 4 2 2 3" xfId="0"/>
    <cellStyle name="Normal 12 6 4 2 3" xfId="0"/>
    <cellStyle name="Normal 12 6 4 2 3 2" xfId="0"/>
    <cellStyle name="Normal 12 6 4 2 4" xfId="0"/>
    <cellStyle name="Normal 12 6 4 3" xfId="0"/>
    <cellStyle name="Normal 12 6 4 3 2" xfId="0"/>
    <cellStyle name="Normal 12 6 4 3 2 2" xfId="0"/>
    <cellStyle name="Normal 12 6 4 3 3" xfId="0"/>
    <cellStyle name="Normal 12 6 4 4" xfId="0"/>
    <cellStyle name="Normal 12 6 4 4 2" xfId="0"/>
    <cellStyle name="Normal 12 6 4 5" xfId="0"/>
    <cellStyle name="Normal 12 6 5" xfId="0"/>
    <cellStyle name="Normal 12 6 5 2" xfId="0"/>
    <cellStyle name="Normal 12 6 5 2 2" xfId="0"/>
    <cellStyle name="Normal 12 6 5 2 2 2" xfId="0"/>
    <cellStyle name="Normal 12 6 5 2 3" xfId="0"/>
    <cellStyle name="Normal 12 6 5 3" xfId="0"/>
    <cellStyle name="Normal 12 6 5 3 2" xfId="0"/>
    <cellStyle name="Normal 12 6 5 4" xfId="0"/>
    <cellStyle name="Normal 12 6 6" xfId="0"/>
    <cellStyle name="Normal 12 6 6 2" xfId="0"/>
    <cellStyle name="Normal 12 6 6 2 2" xfId="0"/>
    <cellStyle name="Normal 12 6 6 3" xfId="0"/>
    <cellStyle name="Normal 12 6 7" xfId="0"/>
    <cellStyle name="Normal 12 6 7 2" xfId="0"/>
    <cellStyle name="Normal 12 6 8" xfId="0"/>
    <cellStyle name="Normal 12 7" xfId="0"/>
    <cellStyle name="Normal 12 7 2" xfId="0"/>
    <cellStyle name="Normal 12 7 2 2" xfId="0"/>
    <cellStyle name="Normal 12 7 2 2 2" xfId="0"/>
    <cellStyle name="Normal 12 7 2 2 2 2" xfId="0"/>
    <cellStyle name="Normal 12 7 2 2 2 2 2" xfId="0"/>
    <cellStyle name="Normal 12 7 2 2 2 2 2 2" xfId="0"/>
    <cellStyle name="Normal 12 7 2 2 2 2 2 2 2" xfId="0"/>
    <cellStyle name="Normal 12 7 2 2 2 2 2 3" xfId="0"/>
    <cellStyle name="Normal 12 7 2 2 2 2 3" xfId="0"/>
    <cellStyle name="Normal 12 7 2 2 2 2 3 2" xfId="0"/>
    <cellStyle name="Normal 12 7 2 2 2 2 4" xfId="0"/>
    <cellStyle name="Normal 12 7 2 2 2 3" xfId="0"/>
    <cellStyle name="Normal 12 7 2 2 2 3 2" xfId="0"/>
    <cellStyle name="Normal 12 7 2 2 2 3 2 2" xfId="0"/>
    <cellStyle name="Normal 12 7 2 2 2 3 3" xfId="0"/>
    <cellStyle name="Normal 12 7 2 2 2 4" xfId="0"/>
    <cellStyle name="Normal 12 7 2 2 2 4 2" xfId="0"/>
    <cellStyle name="Normal 12 7 2 2 2 5" xfId="0"/>
    <cellStyle name="Normal 12 7 2 2 3" xfId="0"/>
    <cellStyle name="Normal 12 7 2 2 3 2" xfId="0"/>
    <cellStyle name="Normal 12 7 2 2 3 2 2" xfId="0"/>
    <cellStyle name="Normal 12 7 2 2 3 2 2 2" xfId="0"/>
    <cellStyle name="Normal 12 7 2 2 3 2 3" xfId="0"/>
    <cellStyle name="Normal 12 7 2 2 3 3" xfId="0"/>
    <cellStyle name="Normal 12 7 2 2 3 3 2" xfId="0"/>
    <cellStyle name="Normal 12 7 2 2 3 4" xfId="0"/>
    <cellStyle name="Normal 12 7 2 2 4" xfId="0"/>
    <cellStyle name="Normal 12 7 2 2 4 2" xfId="0"/>
    <cellStyle name="Normal 12 7 2 2 4 2 2" xfId="0"/>
    <cellStyle name="Normal 12 7 2 2 4 3" xfId="0"/>
    <cellStyle name="Normal 12 7 2 2 5" xfId="0"/>
    <cellStyle name="Normal 12 7 2 2 5 2" xfId="0"/>
    <cellStyle name="Normal 12 7 2 2 6" xfId="0"/>
    <cellStyle name="Normal 12 7 2 3" xfId="0"/>
    <cellStyle name="Normal 12 7 2 3 2" xfId="0"/>
    <cellStyle name="Normal 12 7 2 3 2 2" xfId="0"/>
    <cellStyle name="Normal 12 7 2 3 2 2 2" xfId="0"/>
    <cellStyle name="Normal 12 7 2 3 2 2 2 2" xfId="0"/>
    <cellStyle name="Normal 12 7 2 3 2 2 3" xfId="0"/>
    <cellStyle name="Normal 12 7 2 3 2 3" xfId="0"/>
    <cellStyle name="Normal 12 7 2 3 2 3 2" xfId="0"/>
    <cellStyle name="Normal 12 7 2 3 2 4" xfId="0"/>
    <cellStyle name="Normal 12 7 2 3 3" xfId="0"/>
    <cellStyle name="Normal 12 7 2 3 3 2" xfId="0"/>
    <cellStyle name="Normal 12 7 2 3 3 2 2" xfId="0"/>
    <cellStyle name="Normal 12 7 2 3 3 3" xfId="0"/>
    <cellStyle name="Normal 12 7 2 3 4" xfId="0"/>
    <cellStyle name="Normal 12 7 2 3 4 2" xfId="0"/>
    <cellStyle name="Normal 12 7 2 3 5" xfId="0"/>
    <cellStyle name="Normal 12 7 2 4" xfId="0"/>
    <cellStyle name="Normal 12 7 2 4 2" xfId="0"/>
    <cellStyle name="Normal 12 7 2 4 2 2" xfId="0"/>
    <cellStyle name="Normal 12 7 2 4 2 2 2" xfId="0"/>
    <cellStyle name="Normal 12 7 2 4 2 3" xfId="0"/>
    <cellStyle name="Normal 12 7 2 4 3" xfId="0"/>
    <cellStyle name="Normal 12 7 2 4 3 2" xfId="0"/>
    <cellStyle name="Normal 12 7 2 4 4" xfId="0"/>
    <cellStyle name="Normal 12 7 2 5" xfId="0"/>
    <cellStyle name="Normal 12 7 2 5 2" xfId="0"/>
    <cellStyle name="Normal 12 7 2 5 2 2" xfId="0"/>
    <cellStyle name="Normal 12 7 2 5 3" xfId="0"/>
    <cellStyle name="Normal 12 7 2 6" xfId="0"/>
    <cellStyle name="Normal 12 7 2 6 2" xfId="0"/>
    <cellStyle name="Normal 12 7 2 7" xfId="0"/>
    <cellStyle name="Normal 12 7 3" xfId="0"/>
    <cellStyle name="Normal 12 7 3 2" xfId="0"/>
    <cellStyle name="Normal 12 7 3 2 2" xfId="0"/>
    <cellStyle name="Normal 12 7 3 2 2 2" xfId="0"/>
    <cellStyle name="Normal 12 7 3 2 2 2 2" xfId="0"/>
    <cellStyle name="Normal 12 7 3 2 2 2 2 2" xfId="0"/>
    <cellStyle name="Normal 12 7 3 2 2 2 3" xfId="0"/>
    <cellStyle name="Normal 12 7 3 2 2 3" xfId="0"/>
    <cellStyle name="Normal 12 7 3 2 2 3 2" xfId="0"/>
    <cellStyle name="Normal 12 7 3 2 2 4" xfId="0"/>
    <cellStyle name="Normal 12 7 3 2 3" xfId="0"/>
    <cellStyle name="Normal 12 7 3 2 3 2" xfId="0"/>
    <cellStyle name="Normal 12 7 3 2 3 2 2" xfId="0"/>
    <cellStyle name="Normal 12 7 3 2 3 3" xfId="0"/>
    <cellStyle name="Normal 12 7 3 2 4" xfId="0"/>
    <cellStyle name="Normal 12 7 3 2 4 2" xfId="0"/>
    <cellStyle name="Normal 12 7 3 2 5" xfId="0"/>
    <cellStyle name="Normal 12 7 3 3" xfId="0"/>
    <cellStyle name="Normal 12 7 3 3 2" xfId="0"/>
    <cellStyle name="Normal 12 7 3 3 2 2" xfId="0"/>
    <cellStyle name="Normal 12 7 3 3 2 2 2" xfId="0"/>
    <cellStyle name="Normal 12 7 3 3 2 3" xfId="0"/>
    <cellStyle name="Normal 12 7 3 3 3" xfId="0"/>
    <cellStyle name="Normal 12 7 3 3 3 2" xfId="0"/>
    <cellStyle name="Normal 12 7 3 3 4" xfId="0"/>
    <cellStyle name="Normal 12 7 3 4" xfId="0"/>
    <cellStyle name="Normal 12 7 3 4 2" xfId="0"/>
    <cellStyle name="Normal 12 7 3 4 2 2" xfId="0"/>
    <cellStyle name="Normal 12 7 3 4 3" xfId="0"/>
    <cellStyle name="Normal 12 7 3 5" xfId="0"/>
    <cellStyle name="Normal 12 7 3 5 2" xfId="0"/>
    <cellStyle name="Normal 12 7 3 6" xfId="0"/>
    <cellStyle name="Normal 12 7 4" xfId="0"/>
    <cellStyle name="Normal 12 7 4 2" xfId="0"/>
    <cellStyle name="Normal 12 7 4 2 2" xfId="0"/>
    <cellStyle name="Normal 12 7 4 2 2 2" xfId="0"/>
    <cellStyle name="Normal 12 7 4 2 2 2 2" xfId="0"/>
    <cellStyle name="Normal 12 7 4 2 2 3" xfId="0"/>
    <cellStyle name="Normal 12 7 4 2 3" xfId="0"/>
    <cellStyle name="Normal 12 7 4 2 3 2" xfId="0"/>
    <cellStyle name="Normal 12 7 4 2 4" xfId="0"/>
    <cellStyle name="Normal 12 7 4 3" xfId="0"/>
    <cellStyle name="Normal 12 7 4 3 2" xfId="0"/>
    <cellStyle name="Normal 12 7 4 3 2 2" xfId="0"/>
    <cellStyle name="Normal 12 7 4 3 3" xfId="0"/>
    <cellStyle name="Normal 12 7 4 4" xfId="0"/>
    <cellStyle name="Normal 12 7 4 4 2" xfId="0"/>
    <cellStyle name="Normal 12 7 4 5" xfId="0"/>
    <cellStyle name="Normal 12 7 5" xfId="0"/>
    <cellStyle name="Normal 12 7 5 2" xfId="0"/>
    <cellStyle name="Normal 12 7 5 2 2" xfId="0"/>
    <cellStyle name="Normal 12 7 5 2 2 2" xfId="0"/>
    <cellStyle name="Normal 12 7 5 2 3" xfId="0"/>
    <cellStyle name="Normal 12 7 5 3" xfId="0"/>
    <cellStyle name="Normal 12 7 5 3 2" xfId="0"/>
    <cellStyle name="Normal 12 7 5 4" xfId="0"/>
    <cellStyle name="Normal 12 7 6" xfId="0"/>
    <cellStyle name="Normal 12 7 6 2" xfId="0"/>
    <cellStyle name="Normal 12 7 6 2 2" xfId="0"/>
    <cellStyle name="Normal 12 7 6 3" xfId="0"/>
    <cellStyle name="Normal 12 7 7" xfId="0"/>
    <cellStyle name="Normal 12 7 7 2" xfId="0"/>
    <cellStyle name="Normal 12 7 8" xfId="0"/>
    <cellStyle name="Normal 12 8" xfId="0"/>
    <cellStyle name="Normal 12 8 2" xfId="0"/>
    <cellStyle name="Normal 12 8 2 2" xfId="0"/>
    <cellStyle name="Normal 12 8 2 2 2" xfId="0"/>
    <cellStyle name="Normal 12 8 2 2 2 2" xfId="0"/>
    <cellStyle name="Normal 12 8 2 2 2 2 2" xfId="0"/>
    <cellStyle name="Normal 12 8 2 2 2 2 2 2" xfId="0"/>
    <cellStyle name="Normal 12 8 2 2 2 2 3" xfId="0"/>
    <cellStyle name="Normal 12 8 2 2 2 3" xfId="0"/>
    <cellStyle name="Normal 12 8 2 2 2 3 2" xfId="0"/>
    <cellStyle name="Normal 12 8 2 2 2 4" xfId="0"/>
    <cellStyle name="Normal 12 8 2 2 3" xfId="0"/>
    <cellStyle name="Normal 12 8 2 2 3 2" xfId="0"/>
    <cellStyle name="Normal 12 8 2 2 3 2 2" xfId="0"/>
    <cellStyle name="Normal 12 8 2 2 3 3" xfId="0"/>
    <cellStyle name="Normal 12 8 2 2 4" xfId="0"/>
    <cellStyle name="Normal 12 8 2 2 4 2" xfId="0"/>
    <cellStyle name="Normal 12 8 2 2 5" xfId="0"/>
    <cellStyle name="Normal 12 8 2 3" xfId="0"/>
    <cellStyle name="Normal 12 8 2 3 2" xfId="0"/>
    <cellStyle name="Normal 12 8 2 3 2 2" xfId="0"/>
    <cellStyle name="Normal 12 8 2 3 2 2 2" xfId="0"/>
    <cellStyle name="Normal 12 8 2 3 2 3" xfId="0"/>
    <cellStyle name="Normal 12 8 2 3 3" xfId="0"/>
    <cellStyle name="Normal 12 8 2 3 3 2" xfId="0"/>
    <cellStyle name="Normal 12 8 2 3 4" xfId="0"/>
    <cellStyle name="Normal 12 8 2 4" xfId="0"/>
    <cellStyle name="Normal 12 8 2 4 2" xfId="0"/>
    <cellStyle name="Normal 12 8 2 4 2 2" xfId="0"/>
    <cellStyle name="Normal 12 8 2 4 3" xfId="0"/>
    <cellStyle name="Normal 12 8 2 5" xfId="0"/>
    <cellStyle name="Normal 12 8 2 5 2" xfId="0"/>
    <cellStyle name="Normal 12 8 2 6" xfId="0"/>
    <cellStyle name="Normal 12 8 3" xfId="0"/>
    <cellStyle name="Normal 12 8 3 2" xfId="0"/>
    <cellStyle name="Normal 12 8 3 2 2" xfId="0"/>
    <cellStyle name="Normal 12 8 3 2 2 2" xfId="0"/>
    <cellStyle name="Normal 12 8 3 2 2 2 2" xfId="0"/>
    <cellStyle name="Normal 12 8 3 2 2 3" xfId="0"/>
    <cellStyle name="Normal 12 8 3 2 3" xfId="0"/>
    <cellStyle name="Normal 12 8 3 2 3 2" xfId="0"/>
    <cellStyle name="Normal 12 8 3 2 4" xfId="0"/>
    <cellStyle name="Normal 12 8 3 3" xfId="0"/>
    <cellStyle name="Normal 12 8 3 3 2" xfId="0"/>
    <cellStyle name="Normal 12 8 3 3 2 2" xfId="0"/>
    <cellStyle name="Normal 12 8 3 3 3" xfId="0"/>
    <cellStyle name="Normal 12 8 3 4" xfId="0"/>
    <cellStyle name="Normal 12 8 3 4 2" xfId="0"/>
    <cellStyle name="Normal 12 8 3 5" xfId="0"/>
    <cellStyle name="Normal 12 8 4" xfId="0"/>
    <cellStyle name="Normal 12 8 4 2" xfId="0"/>
    <cellStyle name="Normal 12 8 4 2 2" xfId="0"/>
    <cellStyle name="Normal 12 8 4 2 2 2" xfId="0"/>
    <cellStyle name="Normal 12 8 4 2 3" xfId="0"/>
    <cellStyle name="Normal 12 8 4 3" xfId="0"/>
    <cellStyle name="Normal 12 8 4 3 2" xfId="0"/>
    <cellStyle name="Normal 12 8 4 4" xfId="0"/>
    <cellStyle name="Normal 12 8 5" xfId="0"/>
    <cellStyle name="Normal 12 8 5 2" xfId="0"/>
    <cellStyle name="Normal 12 8 5 2 2" xfId="0"/>
    <cellStyle name="Normal 12 8 5 3" xfId="0"/>
    <cellStyle name="Normal 12 8 6" xfId="0"/>
    <cellStyle name="Normal 12 8 6 2" xfId="0"/>
    <cellStyle name="Normal 12 8 7" xfId="0"/>
    <cellStyle name="Normal 12 9" xfId="0"/>
    <cellStyle name="Normal 12 9 2" xfId="0"/>
    <cellStyle name="Normal 12 9 2 2" xfId="0"/>
    <cellStyle name="Normal 12 9 2 2 2" xfId="0"/>
    <cellStyle name="Normal 12 9 2 2 2 2" xfId="0"/>
    <cellStyle name="Normal 12 9 2 2 2 2 2" xfId="0"/>
    <cellStyle name="Normal 12 9 2 2 2 2 2 2" xfId="0"/>
    <cellStyle name="Normal 12 9 2 2 2 2 3" xfId="0"/>
    <cellStyle name="Normal 12 9 2 2 2 3" xfId="0"/>
    <cellStyle name="Normal 12 9 2 2 2 3 2" xfId="0"/>
    <cellStyle name="Normal 12 9 2 2 2 4" xfId="0"/>
    <cellStyle name="Normal 12 9 2 2 3" xfId="0"/>
    <cellStyle name="Normal 12 9 2 2 3 2" xfId="0"/>
    <cellStyle name="Normal 12 9 2 2 3 2 2" xfId="0"/>
    <cellStyle name="Normal 12 9 2 2 3 3" xfId="0"/>
    <cellStyle name="Normal 12 9 2 2 4" xfId="0"/>
    <cellStyle name="Normal 12 9 2 2 4 2" xfId="0"/>
    <cellStyle name="Normal 12 9 2 2 5" xfId="0"/>
    <cellStyle name="Normal 12 9 2 3" xfId="0"/>
    <cellStyle name="Normal 12 9 2 3 2" xfId="0"/>
    <cellStyle name="Normal 12 9 2 3 2 2" xfId="0"/>
    <cellStyle name="Normal 12 9 2 3 2 2 2" xfId="0"/>
    <cellStyle name="Normal 12 9 2 3 2 3" xfId="0"/>
    <cellStyle name="Normal 12 9 2 3 3" xfId="0"/>
    <cellStyle name="Normal 12 9 2 3 3 2" xfId="0"/>
    <cellStyle name="Normal 12 9 2 3 4" xfId="0"/>
    <cellStyle name="Normal 12 9 2 4" xfId="0"/>
    <cellStyle name="Normal 12 9 2 4 2" xfId="0"/>
    <cellStyle name="Normal 12 9 2 4 2 2" xfId="0"/>
    <cellStyle name="Normal 12 9 2 4 3" xfId="0"/>
    <cellStyle name="Normal 12 9 2 5" xfId="0"/>
    <cellStyle name="Normal 12 9 2 5 2" xfId="0"/>
    <cellStyle name="Normal 12 9 2 6" xfId="0"/>
    <cellStyle name="Normal 12 9 3" xfId="0"/>
    <cellStyle name="Normal 12 9 3 2" xfId="0"/>
    <cellStyle name="Normal 12 9 3 2 2" xfId="0"/>
    <cellStyle name="Normal 12 9 3 2 2 2" xfId="0"/>
    <cellStyle name="Normal 12 9 3 2 2 2 2" xfId="0"/>
    <cellStyle name="Normal 12 9 3 2 2 3" xfId="0"/>
    <cellStyle name="Normal 12 9 3 2 3" xfId="0"/>
    <cellStyle name="Normal 12 9 3 2 3 2" xfId="0"/>
    <cellStyle name="Normal 12 9 3 2 4" xfId="0"/>
    <cellStyle name="Normal 12 9 3 3" xfId="0"/>
    <cellStyle name="Normal 12 9 3 3 2" xfId="0"/>
    <cellStyle name="Normal 12 9 3 3 2 2" xfId="0"/>
    <cellStyle name="Normal 12 9 3 3 3" xfId="0"/>
    <cellStyle name="Normal 12 9 3 4" xfId="0"/>
    <cellStyle name="Normal 12 9 3 4 2" xfId="0"/>
    <cellStyle name="Normal 12 9 3 5" xfId="0"/>
    <cellStyle name="Normal 12 9 4" xfId="0"/>
    <cellStyle name="Normal 12 9 4 2" xfId="0"/>
    <cellStyle name="Normal 12 9 4 2 2" xfId="0"/>
    <cellStyle name="Normal 12 9 4 2 2 2" xfId="0"/>
    <cellStyle name="Normal 12 9 4 2 3" xfId="0"/>
    <cellStyle name="Normal 12 9 4 3" xfId="0"/>
    <cellStyle name="Normal 12 9 4 3 2" xfId="0"/>
    <cellStyle name="Normal 12 9 4 4" xfId="0"/>
    <cellStyle name="Normal 12 9 5" xfId="0"/>
    <cellStyle name="Normal 12 9 5 2" xfId="0"/>
    <cellStyle name="Normal 12 9 5 2 2" xfId="0"/>
    <cellStyle name="Normal 12 9 5 3" xfId="0"/>
    <cellStyle name="Normal 12 9 6" xfId="0"/>
    <cellStyle name="Normal 12 9 6 2" xfId="0"/>
    <cellStyle name="Normal 12 9 7" xfId="0"/>
    <cellStyle name="Normal 120" xfId="0"/>
    <cellStyle name="Normal 120 2" xfId="0"/>
    <cellStyle name="Normal 120 2 2" xfId="0"/>
    <cellStyle name="Normal 120 2 2 2" xfId="0"/>
    <cellStyle name="Normal 120 2 2 2 2" xfId="0"/>
    <cellStyle name="Normal 120 2 2 2 2 2" xfId="0"/>
    <cellStyle name="Normal 120 2 2 2 3" xfId="0"/>
    <cellStyle name="Normal 120 2 2 3" xfId="0"/>
    <cellStyle name="Normal 120 2 2 3 2" xfId="0"/>
    <cellStyle name="Normal 120 2 2 4" xfId="0"/>
    <cellStyle name="Normal 120 2 3" xfId="0"/>
    <cellStyle name="Normal 120 2 3 2" xfId="0"/>
    <cellStyle name="Normal 120 2 3 2 2" xfId="0"/>
    <cellStyle name="Normal 120 2 3 3" xfId="0"/>
    <cellStyle name="Normal 120 2 4" xfId="0"/>
    <cellStyle name="Normal 120 2 4 2" xfId="0"/>
    <cellStyle name="Normal 120 2 5" xfId="0"/>
    <cellStyle name="Normal 120 3" xfId="0"/>
    <cellStyle name="Normal 120 3 2" xfId="0"/>
    <cellStyle name="Normal 120 3 2 2" xfId="0"/>
    <cellStyle name="Normal 120 3 2 2 2" xfId="0"/>
    <cellStyle name="Normal 120 3 2 3" xfId="0"/>
    <cellStyle name="Normal 120 3 3" xfId="0"/>
    <cellStyle name="Normal 120 3 3 2" xfId="0"/>
    <cellStyle name="Normal 120 3 4" xfId="0"/>
    <cellStyle name="Normal 120 4" xfId="0"/>
    <cellStyle name="Normal 120 4 2" xfId="0"/>
    <cellStyle name="Normal 120 4 2 2" xfId="0"/>
    <cellStyle name="Normal 120 4 3" xfId="0"/>
    <cellStyle name="Normal 120 5" xfId="0"/>
    <cellStyle name="Normal 120 5 2" xfId="0"/>
    <cellStyle name="Normal 120 6" xfId="0"/>
    <cellStyle name="Normal 121" xfId="0"/>
    <cellStyle name="Normal 121 2" xfId="0"/>
    <cellStyle name="Normal 121 2 2" xfId="0"/>
    <cellStyle name="Normal 121 2 2 2" xfId="0"/>
    <cellStyle name="Normal 121 2 2 2 2" xfId="0"/>
    <cellStyle name="Normal 121 2 2 2 2 2" xfId="0"/>
    <cellStyle name="Normal 121 2 2 2 3" xfId="0"/>
    <cellStyle name="Normal 121 2 2 3" xfId="0"/>
    <cellStyle name="Normal 121 2 2 3 2" xfId="0"/>
    <cellStyle name="Normal 121 2 2 4" xfId="0"/>
    <cellStyle name="Normal 121 2 3" xfId="0"/>
    <cellStyle name="Normal 121 2 3 2" xfId="0"/>
    <cellStyle name="Normal 121 2 3 2 2" xfId="0"/>
    <cellStyle name="Normal 121 2 3 3" xfId="0"/>
    <cellStyle name="Normal 121 2 4" xfId="0"/>
    <cellStyle name="Normal 121 2 4 2" xfId="0"/>
    <cellStyle name="Normal 121 2 5" xfId="0"/>
    <cellStyle name="Normal 121 3" xfId="0"/>
    <cellStyle name="Normal 121 3 2" xfId="0"/>
    <cellStyle name="Normal 121 3 2 2" xfId="0"/>
    <cellStyle name="Normal 121 3 2 2 2" xfId="0"/>
    <cellStyle name="Normal 121 3 2 3" xfId="0"/>
    <cellStyle name="Normal 121 3 3" xfId="0"/>
    <cellStyle name="Normal 121 3 3 2" xfId="0"/>
    <cellStyle name="Normal 121 3 4" xfId="0"/>
    <cellStyle name="Normal 121 4" xfId="0"/>
    <cellStyle name="Normal 121 4 2" xfId="0"/>
    <cellStyle name="Normal 121 4 2 2" xfId="0"/>
    <cellStyle name="Normal 121 4 3" xfId="0"/>
    <cellStyle name="Normal 121 5" xfId="0"/>
    <cellStyle name="Normal 121 5 2" xfId="0"/>
    <cellStyle name="Normal 121 6" xfId="0"/>
    <cellStyle name="Normal 122" xfId="0"/>
    <cellStyle name="Normal 122 2" xfId="0"/>
    <cellStyle name="Normal 122 2 2" xfId="0"/>
    <cellStyle name="Normal 122 2 2 2" xfId="0"/>
    <cellStyle name="Normal 122 2 2 2 2" xfId="0"/>
    <cellStyle name="Normal 122 2 2 2 2 2" xfId="0"/>
    <cellStyle name="Normal 122 2 2 2 3" xfId="0"/>
    <cellStyle name="Normal 122 2 2 3" xfId="0"/>
    <cellStyle name="Normal 122 2 2 3 2" xfId="0"/>
    <cellStyle name="Normal 122 2 2 4" xfId="0"/>
    <cellStyle name="Normal 122 2 3" xfId="0"/>
    <cellStyle name="Normal 122 2 3 2" xfId="0"/>
    <cellStyle name="Normal 122 2 3 2 2" xfId="0"/>
    <cellStyle name="Normal 122 2 3 3" xfId="0"/>
    <cellStyle name="Normal 122 2 4" xfId="0"/>
    <cellStyle name="Normal 122 2 4 2" xfId="0"/>
    <cellStyle name="Normal 122 2 5" xfId="0"/>
    <cellStyle name="Normal 122 3" xfId="0"/>
    <cellStyle name="Normal 122 3 2" xfId="0"/>
    <cellStyle name="Normal 122 3 2 2" xfId="0"/>
    <cellStyle name="Normal 122 3 2 2 2" xfId="0"/>
    <cellStyle name="Normal 122 3 2 3" xfId="0"/>
    <cellStyle name="Normal 122 3 3" xfId="0"/>
    <cellStyle name="Normal 122 3 3 2" xfId="0"/>
    <cellStyle name="Normal 122 3 4" xfId="0"/>
    <cellStyle name="Normal 122 4" xfId="0"/>
    <cellStyle name="Normal 122 4 2" xfId="0"/>
    <cellStyle name="Normal 122 4 2 2" xfId="0"/>
    <cellStyle name="Normal 122 4 3" xfId="0"/>
    <cellStyle name="Normal 122 5" xfId="0"/>
    <cellStyle name="Normal 122 5 2" xfId="0"/>
    <cellStyle name="Normal 122 6" xfId="0"/>
    <cellStyle name="Normal 123" xfId="0"/>
    <cellStyle name="Normal 124" xfId="0"/>
    <cellStyle name="Normal 125" xfId="0"/>
    <cellStyle name="Normal 126" xfId="0"/>
    <cellStyle name="Normal 127" xfId="0"/>
    <cellStyle name="Normal 128" xfId="0"/>
    <cellStyle name="Normal 129" xfId="0"/>
    <cellStyle name="Normal 13" xfId="0"/>
    <cellStyle name="Normal 13 2" xfId="0"/>
    <cellStyle name="Normal 13 2 2" xfId="0"/>
    <cellStyle name="Normal 13 3" xfId="0"/>
    <cellStyle name="Normal 13 4" xfId="0"/>
    <cellStyle name="Normal 13 5" xfId="0"/>
    <cellStyle name="Normal 130" xfId="0"/>
    <cellStyle name="Normal 131" xfId="0"/>
    <cellStyle name="Normal 132" xfId="0"/>
    <cellStyle name="Normal 133" xfId="0"/>
    <cellStyle name="Normal 134" xfId="0"/>
    <cellStyle name="Normal 135" xfId="0"/>
    <cellStyle name="Normal 136" xfId="0"/>
    <cellStyle name="Normal 137" xfId="0"/>
    <cellStyle name="Normal 138" xfId="0"/>
    <cellStyle name="Normal 139" xfId="0"/>
    <cellStyle name="Normal 14" xfId="0"/>
    <cellStyle name="Normal 14 2" xfId="0"/>
    <cellStyle name="Normal 14 2 2" xfId="0"/>
    <cellStyle name="Normal 14 3" xfId="0"/>
    <cellStyle name="Normal 14 4" xfId="0"/>
    <cellStyle name="Normal 14 5" xfId="0"/>
    <cellStyle name="Normal 140" xfId="0"/>
    <cellStyle name="Normal 141" xfId="0"/>
    <cellStyle name="Normal 142" xfId="0"/>
    <cellStyle name="Normal 143" xfId="0"/>
    <cellStyle name="Normal 144" xfId="0"/>
    <cellStyle name="Normal 145" xfId="0"/>
    <cellStyle name="Normal 146" xfId="0"/>
    <cellStyle name="Normal 147" xfId="0"/>
    <cellStyle name="Normal 148" xfId="0"/>
    <cellStyle name="Normal 149" xfId="0"/>
    <cellStyle name="Normal 15" xfId="0"/>
    <cellStyle name="Normal 15 2" xfId="0"/>
    <cellStyle name="Normal 15 2 2" xfId="0"/>
    <cellStyle name="Normal 15 3" xfId="0"/>
    <cellStyle name="Normal 15 4" xfId="0"/>
    <cellStyle name="Normal 150" xfId="0"/>
    <cellStyle name="Normal 151" xfId="0"/>
    <cellStyle name="Normal 152" xfId="0"/>
    <cellStyle name="Normal 153" xfId="0"/>
    <cellStyle name="Normal 154" xfId="0"/>
    <cellStyle name="Normal 155" xfId="0"/>
    <cellStyle name="Normal 156" xfId="0"/>
    <cellStyle name="Normal 157" xfId="0"/>
    <cellStyle name="Normal 158" xfId="0"/>
    <cellStyle name="Normal 159" xfId="0"/>
    <cellStyle name="Normal 16" xfId="0"/>
    <cellStyle name="Normal 16 2" xfId="0"/>
    <cellStyle name="Normal 16 2 2" xfId="0"/>
    <cellStyle name="Normal 16 3" xfId="0"/>
    <cellStyle name="Normal 160" xfId="0"/>
    <cellStyle name="Normal 161" xfId="0"/>
    <cellStyle name="Normal 162" xfId="0"/>
    <cellStyle name="Normal 163" xfId="0"/>
    <cellStyle name="Normal 164" xfId="0"/>
    <cellStyle name="Normal 165" xfId="0"/>
    <cellStyle name="Normal 166" xfId="0"/>
    <cellStyle name="Normal 167" xfId="0"/>
    <cellStyle name="Normal 168" xfId="0"/>
    <cellStyle name="Normal 169" xfId="0"/>
    <cellStyle name="Normal 17" xfId="0"/>
    <cellStyle name="Normal 17 2" xfId="0"/>
    <cellStyle name="Normal 17 2 2" xfId="0"/>
    <cellStyle name="Normal 17 3" xfId="0"/>
    <cellStyle name="Normal 170" xfId="0"/>
    <cellStyle name="Normal 171" xfId="0"/>
    <cellStyle name="Normal 172" xfId="0"/>
    <cellStyle name="Normal 173" xfId="0"/>
    <cellStyle name="Normal 174" xfId="0"/>
    <cellStyle name="Normal 175" xfId="0"/>
    <cellStyle name="Normal 176" xfId="0"/>
    <cellStyle name="Normal 177" xfId="0"/>
    <cellStyle name="Normal 178" xfId="0"/>
    <cellStyle name="Normal 179" xfId="0"/>
    <cellStyle name="Normal 18" xfId="0"/>
    <cellStyle name="Normal 18 2" xfId="0"/>
    <cellStyle name="Normal 18 2 2" xfId="0"/>
    <cellStyle name="Normal 18 3" xfId="0"/>
    <cellStyle name="Normal 180" xfId="0"/>
    <cellStyle name="Normal 181" xfId="0"/>
    <cellStyle name="Normal 182" xfId="0"/>
    <cellStyle name="Normal 183" xfId="0"/>
    <cellStyle name="Normal 184" xfId="0"/>
    <cellStyle name="Normal 185" xfId="0"/>
    <cellStyle name="Normal 186" xfId="0"/>
    <cellStyle name="Normal 187" xfId="0"/>
    <cellStyle name="Normal 188" xfId="0"/>
    <cellStyle name="Normal 189" xfId="0"/>
    <cellStyle name="Normal 19" xfId="0"/>
    <cellStyle name="Normal 19 2" xfId="0"/>
    <cellStyle name="Normal 19 2 2" xfId="0"/>
    <cellStyle name="Normal 19 3" xfId="0"/>
    <cellStyle name="Normal 19 4" xfId="0"/>
    <cellStyle name="Normal 190" xfId="0"/>
    <cellStyle name="Normal 191" xfId="0"/>
    <cellStyle name="Normal 192" xfId="0"/>
    <cellStyle name="Normal 193" xfId="0"/>
    <cellStyle name="Normal 194" xfId="0"/>
    <cellStyle name="Normal 195" xfId="0"/>
    <cellStyle name="Normal 196" xfId="0"/>
    <cellStyle name="Normal 197" xfId="0"/>
    <cellStyle name="Normal 198" xfId="0"/>
    <cellStyle name="Normal 199" xfId="0"/>
    <cellStyle name="Normal 2" xfId="0"/>
    <cellStyle name="Normal 2 10" xfId="0"/>
    <cellStyle name="Normal 2 10 2" xfId="0"/>
    <cellStyle name="Normal 2 10 3" xfId="0"/>
    <cellStyle name="Normal 2 100" xfId="0"/>
    <cellStyle name="Normal 2 101" xfId="0"/>
    <cellStyle name="Normal 2 102" xfId="0"/>
    <cellStyle name="Normal 2 103" xfId="0"/>
    <cellStyle name="Normal 2 104" xfId="0"/>
    <cellStyle name="Normal 2 105" xfId="0"/>
    <cellStyle name="Normal 2 106" xfId="0"/>
    <cellStyle name="Normal 2 107" xfId="0"/>
    <cellStyle name="Normal 2 108" xfId="0"/>
    <cellStyle name="Normal 2 109" xfId="0"/>
    <cellStyle name="Normal 2 11" xfId="0"/>
    <cellStyle name="Normal 2 11 2" xfId="0"/>
    <cellStyle name="Normal 2 110" xfId="0"/>
    <cellStyle name="Normal 2 111" xfId="0"/>
    <cellStyle name="Normal 2 112" xfId="0"/>
    <cellStyle name="Normal 2 113" xfId="0"/>
    <cellStyle name="Normal 2 114" xfId="0"/>
    <cellStyle name="Normal 2 115" xfId="0"/>
    <cellStyle name="Normal 2 116" xfId="0"/>
    <cellStyle name="Normal 2 117" xfId="0"/>
    <cellStyle name="Normal 2 118" xfId="0"/>
    <cellStyle name="Normal 2 119" xfId="0"/>
    <cellStyle name="Normal 2 12" xfId="0"/>
    <cellStyle name="Normal 2 12 2" xfId="0"/>
    <cellStyle name="Normal 2 120" xfId="0"/>
    <cellStyle name="Normal 2 121" xfId="0"/>
    <cellStyle name="Normal 2 122" xfId="0"/>
    <cellStyle name="Normal 2 123" xfId="0"/>
    <cellStyle name="Normal 2 124" xfId="0"/>
    <cellStyle name="Normal 2 125" xfId="0"/>
    <cellStyle name="Normal 2 126" xfId="0"/>
    <cellStyle name="Normal 2 127" xfId="0"/>
    <cellStyle name="Normal 2 128" xfId="0"/>
    <cellStyle name="Normal 2 129" xfId="0"/>
    <cellStyle name="Normal 2 13" xfId="0"/>
    <cellStyle name="Normal 2 13 2" xfId="0"/>
    <cellStyle name="Normal 2 130" xfId="0"/>
    <cellStyle name="Normal 2 131" xfId="0"/>
    <cellStyle name="Normal 2 132" xfId="0"/>
    <cellStyle name="Normal 2 133" xfId="0"/>
    <cellStyle name="Normal 2 134" xfId="0"/>
    <cellStyle name="Normal 2 135" xfId="0"/>
    <cellStyle name="Normal 2 136" xfId="0"/>
    <cellStyle name="Normal 2 137" xfId="0"/>
    <cellStyle name="Normal 2 138" xfId="0"/>
    <cellStyle name="Normal 2 139" xfId="0"/>
    <cellStyle name="Normal 2 14" xfId="0"/>
    <cellStyle name="Normal 2 140" xfId="0"/>
    <cellStyle name="Normal 2 141" xfId="0"/>
    <cellStyle name="Normal 2 142" xfId="0"/>
    <cellStyle name="Normal 2 143" xfId="0"/>
    <cellStyle name="Normal 2 144" xfId="0"/>
    <cellStyle name="Normal 2 145" xfId="0"/>
    <cellStyle name="Normal 2 146" xfId="0"/>
    <cellStyle name="Normal 2 147" xfId="0"/>
    <cellStyle name="Normal 2 148" xfId="0"/>
    <cellStyle name="Normal 2 149" xfId="0"/>
    <cellStyle name="Normal 2 15" xfId="0"/>
    <cellStyle name="Normal 2 150" xfId="0"/>
    <cellStyle name="Normal 2 151" xfId="0"/>
    <cellStyle name="Normal 2 152" xfId="0"/>
    <cellStyle name="Normal 2 153" xfId="0"/>
    <cellStyle name="Normal 2 154" xfId="0"/>
    <cellStyle name="Normal 2 155" xfId="0"/>
    <cellStyle name="Normal 2 156" xfId="0"/>
    <cellStyle name="Normal 2 157" xfId="0"/>
    <cellStyle name="Normal 2 158" xfId="0"/>
    <cellStyle name="Normal 2 159" xfId="0"/>
    <cellStyle name="Normal 2 16" xfId="0"/>
    <cellStyle name="Normal 2 160" xfId="0"/>
    <cellStyle name="Normal 2 161" xfId="0"/>
    <cellStyle name="Normal 2 162" xfId="0"/>
    <cellStyle name="Normal 2 163" xfId="0"/>
    <cellStyle name="Normal 2 164" xfId="0"/>
    <cellStyle name="Normal 2 165" xfId="0"/>
    <cellStyle name="Normal 2 166" xfId="0"/>
    <cellStyle name="Normal 2 167" xfId="0"/>
    <cellStyle name="Normal 2 168" xfId="0"/>
    <cellStyle name="Normal 2 169" xfId="0"/>
    <cellStyle name="Normal 2 17" xfId="0"/>
    <cellStyle name="Normal 2 170" xfId="0"/>
    <cellStyle name="Normal 2 171" xfId="0"/>
    <cellStyle name="Normal 2 172" xfId="0"/>
    <cellStyle name="Normal 2 173" xfId="0"/>
    <cellStyle name="Normal 2 174" xfId="0"/>
    <cellStyle name="Normal 2 175" xfId="0"/>
    <cellStyle name="Normal 2 176" xfId="0"/>
    <cellStyle name="Normal 2 177" xfId="0"/>
    <cellStyle name="Normal 2 178" xfId="0"/>
    <cellStyle name="Normal 2 179" xfId="0"/>
    <cellStyle name="Normal 2 18" xfId="0"/>
    <cellStyle name="Normal 2 180" xfId="0"/>
    <cellStyle name="Normal 2 181" xfId="0"/>
    <cellStyle name="Normal 2 182" xfId="0"/>
    <cellStyle name="Normal 2 183" xfId="0"/>
    <cellStyle name="Normal 2 184" xfId="0"/>
    <cellStyle name="Normal 2 185" xfId="0"/>
    <cellStyle name="Normal 2 186" xfId="0"/>
    <cellStyle name="Normal 2 187" xfId="0"/>
    <cellStyle name="Normal 2 188" xfId="0"/>
    <cellStyle name="Normal 2 189" xfId="0"/>
    <cellStyle name="Normal 2 19" xfId="0"/>
    <cellStyle name="Normal 2 190" xfId="0"/>
    <cellStyle name="Normal 2 191" xfId="0"/>
    <cellStyle name="Normal 2 192" xfId="0"/>
    <cellStyle name="Normal 2 193" xfId="0"/>
    <cellStyle name="Normal 2 194" xfId="0"/>
    <cellStyle name="Normal 2 195" xfId="0"/>
    <cellStyle name="Normal 2 196" xfId="0"/>
    <cellStyle name="Normal 2 197" xfId="0"/>
    <cellStyle name="Normal 2 198" xfId="0"/>
    <cellStyle name="Normal 2 199" xfId="0"/>
    <cellStyle name="Normal 2 2" xfId="0"/>
    <cellStyle name="Normal 2 2 2" xfId="0"/>
    <cellStyle name="Normal 2 2 2 2" xfId="0"/>
    <cellStyle name="Normal 2 2 2 2 2" xfId="0"/>
    <cellStyle name="Normal 2 2 2 2 2 2" xfId="0"/>
    <cellStyle name="Normal 2 2 2 2 2 3" xfId="0"/>
    <cellStyle name="Normal 2 2 2 2 3" xfId="0"/>
    <cellStyle name="Normal 2 2 2 2 4" xfId="0"/>
    <cellStyle name="Normal 2 2 2 2 5" xfId="0"/>
    <cellStyle name="Normal 2 2 2 3" xfId="0"/>
    <cellStyle name="Normal 2 2 2 4" xfId="0"/>
    <cellStyle name="Normal 2 2 3" xfId="0"/>
    <cellStyle name="Normal 2 2 3 2" xfId="0"/>
    <cellStyle name="Normal 2 2 3 3" xfId="0"/>
    <cellStyle name="Normal 2 2 4" xfId="0"/>
    <cellStyle name="Normal 2 2 4 2" xfId="0"/>
    <cellStyle name="Normal 2 2 5" xfId="0"/>
    <cellStyle name="Normal 2 2 5 2" xfId="0"/>
    <cellStyle name="Normal 2 2 6" xfId="0"/>
    <cellStyle name="Normal 2 2 7" xfId="0"/>
    <cellStyle name="Normal 2 2 8" xfId="0"/>
    <cellStyle name="Normal 2 20" xfId="0"/>
    <cellStyle name="Normal 2 200" xfId="0"/>
    <cellStyle name="Normal 2 201" xfId="0"/>
    <cellStyle name="Normal 2 202" xfId="0"/>
    <cellStyle name="Normal 2 203" xfId="0"/>
    <cellStyle name="Normal 2 204" xfId="0"/>
    <cellStyle name="Normal 2 205" xfId="0"/>
    <cellStyle name="Normal 2 206" xfId="0"/>
    <cellStyle name="Normal 2 207" xfId="0"/>
    <cellStyle name="Normal 2 208" xfId="0"/>
    <cellStyle name="Normal 2 209" xfId="0"/>
    <cellStyle name="Normal 2 21" xfId="0"/>
    <cellStyle name="Normal 2 210" xfId="0"/>
    <cellStyle name="Normal 2 211" xfId="0"/>
    <cellStyle name="Normal 2 212" xfId="0"/>
    <cellStyle name="Normal 2 213" xfId="0"/>
    <cellStyle name="Normal 2 214" xfId="0"/>
    <cellStyle name="Normal 2 215" xfId="0"/>
    <cellStyle name="Normal 2 216" xfId="0"/>
    <cellStyle name="Normal 2 217" xfId="0"/>
    <cellStyle name="Normal 2 218" xfId="0"/>
    <cellStyle name="Normal 2 219" xfId="0"/>
    <cellStyle name="Normal 2 22" xfId="0"/>
    <cellStyle name="Normal 2 220" xfId="0"/>
    <cellStyle name="Normal 2 221" xfId="0"/>
    <cellStyle name="Normal 2 222" xfId="0"/>
    <cellStyle name="Normal 2 223" xfId="0"/>
    <cellStyle name="Normal 2 224" xfId="0"/>
    <cellStyle name="Normal 2 225" xfId="0"/>
    <cellStyle name="Normal 2 226" xfId="0"/>
    <cellStyle name="Normal 2 227" xfId="0"/>
    <cellStyle name="Normal 2 228" xfId="0"/>
    <cellStyle name="Normal 2 229" xfId="0"/>
    <cellStyle name="Normal 2 23" xfId="0"/>
    <cellStyle name="Normal 2 230" xfId="0"/>
    <cellStyle name="Normal 2 231" xfId="0"/>
    <cellStyle name="Normal 2 232" xfId="0"/>
    <cellStyle name="Normal 2 233" xfId="0"/>
    <cellStyle name="Normal 2 234" xfId="0"/>
    <cellStyle name="Normal 2 235" xfId="0"/>
    <cellStyle name="Normal 2 236" xfId="0"/>
    <cellStyle name="Normal 2 237" xfId="0"/>
    <cellStyle name="Normal 2 238" xfId="0"/>
    <cellStyle name="Normal 2 239" xfId="0"/>
    <cellStyle name="Normal 2 24" xfId="0"/>
    <cellStyle name="Normal 2 240" xfId="0"/>
    <cellStyle name="Normal 2 241" xfId="0"/>
    <cellStyle name="Normal 2 242" xfId="0"/>
    <cellStyle name="Normal 2 243" xfId="0"/>
    <cellStyle name="Normal 2 244" xfId="0"/>
    <cellStyle name="Normal 2 245" xfId="0"/>
    <cellStyle name="Normal 2 246" xfId="0"/>
    <cellStyle name="Normal 2 247" xfId="0"/>
    <cellStyle name="Normal 2 248" xfId="0"/>
    <cellStyle name="Normal 2 249" xfId="0"/>
    <cellStyle name="Normal 2 25" xfId="0"/>
    <cellStyle name="Normal 2 250" xfId="0"/>
    <cellStyle name="Normal 2 251" xfId="0"/>
    <cellStyle name="Normal 2 252" xfId="0"/>
    <cellStyle name="Normal 2 253" xfId="0"/>
    <cellStyle name="Normal 2 254" xfId="0"/>
    <cellStyle name="Normal 2 255" xfId="0"/>
    <cellStyle name="Normal 2 256" xfId="0"/>
    <cellStyle name="Normal 2 257" xfId="0"/>
    <cellStyle name="Normal 2 258" xfId="0"/>
    <cellStyle name="Normal 2 259" xfId="0"/>
    <cellStyle name="Normal 2 26" xfId="0"/>
    <cellStyle name="Normal 2 260" xfId="0"/>
    <cellStyle name="Normal 2 261" xfId="0"/>
    <cellStyle name="Normal 2 27" xfId="0"/>
    <cellStyle name="Normal 2 28" xfId="0"/>
    <cellStyle name="Normal 2 29" xfId="0"/>
    <cellStyle name="Normal 2 2_Profitability Detail NT$ Sep-12" xfId="0"/>
    <cellStyle name="Normal 2 3" xfId="0"/>
    <cellStyle name="Normal 2 3 2" xfId="0"/>
    <cellStyle name="Normal 2 3 2 2" xfId="0"/>
    <cellStyle name="Normal 2 3 3" xfId="0"/>
    <cellStyle name="Normal 2 30" xfId="0"/>
    <cellStyle name="Normal 2 31" xfId="0"/>
    <cellStyle name="Normal 2 32" xfId="0"/>
    <cellStyle name="Normal 2 33" xfId="0"/>
    <cellStyle name="Normal 2 34" xfId="0"/>
    <cellStyle name="Normal 2 35" xfId="0"/>
    <cellStyle name="Normal 2 36" xfId="0"/>
    <cellStyle name="Normal 2 37" xfId="0"/>
    <cellStyle name="Normal 2 38" xfId="0"/>
    <cellStyle name="Normal 2 39" xfId="0"/>
    <cellStyle name="Normal 2 4" xfId="0"/>
    <cellStyle name="Normal 2 4 2" xfId="0"/>
    <cellStyle name="Normal 2 4 2 2" xfId="0"/>
    <cellStyle name="Normal 2 4 3" xfId="0"/>
    <cellStyle name="Normal 2 40" xfId="0"/>
    <cellStyle name="Normal 2 41" xfId="0"/>
    <cellStyle name="Normal 2 42" xfId="0"/>
    <cellStyle name="Normal 2 43" xfId="0"/>
    <cellStyle name="Normal 2 44" xfId="0"/>
    <cellStyle name="Normal 2 45" xfId="0"/>
    <cellStyle name="Normal 2 46" xfId="0"/>
    <cellStyle name="Normal 2 47" xfId="0"/>
    <cellStyle name="Normal 2 48" xfId="0"/>
    <cellStyle name="Normal 2 49" xfId="0"/>
    <cellStyle name="Normal 2 5" xfId="0"/>
    <cellStyle name="Normal 2 5 2" xfId="0"/>
    <cellStyle name="Normal 2 5 2 2" xfId="0"/>
    <cellStyle name="Normal 2 50" xfId="0"/>
    <cellStyle name="Normal 2 51" xfId="0"/>
    <cellStyle name="Normal 2 52" xfId="0"/>
    <cellStyle name="Normal 2 53" xfId="0"/>
    <cellStyle name="Normal 2 54" xfId="0"/>
    <cellStyle name="Normal 2 55" xfId="0"/>
    <cellStyle name="Normal 2 56" xfId="0"/>
    <cellStyle name="Normal 2 57" xfId="0"/>
    <cellStyle name="Normal 2 58" xfId="0"/>
    <cellStyle name="Normal 2 59" xfId="0"/>
    <cellStyle name="Normal 2 6" xfId="0"/>
    <cellStyle name="Normal 2 6 2" xfId="0"/>
    <cellStyle name="Normal 2 6 3" xfId="0"/>
    <cellStyle name="Normal 2 6 4" xfId="0"/>
    <cellStyle name="Normal 2 60" xfId="0"/>
    <cellStyle name="Normal 2 61" xfId="0"/>
    <cellStyle name="Normal 2 62" xfId="0"/>
    <cellStyle name="Normal 2 63" xfId="0"/>
    <cellStyle name="Normal 2 64" xfId="0"/>
    <cellStyle name="Normal 2 65" xfId="0"/>
    <cellStyle name="Normal 2 66" xfId="0"/>
    <cellStyle name="Normal 2 67" xfId="0"/>
    <cellStyle name="Normal 2 68" xfId="0"/>
    <cellStyle name="Normal 2 69" xfId="0"/>
    <cellStyle name="Normal 2 7" xfId="0"/>
    <cellStyle name="Normal 2 7 2" xfId="0"/>
    <cellStyle name="Normal 2 7 3" xfId="0"/>
    <cellStyle name="Normal 2 70" xfId="0"/>
    <cellStyle name="Normal 2 71" xfId="0"/>
    <cellStyle name="Normal 2 72" xfId="0"/>
    <cellStyle name="Normal 2 73" xfId="0"/>
    <cellStyle name="Normal 2 74" xfId="0"/>
    <cellStyle name="Normal 2 75" xfId="0"/>
    <cellStyle name="Normal 2 76" xfId="0"/>
    <cellStyle name="Normal 2 77" xfId="0"/>
    <cellStyle name="Normal 2 78" xfId="0"/>
    <cellStyle name="Normal 2 79" xfId="0"/>
    <cellStyle name="Normal 2 8" xfId="0"/>
    <cellStyle name="Normal 2 8 2" xfId="0"/>
    <cellStyle name="Normal 2 80" xfId="0"/>
    <cellStyle name="Normal 2 81" xfId="0"/>
    <cellStyle name="Normal 2 82" xfId="0"/>
    <cellStyle name="Normal 2 83" xfId="0"/>
    <cellStyle name="Normal 2 84" xfId="0"/>
    <cellStyle name="Normal 2 85" xfId="0"/>
    <cellStyle name="Normal 2 86" xfId="0"/>
    <cellStyle name="Normal 2 87" xfId="0"/>
    <cellStyle name="Normal 2 88" xfId="0"/>
    <cellStyle name="Normal 2 89" xfId="0"/>
    <cellStyle name="Normal 2 9" xfId="0"/>
    <cellStyle name="Normal 2 9 2" xfId="0"/>
    <cellStyle name="Normal 2 90" xfId="0"/>
    <cellStyle name="Normal 2 91" xfId="0"/>
    <cellStyle name="Normal 2 92" xfId="0"/>
    <cellStyle name="Normal 2 93" xfId="0"/>
    <cellStyle name="Normal 2 94" xfId="0"/>
    <cellStyle name="Normal 2 95" xfId="0"/>
    <cellStyle name="Normal 2 96" xfId="0"/>
    <cellStyle name="Normal 2 97" xfId="0"/>
    <cellStyle name="Normal 2 98" xfId="0"/>
    <cellStyle name="Normal 2 99" xfId="0"/>
    <cellStyle name="Normal 20" xfId="0"/>
    <cellStyle name="Normal 20 2" xfId="0"/>
    <cellStyle name="Normal 20 2 2" xfId="0"/>
    <cellStyle name="Normal 20 3" xfId="0"/>
    <cellStyle name="Normal 200" xfId="0"/>
    <cellStyle name="Normal 201" xfId="0"/>
    <cellStyle name="Normal 202" xfId="0"/>
    <cellStyle name="Normal 203" xfId="0"/>
    <cellStyle name="Normal 204" xfId="0"/>
    <cellStyle name="Normal 205" xfId="0"/>
    <cellStyle name="Normal 206" xfId="0"/>
    <cellStyle name="Normal 207" xfId="0"/>
    <cellStyle name="Normal 208" xfId="0"/>
    <cellStyle name="Normal 209" xfId="0"/>
    <cellStyle name="Normal 21" xfId="0"/>
    <cellStyle name="Normal 21 2" xfId="0"/>
    <cellStyle name="Normal 21 2 2" xfId="0"/>
    <cellStyle name="Normal 21 3" xfId="0"/>
    <cellStyle name="Normal 210" xfId="0"/>
    <cellStyle name="Normal 211" xfId="0"/>
    <cellStyle name="Normal 212" xfId="0"/>
    <cellStyle name="Normal 213" xfId="0"/>
    <cellStyle name="Normal 214" xfId="0"/>
    <cellStyle name="Normal 215" xfId="0"/>
    <cellStyle name="Normal 216" xfId="0"/>
    <cellStyle name="Normal 217" xfId="0"/>
    <cellStyle name="Normal 218" xfId="0"/>
    <cellStyle name="Normal 219" xfId="0"/>
    <cellStyle name="Normal 22" xfId="0"/>
    <cellStyle name="Normal 22 2" xfId="0"/>
    <cellStyle name="Normal 22 2 2" xfId="0"/>
    <cellStyle name="Normal 22 3" xfId="0"/>
    <cellStyle name="Normal 22 4" xfId="0"/>
    <cellStyle name="Normal 220" xfId="0"/>
    <cellStyle name="Normal 221" xfId="0"/>
    <cellStyle name="Normal 222" xfId="0"/>
    <cellStyle name="Normal 223" xfId="0"/>
    <cellStyle name="Normal 224" xfId="0"/>
    <cellStyle name="Normal 225" xfId="0"/>
    <cellStyle name="Normal 226" xfId="0"/>
    <cellStyle name="Normal 227" xfId="0"/>
    <cellStyle name="Normal 228" xfId="0"/>
    <cellStyle name="Normal 23" xfId="0"/>
    <cellStyle name="Normal 23 2" xfId="0"/>
    <cellStyle name="Normal 23 2 2" xfId="0"/>
    <cellStyle name="Normal 23 3" xfId="0"/>
    <cellStyle name="Normal 24" xfId="0"/>
    <cellStyle name="Normal 24 2" xfId="0"/>
    <cellStyle name="Normal 24 2 2" xfId="0"/>
    <cellStyle name="Normal 24 3" xfId="0"/>
    <cellStyle name="Normal 25" xfId="0"/>
    <cellStyle name="Normal 25 2" xfId="0"/>
    <cellStyle name="Normal 25 2 2" xfId="0"/>
    <cellStyle name="Normal 25 3" xfId="0"/>
    <cellStyle name="Normal 26" xfId="0"/>
    <cellStyle name="Normal 26 2" xfId="0"/>
    <cellStyle name="Normal 26 2 2" xfId="0"/>
    <cellStyle name="Normal 26 3" xfId="0"/>
    <cellStyle name="Normal 27" xfId="0"/>
    <cellStyle name="Normal 27 2" xfId="0"/>
    <cellStyle name="Normal 27 2 2" xfId="0"/>
    <cellStyle name="Normal 27 3" xfId="0"/>
    <cellStyle name="Normal 28" xfId="0"/>
    <cellStyle name="Normal 28 2" xfId="0"/>
    <cellStyle name="Normal 28 3" xfId="0"/>
    <cellStyle name="Normal 29" xfId="0"/>
    <cellStyle name="Normal 29 2" xfId="0"/>
    <cellStyle name="Normal 29 3" xfId="0"/>
    <cellStyle name="Normal 2_BU Allocation" xfId="0"/>
    <cellStyle name="Normal 3" xfId="0"/>
    <cellStyle name="Normal 3 10" xfId="0"/>
    <cellStyle name="Normal 3 10 2" xfId="0"/>
    <cellStyle name="Normal 3 11" xfId="0"/>
    <cellStyle name="Normal 3 12" xfId="0"/>
    <cellStyle name="Normal 3 13" xfId="0"/>
    <cellStyle name="Normal 3 14" xfId="0"/>
    <cellStyle name="Normal 3 15" xfId="0"/>
    <cellStyle name="Normal 3 16" xfId="0"/>
    <cellStyle name="Normal 3 17" xfId="0"/>
    <cellStyle name="Normal 3 18" xfId="0"/>
    <cellStyle name="Normal 3 19" xfId="0"/>
    <cellStyle name="Normal 3 2" xfId="0"/>
    <cellStyle name="Normal 3 2 2" xfId="0"/>
    <cellStyle name="Normal 3 2 2 2" xfId="0"/>
    <cellStyle name="Normal 3 2 2 2 2" xfId="0"/>
    <cellStyle name="Normal 3 2 2 2 3" xfId="0"/>
    <cellStyle name="Normal 3 2 2 3" xfId="0"/>
    <cellStyle name="Normal 3 2 2 4" xfId="0"/>
    <cellStyle name="Normal 3 2 3" xfId="0"/>
    <cellStyle name="Normal 3 2 3 2" xfId="0"/>
    <cellStyle name="Normal 3 2 4" xfId="0"/>
    <cellStyle name="Normal 3 2 4 2" xfId="0"/>
    <cellStyle name="Normal 3 2 5" xfId="0"/>
    <cellStyle name="Normal 3 2 5 2" xfId="0"/>
    <cellStyle name="Normal 3 2 6" xfId="0"/>
    <cellStyle name="Normal 3 2 7" xfId="0"/>
    <cellStyle name="Normal 3 20" xfId="0"/>
    <cellStyle name="Normal 3 21" xfId="0"/>
    <cellStyle name="Normal 3 22" xfId="0"/>
    <cellStyle name="Normal 3 23" xfId="0"/>
    <cellStyle name="Normal 3 24" xfId="0"/>
    <cellStyle name="Normal 3 25" xfId="0"/>
    <cellStyle name="Normal 3 26" xfId="0"/>
    <cellStyle name="Normal 3 27" xfId="0"/>
    <cellStyle name="Normal 3 28" xfId="0"/>
    <cellStyle name="Normal 3 29" xfId="0"/>
    <cellStyle name="Normal 3 2_Profitability Detail NT$ Sep-12" xfId="0"/>
    <cellStyle name="Normal 3 3" xfId="0"/>
    <cellStyle name="Normal 3 3 2" xfId="0"/>
    <cellStyle name="Normal 3 3 3" xfId="0"/>
    <cellStyle name="Normal 3 30" xfId="0"/>
    <cellStyle name="Normal 3 31" xfId="0"/>
    <cellStyle name="Normal 3 32" xfId="0"/>
    <cellStyle name="Normal 3 33" xfId="0"/>
    <cellStyle name="Normal 3 34" xfId="0"/>
    <cellStyle name="Normal 3 35" xfId="0"/>
    <cellStyle name="Normal 3 36" xfId="0"/>
    <cellStyle name="Normal 3 37" xfId="0"/>
    <cellStyle name="Normal 3 38" xfId="0"/>
    <cellStyle name="Normal 3 39" xfId="0"/>
    <cellStyle name="Normal 3 4" xfId="0"/>
    <cellStyle name="Normal 3 4 2" xfId="0"/>
    <cellStyle name="Normal 3 4 3" xfId="0"/>
    <cellStyle name="Normal 3 40" xfId="0"/>
    <cellStyle name="Normal 3 41" xfId="0"/>
    <cellStyle name="Normal 3 42" xfId="0"/>
    <cellStyle name="Normal 3 43" xfId="0"/>
    <cellStyle name="Normal 3 44" xfId="0"/>
    <cellStyle name="Normal 3 45" xfId="0"/>
    <cellStyle name="Normal 3 46" xfId="0"/>
    <cellStyle name="Normal 3 47" xfId="0"/>
    <cellStyle name="Normal 3 48" xfId="0"/>
    <cellStyle name="Normal 3 49" xfId="0"/>
    <cellStyle name="Normal 3 5" xfId="0"/>
    <cellStyle name="Normal 3 5 2" xfId="0"/>
    <cellStyle name="Normal 3 5 3" xfId="0"/>
    <cellStyle name="Normal 3 50" xfId="0"/>
    <cellStyle name="Normal 3 6" xfId="0"/>
    <cellStyle name="Normal 3 6 2" xfId="0"/>
    <cellStyle name="Normal 3 6 3" xfId="0"/>
    <cellStyle name="Normal 3 7" xfId="0"/>
    <cellStyle name="Normal 3 7 2" xfId="0"/>
    <cellStyle name="Normal 3 8" xfId="0"/>
    <cellStyle name="Normal 3 8 2" xfId="0"/>
    <cellStyle name="Normal 3 9" xfId="0"/>
    <cellStyle name="Normal 3 9 2" xfId="0"/>
    <cellStyle name="Normal 30" xfId="0"/>
    <cellStyle name="Normal 30 2" xfId="0"/>
    <cellStyle name="Normal 30 3" xfId="0"/>
    <cellStyle name="Normal 31" xfId="0"/>
    <cellStyle name="Normal 31 2" xfId="0"/>
    <cellStyle name="Normal 31 3" xfId="0"/>
    <cellStyle name="Normal 32" xfId="0"/>
    <cellStyle name="Normal 32 2" xfId="0"/>
    <cellStyle name="Normal 32 3" xfId="0"/>
    <cellStyle name="Normal 33" xfId="0"/>
    <cellStyle name="Normal 33 2" xfId="0"/>
    <cellStyle name="Normal 33 3" xfId="0"/>
    <cellStyle name="Normal 34" xfId="0"/>
    <cellStyle name="Normal 34 2" xfId="0"/>
    <cellStyle name="Normal 34 3" xfId="0"/>
    <cellStyle name="Normal 35" xfId="0"/>
    <cellStyle name="Normal 35 2" xfId="0"/>
    <cellStyle name="Normal 35 3" xfId="0"/>
    <cellStyle name="Normal 36" xfId="0"/>
    <cellStyle name="Normal 36 2" xfId="0"/>
    <cellStyle name="Normal 36 3" xfId="0"/>
    <cellStyle name="Normal 37" xfId="0"/>
    <cellStyle name="Normal 37 2" xfId="0"/>
    <cellStyle name="Normal 37 3" xfId="0"/>
    <cellStyle name="Normal 38" xfId="0"/>
    <cellStyle name="Normal 38 2" xfId="0"/>
    <cellStyle name="Normal 38 3" xfId="0"/>
    <cellStyle name="Normal 39" xfId="0"/>
    <cellStyle name="Normal 39 2" xfId="0"/>
    <cellStyle name="Normal 39 3" xfId="0"/>
    <cellStyle name="Normal 3_Market Fresh Cost" xfId="0"/>
    <cellStyle name="Normal 4" xfId="0"/>
    <cellStyle name="Normal 4 10" xfId="0"/>
    <cellStyle name="Normal 4 11" xfId="0"/>
    <cellStyle name="Normal 4 2" xfId="0"/>
    <cellStyle name="Normal 4 2 2" xfId="0"/>
    <cellStyle name="Normal 4 2 2 2" xfId="0"/>
    <cellStyle name="Normal 4 2 2 2 2" xfId="0"/>
    <cellStyle name="Normal 4 2 2 2 3" xfId="0"/>
    <cellStyle name="Normal 4 2 2 3" xfId="0"/>
    <cellStyle name="Normal 4 2 2 4" xfId="0"/>
    <cellStyle name="Normal 4 2 3" xfId="0"/>
    <cellStyle name="Normal 4 2 3 2" xfId="0"/>
    <cellStyle name="Normal 4 2 4" xfId="0"/>
    <cellStyle name="Normal 4 2 4 2" xfId="0"/>
    <cellStyle name="Normal 4 2 5" xfId="0"/>
    <cellStyle name="Normal 4 2 5 2" xfId="0"/>
    <cellStyle name="Normal 4 2 6" xfId="0"/>
    <cellStyle name="Normal 4 2 7" xfId="0"/>
    <cellStyle name="Normal 4 2_Profitability Detail NT$ Sep-12" xfId="0"/>
    <cellStyle name="Normal 4 3" xfId="0"/>
    <cellStyle name="Normal 4 3 2" xfId="0"/>
    <cellStyle name="Normal 4 3 3" xfId="0"/>
    <cellStyle name="Normal 4 4" xfId="0"/>
    <cellStyle name="Normal 4 4 2" xfId="0"/>
    <cellStyle name="Normal 4 4 3" xfId="0"/>
    <cellStyle name="Normal 4 5" xfId="0"/>
    <cellStyle name="Normal 4 5 2" xfId="0"/>
    <cellStyle name="Normal 4 5 3" xfId="0"/>
    <cellStyle name="Normal 4 6" xfId="0"/>
    <cellStyle name="Normal 4 6 2" xfId="0"/>
    <cellStyle name="Normal 4 7" xfId="0"/>
    <cellStyle name="Normal 4 7 2" xfId="0"/>
    <cellStyle name="Normal 4 8" xfId="0"/>
    <cellStyle name="Normal 4 9" xfId="0"/>
    <cellStyle name="Normal 40" xfId="0"/>
    <cellStyle name="Normal 40 2" xfId="0"/>
    <cellStyle name="Normal 40 3" xfId="0"/>
    <cellStyle name="Normal 41" xfId="0"/>
    <cellStyle name="Normal 41 2" xfId="0"/>
    <cellStyle name="Normal 41 3" xfId="0"/>
    <cellStyle name="Normal 42" xfId="0"/>
    <cellStyle name="Normal 42 2" xfId="0"/>
    <cellStyle name="Normal 43" xfId="0"/>
    <cellStyle name="Normal 43 2" xfId="0"/>
    <cellStyle name="Normal 44" xfId="0"/>
    <cellStyle name="Normal 44 2" xfId="0"/>
    <cellStyle name="Normal 45" xfId="0"/>
    <cellStyle name="Normal 45 2" xfId="0"/>
    <cellStyle name="Normal 46" xfId="0"/>
    <cellStyle name="Normal 46 2" xfId="0"/>
    <cellStyle name="Normal 47" xfId="0"/>
    <cellStyle name="Normal 47 2" xfId="0"/>
    <cellStyle name="Normal 48" xfId="0"/>
    <cellStyle name="Normal 48 2" xfId="0"/>
    <cellStyle name="Normal 49" xfId="0"/>
    <cellStyle name="Normal 49 2" xfId="0"/>
    <cellStyle name="Normal 4_Market Fresh Cost" xfId="0"/>
    <cellStyle name="Normal 5" xfId="0"/>
    <cellStyle name="Normal 5 10" xfId="0"/>
    <cellStyle name="Normal 5 11" xfId="0"/>
    <cellStyle name="Normal 5 12" xfId="0"/>
    <cellStyle name="Normal 5 13" xfId="0"/>
    <cellStyle name="Normal 5 14" xfId="0"/>
    <cellStyle name="Normal 5 15" xfId="0"/>
    <cellStyle name="Normal 5 16" xfId="0"/>
    <cellStyle name="Normal 5 17" xfId="0"/>
    <cellStyle name="Normal 5 18" xfId="0"/>
    <cellStyle name="Normal 5 19" xfId="0"/>
    <cellStyle name="Normal 5 2" xfId="0"/>
    <cellStyle name="Normal 5 2 2" xfId="0"/>
    <cellStyle name="Normal 5 2 2 2" xfId="0"/>
    <cellStyle name="Normal 5 20" xfId="0"/>
    <cellStyle name="Normal 5 21" xfId="0"/>
    <cellStyle name="Normal 5 22" xfId="0"/>
    <cellStyle name="Normal 5 23" xfId="0"/>
    <cellStyle name="Normal 5 24" xfId="0"/>
    <cellStyle name="Normal 5 25" xfId="0"/>
    <cellStyle name="Normal 5 26" xfId="0"/>
    <cellStyle name="Normal 5 27" xfId="0"/>
    <cellStyle name="Normal 5 28" xfId="0"/>
    <cellStyle name="Normal 5 29" xfId="0"/>
    <cellStyle name="Normal 5 3" xfId="0"/>
    <cellStyle name="Normal 5 3 2" xfId="0"/>
    <cellStyle name="Normal 5 3 3" xfId="0"/>
    <cellStyle name="Normal 5 30" xfId="0"/>
    <cellStyle name="Normal 5 31" xfId="0"/>
    <cellStyle name="Normal 5 32" xfId="0"/>
    <cellStyle name="Normal 5 33" xfId="0"/>
    <cellStyle name="Normal 5 34" xfId="0"/>
    <cellStyle name="Normal 5 35" xfId="0"/>
    <cellStyle name="Normal 5 36" xfId="0"/>
    <cellStyle name="Normal 5 37" xfId="0"/>
    <cellStyle name="Normal 5 38" xfId="0"/>
    <cellStyle name="Normal 5 39" xfId="0"/>
    <cellStyle name="Normal 5 4" xfId="0"/>
    <cellStyle name="Normal 5 4 2" xfId="0"/>
    <cellStyle name="Normal 5 4 3" xfId="0"/>
    <cellStyle name="Normal 5 40" xfId="0"/>
    <cellStyle name="Normal 5 41" xfId="0"/>
    <cellStyle name="Normal 5 42" xfId="0"/>
    <cellStyle name="Normal 5 43" xfId="0"/>
    <cellStyle name="Normal 5 44" xfId="0"/>
    <cellStyle name="Normal 5 45" xfId="0"/>
    <cellStyle name="Normal 5 46" xfId="0"/>
    <cellStyle name="Normal 5 47" xfId="0"/>
    <cellStyle name="Normal 5 48" xfId="0"/>
    <cellStyle name="Normal 5 49" xfId="0"/>
    <cellStyle name="Normal 5 5" xfId="0"/>
    <cellStyle name="Normal 5 5 2" xfId="0"/>
    <cellStyle name="Normal 5 5 3" xfId="0"/>
    <cellStyle name="Normal 5 50" xfId="0"/>
    <cellStyle name="Normal 5 51" xfId="0"/>
    <cellStyle name="Normal 5 52" xfId="0"/>
    <cellStyle name="Normal 5 53" xfId="0"/>
    <cellStyle name="Normal 5 54" xfId="0"/>
    <cellStyle name="Normal 5 6" xfId="0"/>
    <cellStyle name="Normal 5 6 2" xfId="0"/>
    <cellStyle name="Normal 5 6 3" xfId="0"/>
    <cellStyle name="Normal 5 7" xfId="0"/>
    <cellStyle name="Normal 5 7 2" xfId="0"/>
    <cellStyle name="Normal 5 7 3" xfId="0"/>
    <cellStyle name="Normal 5 8" xfId="0"/>
    <cellStyle name="Normal 5 9" xfId="0"/>
    <cellStyle name="Normal 50" xfId="0"/>
    <cellStyle name="Normal 50 2" xfId="0"/>
    <cellStyle name="Normal 51" xfId="0"/>
    <cellStyle name="Normal 51 2" xfId="0"/>
    <cellStyle name="Normal 52" xfId="0"/>
    <cellStyle name="Normal 52 2" xfId="0"/>
    <cellStyle name="Normal 53" xfId="0"/>
    <cellStyle name="Normal 53 2" xfId="0"/>
    <cellStyle name="Normal 54" xfId="0"/>
    <cellStyle name="Normal 54 2" xfId="0"/>
    <cellStyle name="Normal 55" xfId="0"/>
    <cellStyle name="Normal 55 2" xfId="0"/>
    <cellStyle name="Normal 56" xfId="0"/>
    <cellStyle name="Normal 56 2" xfId="0"/>
    <cellStyle name="Normal 57" xfId="0"/>
    <cellStyle name="Normal 57 2" xfId="0"/>
    <cellStyle name="Normal 58" xfId="0"/>
    <cellStyle name="Normal 58 2" xfId="0"/>
    <cellStyle name="Normal 59" xfId="0"/>
    <cellStyle name="Normal 59 2" xfId="0"/>
    <cellStyle name="Normal 5_Market Fresh Cost" xfId="0"/>
    <cellStyle name="Normal 6" xfId="0"/>
    <cellStyle name="Normal 6 10" xfId="0"/>
    <cellStyle name="Normal 6 100" xfId="0"/>
    <cellStyle name="Normal 6 101" xfId="0"/>
    <cellStyle name="Normal 6 102" xfId="0"/>
    <cellStyle name="Normal 6 103" xfId="0"/>
    <cellStyle name="Normal 6 104" xfId="0"/>
    <cellStyle name="Normal 6 105" xfId="0"/>
    <cellStyle name="Normal 6 106" xfId="0"/>
    <cellStyle name="Normal 6 107" xfId="0"/>
    <cellStyle name="Normal 6 108" xfId="0"/>
    <cellStyle name="Normal 6 108 10" xfId="0"/>
    <cellStyle name="Normal 6 108 10 2" xfId="0"/>
    <cellStyle name="Normal 6 108 10 2 2" xfId="0"/>
    <cellStyle name="Normal 6 108 10 3" xfId="0"/>
    <cellStyle name="Normal 6 108 11" xfId="0"/>
    <cellStyle name="Normal 6 108 11 2" xfId="0"/>
    <cellStyle name="Normal 6 108 12" xfId="0"/>
    <cellStyle name="Normal 6 108 2" xfId="0"/>
    <cellStyle name="Normal 6 108 2 10" xfId="0"/>
    <cellStyle name="Normal 6 108 2 10 2" xfId="0"/>
    <cellStyle name="Normal 6 108 2 11" xfId="0"/>
    <cellStyle name="Normal 6 108 2 2" xfId="0"/>
    <cellStyle name="Normal 6 108 2 2 2" xfId="0"/>
    <cellStyle name="Normal 6 108 2 2 2 2" xfId="0"/>
    <cellStyle name="Normal 6 108 2 2 2 2 2" xfId="0"/>
    <cellStyle name="Normal 6 108 2 2 2 2 2 2" xfId="0"/>
    <cellStyle name="Normal 6 108 2 2 2 2 2 2 2" xfId="0"/>
    <cellStyle name="Normal 6 108 2 2 2 2 2 2 2 2" xfId="0"/>
    <cellStyle name="Normal 6 108 2 2 2 2 2 2 2 2 2" xfId="0"/>
    <cellStyle name="Normal 6 108 2 2 2 2 2 2 2 3" xfId="0"/>
    <cellStyle name="Normal 6 108 2 2 2 2 2 2 3" xfId="0"/>
    <cellStyle name="Normal 6 108 2 2 2 2 2 2 3 2" xfId="0"/>
    <cellStyle name="Normal 6 108 2 2 2 2 2 2 4" xfId="0"/>
    <cellStyle name="Normal 6 108 2 2 2 2 2 3" xfId="0"/>
    <cellStyle name="Normal 6 108 2 2 2 2 2 3 2" xfId="0"/>
    <cellStyle name="Normal 6 108 2 2 2 2 2 3 2 2" xfId="0"/>
    <cellStyle name="Normal 6 108 2 2 2 2 2 3 3" xfId="0"/>
    <cellStyle name="Normal 6 108 2 2 2 2 2 4" xfId="0"/>
    <cellStyle name="Normal 6 108 2 2 2 2 2 4 2" xfId="0"/>
    <cellStyle name="Normal 6 108 2 2 2 2 2 5" xfId="0"/>
    <cellStyle name="Normal 6 108 2 2 2 2 3" xfId="0"/>
    <cellStyle name="Normal 6 108 2 2 2 2 3 2" xfId="0"/>
    <cellStyle name="Normal 6 108 2 2 2 2 3 2 2" xfId="0"/>
    <cellStyle name="Normal 6 108 2 2 2 2 3 2 2 2" xfId="0"/>
    <cellStyle name="Normal 6 108 2 2 2 2 3 2 3" xfId="0"/>
    <cellStyle name="Normal 6 108 2 2 2 2 3 3" xfId="0"/>
    <cellStyle name="Normal 6 108 2 2 2 2 3 3 2" xfId="0"/>
    <cellStyle name="Normal 6 108 2 2 2 2 3 4" xfId="0"/>
    <cellStyle name="Normal 6 108 2 2 2 2 4" xfId="0"/>
    <cellStyle name="Normal 6 108 2 2 2 2 4 2" xfId="0"/>
    <cellStyle name="Normal 6 108 2 2 2 2 4 2 2" xfId="0"/>
    <cellStyle name="Normal 6 108 2 2 2 2 4 3" xfId="0"/>
    <cellStyle name="Normal 6 108 2 2 2 2 5" xfId="0"/>
    <cellStyle name="Normal 6 108 2 2 2 2 5 2" xfId="0"/>
    <cellStyle name="Normal 6 108 2 2 2 2 6" xfId="0"/>
    <cellStyle name="Normal 6 108 2 2 2 3" xfId="0"/>
    <cellStyle name="Normal 6 108 2 2 2 3 2" xfId="0"/>
    <cellStyle name="Normal 6 108 2 2 2 3 2 2" xfId="0"/>
    <cellStyle name="Normal 6 108 2 2 2 3 2 2 2" xfId="0"/>
    <cellStyle name="Normal 6 108 2 2 2 3 2 2 2 2" xfId="0"/>
    <cellStyle name="Normal 6 108 2 2 2 3 2 2 3" xfId="0"/>
    <cellStyle name="Normal 6 108 2 2 2 3 2 3" xfId="0"/>
    <cellStyle name="Normal 6 108 2 2 2 3 2 3 2" xfId="0"/>
    <cellStyle name="Normal 6 108 2 2 2 3 2 4" xfId="0"/>
    <cellStyle name="Normal 6 108 2 2 2 3 3" xfId="0"/>
    <cellStyle name="Normal 6 108 2 2 2 3 3 2" xfId="0"/>
    <cellStyle name="Normal 6 108 2 2 2 3 3 2 2" xfId="0"/>
    <cellStyle name="Normal 6 108 2 2 2 3 3 3" xfId="0"/>
    <cellStyle name="Normal 6 108 2 2 2 3 4" xfId="0"/>
    <cellStyle name="Normal 6 108 2 2 2 3 4 2" xfId="0"/>
    <cellStyle name="Normal 6 108 2 2 2 3 5" xfId="0"/>
    <cellStyle name="Normal 6 108 2 2 2 4" xfId="0"/>
    <cellStyle name="Normal 6 108 2 2 2 4 2" xfId="0"/>
    <cellStyle name="Normal 6 108 2 2 2 4 2 2" xfId="0"/>
    <cellStyle name="Normal 6 108 2 2 2 4 2 2 2" xfId="0"/>
    <cellStyle name="Normal 6 108 2 2 2 4 2 3" xfId="0"/>
    <cellStyle name="Normal 6 108 2 2 2 4 3" xfId="0"/>
    <cellStyle name="Normal 6 108 2 2 2 4 3 2" xfId="0"/>
    <cellStyle name="Normal 6 108 2 2 2 4 4" xfId="0"/>
    <cellStyle name="Normal 6 108 2 2 2 5" xfId="0"/>
    <cellStyle name="Normal 6 108 2 2 2 5 2" xfId="0"/>
    <cellStyle name="Normal 6 108 2 2 2 5 2 2" xfId="0"/>
    <cellStyle name="Normal 6 108 2 2 2 5 3" xfId="0"/>
    <cellStyle name="Normal 6 108 2 2 2 6" xfId="0"/>
    <cellStyle name="Normal 6 108 2 2 2 6 2" xfId="0"/>
    <cellStyle name="Normal 6 108 2 2 2 7" xfId="0"/>
    <cellStyle name="Normal 6 108 2 2 3" xfId="0"/>
    <cellStyle name="Normal 6 108 2 2 3 2" xfId="0"/>
    <cellStyle name="Normal 6 108 2 2 3 2 2" xfId="0"/>
    <cellStyle name="Normal 6 108 2 2 3 2 2 2" xfId="0"/>
    <cellStyle name="Normal 6 108 2 2 3 2 2 2 2" xfId="0"/>
    <cellStyle name="Normal 6 108 2 2 3 2 2 2 2 2" xfId="0"/>
    <cellStyle name="Normal 6 108 2 2 3 2 2 2 3" xfId="0"/>
    <cellStyle name="Normal 6 108 2 2 3 2 2 3" xfId="0"/>
    <cellStyle name="Normal 6 108 2 2 3 2 2 3 2" xfId="0"/>
    <cellStyle name="Normal 6 108 2 2 3 2 2 4" xfId="0"/>
    <cellStyle name="Normal 6 108 2 2 3 2 3" xfId="0"/>
    <cellStyle name="Normal 6 108 2 2 3 2 3 2" xfId="0"/>
    <cellStyle name="Normal 6 108 2 2 3 2 3 2 2" xfId="0"/>
    <cellStyle name="Normal 6 108 2 2 3 2 3 3" xfId="0"/>
    <cellStyle name="Normal 6 108 2 2 3 2 4" xfId="0"/>
    <cellStyle name="Normal 6 108 2 2 3 2 4 2" xfId="0"/>
    <cellStyle name="Normal 6 108 2 2 3 2 5" xfId="0"/>
    <cellStyle name="Normal 6 108 2 2 3 3" xfId="0"/>
    <cellStyle name="Normal 6 108 2 2 3 3 2" xfId="0"/>
    <cellStyle name="Normal 6 108 2 2 3 3 2 2" xfId="0"/>
    <cellStyle name="Normal 6 108 2 2 3 3 2 2 2" xfId="0"/>
    <cellStyle name="Normal 6 108 2 2 3 3 2 3" xfId="0"/>
    <cellStyle name="Normal 6 108 2 2 3 3 3" xfId="0"/>
    <cellStyle name="Normal 6 108 2 2 3 3 3 2" xfId="0"/>
    <cellStyle name="Normal 6 108 2 2 3 3 4" xfId="0"/>
    <cellStyle name="Normal 6 108 2 2 3 4" xfId="0"/>
    <cellStyle name="Normal 6 108 2 2 3 4 2" xfId="0"/>
    <cellStyle name="Normal 6 108 2 2 3 4 2 2" xfId="0"/>
    <cellStyle name="Normal 6 108 2 2 3 4 3" xfId="0"/>
    <cellStyle name="Normal 6 108 2 2 3 5" xfId="0"/>
    <cellStyle name="Normal 6 108 2 2 3 5 2" xfId="0"/>
    <cellStyle name="Normal 6 108 2 2 3 6" xfId="0"/>
    <cellStyle name="Normal 6 108 2 2 4" xfId="0"/>
    <cellStyle name="Normal 6 108 2 2 4 2" xfId="0"/>
    <cellStyle name="Normal 6 108 2 2 4 2 2" xfId="0"/>
    <cellStyle name="Normal 6 108 2 2 4 2 2 2" xfId="0"/>
    <cellStyle name="Normal 6 108 2 2 4 2 2 2 2" xfId="0"/>
    <cellStyle name="Normal 6 108 2 2 4 2 2 3" xfId="0"/>
    <cellStyle name="Normal 6 108 2 2 4 2 3" xfId="0"/>
    <cellStyle name="Normal 6 108 2 2 4 2 3 2" xfId="0"/>
    <cellStyle name="Normal 6 108 2 2 4 2 4" xfId="0"/>
    <cellStyle name="Normal 6 108 2 2 4 3" xfId="0"/>
    <cellStyle name="Normal 6 108 2 2 4 3 2" xfId="0"/>
    <cellStyle name="Normal 6 108 2 2 4 3 2 2" xfId="0"/>
    <cellStyle name="Normal 6 108 2 2 4 3 3" xfId="0"/>
    <cellStyle name="Normal 6 108 2 2 4 4" xfId="0"/>
    <cellStyle name="Normal 6 108 2 2 4 4 2" xfId="0"/>
    <cellStyle name="Normal 6 108 2 2 4 5" xfId="0"/>
    <cellStyle name="Normal 6 108 2 2 5" xfId="0"/>
    <cellStyle name="Normal 6 108 2 2 5 2" xfId="0"/>
    <cellStyle name="Normal 6 108 2 2 5 2 2" xfId="0"/>
    <cellStyle name="Normal 6 108 2 2 5 2 2 2" xfId="0"/>
    <cellStyle name="Normal 6 108 2 2 5 2 3" xfId="0"/>
    <cellStyle name="Normal 6 108 2 2 5 3" xfId="0"/>
    <cellStyle name="Normal 6 108 2 2 5 3 2" xfId="0"/>
    <cellStyle name="Normal 6 108 2 2 5 4" xfId="0"/>
    <cellStyle name="Normal 6 108 2 2 6" xfId="0"/>
    <cellStyle name="Normal 6 108 2 2 6 2" xfId="0"/>
    <cellStyle name="Normal 6 108 2 2 6 2 2" xfId="0"/>
    <cellStyle name="Normal 6 108 2 2 6 3" xfId="0"/>
    <cellStyle name="Normal 6 108 2 2 7" xfId="0"/>
    <cellStyle name="Normal 6 108 2 2 7 2" xfId="0"/>
    <cellStyle name="Normal 6 108 2 2 8" xfId="0"/>
    <cellStyle name="Normal 6 108 2 3" xfId="0"/>
    <cellStyle name="Normal 6 108 2 3 2" xfId="0"/>
    <cellStyle name="Normal 6 108 2 3 2 2" xfId="0"/>
    <cellStyle name="Normal 6 108 2 3 2 2 2" xfId="0"/>
    <cellStyle name="Normal 6 108 2 3 2 2 2 2" xfId="0"/>
    <cellStyle name="Normal 6 108 2 3 2 2 2 2 2" xfId="0"/>
    <cellStyle name="Normal 6 108 2 3 2 2 2 2 2 2" xfId="0"/>
    <cellStyle name="Normal 6 108 2 3 2 2 2 2 2 2 2" xfId="0"/>
    <cellStyle name="Normal 6 108 2 3 2 2 2 2 2 3" xfId="0"/>
    <cellStyle name="Normal 6 108 2 3 2 2 2 2 3" xfId="0"/>
    <cellStyle name="Normal 6 108 2 3 2 2 2 2 3 2" xfId="0"/>
    <cellStyle name="Normal 6 108 2 3 2 2 2 2 4" xfId="0"/>
    <cellStyle name="Normal 6 108 2 3 2 2 2 3" xfId="0"/>
    <cellStyle name="Normal 6 108 2 3 2 2 2 3 2" xfId="0"/>
    <cellStyle name="Normal 6 108 2 3 2 2 2 3 2 2" xfId="0"/>
    <cellStyle name="Normal 6 108 2 3 2 2 2 3 3" xfId="0"/>
    <cellStyle name="Normal 6 108 2 3 2 2 2 4" xfId="0"/>
    <cellStyle name="Normal 6 108 2 3 2 2 2 4 2" xfId="0"/>
    <cellStyle name="Normal 6 108 2 3 2 2 2 5" xfId="0"/>
    <cellStyle name="Normal 6 108 2 3 2 2 3" xfId="0"/>
    <cellStyle name="Normal 6 108 2 3 2 2 3 2" xfId="0"/>
    <cellStyle name="Normal 6 108 2 3 2 2 3 2 2" xfId="0"/>
    <cellStyle name="Normal 6 108 2 3 2 2 3 2 2 2" xfId="0"/>
    <cellStyle name="Normal 6 108 2 3 2 2 3 2 3" xfId="0"/>
    <cellStyle name="Normal 6 108 2 3 2 2 3 3" xfId="0"/>
    <cellStyle name="Normal 6 108 2 3 2 2 3 3 2" xfId="0"/>
    <cellStyle name="Normal 6 108 2 3 2 2 3 4" xfId="0"/>
    <cellStyle name="Normal 6 108 2 3 2 2 4" xfId="0"/>
    <cellStyle name="Normal 6 108 2 3 2 2 4 2" xfId="0"/>
    <cellStyle name="Normal 6 108 2 3 2 2 4 2 2" xfId="0"/>
    <cellStyle name="Normal 6 108 2 3 2 2 4 3" xfId="0"/>
    <cellStyle name="Normal 6 108 2 3 2 2 5" xfId="0"/>
    <cellStyle name="Normal 6 108 2 3 2 2 5 2" xfId="0"/>
    <cellStyle name="Normal 6 108 2 3 2 2 6" xfId="0"/>
    <cellStyle name="Normal 6 108 2 3 2 3" xfId="0"/>
    <cellStyle name="Normal 6 108 2 3 2 3 2" xfId="0"/>
    <cellStyle name="Normal 6 108 2 3 2 3 2 2" xfId="0"/>
    <cellStyle name="Normal 6 108 2 3 2 3 2 2 2" xfId="0"/>
    <cellStyle name="Normal 6 108 2 3 2 3 2 2 2 2" xfId="0"/>
    <cellStyle name="Normal 6 108 2 3 2 3 2 2 3" xfId="0"/>
    <cellStyle name="Normal 6 108 2 3 2 3 2 3" xfId="0"/>
    <cellStyle name="Normal 6 108 2 3 2 3 2 3 2" xfId="0"/>
    <cellStyle name="Normal 6 108 2 3 2 3 2 4" xfId="0"/>
    <cellStyle name="Normal 6 108 2 3 2 3 3" xfId="0"/>
    <cellStyle name="Normal 6 108 2 3 2 3 3 2" xfId="0"/>
    <cellStyle name="Normal 6 108 2 3 2 3 3 2 2" xfId="0"/>
    <cellStyle name="Normal 6 108 2 3 2 3 3 3" xfId="0"/>
    <cellStyle name="Normal 6 108 2 3 2 3 4" xfId="0"/>
    <cellStyle name="Normal 6 108 2 3 2 3 4 2" xfId="0"/>
    <cellStyle name="Normal 6 108 2 3 2 3 5" xfId="0"/>
    <cellStyle name="Normal 6 108 2 3 2 4" xfId="0"/>
    <cellStyle name="Normal 6 108 2 3 2 4 2" xfId="0"/>
    <cellStyle name="Normal 6 108 2 3 2 4 2 2" xfId="0"/>
    <cellStyle name="Normal 6 108 2 3 2 4 2 2 2" xfId="0"/>
    <cellStyle name="Normal 6 108 2 3 2 4 2 3" xfId="0"/>
    <cellStyle name="Normal 6 108 2 3 2 4 3" xfId="0"/>
    <cellStyle name="Normal 6 108 2 3 2 4 3 2" xfId="0"/>
    <cellStyle name="Normal 6 108 2 3 2 4 4" xfId="0"/>
    <cellStyle name="Normal 6 108 2 3 2 5" xfId="0"/>
    <cellStyle name="Normal 6 108 2 3 2 5 2" xfId="0"/>
    <cellStyle name="Normal 6 108 2 3 2 5 2 2" xfId="0"/>
    <cellStyle name="Normal 6 108 2 3 2 5 3" xfId="0"/>
    <cellStyle name="Normal 6 108 2 3 2 6" xfId="0"/>
    <cellStyle name="Normal 6 108 2 3 2 6 2" xfId="0"/>
    <cellStyle name="Normal 6 108 2 3 2 7" xfId="0"/>
    <cellStyle name="Normal 6 108 2 3 3" xfId="0"/>
    <cellStyle name="Normal 6 108 2 3 3 2" xfId="0"/>
    <cellStyle name="Normal 6 108 2 3 3 2 2" xfId="0"/>
    <cellStyle name="Normal 6 108 2 3 3 2 2 2" xfId="0"/>
    <cellStyle name="Normal 6 108 2 3 3 2 2 2 2" xfId="0"/>
    <cellStyle name="Normal 6 108 2 3 3 2 2 2 2 2" xfId="0"/>
    <cellStyle name="Normal 6 108 2 3 3 2 2 2 3" xfId="0"/>
    <cellStyle name="Normal 6 108 2 3 3 2 2 3" xfId="0"/>
    <cellStyle name="Normal 6 108 2 3 3 2 2 3 2" xfId="0"/>
    <cellStyle name="Normal 6 108 2 3 3 2 2 4" xfId="0"/>
    <cellStyle name="Normal 6 108 2 3 3 2 3" xfId="0"/>
    <cellStyle name="Normal 6 108 2 3 3 2 3 2" xfId="0"/>
    <cellStyle name="Normal 6 108 2 3 3 2 3 2 2" xfId="0"/>
    <cellStyle name="Normal 6 108 2 3 3 2 3 3" xfId="0"/>
    <cellStyle name="Normal 6 108 2 3 3 2 4" xfId="0"/>
    <cellStyle name="Normal 6 108 2 3 3 2 4 2" xfId="0"/>
    <cellStyle name="Normal 6 108 2 3 3 2 5" xfId="0"/>
    <cellStyle name="Normal 6 108 2 3 3 3" xfId="0"/>
    <cellStyle name="Normal 6 108 2 3 3 3 2" xfId="0"/>
    <cellStyle name="Normal 6 108 2 3 3 3 2 2" xfId="0"/>
    <cellStyle name="Normal 6 108 2 3 3 3 2 2 2" xfId="0"/>
    <cellStyle name="Normal 6 108 2 3 3 3 2 3" xfId="0"/>
    <cellStyle name="Normal 6 108 2 3 3 3 3" xfId="0"/>
    <cellStyle name="Normal 6 108 2 3 3 3 3 2" xfId="0"/>
    <cellStyle name="Normal 6 108 2 3 3 3 4" xfId="0"/>
    <cellStyle name="Normal 6 108 2 3 3 4" xfId="0"/>
    <cellStyle name="Normal 6 108 2 3 3 4 2" xfId="0"/>
    <cellStyle name="Normal 6 108 2 3 3 4 2 2" xfId="0"/>
    <cellStyle name="Normal 6 108 2 3 3 4 3" xfId="0"/>
    <cellStyle name="Normal 6 108 2 3 3 5" xfId="0"/>
    <cellStyle name="Normal 6 108 2 3 3 5 2" xfId="0"/>
    <cellStyle name="Normal 6 108 2 3 3 6" xfId="0"/>
    <cellStyle name="Normal 6 108 2 3 4" xfId="0"/>
    <cellStyle name="Normal 6 108 2 3 4 2" xfId="0"/>
    <cellStyle name="Normal 6 108 2 3 4 2 2" xfId="0"/>
    <cellStyle name="Normal 6 108 2 3 4 2 2 2" xfId="0"/>
    <cellStyle name="Normal 6 108 2 3 4 2 2 2 2" xfId="0"/>
    <cellStyle name="Normal 6 108 2 3 4 2 2 3" xfId="0"/>
    <cellStyle name="Normal 6 108 2 3 4 2 3" xfId="0"/>
    <cellStyle name="Normal 6 108 2 3 4 2 3 2" xfId="0"/>
    <cellStyle name="Normal 6 108 2 3 4 2 4" xfId="0"/>
    <cellStyle name="Normal 6 108 2 3 4 3" xfId="0"/>
    <cellStyle name="Normal 6 108 2 3 4 3 2" xfId="0"/>
    <cellStyle name="Normal 6 108 2 3 4 3 2 2" xfId="0"/>
    <cellStyle name="Normal 6 108 2 3 4 3 3" xfId="0"/>
    <cellStyle name="Normal 6 108 2 3 4 4" xfId="0"/>
    <cellStyle name="Normal 6 108 2 3 4 4 2" xfId="0"/>
    <cellStyle name="Normal 6 108 2 3 4 5" xfId="0"/>
    <cellStyle name="Normal 6 108 2 3 5" xfId="0"/>
    <cellStyle name="Normal 6 108 2 3 5 2" xfId="0"/>
    <cellStyle name="Normal 6 108 2 3 5 2 2" xfId="0"/>
    <cellStyle name="Normal 6 108 2 3 5 2 2 2" xfId="0"/>
    <cellStyle name="Normal 6 108 2 3 5 2 3" xfId="0"/>
    <cellStyle name="Normal 6 108 2 3 5 3" xfId="0"/>
    <cellStyle name="Normal 6 108 2 3 5 3 2" xfId="0"/>
    <cellStyle name="Normal 6 108 2 3 5 4" xfId="0"/>
    <cellStyle name="Normal 6 108 2 3 6" xfId="0"/>
    <cellStyle name="Normal 6 108 2 3 6 2" xfId="0"/>
    <cellStyle name="Normal 6 108 2 3 6 2 2" xfId="0"/>
    <cellStyle name="Normal 6 108 2 3 6 3" xfId="0"/>
    <cellStyle name="Normal 6 108 2 3 7" xfId="0"/>
    <cellStyle name="Normal 6 108 2 3 7 2" xfId="0"/>
    <cellStyle name="Normal 6 108 2 3 8" xfId="0"/>
    <cellStyle name="Normal 6 108 2 4" xfId="0"/>
    <cellStyle name="Normal 6 108 2 4 2" xfId="0"/>
    <cellStyle name="Normal 6 108 2 4 2 2" xfId="0"/>
    <cellStyle name="Normal 6 108 2 4 2 2 2" xfId="0"/>
    <cellStyle name="Normal 6 108 2 4 2 2 2 2" xfId="0"/>
    <cellStyle name="Normal 6 108 2 4 2 2 2 2 2" xfId="0"/>
    <cellStyle name="Normal 6 108 2 4 2 2 2 2 2 2" xfId="0"/>
    <cellStyle name="Normal 6 108 2 4 2 2 2 2 3" xfId="0"/>
    <cellStyle name="Normal 6 108 2 4 2 2 2 3" xfId="0"/>
    <cellStyle name="Normal 6 108 2 4 2 2 2 3 2" xfId="0"/>
    <cellStyle name="Normal 6 108 2 4 2 2 2 4" xfId="0"/>
    <cellStyle name="Normal 6 108 2 4 2 2 3" xfId="0"/>
    <cellStyle name="Normal 6 108 2 4 2 2 3 2" xfId="0"/>
    <cellStyle name="Normal 6 108 2 4 2 2 3 2 2" xfId="0"/>
    <cellStyle name="Normal 6 108 2 4 2 2 3 3" xfId="0"/>
    <cellStyle name="Normal 6 108 2 4 2 2 4" xfId="0"/>
    <cellStyle name="Normal 6 108 2 4 2 2 4 2" xfId="0"/>
    <cellStyle name="Normal 6 108 2 4 2 2 5" xfId="0"/>
    <cellStyle name="Normal 6 108 2 4 2 3" xfId="0"/>
    <cellStyle name="Normal 6 108 2 4 2 3 2" xfId="0"/>
    <cellStyle name="Normal 6 108 2 4 2 3 2 2" xfId="0"/>
    <cellStyle name="Normal 6 108 2 4 2 3 2 2 2" xfId="0"/>
    <cellStyle name="Normal 6 108 2 4 2 3 2 3" xfId="0"/>
    <cellStyle name="Normal 6 108 2 4 2 3 3" xfId="0"/>
    <cellStyle name="Normal 6 108 2 4 2 3 3 2" xfId="0"/>
    <cellStyle name="Normal 6 108 2 4 2 3 4" xfId="0"/>
    <cellStyle name="Normal 6 108 2 4 2 4" xfId="0"/>
    <cellStyle name="Normal 6 108 2 4 2 4 2" xfId="0"/>
    <cellStyle name="Normal 6 108 2 4 2 4 2 2" xfId="0"/>
    <cellStyle name="Normal 6 108 2 4 2 4 3" xfId="0"/>
    <cellStyle name="Normal 6 108 2 4 2 5" xfId="0"/>
    <cellStyle name="Normal 6 108 2 4 2 5 2" xfId="0"/>
    <cellStyle name="Normal 6 108 2 4 2 6" xfId="0"/>
    <cellStyle name="Normal 6 108 2 4 3" xfId="0"/>
    <cellStyle name="Normal 6 108 2 4 3 2" xfId="0"/>
    <cellStyle name="Normal 6 108 2 4 3 2 2" xfId="0"/>
    <cellStyle name="Normal 6 108 2 4 3 2 2 2" xfId="0"/>
    <cellStyle name="Normal 6 108 2 4 3 2 2 2 2" xfId="0"/>
    <cellStyle name="Normal 6 108 2 4 3 2 2 3" xfId="0"/>
    <cellStyle name="Normal 6 108 2 4 3 2 3" xfId="0"/>
    <cellStyle name="Normal 6 108 2 4 3 2 3 2" xfId="0"/>
    <cellStyle name="Normal 6 108 2 4 3 2 4" xfId="0"/>
    <cellStyle name="Normal 6 108 2 4 3 3" xfId="0"/>
    <cellStyle name="Normal 6 108 2 4 3 3 2" xfId="0"/>
    <cellStyle name="Normal 6 108 2 4 3 3 2 2" xfId="0"/>
    <cellStyle name="Normal 6 108 2 4 3 3 3" xfId="0"/>
    <cellStyle name="Normal 6 108 2 4 3 4" xfId="0"/>
    <cellStyle name="Normal 6 108 2 4 3 4 2" xfId="0"/>
    <cellStyle name="Normal 6 108 2 4 3 5" xfId="0"/>
    <cellStyle name="Normal 6 108 2 4 4" xfId="0"/>
    <cellStyle name="Normal 6 108 2 4 4 2" xfId="0"/>
    <cellStyle name="Normal 6 108 2 4 4 2 2" xfId="0"/>
    <cellStyle name="Normal 6 108 2 4 4 2 2 2" xfId="0"/>
    <cellStyle name="Normal 6 108 2 4 4 2 3" xfId="0"/>
    <cellStyle name="Normal 6 108 2 4 4 3" xfId="0"/>
    <cellStyle name="Normal 6 108 2 4 4 3 2" xfId="0"/>
    <cellStyle name="Normal 6 108 2 4 4 4" xfId="0"/>
    <cellStyle name="Normal 6 108 2 4 5" xfId="0"/>
    <cellStyle name="Normal 6 108 2 4 5 2" xfId="0"/>
    <cellStyle name="Normal 6 108 2 4 5 2 2" xfId="0"/>
    <cellStyle name="Normal 6 108 2 4 5 3" xfId="0"/>
    <cellStyle name="Normal 6 108 2 4 6" xfId="0"/>
    <cellStyle name="Normal 6 108 2 4 6 2" xfId="0"/>
    <cellStyle name="Normal 6 108 2 4 7" xfId="0"/>
    <cellStyle name="Normal 6 108 2 5" xfId="0"/>
    <cellStyle name="Normal 6 108 2 5 2" xfId="0"/>
    <cellStyle name="Normal 6 108 2 5 2 2" xfId="0"/>
    <cellStyle name="Normal 6 108 2 5 2 2 2" xfId="0"/>
    <cellStyle name="Normal 6 108 2 5 2 2 2 2" xfId="0"/>
    <cellStyle name="Normal 6 108 2 5 2 2 2 2 2" xfId="0"/>
    <cellStyle name="Normal 6 108 2 5 2 2 2 2 2 2" xfId="0"/>
    <cellStyle name="Normal 6 108 2 5 2 2 2 2 3" xfId="0"/>
    <cellStyle name="Normal 6 108 2 5 2 2 2 3" xfId="0"/>
    <cellStyle name="Normal 6 108 2 5 2 2 2 3 2" xfId="0"/>
    <cellStyle name="Normal 6 108 2 5 2 2 2 4" xfId="0"/>
    <cellStyle name="Normal 6 108 2 5 2 2 3" xfId="0"/>
    <cellStyle name="Normal 6 108 2 5 2 2 3 2" xfId="0"/>
    <cellStyle name="Normal 6 108 2 5 2 2 3 2 2" xfId="0"/>
    <cellStyle name="Normal 6 108 2 5 2 2 3 3" xfId="0"/>
    <cellStyle name="Normal 6 108 2 5 2 2 4" xfId="0"/>
    <cellStyle name="Normal 6 108 2 5 2 2 4 2" xfId="0"/>
    <cellStyle name="Normal 6 108 2 5 2 2 5" xfId="0"/>
    <cellStyle name="Normal 6 108 2 5 2 3" xfId="0"/>
    <cellStyle name="Normal 6 108 2 5 2 3 2" xfId="0"/>
    <cellStyle name="Normal 6 108 2 5 2 3 2 2" xfId="0"/>
    <cellStyle name="Normal 6 108 2 5 2 3 2 2 2" xfId="0"/>
    <cellStyle name="Normal 6 108 2 5 2 3 2 3" xfId="0"/>
    <cellStyle name="Normal 6 108 2 5 2 3 3" xfId="0"/>
    <cellStyle name="Normal 6 108 2 5 2 3 3 2" xfId="0"/>
    <cellStyle name="Normal 6 108 2 5 2 3 4" xfId="0"/>
    <cellStyle name="Normal 6 108 2 5 2 4" xfId="0"/>
    <cellStyle name="Normal 6 108 2 5 2 4 2" xfId="0"/>
    <cellStyle name="Normal 6 108 2 5 2 4 2 2" xfId="0"/>
    <cellStyle name="Normal 6 108 2 5 2 4 3" xfId="0"/>
    <cellStyle name="Normal 6 108 2 5 2 5" xfId="0"/>
    <cellStyle name="Normal 6 108 2 5 2 5 2" xfId="0"/>
    <cellStyle name="Normal 6 108 2 5 2 6" xfId="0"/>
    <cellStyle name="Normal 6 108 2 5 3" xfId="0"/>
    <cellStyle name="Normal 6 108 2 5 3 2" xfId="0"/>
    <cellStyle name="Normal 6 108 2 5 3 2 2" xfId="0"/>
    <cellStyle name="Normal 6 108 2 5 3 2 2 2" xfId="0"/>
    <cellStyle name="Normal 6 108 2 5 3 2 2 2 2" xfId="0"/>
    <cellStyle name="Normal 6 108 2 5 3 2 2 3" xfId="0"/>
    <cellStyle name="Normal 6 108 2 5 3 2 3" xfId="0"/>
    <cellStyle name="Normal 6 108 2 5 3 2 3 2" xfId="0"/>
    <cellStyle name="Normal 6 108 2 5 3 2 4" xfId="0"/>
    <cellStyle name="Normal 6 108 2 5 3 3" xfId="0"/>
    <cellStyle name="Normal 6 108 2 5 3 3 2" xfId="0"/>
    <cellStyle name="Normal 6 108 2 5 3 3 2 2" xfId="0"/>
    <cellStyle name="Normal 6 108 2 5 3 3 3" xfId="0"/>
    <cellStyle name="Normal 6 108 2 5 3 4" xfId="0"/>
    <cellStyle name="Normal 6 108 2 5 3 4 2" xfId="0"/>
    <cellStyle name="Normal 6 108 2 5 3 5" xfId="0"/>
    <cellStyle name="Normal 6 108 2 5 4" xfId="0"/>
    <cellStyle name="Normal 6 108 2 5 4 2" xfId="0"/>
    <cellStyle name="Normal 6 108 2 5 4 2 2" xfId="0"/>
    <cellStyle name="Normal 6 108 2 5 4 2 2 2" xfId="0"/>
    <cellStyle name="Normal 6 108 2 5 4 2 3" xfId="0"/>
    <cellStyle name="Normal 6 108 2 5 4 3" xfId="0"/>
    <cellStyle name="Normal 6 108 2 5 4 3 2" xfId="0"/>
    <cellStyle name="Normal 6 108 2 5 4 4" xfId="0"/>
    <cellStyle name="Normal 6 108 2 5 5" xfId="0"/>
    <cellStyle name="Normal 6 108 2 5 5 2" xfId="0"/>
    <cellStyle name="Normal 6 108 2 5 5 2 2" xfId="0"/>
    <cellStyle name="Normal 6 108 2 5 5 3" xfId="0"/>
    <cellStyle name="Normal 6 108 2 5 6" xfId="0"/>
    <cellStyle name="Normal 6 108 2 5 6 2" xfId="0"/>
    <cellStyle name="Normal 6 108 2 5 7" xfId="0"/>
    <cellStyle name="Normal 6 108 2 6" xfId="0"/>
    <cellStyle name="Normal 6 108 2 6 2" xfId="0"/>
    <cellStyle name="Normal 6 108 2 6 2 2" xfId="0"/>
    <cellStyle name="Normal 6 108 2 6 2 2 2" xfId="0"/>
    <cellStyle name="Normal 6 108 2 6 2 2 2 2" xfId="0"/>
    <cellStyle name="Normal 6 108 2 6 2 2 2 2 2" xfId="0"/>
    <cellStyle name="Normal 6 108 2 6 2 2 2 3" xfId="0"/>
    <cellStyle name="Normal 6 108 2 6 2 2 3" xfId="0"/>
    <cellStyle name="Normal 6 108 2 6 2 2 3 2" xfId="0"/>
    <cellStyle name="Normal 6 108 2 6 2 2 4" xfId="0"/>
    <cellStyle name="Normal 6 108 2 6 2 3" xfId="0"/>
    <cellStyle name="Normal 6 108 2 6 2 3 2" xfId="0"/>
    <cellStyle name="Normal 6 108 2 6 2 3 2 2" xfId="0"/>
    <cellStyle name="Normal 6 108 2 6 2 3 3" xfId="0"/>
    <cellStyle name="Normal 6 108 2 6 2 4" xfId="0"/>
    <cellStyle name="Normal 6 108 2 6 2 4 2" xfId="0"/>
    <cellStyle name="Normal 6 108 2 6 2 5" xfId="0"/>
    <cellStyle name="Normal 6 108 2 6 3" xfId="0"/>
    <cellStyle name="Normal 6 108 2 6 3 2" xfId="0"/>
    <cellStyle name="Normal 6 108 2 6 3 2 2" xfId="0"/>
    <cellStyle name="Normal 6 108 2 6 3 2 2 2" xfId="0"/>
    <cellStyle name="Normal 6 108 2 6 3 2 3" xfId="0"/>
    <cellStyle name="Normal 6 108 2 6 3 3" xfId="0"/>
    <cellStyle name="Normal 6 108 2 6 3 3 2" xfId="0"/>
    <cellStyle name="Normal 6 108 2 6 3 4" xfId="0"/>
    <cellStyle name="Normal 6 108 2 6 4" xfId="0"/>
    <cellStyle name="Normal 6 108 2 6 4 2" xfId="0"/>
    <cellStyle name="Normal 6 108 2 6 4 2 2" xfId="0"/>
    <cellStyle name="Normal 6 108 2 6 4 3" xfId="0"/>
    <cellStyle name="Normal 6 108 2 6 5" xfId="0"/>
    <cellStyle name="Normal 6 108 2 6 5 2" xfId="0"/>
    <cellStyle name="Normal 6 108 2 6 6" xfId="0"/>
    <cellStyle name="Normal 6 108 2 7" xfId="0"/>
    <cellStyle name="Normal 6 108 2 7 2" xfId="0"/>
    <cellStyle name="Normal 6 108 2 7 2 2" xfId="0"/>
    <cellStyle name="Normal 6 108 2 7 2 2 2" xfId="0"/>
    <cellStyle name="Normal 6 108 2 7 2 2 2 2" xfId="0"/>
    <cellStyle name="Normal 6 108 2 7 2 2 3" xfId="0"/>
    <cellStyle name="Normal 6 108 2 7 2 3" xfId="0"/>
    <cellStyle name="Normal 6 108 2 7 2 3 2" xfId="0"/>
    <cellStyle name="Normal 6 108 2 7 2 4" xfId="0"/>
    <cellStyle name="Normal 6 108 2 7 3" xfId="0"/>
    <cellStyle name="Normal 6 108 2 7 3 2" xfId="0"/>
    <cellStyle name="Normal 6 108 2 7 3 2 2" xfId="0"/>
    <cellStyle name="Normal 6 108 2 7 3 3" xfId="0"/>
    <cellStyle name="Normal 6 108 2 7 4" xfId="0"/>
    <cellStyle name="Normal 6 108 2 7 4 2" xfId="0"/>
    <cellStyle name="Normal 6 108 2 7 5" xfId="0"/>
    <cellStyle name="Normal 6 108 2 8" xfId="0"/>
    <cellStyle name="Normal 6 108 2 8 2" xfId="0"/>
    <cellStyle name="Normal 6 108 2 8 2 2" xfId="0"/>
    <cellStyle name="Normal 6 108 2 8 2 2 2" xfId="0"/>
    <cellStyle name="Normal 6 108 2 8 2 3" xfId="0"/>
    <cellStyle name="Normal 6 108 2 8 3" xfId="0"/>
    <cellStyle name="Normal 6 108 2 8 3 2" xfId="0"/>
    <cellStyle name="Normal 6 108 2 8 4" xfId="0"/>
    <cellStyle name="Normal 6 108 2 9" xfId="0"/>
    <cellStyle name="Normal 6 108 2 9 2" xfId="0"/>
    <cellStyle name="Normal 6 108 2 9 2 2" xfId="0"/>
    <cellStyle name="Normal 6 108 2 9 3" xfId="0"/>
    <cellStyle name="Normal 6 108 3" xfId="0"/>
    <cellStyle name="Normal 6 108 3 2" xfId="0"/>
    <cellStyle name="Normal 6 108 3 2 2" xfId="0"/>
    <cellStyle name="Normal 6 108 3 2 2 2" xfId="0"/>
    <cellStyle name="Normal 6 108 3 2 2 2 2" xfId="0"/>
    <cellStyle name="Normal 6 108 3 2 2 2 2 2" xfId="0"/>
    <cellStyle name="Normal 6 108 3 2 2 2 2 2 2" xfId="0"/>
    <cellStyle name="Normal 6 108 3 2 2 2 2 2 2 2" xfId="0"/>
    <cellStyle name="Normal 6 108 3 2 2 2 2 2 3" xfId="0"/>
    <cellStyle name="Normal 6 108 3 2 2 2 2 3" xfId="0"/>
    <cellStyle name="Normal 6 108 3 2 2 2 2 3 2" xfId="0"/>
    <cellStyle name="Normal 6 108 3 2 2 2 2 4" xfId="0"/>
    <cellStyle name="Normal 6 108 3 2 2 2 3" xfId="0"/>
    <cellStyle name="Normal 6 108 3 2 2 2 3 2" xfId="0"/>
    <cellStyle name="Normal 6 108 3 2 2 2 3 2 2" xfId="0"/>
    <cellStyle name="Normal 6 108 3 2 2 2 3 3" xfId="0"/>
    <cellStyle name="Normal 6 108 3 2 2 2 4" xfId="0"/>
    <cellStyle name="Normal 6 108 3 2 2 2 4 2" xfId="0"/>
    <cellStyle name="Normal 6 108 3 2 2 2 5" xfId="0"/>
    <cellStyle name="Normal 6 108 3 2 2 3" xfId="0"/>
    <cellStyle name="Normal 6 108 3 2 2 3 2" xfId="0"/>
    <cellStyle name="Normal 6 108 3 2 2 3 2 2" xfId="0"/>
    <cellStyle name="Normal 6 108 3 2 2 3 2 2 2" xfId="0"/>
    <cellStyle name="Normal 6 108 3 2 2 3 2 3" xfId="0"/>
    <cellStyle name="Normal 6 108 3 2 2 3 3" xfId="0"/>
    <cellStyle name="Normal 6 108 3 2 2 3 3 2" xfId="0"/>
    <cellStyle name="Normal 6 108 3 2 2 3 4" xfId="0"/>
    <cellStyle name="Normal 6 108 3 2 2 4" xfId="0"/>
    <cellStyle name="Normal 6 108 3 2 2 4 2" xfId="0"/>
    <cellStyle name="Normal 6 108 3 2 2 4 2 2" xfId="0"/>
    <cellStyle name="Normal 6 108 3 2 2 4 3" xfId="0"/>
    <cellStyle name="Normal 6 108 3 2 2 5" xfId="0"/>
    <cellStyle name="Normal 6 108 3 2 2 5 2" xfId="0"/>
    <cellStyle name="Normal 6 108 3 2 2 6" xfId="0"/>
    <cellStyle name="Normal 6 108 3 2 3" xfId="0"/>
    <cellStyle name="Normal 6 108 3 2 3 2" xfId="0"/>
    <cellStyle name="Normal 6 108 3 2 3 2 2" xfId="0"/>
    <cellStyle name="Normal 6 108 3 2 3 2 2 2" xfId="0"/>
    <cellStyle name="Normal 6 108 3 2 3 2 2 2 2" xfId="0"/>
    <cellStyle name="Normal 6 108 3 2 3 2 2 3" xfId="0"/>
    <cellStyle name="Normal 6 108 3 2 3 2 3" xfId="0"/>
    <cellStyle name="Normal 6 108 3 2 3 2 3 2" xfId="0"/>
    <cellStyle name="Normal 6 108 3 2 3 2 4" xfId="0"/>
    <cellStyle name="Normal 6 108 3 2 3 3" xfId="0"/>
    <cellStyle name="Normal 6 108 3 2 3 3 2" xfId="0"/>
    <cellStyle name="Normal 6 108 3 2 3 3 2 2" xfId="0"/>
    <cellStyle name="Normal 6 108 3 2 3 3 3" xfId="0"/>
    <cellStyle name="Normal 6 108 3 2 3 4" xfId="0"/>
    <cellStyle name="Normal 6 108 3 2 3 4 2" xfId="0"/>
    <cellStyle name="Normal 6 108 3 2 3 5" xfId="0"/>
    <cellStyle name="Normal 6 108 3 2 4" xfId="0"/>
    <cellStyle name="Normal 6 108 3 2 4 2" xfId="0"/>
    <cellStyle name="Normal 6 108 3 2 4 2 2" xfId="0"/>
    <cellStyle name="Normal 6 108 3 2 4 2 2 2" xfId="0"/>
    <cellStyle name="Normal 6 108 3 2 4 2 3" xfId="0"/>
    <cellStyle name="Normal 6 108 3 2 4 3" xfId="0"/>
    <cellStyle name="Normal 6 108 3 2 4 3 2" xfId="0"/>
    <cellStyle name="Normal 6 108 3 2 4 4" xfId="0"/>
    <cellStyle name="Normal 6 108 3 2 5" xfId="0"/>
    <cellStyle name="Normal 6 108 3 2 5 2" xfId="0"/>
    <cellStyle name="Normal 6 108 3 2 5 2 2" xfId="0"/>
    <cellStyle name="Normal 6 108 3 2 5 3" xfId="0"/>
    <cellStyle name="Normal 6 108 3 2 6" xfId="0"/>
    <cellStyle name="Normal 6 108 3 2 6 2" xfId="0"/>
    <cellStyle name="Normal 6 108 3 2 7" xfId="0"/>
    <cellStyle name="Normal 6 108 3 3" xfId="0"/>
    <cellStyle name="Normal 6 108 3 3 2" xfId="0"/>
    <cellStyle name="Normal 6 108 3 3 2 2" xfId="0"/>
    <cellStyle name="Normal 6 108 3 3 2 2 2" xfId="0"/>
    <cellStyle name="Normal 6 108 3 3 2 2 2 2" xfId="0"/>
    <cellStyle name="Normal 6 108 3 3 2 2 2 2 2" xfId="0"/>
    <cellStyle name="Normal 6 108 3 3 2 2 2 3" xfId="0"/>
    <cellStyle name="Normal 6 108 3 3 2 2 3" xfId="0"/>
    <cellStyle name="Normal 6 108 3 3 2 2 3 2" xfId="0"/>
    <cellStyle name="Normal 6 108 3 3 2 2 4" xfId="0"/>
    <cellStyle name="Normal 6 108 3 3 2 3" xfId="0"/>
    <cellStyle name="Normal 6 108 3 3 2 3 2" xfId="0"/>
    <cellStyle name="Normal 6 108 3 3 2 3 2 2" xfId="0"/>
    <cellStyle name="Normal 6 108 3 3 2 3 3" xfId="0"/>
    <cellStyle name="Normal 6 108 3 3 2 4" xfId="0"/>
    <cellStyle name="Normal 6 108 3 3 2 4 2" xfId="0"/>
    <cellStyle name="Normal 6 108 3 3 2 5" xfId="0"/>
    <cellStyle name="Normal 6 108 3 3 3" xfId="0"/>
    <cellStyle name="Normal 6 108 3 3 3 2" xfId="0"/>
    <cellStyle name="Normal 6 108 3 3 3 2 2" xfId="0"/>
    <cellStyle name="Normal 6 108 3 3 3 2 2 2" xfId="0"/>
    <cellStyle name="Normal 6 108 3 3 3 2 3" xfId="0"/>
    <cellStyle name="Normal 6 108 3 3 3 3" xfId="0"/>
    <cellStyle name="Normal 6 108 3 3 3 3 2" xfId="0"/>
    <cellStyle name="Normal 6 108 3 3 3 4" xfId="0"/>
    <cellStyle name="Normal 6 108 3 3 4" xfId="0"/>
    <cellStyle name="Normal 6 108 3 3 4 2" xfId="0"/>
    <cellStyle name="Normal 6 108 3 3 4 2 2" xfId="0"/>
    <cellStyle name="Normal 6 108 3 3 4 3" xfId="0"/>
    <cellStyle name="Normal 6 108 3 3 5" xfId="0"/>
    <cellStyle name="Normal 6 108 3 3 5 2" xfId="0"/>
    <cellStyle name="Normal 6 108 3 3 6" xfId="0"/>
    <cellStyle name="Normal 6 108 3 4" xfId="0"/>
    <cellStyle name="Normal 6 108 3 4 2" xfId="0"/>
    <cellStyle name="Normal 6 108 3 4 2 2" xfId="0"/>
    <cellStyle name="Normal 6 108 3 4 2 2 2" xfId="0"/>
    <cellStyle name="Normal 6 108 3 4 2 2 2 2" xfId="0"/>
    <cellStyle name="Normal 6 108 3 4 2 2 3" xfId="0"/>
    <cellStyle name="Normal 6 108 3 4 2 3" xfId="0"/>
    <cellStyle name="Normal 6 108 3 4 2 3 2" xfId="0"/>
    <cellStyle name="Normal 6 108 3 4 2 4" xfId="0"/>
    <cellStyle name="Normal 6 108 3 4 3" xfId="0"/>
    <cellStyle name="Normal 6 108 3 4 3 2" xfId="0"/>
    <cellStyle name="Normal 6 108 3 4 3 2 2" xfId="0"/>
    <cellStyle name="Normal 6 108 3 4 3 3" xfId="0"/>
    <cellStyle name="Normal 6 108 3 4 4" xfId="0"/>
    <cellStyle name="Normal 6 108 3 4 4 2" xfId="0"/>
    <cellStyle name="Normal 6 108 3 4 5" xfId="0"/>
    <cellStyle name="Normal 6 108 3 5" xfId="0"/>
    <cellStyle name="Normal 6 108 3 5 2" xfId="0"/>
    <cellStyle name="Normal 6 108 3 5 2 2" xfId="0"/>
    <cellStyle name="Normal 6 108 3 5 2 2 2" xfId="0"/>
    <cellStyle name="Normal 6 108 3 5 2 3" xfId="0"/>
    <cellStyle name="Normal 6 108 3 5 3" xfId="0"/>
    <cellStyle name="Normal 6 108 3 5 3 2" xfId="0"/>
    <cellStyle name="Normal 6 108 3 5 4" xfId="0"/>
    <cellStyle name="Normal 6 108 3 6" xfId="0"/>
    <cellStyle name="Normal 6 108 3 6 2" xfId="0"/>
    <cellStyle name="Normal 6 108 3 6 2 2" xfId="0"/>
    <cellStyle name="Normal 6 108 3 6 3" xfId="0"/>
    <cellStyle name="Normal 6 108 3 7" xfId="0"/>
    <cellStyle name="Normal 6 108 3 7 2" xfId="0"/>
    <cellStyle name="Normal 6 108 3 8" xfId="0"/>
    <cellStyle name="Normal 6 108 4" xfId="0"/>
    <cellStyle name="Normal 6 108 4 2" xfId="0"/>
    <cellStyle name="Normal 6 108 4 2 2" xfId="0"/>
    <cellStyle name="Normal 6 108 4 2 2 2" xfId="0"/>
    <cellStyle name="Normal 6 108 4 2 2 2 2" xfId="0"/>
    <cellStyle name="Normal 6 108 4 2 2 2 2 2" xfId="0"/>
    <cellStyle name="Normal 6 108 4 2 2 2 2 2 2" xfId="0"/>
    <cellStyle name="Normal 6 108 4 2 2 2 2 2 2 2" xfId="0"/>
    <cellStyle name="Normal 6 108 4 2 2 2 2 2 3" xfId="0"/>
    <cellStyle name="Normal 6 108 4 2 2 2 2 3" xfId="0"/>
    <cellStyle name="Normal 6 108 4 2 2 2 2 3 2" xfId="0"/>
    <cellStyle name="Normal 6 108 4 2 2 2 2 4" xfId="0"/>
    <cellStyle name="Normal 6 108 4 2 2 2 3" xfId="0"/>
    <cellStyle name="Normal 6 108 4 2 2 2 3 2" xfId="0"/>
    <cellStyle name="Normal 6 108 4 2 2 2 3 2 2" xfId="0"/>
    <cellStyle name="Normal 6 108 4 2 2 2 3 3" xfId="0"/>
    <cellStyle name="Normal 6 108 4 2 2 2 4" xfId="0"/>
    <cellStyle name="Normal 6 108 4 2 2 2 4 2" xfId="0"/>
    <cellStyle name="Normal 6 108 4 2 2 2 5" xfId="0"/>
    <cellStyle name="Normal 6 108 4 2 2 3" xfId="0"/>
    <cellStyle name="Normal 6 108 4 2 2 3 2" xfId="0"/>
    <cellStyle name="Normal 6 108 4 2 2 3 2 2" xfId="0"/>
    <cellStyle name="Normal 6 108 4 2 2 3 2 2 2" xfId="0"/>
    <cellStyle name="Normal 6 108 4 2 2 3 2 3" xfId="0"/>
    <cellStyle name="Normal 6 108 4 2 2 3 3" xfId="0"/>
    <cellStyle name="Normal 6 108 4 2 2 3 3 2" xfId="0"/>
    <cellStyle name="Normal 6 108 4 2 2 3 4" xfId="0"/>
    <cellStyle name="Normal 6 108 4 2 2 4" xfId="0"/>
    <cellStyle name="Normal 6 108 4 2 2 4 2" xfId="0"/>
    <cellStyle name="Normal 6 108 4 2 2 4 2 2" xfId="0"/>
    <cellStyle name="Normal 6 108 4 2 2 4 3" xfId="0"/>
    <cellStyle name="Normal 6 108 4 2 2 5" xfId="0"/>
    <cellStyle name="Normal 6 108 4 2 2 5 2" xfId="0"/>
    <cellStyle name="Normal 6 108 4 2 2 6" xfId="0"/>
    <cellStyle name="Normal 6 108 4 2 3" xfId="0"/>
    <cellStyle name="Normal 6 108 4 2 3 2" xfId="0"/>
    <cellStyle name="Normal 6 108 4 2 3 2 2" xfId="0"/>
    <cellStyle name="Normal 6 108 4 2 3 2 2 2" xfId="0"/>
    <cellStyle name="Normal 6 108 4 2 3 2 2 2 2" xfId="0"/>
    <cellStyle name="Normal 6 108 4 2 3 2 2 3" xfId="0"/>
    <cellStyle name="Normal 6 108 4 2 3 2 3" xfId="0"/>
    <cellStyle name="Normal 6 108 4 2 3 2 3 2" xfId="0"/>
    <cellStyle name="Normal 6 108 4 2 3 2 4" xfId="0"/>
    <cellStyle name="Normal 6 108 4 2 3 3" xfId="0"/>
    <cellStyle name="Normal 6 108 4 2 3 3 2" xfId="0"/>
    <cellStyle name="Normal 6 108 4 2 3 3 2 2" xfId="0"/>
    <cellStyle name="Normal 6 108 4 2 3 3 3" xfId="0"/>
    <cellStyle name="Normal 6 108 4 2 3 4" xfId="0"/>
    <cellStyle name="Normal 6 108 4 2 3 4 2" xfId="0"/>
    <cellStyle name="Normal 6 108 4 2 3 5" xfId="0"/>
    <cellStyle name="Normal 6 108 4 2 4" xfId="0"/>
    <cellStyle name="Normal 6 108 4 2 4 2" xfId="0"/>
    <cellStyle name="Normal 6 108 4 2 4 2 2" xfId="0"/>
    <cellStyle name="Normal 6 108 4 2 4 2 2 2" xfId="0"/>
    <cellStyle name="Normal 6 108 4 2 4 2 3" xfId="0"/>
    <cellStyle name="Normal 6 108 4 2 4 3" xfId="0"/>
    <cellStyle name="Normal 6 108 4 2 4 3 2" xfId="0"/>
    <cellStyle name="Normal 6 108 4 2 4 4" xfId="0"/>
    <cellStyle name="Normal 6 108 4 2 5" xfId="0"/>
    <cellStyle name="Normal 6 108 4 2 5 2" xfId="0"/>
    <cellStyle name="Normal 6 108 4 2 5 2 2" xfId="0"/>
    <cellStyle name="Normal 6 108 4 2 5 3" xfId="0"/>
    <cellStyle name="Normal 6 108 4 2 6" xfId="0"/>
    <cellStyle name="Normal 6 108 4 2 6 2" xfId="0"/>
    <cellStyle name="Normal 6 108 4 2 7" xfId="0"/>
    <cellStyle name="Normal 6 108 4 3" xfId="0"/>
    <cellStyle name="Normal 6 108 4 3 2" xfId="0"/>
    <cellStyle name="Normal 6 108 4 3 2 2" xfId="0"/>
    <cellStyle name="Normal 6 108 4 3 2 2 2" xfId="0"/>
    <cellStyle name="Normal 6 108 4 3 2 2 2 2" xfId="0"/>
    <cellStyle name="Normal 6 108 4 3 2 2 2 2 2" xfId="0"/>
    <cellStyle name="Normal 6 108 4 3 2 2 2 3" xfId="0"/>
    <cellStyle name="Normal 6 108 4 3 2 2 3" xfId="0"/>
    <cellStyle name="Normal 6 108 4 3 2 2 3 2" xfId="0"/>
    <cellStyle name="Normal 6 108 4 3 2 2 4" xfId="0"/>
    <cellStyle name="Normal 6 108 4 3 2 3" xfId="0"/>
    <cellStyle name="Normal 6 108 4 3 2 3 2" xfId="0"/>
    <cellStyle name="Normal 6 108 4 3 2 3 2 2" xfId="0"/>
    <cellStyle name="Normal 6 108 4 3 2 3 3" xfId="0"/>
    <cellStyle name="Normal 6 108 4 3 2 4" xfId="0"/>
    <cellStyle name="Normal 6 108 4 3 2 4 2" xfId="0"/>
    <cellStyle name="Normal 6 108 4 3 2 5" xfId="0"/>
    <cellStyle name="Normal 6 108 4 3 3" xfId="0"/>
    <cellStyle name="Normal 6 108 4 3 3 2" xfId="0"/>
    <cellStyle name="Normal 6 108 4 3 3 2 2" xfId="0"/>
    <cellStyle name="Normal 6 108 4 3 3 2 2 2" xfId="0"/>
    <cellStyle name="Normal 6 108 4 3 3 2 3" xfId="0"/>
    <cellStyle name="Normal 6 108 4 3 3 3" xfId="0"/>
    <cellStyle name="Normal 6 108 4 3 3 3 2" xfId="0"/>
    <cellStyle name="Normal 6 108 4 3 3 4" xfId="0"/>
    <cellStyle name="Normal 6 108 4 3 4" xfId="0"/>
    <cellStyle name="Normal 6 108 4 3 4 2" xfId="0"/>
    <cellStyle name="Normal 6 108 4 3 4 2 2" xfId="0"/>
    <cellStyle name="Normal 6 108 4 3 4 3" xfId="0"/>
    <cellStyle name="Normal 6 108 4 3 5" xfId="0"/>
    <cellStyle name="Normal 6 108 4 3 5 2" xfId="0"/>
    <cellStyle name="Normal 6 108 4 3 6" xfId="0"/>
    <cellStyle name="Normal 6 108 4 4" xfId="0"/>
    <cellStyle name="Normal 6 108 4 4 2" xfId="0"/>
    <cellStyle name="Normal 6 108 4 4 2 2" xfId="0"/>
    <cellStyle name="Normal 6 108 4 4 2 2 2" xfId="0"/>
    <cellStyle name="Normal 6 108 4 4 2 2 2 2" xfId="0"/>
    <cellStyle name="Normal 6 108 4 4 2 2 3" xfId="0"/>
    <cellStyle name="Normal 6 108 4 4 2 3" xfId="0"/>
    <cellStyle name="Normal 6 108 4 4 2 3 2" xfId="0"/>
    <cellStyle name="Normal 6 108 4 4 2 4" xfId="0"/>
    <cellStyle name="Normal 6 108 4 4 3" xfId="0"/>
    <cellStyle name="Normal 6 108 4 4 3 2" xfId="0"/>
    <cellStyle name="Normal 6 108 4 4 3 2 2" xfId="0"/>
    <cellStyle name="Normal 6 108 4 4 3 3" xfId="0"/>
    <cellStyle name="Normal 6 108 4 4 4" xfId="0"/>
    <cellStyle name="Normal 6 108 4 4 4 2" xfId="0"/>
    <cellStyle name="Normal 6 108 4 4 5" xfId="0"/>
    <cellStyle name="Normal 6 108 4 5" xfId="0"/>
    <cellStyle name="Normal 6 108 4 5 2" xfId="0"/>
    <cellStyle name="Normal 6 108 4 5 2 2" xfId="0"/>
    <cellStyle name="Normal 6 108 4 5 2 2 2" xfId="0"/>
    <cellStyle name="Normal 6 108 4 5 2 3" xfId="0"/>
    <cellStyle name="Normal 6 108 4 5 3" xfId="0"/>
    <cellStyle name="Normal 6 108 4 5 3 2" xfId="0"/>
    <cellStyle name="Normal 6 108 4 5 4" xfId="0"/>
    <cellStyle name="Normal 6 108 4 6" xfId="0"/>
    <cellStyle name="Normal 6 108 4 6 2" xfId="0"/>
    <cellStyle name="Normal 6 108 4 6 2 2" xfId="0"/>
    <cellStyle name="Normal 6 108 4 6 3" xfId="0"/>
    <cellStyle name="Normal 6 108 4 7" xfId="0"/>
    <cellStyle name="Normal 6 108 4 7 2" xfId="0"/>
    <cellStyle name="Normal 6 108 4 8" xfId="0"/>
    <cellStyle name="Normal 6 108 5" xfId="0"/>
    <cellStyle name="Normal 6 108 5 2" xfId="0"/>
    <cellStyle name="Normal 6 108 5 2 2" xfId="0"/>
    <cellStyle name="Normal 6 108 5 2 2 2" xfId="0"/>
    <cellStyle name="Normal 6 108 5 2 2 2 2" xfId="0"/>
    <cellStyle name="Normal 6 108 5 2 2 2 2 2" xfId="0"/>
    <cellStyle name="Normal 6 108 5 2 2 2 2 2 2" xfId="0"/>
    <cellStyle name="Normal 6 108 5 2 2 2 2 3" xfId="0"/>
    <cellStyle name="Normal 6 108 5 2 2 2 3" xfId="0"/>
    <cellStyle name="Normal 6 108 5 2 2 2 3 2" xfId="0"/>
    <cellStyle name="Normal 6 108 5 2 2 2 4" xfId="0"/>
    <cellStyle name="Normal 6 108 5 2 2 3" xfId="0"/>
    <cellStyle name="Normal 6 108 5 2 2 3 2" xfId="0"/>
    <cellStyle name="Normal 6 108 5 2 2 3 2 2" xfId="0"/>
    <cellStyle name="Normal 6 108 5 2 2 3 3" xfId="0"/>
    <cellStyle name="Normal 6 108 5 2 2 4" xfId="0"/>
    <cellStyle name="Normal 6 108 5 2 2 4 2" xfId="0"/>
    <cellStyle name="Normal 6 108 5 2 2 5" xfId="0"/>
    <cellStyle name="Normal 6 108 5 2 3" xfId="0"/>
    <cellStyle name="Normal 6 108 5 2 3 2" xfId="0"/>
    <cellStyle name="Normal 6 108 5 2 3 2 2" xfId="0"/>
    <cellStyle name="Normal 6 108 5 2 3 2 2 2" xfId="0"/>
    <cellStyle name="Normal 6 108 5 2 3 2 3" xfId="0"/>
    <cellStyle name="Normal 6 108 5 2 3 3" xfId="0"/>
    <cellStyle name="Normal 6 108 5 2 3 3 2" xfId="0"/>
    <cellStyle name="Normal 6 108 5 2 3 4" xfId="0"/>
    <cellStyle name="Normal 6 108 5 2 4" xfId="0"/>
    <cellStyle name="Normal 6 108 5 2 4 2" xfId="0"/>
    <cellStyle name="Normal 6 108 5 2 4 2 2" xfId="0"/>
    <cellStyle name="Normal 6 108 5 2 4 3" xfId="0"/>
    <cellStyle name="Normal 6 108 5 2 5" xfId="0"/>
    <cellStyle name="Normal 6 108 5 2 5 2" xfId="0"/>
    <cellStyle name="Normal 6 108 5 2 6" xfId="0"/>
    <cellStyle name="Normal 6 108 5 3" xfId="0"/>
    <cellStyle name="Normal 6 108 5 3 2" xfId="0"/>
    <cellStyle name="Normal 6 108 5 3 2 2" xfId="0"/>
    <cellStyle name="Normal 6 108 5 3 2 2 2" xfId="0"/>
    <cellStyle name="Normal 6 108 5 3 2 2 2 2" xfId="0"/>
    <cellStyle name="Normal 6 108 5 3 2 2 3" xfId="0"/>
    <cellStyle name="Normal 6 108 5 3 2 3" xfId="0"/>
    <cellStyle name="Normal 6 108 5 3 2 3 2" xfId="0"/>
    <cellStyle name="Normal 6 108 5 3 2 4" xfId="0"/>
    <cellStyle name="Normal 6 108 5 3 3" xfId="0"/>
    <cellStyle name="Normal 6 108 5 3 3 2" xfId="0"/>
    <cellStyle name="Normal 6 108 5 3 3 2 2" xfId="0"/>
    <cellStyle name="Normal 6 108 5 3 3 3" xfId="0"/>
    <cellStyle name="Normal 6 108 5 3 4" xfId="0"/>
    <cellStyle name="Normal 6 108 5 3 4 2" xfId="0"/>
    <cellStyle name="Normal 6 108 5 3 5" xfId="0"/>
    <cellStyle name="Normal 6 108 5 4" xfId="0"/>
    <cellStyle name="Normal 6 108 5 4 2" xfId="0"/>
    <cellStyle name="Normal 6 108 5 4 2 2" xfId="0"/>
    <cellStyle name="Normal 6 108 5 4 2 2 2" xfId="0"/>
    <cellStyle name="Normal 6 108 5 4 2 3" xfId="0"/>
    <cellStyle name="Normal 6 108 5 4 3" xfId="0"/>
    <cellStyle name="Normal 6 108 5 4 3 2" xfId="0"/>
    <cellStyle name="Normal 6 108 5 4 4" xfId="0"/>
    <cellStyle name="Normal 6 108 5 5" xfId="0"/>
    <cellStyle name="Normal 6 108 5 5 2" xfId="0"/>
    <cellStyle name="Normal 6 108 5 5 2 2" xfId="0"/>
    <cellStyle name="Normal 6 108 5 5 3" xfId="0"/>
    <cellStyle name="Normal 6 108 5 6" xfId="0"/>
    <cellStyle name="Normal 6 108 5 6 2" xfId="0"/>
    <cellStyle name="Normal 6 108 5 7" xfId="0"/>
    <cellStyle name="Normal 6 108 6" xfId="0"/>
    <cellStyle name="Normal 6 108 6 2" xfId="0"/>
    <cellStyle name="Normal 6 108 6 2 2" xfId="0"/>
    <cellStyle name="Normal 6 108 6 2 2 2" xfId="0"/>
    <cellStyle name="Normal 6 108 6 2 2 2 2" xfId="0"/>
    <cellStyle name="Normal 6 108 6 2 2 2 2 2" xfId="0"/>
    <cellStyle name="Normal 6 108 6 2 2 2 2 2 2" xfId="0"/>
    <cellStyle name="Normal 6 108 6 2 2 2 2 3" xfId="0"/>
    <cellStyle name="Normal 6 108 6 2 2 2 3" xfId="0"/>
    <cellStyle name="Normal 6 108 6 2 2 2 3 2" xfId="0"/>
    <cellStyle name="Normal 6 108 6 2 2 2 4" xfId="0"/>
    <cellStyle name="Normal 6 108 6 2 2 3" xfId="0"/>
    <cellStyle name="Normal 6 108 6 2 2 3 2" xfId="0"/>
    <cellStyle name="Normal 6 108 6 2 2 3 2 2" xfId="0"/>
    <cellStyle name="Normal 6 108 6 2 2 3 3" xfId="0"/>
    <cellStyle name="Normal 6 108 6 2 2 4" xfId="0"/>
    <cellStyle name="Normal 6 108 6 2 2 4 2" xfId="0"/>
    <cellStyle name="Normal 6 108 6 2 2 5" xfId="0"/>
    <cellStyle name="Normal 6 108 6 2 3" xfId="0"/>
    <cellStyle name="Normal 6 108 6 2 3 2" xfId="0"/>
    <cellStyle name="Normal 6 108 6 2 3 2 2" xfId="0"/>
    <cellStyle name="Normal 6 108 6 2 3 2 2 2" xfId="0"/>
    <cellStyle name="Normal 6 108 6 2 3 2 3" xfId="0"/>
    <cellStyle name="Normal 6 108 6 2 3 3" xfId="0"/>
    <cellStyle name="Normal 6 108 6 2 3 3 2" xfId="0"/>
    <cellStyle name="Normal 6 108 6 2 3 4" xfId="0"/>
    <cellStyle name="Normal 6 108 6 2 4" xfId="0"/>
    <cellStyle name="Normal 6 108 6 2 4 2" xfId="0"/>
    <cellStyle name="Normal 6 108 6 2 4 2 2" xfId="0"/>
    <cellStyle name="Normal 6 108 6 2 4 3" xfId="0"/>
    <cellStyle name="Normal 6 108 6 2 5" xfId="0"/>
    <cellStyle name="Normal 6 108 6 2 5 2" xfId="0"/>
    <cellStyle name="Normal 6 108 6 2 6" xfId="0"/>
    <cellStyle name="Normal 6 108 6 3" xfId="0"/>
    <cellStyle name="Normal 6 108 6 3 2" xfId="0"/>
    <cellStyle name="Normal 6 108 6 3 2 2" xfId="0"/>
    <cellStyle name="Normal 6 108 6 3 2 2 2" xfId="0"/>
    <cellStyle name="Normal 6 108 6 3 2 2 2 2" xfId="0"/>
    <cellStyle name="Normal 6 108 6 3 2 2 3" xfId="0"/>
    <cellStyle name="Normal 6 108 6 3 2 3" xfId="0"/>
    <cellStyle name="Normal 6 108 6 3 2 3 2" xfId="0"/>
    <cellStyle name="Normal 6 108 6 3 2 4" xfId="0"/>
    <cellStyle name="Normal 6 108 6 3 3" xfId="0"/>
    <cellStyle name="Normal 6 108 6 3 3 2" xfId="0"/>
    <cellStyle name="Normal 6 108 6 3 3 2 2" xfId="0"/>
    <cellStyle name="Normal 6 108 6 3 3 3" xfId="0"/>
    <cellStyle name="Normal 6 108 6 3 4" xfId="0"/>
    <cellStyle name="Normal 6 108 6 3 4 2" xfId="0"/>
    <cellStyle name="Normal 6 108 6 3 5" xfId="0"/>
    <cellStyle name="Normal 6 108 6 4" xfId="0"/>
    <cellStyle name="Normal 6 108 6 4 2" xfId="0"/>
    <cellStyle name="Normal 6 108 6 4 2 2" xfId="0"/>
    <cellStyle name="Normal 6 108 6 4 2 2 2" xfId="0"/>
    <cellStyle name="Normal 6 108 6 4 2 3" xfId="0"/>
    <cellStyle name="Normal 6 108 6 4 3" xfId="0"/>
    <cellStyle name="Normal 6 108 6 4 3 2" xfId="0"/>
    <cellStyle name="Normal 6 108 6 4 4" xfId="0"/>
    <cellStyle name="Normal 6 108 6 5" xfId="0"/>
    <cellStyle name="Normal 6 108 6 5 2" xfId="0"/>
    <cellStyle name="Normal 6 108 6 5 2 2" xfId="0"/>
    <cellStyle name="Normal 6 108 6 5 3" xfId="0"/>
    <cellStyle name="Normal 6 108 6 6" xfId="0"/>
    <cellStyle name="Normal 6 108 6 6 2" xfId="0"/>
    <cellStyle name="Normal 6 108 6 7" xfId="0"/>
    <cellStyle name="Normal 6 108 7" xfId="0"/>
    <cellStyle name="Normal 6 108 7 2" xfId="0"/>
    <cellStyle name="Normal 6 108 7 2 2" xfId="0"/>
    <cellStyle name="Normal 6 108 7 2 2 2" xfId="0"/>
    <cellStyle name="Normal 6 108 7 2 2 2 2" xfId="0"/>
    <cellStyle name="Normal 6 108 7 2 2 2 2 2" xfId="0"/>
    <cellStyle name="Normal 6 108 7 2 2 2 3" xfId="0"/>
    <cellStyle name="Normal 6 108 7 2 2 3" xfId="0"/>
    <cellStyle name="Normal 6 108 7 2 2 3 2" xfId="0"/>
    <cellStyle name="Normal 6 108 7 2 2 4" xfId="0"/>
    <cellStyle name="Normal 6 108 7 2 3" xfId="0"/>
    <cellStyle name="Normal 6 108 7 2 3 2" xfId="0"/>
    <cellStyle name="Normal 6 108 7 2 3 2 2" xfId="0"/>
    <cellStyle name="Normal 6 108 7 2 3 3" xfId="0"/>
    <cellStyle name="Normal 6 108 7 2 4" xfId="0"/>
    <cellStyle name="Normal 6 108 7 2 4 2" xfId="0"/>
    <cellStyle name="Normal 6 108 7 2 5" xfId="0"/>
    <cellStyle name="Normal 6 108 7 3" xfId="0"/>
    <cellStyle name="Normal 6 108 7 3 2" xfId="0"/>
    <cellStyle name="Normal 6 108 7 3 2 2" xfId="0"/>
    <cellStyle name="Normal 6 108 7 3 2 2 2" xfId="0"/>
    <cellStyle name="Normal 6 108 7 3 2 3" xfId="0"/>
    <cellStyle name="Normal 6 108 7 3 3" xfId="0"/>
    <cellStyle name="Normal 6 108 7 3 3 2" xfId="0"/>
    <cellStyle name="Normal 6 108 7 3 4" xfId="0"/>
    <cellStyle name="Normal 6 108 7 4" xfId="0"/>
    <cellStyle name="Normal 6 108 7 4 2" xfId="0"/>
    <cellStyle name="Normal 6 108 7 4 2 2" xfId="0"/>
    <cellStyle name="Normal 6 108 7 4 3" xfId="0"/>
    <cellStyle name="Normal 6 108 7 5" xfId="0"/>
    <cellStyle name="Normal 6 108 7 5 2" xfId="0"/>
    <cellStyle name="Normal 6 108 7 6" xfId="0"/>
    <cellStyle name="Normal 6 108 8" xfId="0"/>
    <cellStyle name="Normal 6 108 8 2" xfId="0"/>
    <cellStyle name="Normal 6 108 8 2 2" xfId="0"/>
    <cellStyle name="Normal 6 108 8 2 2 2" xfId="0"/>
    <cellStyle name="Normal 6 108 8 2 2 2 2" xfId="0"/>
    <cellStyle name="Normal 6 108 8 2 2 3" xfId="0"/>
    <cellStyle name="Normal 6 108 8 2 3" xfId="0"/>
    <cellStyle name="Normal 6 108 8 2 3 2" xfId="0"/>
    <cellStyle name="Normal 6 108 8 2 4" xfId="0"/>
    <cellStyle name="Normal 6 108 8 3" xfId="0"/>
    <cellStyle name="Normal 6 108 8 3 2" xfId="0"/>
    <cellStyle name="Normal 6 108 8 3 2 2" xfId="0"/>
    <cellStyle name="Normal 6 108 8 3 3" xfId="0"/>
    <cellStyle name="Normal 6 108 8 4" xfId="0"/>
    <cellStyle name="Normal 6 108 8 4 2" xfId="0"/>
    <cellStyle name="Normal 6 108 8 5" xfId="0"/>
    <cellStyle name="Normal 6 108 9" xfId="0"/>
    <cellStyle name="Normal 6 108 9 2" xfId="0"/>
    <cellStyle name="Normal 6 108 9 2 2" xfId="0"/>
    <cellStyle name="Normal 6 108 9 2 2 2" xfId="0"/>
    <cellStyle name="Normal 6 108 9 2 3" xfId="0"/>
    <cellStyle name="Normal 6 108 9 3" xfId="0"/>
    <cellStyle name="Normal 6 108 9 3 2" xfId="0"/>
    <cellStyle name="Normal 6 108 9 4" xfId="0"/>
    <cellStyle name="Normal 6 109" xfId="0"/>
    <cellStyle name="Normal 6 109 10" xfId="0"/>
    <cellStyle name="Normal 6 109 10 2" xfId="0"/>
    <cellStyle name="Normal 6 109 10 2 2" xfId="0"/>
    <cellStyle name="Normal 6 109 10 3" xfId="0"/>
    <cellStyle name="Normal 6 109 11" xfId="0"/>
    <cellStyle name="Normal 6 109 11 2" xfId="0"/>
    <cellStyle name="Normal 6 109 12" xfId="0"/>
    <cellStyle name="Normal 6 109 2" xfId="0"/>
    <cellStyle name="Normal 6 109 2 10" xfId="0"/>
    <cellStyle name="Normal 6 109 2 10 2" xfId="0"/>
    <cellStyle name="Normal 6 109 2 11" xfId="0"/>
    <cellStyle name="Normal 6 109 2 2" xfId="0"/>
    <cellStyle name="Normal 6 109 2 2 2" xfId="0"/>
    <cellStyle name="Normal 6 109 2 2 2 2" xfId="0"/>
    <cellStyle name="Normal 6 109 2 2 2 2 2" xfId="0"/>
    <cellStyle name="Normal 6 109 2 2 2 2 2 2" xfId="0"/>
    <cellStyle name="Normal 6 109 2 2 2 2 2 2 2" xfId="0"/>
    <cellStyle name="Normal 6 109 2 2 2 2 2 2 2 2" xfId="0"/>
    <cellStyle name="Normal 6 109 2 2 2 2 2 2 2 2 2" xfId="0"/>
    <cellStyle name="Normal 6 109 2 2 2 2 2 2 2 3" xfId="0"/>
    <cellStyle name="Normal 6 109 2 2 2 2 2 2 3" xfId="0"/>
    <cellStyle name="Normal 6 109 2 2 2 2 2 2 3 2" xfId="0"/>
    <cellStyle name="Normal 6 109 2 2 2 2 2 2 4" xfId="0"/>
    <cellStyle name="Normal 6 109 2 2 2 2 2 3" xfId="0"/>
    <cellStyle name="Normal 6 109 2 2 2 2 2 3 2" xfId="0"/>
    <cellStyle name="Normal 6 109 2 2 2 2 2 3 2 2" xfId="0"/>
    <cellStyle name="Normal 6 109 2 2 2 2 2 3 3" xfId="0"/>
    <cellStyle name="Normal 6 109 2 2 2 2 2 4" xfId="0"/>
    <cellStyle name="Normal 6 109 2 2 2 2 2 4 2" xfId="0"/>
    <cellStyle name="Normal 6 109 2 2 2 2 2 5" xfId="0"/>
    <cellStyle name="Normal 6 109 2 2 2 2 3" xfId="0"/>
    <cellStyle name="Normal 6 109 2 2 2 2 3 2" xfId="0"/>
    <cellStyle name="Normal 6 109 2 2 2 2 3 2 2" xfId="0"/>
    <cellStyle name="Normal 6 109 2 2 2 2 3 2 2 2" xfId="0"/>
    <cellStyle name="Normal 6 109 2 2 2 2 3 2 3" xfId="0"/>
    <cellStyle name="Normal 6 109 2 2 2 2 3 3" xfId="0"/>
    <cellStyle name="Normal 6 109 2 2 2 2 3 3 2" xfId="0"/>
    <cellStyle name="Normal 6 109 2 2 2 2 3 4" xfId="0"/>
    <cellStyle name="Normal 6 109 2 2 2 2 4" xfId="0"/>
    <cellStyle name="Normal 6 109 2 2 2 2 4 2" xfId="0"/>
    <cellStyle name="Normal 6 109 2 2 2 2 4 2 2" xfId="0"/>
    <cellStyle name="Normal 6 109 2 2 2 2 4 3" xfId="0"/>
    <cellStyle name="Normal 6 109 2 2 2 2 5" xfId="0"/>
    <cellStyle name="Normal 6 109 2 2 2 2 5 2" xfId="0"/>
    <cellStyle name="Normal 6 109 2 2 2 2 6" xfId="0"/>
    <cellStyle name="Normal 6 109 2 2 2 3" xfId="0"/>
    <cellStyle name="Normal 6 109 2 2 2 3 2" xfId="0"/>
    <cellStyle name="Normal 6 109 2 2 2 3 2 2" xfId="0"/>
    <cellStyle name="Normal 6 109 2 2 2 3 2 2 2" xfId="0"/>
    <cellStyle name="Normal 6 109 2 2 2 3 2 2 2 2" xfId="0"/>
    <cellStyle name="Normal 6 109 2 2 2 3 2 2 3" xfId="0"/>
    <cellStyle name="Normal 6 109 2 2 2 3 2 3" xfId="0"/>
    <cellStyle name="Normal 6 109 2 2 2 3 2 3 2" xfId="0"/>
    <cellStyle name="Normal 6 109 2 2 2 3 2 4" xfId="0"/>
    <cellStyle name="Normal 6 109 2 2 2 3 3" xfId="0"/>
    <cellStyle name="Normal 6 109 2 2 2 3 3 2" xfId="0"/>
    <cellStyle name="Normal 6 109 2 2 2 3 3 2 2" xfId="0"/>
    <cellStyle name="Normal 6 109 2 2 2 3 3 3" xfId="0"/>
    <cellStyle name="Normal 6 109 2 2 2 3 4" xfId="0"/>
    <cellStyle name="Normal 6 109 2 2 2 3 4 2" xfId="0"/>
    <cellStyle name="Normal 6 109 2 2 2 3 5" xfId="0"/>
    <cellStyle name="Normal 6 109 2 2 2 4" xfId="0"/>
    <cellStyle name="Normal 6 109 2 2 2 4 2" xfId="0"/>
    <cellStyle name="Normal 6 109 2 2 2 4 2 2" xfId="0"/>
    <cellStyle name="Normal 6 109 2 2 2 4 2 2 2" xfId="0"/>
    <cellStyle name="Normal 6 109 2 2 2 4 2 3" xfId="0"/>
    <cellStyle name="Normal 6 109 2 2 2 4 3" xfId="0"/>
    <cellStyle name="Normal 6 109 2 2 2 4 3 2" xfId="0"/>
    <cellStyle name="Normal 6 109 2 2 2 4 4" xfId="0"/>
    <cellStyle name="Normal 6 109 2 2 2 5" xfId="0"/>
    <cellStyle name="Normal 6 109 2 2 2 5 2" xfId="0"/>
    <cellStyle name="Normal 6 109 2 2 2 5 2 2" xfId="0"/>
    <cellStyle name="Normal 6 109 2 2 2 5 3" xfId="0"/>
    <cellStyle name="Normal 6 109 2 2 2 6" xfId="0"/>
    <cellStyle name="Normal 6 109 2 2 2 6 2" xfId="0"/>
    <cellStyle name="Normal 6 109 2 2 2 7" xfId="0"/>
    <cellStyle name="Normal 6 109 2 2 3" xfId="0"/>
    <cellStyle name="Normal 6 109 2 2 3 2" xfId="0"/>
    <cellStyle name="Normal 6 109 2 2 3 2 2" xfId="0"/>
    <cellStyle name="Normal 6 109 2 2 3 2 2 2" xfId="0"/>
    <cellStyle name="Normal 6 109 2 2 3 2 2 2 2" xfId="0"/>
    <cellStyle name="Normal 6 109 2 2 3 2 2 2 2 2" xfId="0"/>
    <cellStyle name="Normal 6 109 2 2 3 2 2 2 3" xfId="0"/>
    <cellStyle name="Normal 6 109 2 2 3 2 2 3" xfId="0"/>
    <cellStyle name="Normal 6 109 2 2 3 2 2 3 2" xfId="0"/>
    <cellStyle name="Normal 6 109 2 2 3 2 2 4" xfId="0"/>
    <cellStyle name="Normal 6 109 2 2 3 2 3" xfId="0"/>
    <cellStyle name="Normal 6 109 2 2 3 2 3 2" xfId="0"/>
    <cellStyle name="Normal 6 109 2 2 3 2 3 2 2" xfId="0"/>
    <cellStyle name="Normal 6 109 2 2 3 2 3 3" xfId="0"/>
    <cellStyle name="Normal 6 109 2 2 3 2 4" xfId="0"/>
    <cellStyle name="Normal 6 109 2 2 3 2 4 2" xfId="0"/>
    <cellStyle name="Normal 6 109 2 2 3 2 5" xfId="0"/>
    <cellStyle name="Normal 6 109 2 2 3 3" xfId="0"/>
    <cellStyle name="Normal 6 109 2 2 3 3 2" xfId="0"/>
    <cellStyle name="Normal 6 109 2 2 3 3 2 2" xfId="0"/>
    <cellStyle name="Normal 6 109 2 2 3 3 2 2 2" xfId="0"/>
    <cellStyle name="Normal 6 109 2 2 3 3 2 3" xfId="0"/>
    <cellStyle name="Normal 6 109 2 2 3 3 3" xfId="0"/>
    <cellStyle name="Normal 6 109 2 2 3 3 3 2" xfId="0"/>
    <cellStyle name="Normal 6 109 2 2 3 3 4" xfId="0"/>
    <cellStyle name="Normal 6 109 2 2 3 4" xfId="0"/>
    <cellStyle name="Normal 6 109 2 2 3 4 2" xfId="0"/>
    <cellStyle name="Normal 6 109 2 2 3 4 2 2" xfId="0"/>
    <cellStyle name="Normal 6 109 2 2 3 4 3" xfId="0"/>
    <cellStyle name="Normal 6 109 2 2 3 5" xfId="0"/>
    <cellStyle name="Normal 6 109 2 2 3 5 2" xfId="0"/>
    <cellStyle name="Normal 6 109 2 2 3 6" xfId="0"/>
    <cellStyle name="Normal 6 109 2 2 4" xfId="0"/>
    <cellStyle name="Normal 6 109 2 2 4 2" xfId="0"/>
    <cellStyle name="Normal 6 109 2 2 4 2 2" xfId="0"/>
    <cellStyle name="Normal 6 109 2 2 4 2 2 2" xfId="0"/>
    <cellStyle name="Normal 6 109 2 2 4 2 2 2 2" xfId="0"/>
    <cellStyle name="Normal 6 109 2 2 4 2 2 3" xfId="0"/>
    <cellStyle name="Normal 6 109 2 2 4 2 3" xfId="0"/>
    <cellStyle name="Normal 6 109 2 2 4 2 3 2" xfId="0"/>
    <cellStyle name="Normal 6 109 2 2 4 2 4" xfId="0"/>
    <cellStyle name="Normal 6 109 2 2 4 3" xfId="0"/>
    <cellStyle name="Normal 6 109 2 2 4 3 2" xfId="0"/>
    <cellStyle name="Normal 6 109 2 2 4 3 2 2" xfId="0"/>
    <cellStyle name="Normal 6 109 2 2 4 3 3" xfId="0"/>
    <cellStyle name="Normal 6 109 2 2 4 4" xfId="0"/>
    <cellStyle name="Normal 6 109 2 2 4 4 2" xfId="0"/>
    <cellStyle name="Normal 6 109 2 2 4 5" xfId="0"/>
    <cellStyle name="Normal 6 109 2 2 5" xfId="0"/>
    <cellStyle name="Normal 6 109 2 2 5 2" xfId="0"/>
    <cellStyle name="Normal 6 109 2 2 5 2 2" xfId="0"/>
    <cellStyle name="Normal 6 109 2 2 5 2 2 2" xfId="0"/>
    <cellStyle name="Normal 6 109 2 2 5 2 3" xfId="0"/>
    <cellStyle name="Normal 6 109 2 2 5 3" xfId="0"/>
    <cellStyle name="Normal 6 109 2 2 5 3 2" xfId="0"/>
    <cellStyle name="Normal 6 109 2 2 5 4" xfId="0"/>
    <cellStyle name="Normal 6 109 2 2 6" xfId="0"/>
    <cellStyle name="Normal 6 109 2 2 6 2" xfId="0"/>
    <cellStyle name="Normal 6 109 2 2 6 2 2" xfId="0"/>
    <cellStyle name="Normal 6 109 2 2 6 3" xfId="0"/>
    <cellStyle name="Normal 6 109 2 2 7" xfId="0"/>
    <cellStyle name="Normal 6 109 2 2 7 2" xfId="0"/>
    <cellStyle name="Normal 6 109 2 2 8" xfId="0"/>
    <cellStyle name="Normal 6 109 2 3" xfId="0"/>
    <cellStyle name="Normal 6 109 2 3 2" xfId="0"/>
    <cellStyle name="Normal 6 109 2 3 2 2" xfId="0"/>
    <cellStyle name="Normal 6 109 2 3 2 2 2" xfId="0"/>
    <cellStyle name="Normal 6 109 2 3 2 2 2 2" xfId="0"/>
    <cellStyle name="Normal 6 109 2 3 2 2 2 2 2" xfId="0"/>
    <cellStyle name="Normal 6 109 2 3 2 2 2 2 2 2" xfId="0"/>
    <cellStyle name="Normal 6 109 2 3 2 2 2 2 2 2 2" xfId="0"/>
    <cellStyle name="Normal 6 109 2 3 2 2 2 2 2 3" xfId="0"/>
    <cellStyle name="Normal 6 109 2 3 2 2 2 2 3" xfId="0"/>
    <cellStyle name="Normal 6 109 2 3 2 2 2 2 3 2" xfId="0"/>
    <cellStyle name="Normal 6 109 2 3 2 2 2 2 4" xfId="0"/>
    <cellStyle name="Normal 6 109 2 3 2 2 2 3" xfId="0"/>
    <cellStyle name="Normal 6 109 2 3 2 2 2 3 2" xfId="0"/>
    <cellStyle name="Normal 6 109 2 3 2 2 2 3 2 2" xfId="0"/>
    <cellStyle name="Normal 6 109 2 3 2 2 2 3 3" xfId="0"/>
    <cellStyle name="Normal 6 109 2 3 2 2 2 4" xfId="0"/>
    <cellStyle name="Normal 6 109 2 3 2 2 2 4 2" xfId="0"/>
    <cellStyle name="Normal 6 109 2 3 2 2 2 5" xfId="0"/>
    <cellStyle name="Normal 6 109 2 3 2 2 3" xfId="0"/>
    <cellStyle name="Normal 6 109 2 3 2 2 3 2" xfId="0"/>
    <cellStyle name="Normal 6 109 2 3 2 2 3 2 2" xfId="0"/>
    <cellStyle name="Normal 6 109 2 3 2 2 3 2 2 2" xfId="0"/>
    <cellStyle name="Normal 6 109 2 3 2 2 3 2 3" xfId="0"/>
    <cellStyle name="Normal 6 109 2 3 2 2 3 3" xfId="0"/>
    <cellStyle name="Normal 6 109 2 3 2 2 3 3 2" xfId="0"/>
    <cellStyle name="Normal 6 109 2 3 2 2 3 4" xfId="0"/>
    <cellStyle name="Normal 6 109 2 3 2 2 4" xfId="0"/>
    <cellStyle name="Normal 6 109 2 3 2 2 4 2" xfId="0"/>
    <cellStyle name="Normal 6 109 2 3 2 2 4 2 2" xfId="0"/>
    <cellStyle name="Normal 6 109 2 3 2 2 4 3" xfId="0"/>
    <cellStyle name="Normal 6 109 2 3 2 2 5" xfId="0"/>
    <cellStyle name="Normal 6 109 2 3 2 2 5 2" xfId="0"/>
    <cellStyle name="Normal 6 109 2 3 2 2 6" xfId="0"/>
    <cellStyle name="Normal 6 109 2 3 2 3" xfId="0"/>
    <cellStyle name="Normal 6 109 2 3 2 3 2" xfId="0"/>
    <cellStyle name="Normal 6 109 2 3 2 3 2 2" xfId="0"/>
    <cellStyle name="Normal 6 109 2 3 2 3 2 2 2" xfId="0"/>
    <cellStyle name="Normal 6 109 2 3 2 3 2 2 2 2" xfId="0"/>
    <cellStyle name="Normal 6 109 2 3 2 3 2 2 3" xfId="0"/>
    <cellStyle name="Normal 6 109 2 3 2 3 2 3" xfId="0"/>
    <cellStyle name="Normal 6 109 2 3 2 3 2 3 2" xfId="0"/>
    <cellStyle name="Normal 6 109 2 3 2 3 2 4" xfId="0"/>
    <cellStyle name="Normal 6 109 2 3 2 3 3" xfId="0"/>
    <cellStyle name="Normal 6 109 2 3 2 3 3 2" xfId="0"/>
    <cellStyle name="Normal 6 109 2 3 2 3 3 2 2" xfId="0"/>
    <cellStyle name="Normal 6 109 2 3 2 3 3 3" xfId="0"/>
    <cellStyle name="Normal 6 109 2 3 2 3 4" xfId="0"/>
    <cellStyle name="Normal 6 109 2 3 2 3 4 2" xfId="0"/>
    <cellStyle name="Normal 6 109 2 3 2 3 5" xfId="0"/>
    <cellStyle name="Normal 6 109 2 3 2 4" xfId="0"/>
    <cellStyle name="Normal 6 109 2 3 2 4 2" xfId="0"/>
    <cellStyle name="Normal 6 109 2 3 2 4 2 2" xfId="0"/>
    <cellStyle name="Normal 6 109 2 3 2 4 2 2 2" xfId="0"/>
    <cellStyle name="Normal 6 109 2 3 2 4 2 3" xfId="0"/>
    <cellStyle name="Normal 6 109 2 3 2 4 3" xfId="0"/>
    <cellStyle name="Normal 6 109 2 3 2 4 3 2" xfId="0"/>
    <cellStyle name="Normal 6 109 2 3 2 4 4" xfId="0"/>
    <cellStyle name="Normal 6 109 2 3 2 5" xfId="0"/>
    <cellStyle name="Normal 6 109 2 3 2 5 2" xfId="0"/>
    <cellStyle name="Normal 6 109 2 3 2 5 2 2" xfId="0"/>
    <cellStyle name="Normal 6 109 2 3 2 5 3" xfId="0"/>
    <cellStyle name="Normal 6 109 2 3 2 6" xfId="0"/>
    <cellStyle name="Normal 6 109 2 3 2 6 2" xfId="0"/>
    <cellStyle name="Normal 6 109 2 3 2 7" xfId="0"/>
    <cellStyle name="Normal 6 109 2 3 3" xfId="0"/>
    <cellStyle name="Normal 6 109 2 3 3 2" xfId="0"/>
    <cellStyle name="Normal 6 109 2 3 3 2 2" xfId="0"/>
    <cellStyle name="Normal 6 109 2 3 3 2 2 2" xfId="0"/>
    <cellStyle name="Normal 6 109 2 3 3 2 2 2 2" xfId="0"/>
    <cellStyle name="Normal 6 109 2 3 3 2 2 2 2 2" xfId="0"/>
    <cellStyle name="Normal 6 109 2 3 3 2 2 2 3" xfId="0"/>
    <cellStyle name="Normal 6 109 2 3 3 2 2 3" xfId="0"/>
    <cellStyle name="Normal 6 109 2 3 3 2 2 3 2" xfId="0"/>
    <cellStyle name="Normal 6 109 2 3 3 2 2 4" xfId="0"/>
    <cellStyle name="Normal 6 109 2 3 3 2 3" xfId="0"/>
    <cellStyle name="Normal 6 109 2 3 3 2 3 2" xfId="0"/>
    <cellStyle name="Normal 6 109 2 3 3 2 3 2 2" xfId="0"/>
    <cellStyle name="Normal 6 109 2 3 3 2 3 3" xfId="0"/>
    <cellStyle name="Normal 6 109 2 3 3 2 4" xfId="0"/>
    <cellStyle name="Normal 6 109 2 3 3 2 4 2" xfId="0"/>
    <cellStyle name="Normal 6 109 2 3 3 2 5" xfId="0"/>
    <cellStyle name="Normal 6 109 2 3 3 3" xfId="0"/>
    <cellStyle name="Normal 6 109 2 3 3 3 2" xfId="0"/>
    <cellStyle name="Normal 6 109 2 3 3 3 2 2" xfId="0"/>
    <cellStyle name="Normal 6 109 2 3 3 3 2 2 2" xfId="0"/>
    <cellStyle name="Normal 6 109 2 3 3 3 2 3" xfId="0"/>
    <cellStyle name="Normal 6 109 2 3 3 3 3" xfId="0"/>
    <cellStyle name="Normal 6 109 2 3 3 3 3 2" xfId="0"/>
    <cellStyle name="Normal 6 109 2 3 3 3 4" xfId="0"/>
    <cellStyle name="Normal 6 109 2 3 3 4" xfId="0"/>
    <cellStyle name="Normal 6 109 2 3 3 4 2" xfId="0"/>
    <cellStyle name="Normal 6 109 2 3 3 4 2 2" xfId="0"/>
    <cellStyle name="Normal 6 109 2 3 3 4 3" xfId="0"/>
    <cellStyle name="Normal 6 109 2 3 3 5" xfId="0"/>
    <cellStyle name="Normal 6 109 2 3 3 5 2" xfId="0"/>
    <cellStyle name="Normal 6 109 2 3 3 6" xfId="0"/>
    <cellStyle name="Normal 6 109 2 3 4" xfId="0"/>
    <cellStyle name="Normal 6 109 2 3 4 2" xfId="0"/>
    <cellStyle name="Normal 6 109 2 3 4 2 2" xfId="0"/>
    <cellStyle name="Normal 6 109 2 3 4 2 2 2" xfId="0"/>
    <cellStyle name="Normal 6 109 2 3 4 2 2 2 2" xfId="0"/>
    <cellStyle name="Normal 6 109 2 3 4 2 2 3" xfId="0"/>
    <cellStyle name="Normal 6 109 2 3 4 2 3" xfId="0"/>
    <cellStyle name="Normal 6 109 2 3 4 2 3 2" xfId="0"/>
    <cellStyle name="Normal 6 109 2 3 4 2 4" xfId="0"/>
    <cellStyle name="Normal 6 109 2 3 4 3" xfId="0"/>
    <cellStyle name="Normal 6 109 2 3 4 3 2" xfId="0"/>
    <cellStyle name="Normal 6 109 2 3 4 3 2 2" xfId="0"/>
    <cellStyle name="Normal 6 109 2 3 4 3 3" xfId="0"/>
    <cellStyle name="Normal 6 109 2 3 4 4" xfId="0"/>
    <cellStyle name="Normal 6 109 2 3 4 4 2" xfId="0"/>
    <cellStyle name="Normal 6 109 2 3 4 5" xfId="0"/>
    <cellStyle name="Normal 6 109 2 3 5" xfId="0"/>
    <cellStyle name="Normal 6 109 2 3 5 2" xfId="0"/>
    <cellStyle name="Normal 6 109 2 3 5 2 2" xfId="0"/>
    <cellStyle name="Normal 6 109 2 3 5 2 2 2" xfId="0"/>
    <cellStyle name="Normal 6 109 2 3 5 2 3" xfId="0"/>
    <cellStyle name="Normal 6 109 2 3 5 3" xfId="0"/>
    <cellStyle name="Normal 6 109 2 3 5 3 2" xfId="0"/>
    <cellStyle name="Normal 6 109 2 3 5 4" xfId="0"/>
    <cellStyle name="Normal 6 109 2 3 6" xfId="0"/>
    <cellStyle name="Normal 6 109 2 3 6 2" xfId="0"/>
    <cellStyle name="Normal 6 109 2 3 6 2 2" xfId="0"/>
    <cellStyle name="Normal 6 109 2 3 6 3" xfId="0"/>
    <cellStyle name="Normal 6 109 2 3 7" xfId="0"/>
    <cellStyle name="Normal 6 109 2 3 7 2" xfId="0"/>
    <cellStyle name="Normal 6 109 2 3 8" xfId="0"/>
    <cellStyle name="Normal 6 109 2 4" xfId="0"/>
    <cellStyle name="Normal 6 109 2 4 2" xfId="0"/>
    <cellStyle name="Normal 6 109 2 4 2 2" xfId="0"/>
    <cellStyle name="Normal 6 109 2 4 2 2 2" xfId="0"/>
    <cellStyle name="Normal 6 109 2 4 2 2 2 2" xfId="0"/>
    <cellStyle name="Normal 6 109 2 4 2 2 2 2 2" xfId="0"/>
    <cellStyle name="Normal 6 109 2 4 2 2 2 2 2 2" xfId="0"/>
    <cellStyle name="Normal 6 109 2 4 2 2 2 2 3" xfId="0"/>
    <cellStyle name="Normal 6 109 2 4 2 2 2 3" xfId="0"/>
    <cellStyle name="Normal 6 109 2 4 2 2 2 3 2" xfId="0"/>
    <cellStyle name="Normal 6 109 2 4 2 2 2 4" xfId="0"/>
    <cellStyle name="Normal 6 109 2 4 2 2 3" xfId="0"/>
    <cellStyle name="Normal 6 109 2 4 2 2 3 2" xfId="0"/>
    <cellStyle name="Normal 6 109 2 4 2 2 3 2 2" xfId="0"/>
    <cellStyle name="Normal 6 109 2 4 2 2 3 3" xfId="0"/>
    <cellStyle name="Normal 6 109 2 4 2 2 4" xfId="0"/>
    <cellStyle name="Normal 6 109 2 4 2 2 4 2" xfId="0"/>
    <cellStyle name="Normal 6 109 2 4 2 2 5" xfId="0"/>
    <cellStyle name="Normal 6 109 2 4 2 3" xfId="0"/>
    <cellStyle name="Normal 6 109 2 4 2 3 2" xfId="0"/>
    <cellStyle name="Normal 6 109 2 4 2 3 2 2" xfId="0"/>
    <cellStyle name="Normal 6 109 2 4 2 3 2 2 2" xfId="0"/>
    <cellStyle name="Normal 6 109 2 4 2 3 2 3" xfId="0"/>
    <cellStyle name="Normal 6 109 2 4 2 3 3" xfId="0"/>
    <cellStyle name="Normal 6 109 2 4 2 3 3 2" xfId="0"/>
    <cellStyle name="Normal 6 109 2 4 2 3 4" xfId="0"/>
    <cellStyle name="Normal 6 109 2 4 2 4" xfId="0"/>
    <cellStyle name="Normal 6 109 2 4 2 4 2" xfId="0"/>
    <cellStyle name="Normal 6 109 2 4 2 4 2 2" xfId="0"/>
    <cellStyle name="Normal 6 109 2 4 2 4 3" xfId="0"/>
    <cellStyle name="Normal 6 109 2 4 2 5" xfId="0"/>
    <cellStyle name="Normal 6 109 2 4 2 5 2" xfId="0"/>
    <cellStyle name="Normal 6 109 2 4 2 6" xfId="0"/>
    <cellStyle name="Normal 6 109 2 4 3" xfId="0"/>
    <cellStyle name="Normal 6 109 2 4 3 2" xfId="0"/>
    <cellStyle name="Normal 6 109 2 4 3 2 2" xfId="0"/>
    <cellStyle name="Normal 6 109 2 4 3 2 2 2" xfId="0"/>
    <cellStyle name="Normal 6 109 2 4 3 2 2 2 2" xfId="0"/>
    <cellStyle name="Normal 6 109 2 4 3 2 2 3" xfId="0"/>
    <cellStyle name="Normal 6 109 2 4 3 2 3" xfId="0"/>
    <cellStyle name="Normal 6 109 2 4 3 2 3 2" xfId="0"/>
    <cellStyle name="Normal 6 109 2 4 3 2 4" xfId="0"/>
    <cellStyle name="Normal 6 109 2 4 3 3" xfId="0"/>
    <cellStyle name="Normal 6 109 2 4 3 3 2" xfId="0"/>
    <cellStyle name="Normal 6 109 2 4 3 3 2 2" xfId="0"/>
    <cellStyle name="Normal 6 109 2 4 3 3 3" xfId="0"/>
    <cellStyle name="Normal 6 109 2 4 3 4" xfId="0"/>
    <cellStyle name="Normal 6 109 2 4 3 4 2" xfId="0"/>
    <cellStyle name="Normal 6 109 2 4 3 5" xfId="0"/>
    <cellStyle name="Normal 6 109 2 4 4" xfId="0"/>
    <cellStyle name="Normal 6 109 2 4 4 2" xfId="0"/>
    <cellStyle name="Normal 6 109 2 4 4 2 2" xfId="0"/>
    <cellStyle name="Normal 6 109 2 4 4 2 2 2" xfId="0"/>
    <cellStyle name="Normal 6 109 2 4 4 2 3" xfId="0"/>
    <cellStyle name="Normal 6 109 2 4 4 3" xfId="0"/>
    <cellStyle name="Normal 6 109 2 4 4 3 2" xfId="0"/>
    <cellStyle name="Normal 6 109 2 4 4 4" xfId="0"/>
    <cellStyle name="Normal 6 109 2 4 5" xfId="0"/>
    <cellStyle name="Normal 6 109 2 4 5 2" xfId="0"/>
    <cellStyle name="Normal 6 109 2 4 5 2 2" xfId="0"/>
    <cellStyle name="Normal 6 109 2 4 5 3" xfId="0"/>
    <cellStyle name="Normal 6 109 2 4 6" xfId="0"/>
    <cellStyle name="Normal 6 109 2 4 6 2" xfId="0"/>
    <cellStyle name="Normal 6 109 2 4 7" xfId="0"/>
    <cellStyle name="Normal 6 109 2 5" xfId="0"/>
    <cellStyle name="Normal 6 109 2 5 2" xfId="0"/>
    <cellStyle name="Normal 6 109 2 5 2 2" xfId="0"/>
    <cellStyle name="Normal 6 109 2 5 2 2 2" xfId="0"/>
    <cellStyle name="Normal 6 109 2 5 2 2 2 2" xfId="0"/>
    <cellStyle name="Normal 6 109 2 5 2 2 2 2 2" xfId="0"/>
    <cellStyle name="Normal 6 109 2 5 2 2 2 2 2 2" xfId="0"/>
    <cellStyle name="Normal 6 109 2 5 2 2 2 2 3" xfId="0"/>
    <cellStyle name="Normal 6 109 2 5 2 2 2 3" xfId="0"/>
    <cellStyle name="Normal 6 109 2 5 2 2 2 3 2" xfId="0"/>
    <cellStyle name="Normal 6 109 2 5 2 2 2 4" xfId="0"/>
    <cellStyle name="Normal 6 109 2 5 2 2 3" xfId="0"/>
    <cellStyle name="Normal 6 109 2 5 2 2 3 2" xfId="0"/>
    <cellStyle name="Normal 6 109 2 5 2 2 3 2 2" xfId="0"/>
    <cellStyle name="Normal 6 109 2 5 2 2 3 3" xfId="0"/>
    <cellStyle name="Normal 6 109 2 5 2 2 4" xfId="0"/>
    <cellStyle name="Normal 6 109 2 5 2 2 4 2" xfId="0"/>
    <cellStyle name="Normal 6 109 2 5 2 2 5" xfId="0"/>
    <cellStyle name="Normal 6 109 2 5 2 3" xfId="0"/>
    <cellStyle name="Normal 6 109 2 5 2 3 2" xfId="0"/>
    <cellStyle name="Normal 6 109 2 5 2 3 2 2" xfId="0"/>
    <cellStyle name="Normal 6 109 2 5 2 3 2 2 2" xfId="0"/>
    <cellStyle name="Normal 6 109 2 5 2 3 2 3" xfId="0"/>
    <cellStyle name="Normal 6 109 2 5 2 3 3" xfId="0"/>
    <cellStyle name="Normal 6 109 2 5 2 3 3 2" xfId="0"/>
    <cellStyle name="Normal 6 109 2 5 2 3 4" xfId="0"/>
    <cellStyle name="Normal 6 109 2 5 2 4" xfId="0"/>
    <cellStyle name="Normal 6 109 2 5 2 4 2" xfId="0"/>
    <cellStyle name="Normal 6 109 2 5 2 4 2 2" xfId="0"/>
    <cellStyle name="Normal 6 109 2 5 2 4 3" xfId="0"/>
    <cellStyle name="Normal 6 109 2 5 2 5" xfId="0"/>
    <cellStyle name="Normal 6 109 2 5 2 5 2" xfId="0"/>
    <cellStyle name="Normal 6 109 2 5 2 6" xfId="0"/>
    <cellStyle name="Normal 6 109 2 5 3" xfId="0"/>
    <cellStyle name="Normal 6 109 2 5 3 2" xfId="0"/>
    <cellStyle name="Normal 6 109 2 5 3 2 2" xfId="0"/>
    <cellStyle name="Normal 6 109 2 5 3 2 2 2" xfId="0"/>
    <cellStyle name="Normal 6 109 2 5 3 2 2 2 2" xfId="0"/>
    <cellStyle name="Normal 6 109 2 5 3 2 2 3" xfId="0"/>
    <cellStyle name="Normal 6 109 2 5 3 2 3" xfId="0"/>
    <cellStyle name="Normal 6 109 2 5 3 2 3 2" xfId="0"/>
    <cellStyle name="Normal 6 109 2 5 3 2 4" xfId="0"/>
    <cellStyle name="Normal 6 109 2 5 3 3" xfId="0"/>
    <cellStyle name="Normal 6 109 2 5 3 3 2" xfId="0"/>
    <cellStyle name="Normal 6 109 2 5 3 3 2 2" xfId="0"/>
    <cellStyle name="Normal 6 109 2 5 3 3 3" xfId="0"/>
    <cellStyle name="Normal 6 109 2 5 3 4" xfId="0"/>
    <cellStyle name="Normal 6 109 2 5 3 4 2" xfId="0"/>
    <cellStyle name="Normal 6 109 2 5 3 5" xfId="0"/>
    <cellStyle name="Normal 6 109 2 5 4" xfId="0"/>
    <cellStyle name="Normal 6 109 2 5 4 2" xfId="0"/>
    <cellStyle name="Normal 6 109 2 5 4 2 2" xfId="0"/>
    <cellStyle name="Normal 6 109 2 5 4 2 2 2" xfId="0"/>
    <cellStyle name="Normal 6 109 2 5 4 2 3" xfId="0"/>
    <cellStyle name="Normal 6 109 2 5 4 3" xfId="0"/>
    <cellStyle name="Normal 6 109 2 5 4 3 2" xfId="0"/>
    <cellStyle name="Normal 6 109 2 5 4 4" xfId="0"/>
    <cellStyle name="Normal 6 109 2 5 5" xfId="0"/>
    <cellStyle name="Normal 6 109 2 5 5 2" xfId="0"/>
    <cellStyle name="Normal 6 109 2 5 5 2 2" xfId="0"/>
    <cellStyle name="Normal 6 109 2 5 5 3" xfId="0"/>
    <cellStyle name="Normal 6 109 2 5 6" xfId="0"/>
    <cellStyle name="Normal 6 109 2 5 6 2" xfId="0"/>
    <cellStyle name="Normal 6 109 2 5 7" xfId="0"/>
    <cellStyle name="Normal 6 109 2 6" xfId="0"/>
    <cellStyle name="Normal 6 109 2 6 2" xfId="0"/>
    <cellStyle name="Normal 6 109 2 6 2 2" xfId="0"/>
    <cellStyle name="Normal 6 109 2 6 2 2 2" xfId="0"/>
    <cellStyle name="Normal 6 109 2 6 2 2 2 2" xfId="0"/>
    <cellStyle name="Normal 6 109 2 6 2 2 2 2 2" xfId="0"/>
    <cellStyle name="Normal 6 109 2 6 2 2 2 3" xfId="0"/>
    <cellStyle name="Normal 6 109 2 6 2 2 3" xfId="0"/>
    <cellStyle name="Normal 6 109 2 6 2 2 3 2" xfId="0"/>
    <cellStyle name="Normal 6 109 2 6 2 2 4" xfId="0"/>
    <cellStyle name="Normal 6 109 2 6 2 3" xfId="0"/>
    <cellStyle name="Normal 6 109 2 6 2 3 2" xfId="0"/>
    <cellStyle name="Normal 6 109 2 6 2 3 2 2" xfId="0"/>
    <cellStyle name="Normal 6 109 2 6 2 3 3" xfId="0"/>
    <cellStyle name="Normal 6 109 2 6 2 4" xfId="0"/>
    <cellStyle name="Normal 6 109 2 6 2 4 2" xfId="0"/>
    <cellStyle name="Normal 6 109 2 6 2 5" xfId="0"/>
    <cellStyle name="Normal 6 109 2 6 3" xfId="0"/>
    <cellStyle name="Normal 6 109 2 6 3 2" xfId="0"/>
    <cellStyle name="Normal 6 109 2 6 3 2 2" xfId="0"/>
    <cellStyle name="Normal 6 109 2 6 3 2 2 2" xfId="0"/>
    <cellStyle name="Normal 6 109 2 6 3 2 3" xfId="0"/>
    <cellStyle name="Normal 6 109 2 6 3 3" xfId="0"/>
    <cellStyle name="Normal 6 109 2 6 3 3 2" xfId="0"/>
    <cellStyle name="Normal 6 109 2 6 3 4" xfId="0"/>
    <cellStyle name="Normal 6 109 2 6 4" xfId="0"/>
    <cellStyle name="Normal 6 109 2 6 4 2" xfId="0"/>
    <cellStyle name="Normal 6 109 2 6 4 2 2" xfId="0"/>
    <cellStyle name="Normal 6 109 2 6 4 3" xfId="0"/>
    <cellStyle name="Normal 6 109 2 6 5" xfId="0"/>
    <cellStyle name="Normal 6 109 2 6 5 2" xfId="0"/>
    <cellStyle name="Normal 6 109 2 6 6" xfId="0"/>
    <cellStyle name="Normal 6 109 2 7" xfId="0"/>
    <cellStyle name="Normal 6 109 2 7 2" xfId="0"/>
    <cellStyle name="Normal 6 109 2 7 2 2" xfId="0"/>
    <cellStyle name="Normal 6 109 2 7 2 2 2" xfId="0"/>
    <cellStyle name="Normal 6 109 2 7 2 2 2 2" xfId="0"/>
    <cellStyle name="Normal 6 109 2 7 2 2 3" xfId="0"/>
    <cellStyle name="Normal 6 109 2 7 2 3" xfId="0"/>
    <cellStyle name="Normal 6 109 2 7 2 3 2" xfId="0"/>
    <cellStyle name="Normal 6 109 2 7 2 4" xfId="0"/>
    <cellStyle name="Normal 6 109 2 7 3" xfId="0"/>
    <cellStyle name="Normal 6 109 2 7 3 2" xfId="0"/>
    <cellStyle name="Normal 6 109 2 7 3 2 2" xfId="0"/>
    <cellStyle name="Normal 6 109 2 7 3 3" xfId="0"/>
    <cellStyle name="Normal 6 109 2 7 4" xfId="0"/>
    <cellStyle name="Normal 6 109 2 7 4 2" xfId="0"/>
    <cellStyle name="Normal 6 109 2 7 5" xfId="0"/>
    <cellStyle name="Normal 6 109 2 8" xfId="0"/>
    <cellStyle name="Normal 6 109 2 8 2" xfId="0"/>
    <cellStyle name="Normal 6 109 2 8 2 2" xfId="0"/>
    <cellStyle name="Normal 6 109 2 8 2 2 2" xfId="0"/>
    <cellStyle name="Normal 6 109 2 8 2 3" xfId="0"/>
    <cellStyle name="Normal 6 109 2 8 3" xfId="0"/>
    <cellStyle name="Normal 6 109 2 8 3 2" xfId="0"/>
    <cellStyle name="Normal 6 109 2 8 4" xfId="0"/>
    <cellStyle name="Normal 6 109 2 9" xfId="0"/>
    <cellStyle name="Normal 6 109 2 9 2" xfId="0"/>
    <cellStyle name="Normal 6 109 2 9 2 2" xfId="0"/>
    <cellStyle name="Normal 6 109 2 9 3" xfId="0"/>
    <cellStyle name="Normal 6 109 3" xfId="0"/>
    <cellStyle name="Normal 6 109 3 2" xfId="0"/>
    <cellStyle name="Normal 6 109 3 2 2" xfId="0"/>
    <cellStyle name="Normal 6 109 3 2 2 2" xfId="0"/>
    <cellStyle name="Normal 6 109 3 2 2 2 2" xfId="0"/>
    <cellStyle name="Normal 6 109 3 2 2 2 2 2" xfId="0"/>
    <cellStyle name="Normal 6 109 3 2 2 2 2 2 2" xfId="0"/>
    <cellStyle name="Normal 6 109 3 2 2 2 2 2 2 2" xfId="0"/>
    <cellStyle name="Normal 6 109 3 2 2 2 2 2 3" xfId="0"/>
    <cellStyle name="Normal 6 109 3 2 2 2 2 3" xfId="0"/>
    <cellStyle name="Normal 6 109 3 2 2 2 2 3 2" xfId="0"/>
    <cellStyle name="Normal 6 109 3 2 2 2 2 4" xfId="0"/>
    <cellStyle name="Normal 6 109 3 2 2 2 3" xfId="0"/>
    <cellStyle name="Normal 6 109 3 2 2 2 3 2" xfId="0"/>
    <cellStyle name="Normal 6 109 3 2 2 2 3 2 2" xfId="0"/>
    <cellStyle name="Normal 6 109 3 2 2 2 3 3" xfId="0"/>
    <cellStyle name="Normal 6 109 3 2 2 2 4" xfId="0"/>
    <cellStyle name="Normal 6 109 3 2 2 2 4 2" xfId="0"/>
    <cellStyle name="Normal 6 109 3 2 2 2 5" xfId="0"/>
    <cellStyle name="Normal 6 109 3 2 2 3" xfId="0"/>
    <cellStyle name="Normal 6 109 3 2 2 3 2" xfId="0"/>
    <cellStyle name="Normal 6 109 3 2 2 3 2 2" xfId="0"/>
    <cellStyle name="Normal 6 109 3 2 2 3 2 2 2" xfId="0"/>
    <cellStyle name="Normal 6 109 3 2 2 3 2 3" xfId="0"/>
    <cellStyle name="Normal 6 109 3 2 2 3 3" xfId="0"/>
    <cellStyle name="Normal 6 109 3 2 2 3 3 2" xfId="0"/>
    <cellStyle name="Normal 6 109 3 2 2 3 4" xfId="0"/>
    <cellStyle name="Normal 6 109 3 2 2 4" xfId="0"/>
    <cellStyle name="Normal 6 109 3 2 2 4 2" xfId="0"/>
    <cellStyle name="Normal 6 109 3 2 2 4 2 2" xfId="0"/>
    <cellStyle name="Normal 6 109 3 2 2 4 3" xfId="0"/>
    <cellStyle name="Normal 6 109 3 2 2 5" xfId="0"/>
    <cellStyle name="Normal 6 109 3 2 2 5 2" xfId="0"/>
    <cellStyle name="Normal 6 109 3 2 2 6" xfId="0"/>
    <cellStyle name="Normal 6 109 3 2 3" xfId="0"/>
    <cellStyle name="Normal 6 109 3 2 3 2" xfId="0"/>
    <cellStyle name="Normal 6 109 3 2 3 2 2" xfId="0"/>
    <cellStyle name="Normal 6 109 3 2 3 2 2 2" xfId="0"/>
    <cellStyle name="Normal 6 109 3 2 3 2 2 2 2" xfId="0"/>
    <cellStyle name="Normal 6 109 3 2 3 2 2 3" xfId="0"/>
    <cellStyle name="Normal 6 109 3 2 3 2 3" xfId="0"/>
    <cellStyle name="Normal 6 109 3 2 3 2 3 2" xfId="0"/>
    <cellStyle name="Normal 6 109 3 2 3 2 4" xfId="0"/>
    <cellStyle name="Normal 6 109 3 2 3 3" xfId="0"/>
    <cellStyle name="Normal 6 109 3 2 3 3 2" xfId="0"/>
    <cellStyle name="Normal 6 109 3 2 3 3 2 2" xfId="0"/>
    <cellStyle name="Normal 6 109 3 2 3 3 3" xfId="0"/>
    <cellStyle name="Normal 6 109 3 2 3 4" xfId="0"/>
    <cellStyle name="Normal 6 109 3 2 3 4 2" xfId="0"/>
    <cellStyle name="Normal 6 109 3 2 3 5" xfId="0"/>
    <cellStyle name="Normal 6 109 3 2 4" xfId="0"/>
    <cellStyle name="Normal 6 109 3 2 4 2" xfId="0"/>
    <cellStyle name="Normal 6 109 3 2 4 2 2" xfId="0"/>
    <cellStyle name="Normal 6 109 3 2 4 2 2 2" xfId="0"/>
    <cellStyle name="Normal 6 109 3 2 4 2 3" xfId="0"/>
    <cellStyle name="Normal 6 109 3 2 4 3" xfId="0"/>
    <cellStyle name="Normal 6 109 3 2 4 3 2" xfId="0"/>
    <cellStyle name="Normal 6 109 3 2 4 4" xfId="0"/>
    <cellStyle name="Normal 6 109 3 2 5" xfId="0"/>
    <cellStyle name="Normal 6 109 3 2 5 2" xfId="0"/>
    <cellStyle name="Normal 6 109 3 2 5 2 2" xfId="0"/>
    <cellStyle name="Normal 6 109 3 2 5 3" xfId="0"/>
    <cellStyle name="Normal 6 109 3 2 6" xfId="0"/>
    <cellStyle name="Normal 6 109 3 2 6 2" xfId="0"/>
    <cellStyle name="Normal 6 109 3 2 7" xfId="0"/>
    <cellStyle name="Normal 6 109 3 3" xfId="0"/>
    <cellStyle name="Normal 6 109 3 3 2" xfId="0"/>
    <cellStyle name="Normal 6 109 3 3 2 2" xfId="0"/>
    <cellStyle name="Normal 6 109 3 3 2 2 2" xfId="0"/>
    <cellStyle name="Normal 6 109 3 3 2 2 2 2" xfId="0"/>
    <cellStyle name="Normal 6 109 3 3 2 2 2 2 2" xfId="0"/>
    <cellStyle name="Normal 6 109 3 3 2 2 2 3" xfId="0"/>
    <cellStyle name="Normal 6 109 3 3 2 2 3" xfId="0"/>
    <cellStyle name="Normal 6 109 3 3 2 2 3 2" xfId="0"/>
    <cellStyle name="Normal 6 109 3 3 2 2 4" xfId="0"/>
    <cellStyle name="Normal 6 109 3 3 2 3" xfId="0"/>
    <cellStyle name="Normal 6 109 3 3 2 3 2" xfId="0"/>
    <cellStyle name="Normal 6 109 3 3 2 3 2 2" xfId="0"/>
    <cellStyle name="Normal 6 109 3 3 2 3 3" xfId="0"/>
    <cellStyle name="Normal 6 109 3 3 2 4" xfId="0"/>
    <cellStyle name="Normal 6 109 3 3 2 4 2" xfId="0"/>
    <cellStyle name="Normal 6 109 3 3 2 5" xfId="0"/>
    <cellStyle name="Normal 6 109 3 3 3" xfId="0"/>
    <cellStyle name="Normal 6 109 3 3 3 2" xfId="0"/>
    <cellStyle name="Normal 6 109 3 3 3 2 2" xfId="0"/>
    <cellStyle name="Normal 6 109 3 3 3 2 2 2" xfId="0"/>
    <cellStyle name="Normal 6 109 3 3 3 2 3" xfId="0"/>
    <cellStyle name="Normal 6 109 3 3 3 3" xfId="0"/>
    <cellStyle name="Normal 6 109 3 3 3 3 2" xfId="0"/>
    <cellStyle name="Normal 6 109 3 3 3 4" xfId="0"/>
    <cellStyle name="Normal 6 109 3 3 4" xfId="0"/>
    <cellStyle name="Normal 6 109 3 3 4 2" xfId="0"/>
    <cellStyle name="Normal 6 109 3 3 4 2 2" xfId="0"/>
    <cellStyle name="Normal 6 109 3 3 4 3" xfId="0"/>
    <cellStyle name="Normal 6 109 3 3 5" xfId="0"/>
    <cellStyle name="Normal 6 109 3 3 5 2" xfId="0"/>
    <cellStyle name="Normal 6 109 3 3 6" xfId="0"/>
    <cellStyle name="Normal 6 109 3 4" xfId="0"/>
    <cellStyle name="Normal 6 109 3 4 2" xfId="0"/>
    <cellStyle name="Normal 6 109 3 4 2 2" xfId="0"/>
    <cellStyle name="Normal 6 109 3 4 2 2 2" xfId="0"/>
    <cellStyle name="Normal 6 109 3 4 2 2 2 2" xfId="0"/>
    <cellStyle name="Normal 6 109 3 4 2 2 3" xfId="0"/>
    <cellStyle name="Normal 6 109 3 4 2 3" xfId="0"/>
    <cellStyle name="Normal 6 109 3 4 2 3 2" xfId="0"/>
    <cellStyle name="Normal 6 109 3 4 2 4" xfId="0"/>
    <cellStyle name="Normal 6 109 3 4 3" xfId="0"/>
    <cellStyle name="Normal 6 109 3 4 3 2" xfId="0"/>
    <cellStyle name="Normal 6 109 3 4 3 2 2" xfId="0"/>
    <cellStyle name="Normal 6 109 3 4 3 3" xfId="0"/>
    <cellStyle name="Normal 6 109 3 4 4" xfId="0"/>
    <cellStyle name="Normal 6 109 3 4 4 2" xfId="0"/>
    <cellStyle name="Normal 6 109 3 4 5" xfId="0"/>
    <cellStyle name="Normal 6 109 3 5" xfId="0"/>
    <cellStyle name="Normal 6 109 3 5 2" xfId="0"/>
    <cellStyle name="Normal 6 109 3 5 2 2" xfId="0"/>
    <cellStyle name="Normal 6 109 3 5 2 2 2" xfId="0"/>
    <cellStyle name="Normal 6 109 3 5 2 3" xfId="0"/>
    <cellStyle name="Normal 6 109 3 5 3" xfId="0"/>
    <cellStyle name="Normal 6 109 3 5 3 2" xfId="0"/>
    <cellStyle name="Normal 6 109 3 5 4" xfId="0"/>
    <cellStyle name="Normal 6 109 3 6" xfId="0"/>
    <cellStyle name="Normal 6 109 3 6 2" xfId="0"/>
    <cellStyle name="Normal 6 109 3 6 2 2" xfId="0"/>
    <cellStyle name="Normal 6 109 3 6 3" xfId="0"/>
    <cellStyle name="Normal 6 109 3 7" xfId="0"/>
    <cellStyle name="Normal 6 109 3 7 2" xfId="0"/>
    <cellStyle name="Normal 6 109 3 8" xfId="0"/>
    <cellStyle name="Normal 6 109 4" xfId="0"/>
    <cellStyle name="Normal 6 109 4 2" xfId="0"/>
    <cellStyle name="Normal 6 109 4 2 2" xfId="0"/>
    <cellStyle name="Normal 6 109 4 2 2 2" xfId="0"/>
    <cellStyle name="Normal 6 109 4 2 2 2 2" xfId="0"/>
    <cellStyle name="Normal 6 109 4 2 2 2 2 2" xfId="0"/>
    <cellStyle name="Normal 6 109 4 2 2 2 2 2 2" xfId="0"/>
    <cellStyle name="Normal 6 109 4 2 2 2 2 2 2 2" xfId="0"/>
    <cellStyle name="Normal 6 109 4 2 2 2 2 2 3" xfId="0"/>
    <cellStyle name="Normal 6 109 4 2 2 2 2 3" xfId="0"/>
    <cellStyle name="Normal 6 109 4 2 2 2 2 3 2" xfId="0"/>
    <cellStyle name="Normal 6 109 4 2 2 2 2 4" xfId="0"/>
    <cellStyle name="Normal 6 109 4 2 2 2 3" xfId="0"/>
    <cellStyle name="Normal 6 109 4 2 2 2 3 2" xfId="0"/>
    <cellStyle name="Normal 6 109 4 2 2 2 3 2 2" xfId="0"/>
    <cellStyle name="Normal 6 109 4 2 2 2 3 3" xfId="0"/>
    <cellStyle name="Normal 6 109 4 2 2 2 4" xfId="0"/>
    <cellStyle name="Normal 6 109 4 2 2 2 4 2" xfId="0"/>
    <cellStyle name="Normal 6 109 4 2 2 2 5" xfId="0"/>
    <cellStyle name="Normal 6 109 4 2 2 3" xfId="0"/>
    <cellStyle name="Normal 6 109 4 2 2 3 2" xfId="0"/>
    <cellStyle name="Normal 6 109 4 2 2 3 2 2" xfId="0"/>
    <cellStyle name="Normal 6 109 4 2 2 3 2 2 2" xfId="0"/>
    <cellStyle name="Normal 6 109 4 2 2 3 2 3" xfId="0"/>
    <cellStyle name="Normal 6 109 4 2 2 3 3" xfId="0"/>
    <cellStyle name="Normal 6 109 4 2 2 3 3 2" xfId="0"/>
    <cellStyle name="Normal 6 109 4 2 2 3 4" xfId="0"/>
    <cellStyle name="Normal 6 109 4 2 2 4" xfId="0"/>
    <cellStyle name="Normal 6 109 4 2 2 4 2" xfId="0"/>
    <cellStyle name="Normal 6 109 4 2 2 4 2 2" xfId="0"/>
    <cellStyle name="Normal 6 109 4 2 2 4 3" xfId="0"/>
    <cellStyle name="Normal 6 109 4 2 2 5" xfId="0"/>
    <cellStyle name="Normal 6 109 4 2 2 5 2" xfId="0"/>
    <cellStyle name="Normal 6 109 4 2 2 6" xfId="0"/>
    <cellStyle name="Normal 6 109 4 2 3" xfId="0"/>
    <cellStyle name="Normal 6 109 4 2 3 2" xfId="0"/>
    <cellStyle name="Normal 6 109 4 2 3 2 2" xfId="0"/>
    <cellStyle name="Normal 6 109 4 2 3 2 2 2" xfId="0"/>
    <cellStyle name="Normal 6 109 4 2 3 2 2 2 2" xfId="0"/>
    <cellStyle name="Normal 6 109 4 2 3 2 2 3" xfId="0"/>
    <cellStyle name="Normal 6 109 4 2 3 2 3" xfId="0"/>
    <cellStyle name="Normal 6 109 4 2 3 2 3 2" xfId="0"/>
    <cellStyle name="Normal 6 109 4 2 3 2 4" xfId="0"/>
    <cellStyle name="Normal 6 109 4 2 3 3" xfId="0"/>
    <cellStyle name="Normal 6 109 4 2 3 3 2" xfId="0"/>
    <cellStyle name="Normal 6 109 4 2 3 3 2 2" xfId="0"/>
    <cellStyle name="Normal 6 109 4 2 3 3 3" xfId="0"/>
    <cellStyle name="Normal 6 109 4 2 3 4" xfId="0"/>
    <cellStyle name="Normal 6 109 4 2 3 4 2" xfId="0"/>
    <cellStyle name="Normal 6 109 4 2 3 5" xfId="0"/>
    <cellStyle name="Normal 6 109 4 2 4" xfId="0"/>
    <cellStyle name="Normal 6 109 4 2 4 2" xfId="0"/>
    <cellStyle name="Normal 6 109 4 2 4 2 2" xfId="0"/>
    <cellStyle name="Normal 6 109 4 2 4 2 2 2" xfId="0"/>
    <cellStyle name="Normal 6 109 4 2 4 2 3" xfId="0"/>
    <cellStyle name="Normal 6 109 4 2 4 3" xfId="0"/>
    <cellStyle name="Normal 6 109 4 2 4 3 2" xfId="0"/>
    <cellStyle name="Normal 6 109 4 2 4 4" xfId="0"/>
    <cellStyle name="Normal 6 109 4 2 5" xfId="0"/>
    <cellStyle name="Normal 6 109 4 2 5 2" xfId="0"/>
    <cellStyle name="Normal 6 109 4 2 5 2 2" xfId="0"/>
    <cellStyle name="Normal 6 109 4 2 5 3" xfId="0"/>
    <cellStyle name="Normal 6 109 4 2 6" xfId="0"/>
    <cellStyle name="Normal 6 109 4 2 6 2" xfId="0"/>
    <cellStyle name="Normal 6 109 4 2 7" xfId="0"/>
    <cellStyle name="Normal 6 109 4 3" xfId="0"/>
    <cellStyle name="Normal 6 109 4 3 2" xfId="0"/>
    <cellStyle name="Normal 6 109 4 3 2 2" xfId="0"/>
    <cellStyle name="Normal 6 109 4 3 2 2 2" xfId="0"/>
    <cellStyle name="Normal 6 109 4 3 2 2 2 2" xfId="0"/>
    <cellStyle name="Normal 6 109 4 3 2 2 2 2 2" xfId="0"/>
    <cellStyle name="Normal 6 109 4 3 2 2 2 3" xfId="0"/>
    <cellStyle name="Normal 6 109 4 3 2 2 3" xfId="0"/>
    <cellStyle name="Normal 6 109 4 3 2 2 3 2" xfId="0"/>
    <cellStyle name="Normal 6 109 4 3 2 2 4" xfId="0"/>
    <cellStyle name="Normal 6 109 4 3 2 3" xfId="0"/>
    <cellStyle name="Normal 6 109 4 3 2 3 2" xfId="0"/>
    <cellStyle name="Normal 6 109 4 3 2 3 2 2" xfId="0"/>
    <cellStyle name="Normal 6 109 4 3 2 3 3" xfId="0"/>
    <cellStyle name="Normal 6 109 4 3 2 4" xfId="0"/>
    <cellStyle name="Normal 6 109 4 3 2 4 2" xfId="0"/>
    <cellStyle name="Normal 6 109 4 3 2 5" xfId="0"/>
    <cellStyle name="Normal 6 109 4 3 3" xfId="0"/>
    <cellStyle name="Normal 6 109 4 3 3 2" xfId="0"/>
    <cellStyle name="Normal 6 109 4 3 3 2 2" xfId="0"/>
    <cellStyle name="Normal 6 109 4 3 3 2 2 2" xfId="0"/>
    <cellStyle name="Normal 6 109 4 3 3 2 3" xfId="0"/>
    <cellStyle name="Normal 6 109 4 3 3 3" xfId="0"/>
    <cellStyle name="Normal 6 109 4 3 3 3 2" xfId="0"/>
    <cellStyle name="Normal 6 109 4 3 3 4" xfId="0"/>
    <cellStyle name="Normal 6 109 4 3 4" xfId="0"/>
    <cellStyle name="Normal 6 109 4 3 4 2" xfId="0"/>
    <cellStyle name="Normal 6 109 4 3 4 2 2" xfId="0"/>
    <cellStyle name="Normal 6 109 4 3 4 3" xfId="0"/>
    <cellStyle name="Normal 6 109 4 3 5" xfId="0"/>
    <cellStyle name="Normal 6 109 4 3 5 2" xfId="0"/>
    <cellStyle name="Normal 6 109 4 3 6" xfId="0"/>
    <cellStyle name="Normal 6 109 4 4" xfId="0"/>
    <cellStyle name="Normal 6 109 4 4 2" xfId="0"/>
    <cellStyle name="Normal 6 109 4 4 2 2" xfId="0"/>
    <cellStyle name="Normal 6 109 4 4 2 2 2" xfId="0"/>
    <cellStyle name="Normal 6 109 4 4 2 2 2 2" xfId="0"/>
    <cellStyle name="Normal 6 109 4 4 2 2 3" xfId="0"/>
    <cellStyle name="Normal 6 109 4 4 2 3" xfId="0"/>
    <cellStyle name="Normal 6 109 4 4 2 3 2" xfId="0"/>
    <cellStyle name="Normal 6 109 4 4 2 4" xfId="0"/>
    <cellStyle name="Normal 6 109 4 4 3" xfId="0"/>
    <cellStyle name="Normal 6 109 4 4 3 2" xfId="0"/>
    <cellStyle name="Normal 6 109 4 4 3 2 2" xfId="0"/>
    <cellStyle name="Normal 6 109 4 4 3 3" xfId="0"/>
    <cellStyle name="Normal 6 109 4 4 4" xfId="0"/>
    <cellStyle name="Normal 6 109 4 4 4 2" xfId="0"/>
    <cellStyle name="Normal 6 109 4 4 5" xfId="0"/>
    <cellStyle name="Normal 6 109 4 5" xfId="0"/>
    <cellStyle name="Normal 6 109 4 5 2" xfId="0"/>
    <cellStyle name="Normal 6 109 4 5 2 2" xfId="0"/>
    <cellStyle name="Normal 6 109 4 5 2 2 2" xfId="0"/>
    <cellStyle name="Normal 6 109 4 5 2 3" xfId="0"/>
    <cellStyle name="Normal 6 109 4 5 3" xfId="0"/>
    <cellStyle name="Normal 6 109 4 5 3 2" xfId="0"/>
    <cellStyle name="Normal 6 109 4 5 4" xfId="0"/>
    <cellStyle name="Normal 6 109 4 6" xfId="0"/>
    <cellStyle name="Normal 6 109 4 6 2" xfId="0"/>
    <cellStyle name="Normal 6 109 4 6 2 2" xfId="0"/>
    <cellStyle name="Normal 6 109 4 6 3" xfId="0"/>
    <cellStyle name="Normal 6 109 4 7" xfId="0"/>
    <cellStyle name="Normal 6 109 4 7 2" xfId="0"/>
    <cellStyle name="Normal 6 109 4 8" xfId="0"/>
    <cellStyle name="Normal 6 109 5" xfId="0"/>
    <cellStyle name="Normal 6 109 5 2" xfId="0"/>
    <cellStyle name="Normal 6 109 5 2 2" xfId="0"/>
    <cellStyle name="Normal 6 109 5 2 2 2" xfId="0"/>
    <cellStyle name="Normal 6 109 5 2 2 2 2" xfId="0"/>
    <cellStyle name="Normal 6 109 5 2 2 2 2 2" xfId="0"/>
    <cellStyle name="Normal 6 109 5 2 2 2 2 2 2" xfId="0"/>
    <cellStyle name="Normal 6 109 5 2 2 2 2 3" xfId="0"/>
    <cellStyle name="Normal 6 109 5 2 2 2 3" xfId="0"/>
    <cellStyle name="Normal 6 109 5 2 2 2 3 2" xfId="0"/>
    <cellStyle name="Normal 6 109 5 2 2 2 4" xfId="0"/>
    <cellStyle name="Normal 6 109 5 2 2 3" xfId="0"/>
    <cellStyle name="Normal 6 109 5 2 2 3 2" xfId="0"/>
    <cellStyle name="Normal 6 109 5 2 2 3 2 2" xfId="0"/>
    <cellStyle name="Normal 6 109 5 2 2 3 3" xfId="0"/>
    <cellStyle name="Normal 6 109 5 2 2 4" xfId="0"/>
    <cellStyle name="Normal 6 109 5 2 2 4 2" xfId="0"/>
    <cellStyle name="Normal 6 109 5 2 2 5" xfId="0"/>
    <cellStyle name="Normal 6 109 5 2 3" xfId="0"/>
    <cellStyle name="Normal 6 109 5 2 3 2" xfId="0"/>
    <cellStyle name="Normal 6 109 5 2 3 2 2" xfId="0"/>
    <cellStyle name="Normal 6 109 5 2 3 2 2 2" xfId="0"/>
    <cellStyle name="Normal 6 109 5 2 3 2 3" xfId="0"/>
    <cellStyle name="Normal 6 109 5 2 3 3" xfId="0"/>
    <cellStyle name="Normal 6 109 5 2 3 3 2" xfId="0"/>
    <cellStyle name="Normal 6 109 5 2 3 4" xfId="0"/>
    <cellStyle name="Normal 6 109 5 2 4" xfId="0"/>
    <cellStyle name="Normal 6 109 5 2 4 2" xfId="0"/>
    <cellStyle name="Normal 6 109 5 2 4 2 2" xfId="0"/>
    <cellStyle name="Normal 6 109 5 2 4 3" xfId="0"/>
    <cellStyle name="Normal 6 109 5 2 5" xfId="0"/>
    <cellStyle name="Normal 6 109 5 2 5 2" xfId="0"/>
    <cellStyle name="Normal 6 109 5 2 6" xfId="0"/>
    <cellStyle name="Normal 6 109 5 3" xfId="0"/>
    <cellStyle name="Normal 6 109 5 3 2" xfId="0"/>
    <cellStyle name="Normal 6 109 5 3 2 2" xfId="0"/>
    <cellStyle name="Normal 6 109 5 3 2 2 2" xfId="0"/>
    <cellStyle name="Normal 6 109 5 3 2 2 2 2" xfId="0"/>
    <cellStyle name="Normal 6 109 5 3 2 2 3" xfId="0"/>
    <cellStyle name="Normal 6 109 5 3 2 3" xfId="0"/>
    <cellStyle name="Normal 6 109 5 3 2 3 2" xfId="0"/>
    <cellStyle name="Normal 6 109 5 3 2 4" xfId="0"/>
    <cellStyle name="Normal 6 109 5 3 3" xfId="0"/>
    <cellStyle name="Normal 6 109 5 3 3 2" xfId="0"/>
    <cellStyle name="Normal 6 109 5 3 3 2 2" xfId="0"/>
    <cellStyle name="Normal 6 109 5 3 3 3" xfId="0"/>
    <cellStyle name="Normal 6 109 5 3 4" xfId="0"/>
    <cellStyle name="Normal 6 109 5 3 4 2" xfId="0"/>
    <cellStyle name="Normal 6 109 5 3 5" xfId="0"/>
    <cellStyle name="Normal 6 109 5 4" xfId="0"/>
    <cellStyle name="Normal 6 109 5 4 2" xfId="0"/>
    <cellStyle name="Normal 6 109 5 4 2 2" xfId="0"/>
    <cellStyle name="Normal 6 109 5 4 2 2 2" xfId="0"/>
    <cellStyle name="Normal 6 109 5 4 2 3" xfId="0"/>
    <cellStyle name="Normal 6 109 5 4 3" xfId="0"/>
    <cellStyle name="Normal 6 109 5 4 3 2" xfId="0"/>
    <cellStyle name="Normal 6 109 5 4 4" xfId="0"/>
    <cellStyle name="Normal 6 109 5 5" xfId="0"/>
    <cellStyle name="Normal 6 109 5 5 2" xfId="0"/>
    <cellStyle name="Normal 6 109 5 5 2 2" xfId="0"/>
    <cellStyle name="Normal 6 109 5 5 3" xfId="0"/>
    <cellStyle name="Normal 6 109 5 6" xfId="0"/>
    <cellStyle name="Normal 6 109 5 6 2" xfId="0"/>
    <cellStyle name="Normal 6 109 5 7" xfId="0"/>
    <cellStyle name="Normal 6 109 6" xfId="0"/>
    <cellStyle name="Normal 6 109 6 2" xfId="0"/>
    <cellStyle name="Normal 6 109 6 2 2" xfId="0"/>
    <cellStyle name="Normal 6 109 6 2 2 2" xfId="0"/>
    <cellStyle name="Normal 6 109 6 2 2 2 2" xfId="0"/>
    <cellStyle name="Normal 6 109 6 2 2 2 2 2" xfId="0"/>
    <cellStyle name="Normal 6 109 6 2 2 2 2 2 2" xfId="0"/>
    <cellStyle name="Normal 6 109 6 2 2 2 2 3" xfId="0"/>
    <cellStyle name="Normal 6 109 6 2 2 2 3" xfId="0"/>
    <cellStyle name="Normal 6 109 6 2 2 2 3 2" xfId="0"/>
    <cellStyle name="Normal 6 109 6 2 2 2 4" xfId="0"/>
    <cellStyle name="Normal 6 109 6 2 2 3" xfId="0"/>
    <cellStyle name="Normal 6 109 6 2 2 3 2" xfId="0"/>
    <cellStyle name="Normal 6 109 6 2 2 3 2 2" xfId="0"/>
    <cellStyle name="Normal 6 109 6 2 2 3 3" xfId="0"/>
    <cellStyle name="Normal 6 109 6 2 2 4" xfId="0"/>
    <cellStyle name="Normal 6 109 6 2 2 4 2" xfId="0"/>
    <cellStyle name="Normal 6 109 6 2 2 5" xfId="0"/>
    <cellStyle name="Normal 6 109 6 2 3" xfId="0"/>
    <cellStyle name="Normal 6 109 6 2 3 2" xfId="0"/>
    <cellStyle name="Normal 6 109 6 2 3 2 2" xfId="0"/>
    <cellStyle name="Normal 6 109 6 2 3 2 2 2" xfId="0"/>
    <cellStyle name="Normal 6 109 6 2 3 2 3" xfId="0"/>
    <cellStyle name="Normal 6 109 6 2 3 3" xfId="0"/>
    <cellStyle name="Normal 6 109 6 2 3 3 2" xfId="0"/>
    <cellStyle name="Normal 6 109 6 2 3 4" xfId="0"/>
    <cellStyle name="Normal 6 109 6 2 4" xfId="0"/>
    <cellStyle name="Normal 6 109 6 2 4 2" xfId="0"/>
    <cellStyle name="Normal 6 109 6 2 4 2 2" xfId="0"/>
    <cellStyle name="Normal 6 109 6 2 4 3" xfId="0"/>
    <cellStyle name="Normal 6 109 6 2 5" xfId="0"/>
    <cellStyle name="Normal 6 109 6 2 5 2" xfId="0"/>
    <cellStyle name="Normal 6 109 6 2 6" xfId="0"/>
    <cellStyle name="Normal 6 109 6 3" xfId="0"/>
    <cellStyle name="Normal 6 109 6 3 2" xfId="0"/>
    <cellStyle name="Normal 6 109 6 3 2 2" xfId="0"/>
    <cellStyle name="Normal 6 109 6 3 2 2 2" xfId="0"/>
    <cellStyle name="Normal 6 109 6 3 2 2 2 2" xfId="0"/>
    <cellStyle name="Normal 6 109 6 3 2 2 3" xfId="0"/>
    <cellStyle name="Normal 6 109 6 3 2 3" xfId="0"/>
    <cellStyle name="Normal 6 109 6 3 2 3 2" xfId="0"/>
    <cellStyle name="Normal 6 109 6 3 2 4" xfId="0"/>
    <cellStyle name="Normal 6 109 6 3 3" xfId="0"/>
    <cellStyle name="Normal 6 109 6 3 3 2" xfId="0"/>
    <cellStyle name="Normal 6 109 6 3 3 2 2" xfId="0"/>
    <cellStyle name="Normal 6 109 6 3 3 3" xfId="0"/>
    <cellStyle name="Normal 6 109 6 3 4" xfId="0"/>
    <cellStyle name="Normal 6 109 6 3 4 2" xfId="0"/>
    <cellStyle name="Normal 6 109 6 3 5" xfId="0"/>
    <cellStyle name="Normal 6 109 6 4" xfId="0"/>
    <cellStyle name="Normal 6 109 6 4 2" xfId="0"/>
    <cellStyle name="Normal 6 109 6 4 2 2" xfId="0"/>
    <cellStyle name="Normal 6 109 6 4 2 2 2" xfId="0"/>
    <cellStyle name="Normal 6 109 6 4 2 3" xfId="0"/>
    <cellStyle name="Normal 6 109 6 4 3" xfId="0"/>
    <cellStyle name="Normal 6 109 6 4 3 2" xfId="0"/>
    <cellStyle name="Normal 6 109 6 4 4" xfId="0"/>
    <cellStyle name="Normal 6 109 6 5" xfId="0"/>
    <cellStyle name="Normal 6 109 6 5 2" xfId="0"/>
    <cellStyle name="Normal 6 109 6 5 2 2" xfId="0"/>
    <cellStyle name="Normal 6 109 6 5 3" xfId="0"/>
    <cellStyle name="Normal 6 109 6 6" xfId="0"/>
    <cellStyle name="Normal 6 109 6 6 2" xfId="0"/>
    <cellStyle name="Normal 6 109 6 7" xfId="0"/>
    <cellStyle name="Normal 6 109 7" xfId="0"/>
    <cellStyle name="Normal 6 109 7 2" xfId="0"/>
    <cellStyle name="Normal 6 109 7 2 2" xfId="0"/>
    <cellStyle name="Normal 6 109 7 2 2 2" xfId="0"/>
    <cellStyle name="Normal 6 109 7 2 2 2 2" xfId="0"/>
    <cellStyle name="Normal 6 109 7 2 2 2 2 2" xfId="0"/>
    <cellStyle name="Normal 6 109 7 2 2 2 3" xfId="0"/>
    <cellStyle name="Normal 6 109 7 2 2 3" xfId="0"/>
    <cellStyle name="Normal 6 109 7 2 2 3 2" xfId="0"/>
    <cellStyle name="Normal 6 109 7 2 2 4" xfId="0"/>
    <cellStyle name="Normal 6 109 7 2 3" xfId="0"/>
    <cellStyle name="Normal 6 109 7 2 3 2" xfId="0"/>
    <cellStyle name="Normal 6 109 7 2 3 2 2" xfId="0"/>
    <cellStyle name="Normal 6 109 7 2 3 3" xfId="0"/>
    <cellStyle name="Normal 6 109 7 2 4" xfId="0"/>
    <cellStyle name="Normal 6 109 7 2 4 2" xfId="0"/>
    <cellStyle name="Normal 6 109 7 2 5" xfId="0"/>
    <cellStyle name="Normal 6 109 7 3" xfId="0"/>
    <cellStyle name="Normal 6 109 7 3 2" xfId="0"/>
    <cellStyle name="Normal 6 109 7 3 2 2" xfId="0"/>
    <cellStyle name="Normal 6 109 7 3 2 2 2" xfId="0"/>
    <cellStyle name="Normal 6 109 7 3 2 3" xfId="0"/>
    <cellStyle name="Normal 6 109 7 3 3" xfId="0"/>
    <cellStyle name="Normal 6 109 7 3 3 2" xfId="0"/>
    <cellStyle name="Normal 6 109 7 3 4" xfId="0"/>
    <cellStyle name="Normal 6 109 7 4" xfId="0"/>
    <cellStyle name="Normal 6 109 7 4 2" xfId="0"/>
    <cellStyle name="Normal 6 109 7 4 2 2" xfId="0"/>
    <cellStyle name="Normal 6 109 7 4 3" xfId="0"/>
    <cellStyle name="Normal 6 109 7 5" xfId="0"/>
    <cellStyle name="Normal 6 109 7 5 2" xfId="0"/>
    <cellStyle name="Normal 6 109 7 6" xfId="0"/>
    <cellStyle name="Normal 6 109 8" xfId="0"/>
    <cellStyle name="Normal 6 109 8 2" xfId="0"/>
    <cellStyle name="Normal 6 109 8 2 2" xfId="0"/>
    <cellStyle name="Normal 6 109 8 2 2 2" xfId="0"/>
    <cellStyle name="Normal 6 109 8 2 2 2 2" xfId="0"/>
    <cellStyle name="Normal 6 109 8 2 2 3" xfId="0"/>
    <cellStyle name="Normal 6 109 8 2 3" xfId="0"/>
    <cellStyle name="Normal 6 109 8 2 3 2" xfId="0"/>
    <cellStyle name="Normal 6 109 8 2 4" xfId="0"/>
    <cellStyle name="Normal 6 109 8 3" xfId="0"/>
    <cellStyle name="Normal 6 109 8 3 2" xfId="0"/>
    <cellStyle name="Normal 6 109 8 3 2 2" xfId="0"/>
    <cellStyle name="Normal 6 109 8 3 3" xfId="0"/>
    <cellStyle name="Normal 6 109 8 4" xfId="0"/>
    <cellStyle name="Normal 6 109 8 4 2" xfId="0"/>
    <cellStyle name="Normal 6 109 8 5" xfId="0"/>
    <cellStyle name="Normal 6 109 9" xfId="0"/>
    <cellStyle name="Normal 6 109 9 2" xfId="0"/>
    <cellStyle name="Normal 6 109 9 2 2" xfId="0"/>
    <cellStyle name="Normal 6 109 9 2 2 2" xfId="0"/>
    <cellStyle name="Normal 6 109 9 2 3" xfId="0"/>
    <cellStyle name="Normal 6 109 9 3" xfId="0"/>
    <cellStyle name="Normal 6 109 9 3 2" xfId="0"/>
    <cellStyle name="Normal 6 109 9 4" xfId="0"/>
    <cellStyle name="Normal 6 11" xfId="0"/>
    <cellStyle name="Normal 6 110" xfId="0"/>
    <cellStyle name="Normal 6 110 10" xfId="0"/>
    <cellStyle name="Normal 6 110 10 2" xfId="0"/>
    <cellStyle name="Normal 6 110 11" xfId="0"/>
    <cellStyle name="Normal 6 110 2" xfId="0"/>
    <cellStyle name="Normal 6 110 2 2" xfId="0"/>
    <cellStyle name="Normal 6 110 2 2 2" xfId="0"/>
    <cellStyle name="Normal 6 110 2 2 2 2" xfId="0"/>
    <cellStyle name="Normal 6 110 2 2 2 2 2" xfId="0"/>
    <cellStyle name="Normal 6 110 2 2 2 2 2 2" xfId="0"/>
    <cellStyle name="Normal 6 110 2 2 2 2 2 2 2" xfId="0"/>
    <cellStyle name="Normal 6 110 2 2 2 2 2 2 2 2" xfId="0"/>
    <cellStyle name="Normal 6 110 2 2 2 2 2 2 3" xfId="0"/>
    <cellStyle name="Normal 6 110 2 2 2 2 2 3" xfId="0"/>
    <cellStyle name="Normal 6 110 2 2 2 2 2 3 2" xfId="0"/>
    <cellStyle name="Normal 6 110 2 2 2 2 2 4" xfId="0"/>
    <cellStyle name="Normal 6 110 2 2 2 2 3" xfId="0"/>
    <cellStyle name="Normal 6 110 2 2 2 2 3 2" xfId="0"/>
    <cellStyle name="Normal 6 110 2 2 2 2 3 2 2" xfId="0"/>
    <cellStyle name="Normal 6 110 2 2 2 2 3 3" xfId="0"/>
    <cellStyle name="Normal 6 110 2 2 2 2 4" xfId="0"/>
    <cellStyle name="Normal 6 110 2 2 2 2 4 2" xfId="0"/>
    <cellStyle name="Normal 6 110 2 2 2 2 5" xfId="0"/>
    <cellStyle name="Normal 6 110 2 2 2 3" xfId="0"/>
    <cellStyle name="Normal 6 110 2 2 2 3 2" xfId="0"/>
    <cellStyle name="Normal 6 110 2 2 2 3 2 2" xfId="0"/>
    <cellStyle name="Normal 6 110 2 2 2 3 2 2 2" xfId="0"/>
    <cellStyle name="Normal 6 110 2 2 2 3 2 3" xfId="0"/>
    <cellStyle name="Normal 6 110 2 2 2 3 3" xfId="0"/>
    <cellStyle name="Normal 6 110 2 2 2 3 3 2" xfId="0"/>
    <cellStyle name="Normal 6 110 2 2 2 3 4" xfId="0"/>
    <cellStyle name="Normal 6 110 2 2 2 4" xfId="0"/>
    <cellStyle name="Normal 6 110 2 2 2 4 2" xfId="0"/>
    <cellStyle name="Normal 6 110 2 2 2 4 2 2" xfId="0"/>
    <cellStyle name="Normal 6 110 2 2 2 4 3" xfId="0"/>
    <cellStyle name="Normal 6 110 2 2 2 5" xfId="0"/>
    <cellStyle name="Normal 6 110 2 2 2 5 2" xfId="0"/>
    <cellStyle name="Normal 6 110 2 2 2 6" xfId="0"/>
    <cellStyle name="Normal 6 110 2 2 3" xfId="0"/>
    <cellStyle name="Normal 6 110 2 2 3 2" xfId="0"/>
    <cellStyle name="Normal 6 110 2 2 3 2 2" xfId="0"/>
    <cellStyle name="Normal 6 110 2 2 3 2 2 2" xfId="0"/>
    <cellStyle name="Normal 6 110 2 2 3 2 2 2 2" xfId="0"/>
    <cellStyle name="Normal 6 110 2 2 3 2 2 3" xfId="0"/>
    <cellStyle name="Normal 6 110 2 2 3 2 3" xfId="0"/>
    <cellStyle name="Normal 6 110 2 2 3 2 3 2" xfId="0"/>
    <cellStyle name="Normal 6 110 2 2 3 2 4" xfId="0"/>
    <cellStyle name="Normal 6 110 2 2 3 3" xfId="0"/>
    <cellStyle name="Normal 6 110 2 2 3 3 2" xfId="0"/>
    <cellStyle name="Normal 6 110 2 2 3 3 2 2" xfId="0"/>
    <cellStyle name="Normal 6 110 2 2 3 3 3" xfId="0"/>
    <cellStyle name="Normal 6 110 2 2 3 4" xfId="0"/>
    <cellStyle name="Normal 6 110 2 2 3 4 2" xfId="0"/>
    <cellStyle name="Normal 6 110 2 2 3 5" xfId="0"/>
    <cellStyle name="Normal 6 110 2 2 4" xfId="0"/>
    <cellStyle name="Normal 6 110 2 2 4 2" xfId="0"/>
    <cellStyle name="Normal 6 110 2 2 4 2 2" xfId="0"/>
    <cellStyle name="Normal 6 110 2 2 4 2 2 2" xfId="0"/>
    <cellStyle name="Normal 6 110 2 2 4 2 3" xfId="0"/>
    <cellStyle name="Normal 6 110 2 2 4 3" xfId="0"/>
    <cellStyle name="Normal 6 110 2 2 4 3 2" xfId="0"/>
    <cellStyle name="Normal 6 110 2 2 4 4" xfId="0"/>
    <cellStyle name="Normal 6 110 2 2 5" xfId="0"/>
    <cellStyle name="Normal 6 110 2 2 5 2" xfId="0"/>
    <cellStyle name="Normal 6 110 2 2 5 2 2" xfId="0"/>
    <cellStyle name="Normal 6 110 2 2 5 3" xfId="0"/>
    <cellStyle name="Normal 6 110 2 2 6" xfId="0"/>
    <cellStyle name="Normal 6 110 2 2 6 2" xfId="0"/>
    <cellStyle name="Normal 6 110 2 2 7" xfId="0"/>
    <cellStyle name="Normal 6 110 2 3" xfId="0"/>
    <cellStyle name="Normal 6 110 2 3 2" xfId="0"/>
    <cellStyle name="Normal 6 110 2 3 2 2" xfId="0"/>
    <cellStyle name="Normal 6 110 2 3 2 2 2" xfId="0"/>
    <cellStyle name="Normal 6 110 2 3 2 2 2 2" xfId="0"/>
    <cellStyle name="Normal 6 110 2 3 2 2 2 2 2" xfId="0"/>
    <cellStyle name="Normal 6 110 2 3 2 2 2 3" xfId="0"/>
    <cellStyle name="Normal 6 110 2 3 2 2 3" xfId="0"/>
    <cellStyle name="Normal 6 110 2 3 2 2 3 2" xfId="0"/>
    <cellStyle name="Normal 6 110 2 3 2 2 4" xfId="0"/>
    <cellStyle name="Normal 6 110 2 3 2 3" xfId="0"/>
    <cellStyle name="Normal 6 110 2 3 2 3 2" xfId="0"/>
    <cellStyle name="Normal 6 110 2 3 2 3 2 2" xfId="0"/>
    <cellStyle name="Normal 6 110 2 3 2 3 3" xfId="0"/>
    <cellStyle name="Normal 6 110 2 3 2 4" xfId="0"/>
    <cellStyle name="Normal 6 110 2 3 2 4 2" xfId="0"/>
    <cellStyle name="Normal 6 110 2 3 2 5" xfId="0"/>
    <cellStyle name="Normal 6 110 2 3 3" xfId="0"/>
    <cellStyle name="Normal 6 110 2 3 3 2" xfId="0"/>
    <cellStyle name="Normal 6 110 2 3 3 2 2" xfId="0"/>
    <cellStyle name="Normal 6 110 2 3 3 2 2 2" xfId="0"/>
    <cellStyle name="Normal 6 110 2 3 3 2 3" xfId="0"/>
    <cellStyle name="Normal 6 110 2 3 3 3" xfId="0"/>
    <cellStyle name="Normal 6 110 2 3 3 3 2" xfId="0"/>
    <cellStyle name="Normal 6 110 2 3 3 4" xfId="0"/>
    <cellStyle name="Normal 6 110 2 3 4" xfId="0"/>
    <cellStyle name="Normal 6 110 2 3 4 2" xfId="0"/>
    <cellStyle name="Normal 6 110 2 3 4 2 2" xfId="0"/>
    <cellStyle name="Normal 6 110 2 3 4 3" xfId="0"/>
    <cellStyle name="Normal 6 110 2 3 5" xfId="0"/>
    <cellStyle name="Normal 6 110 2 3 5 2" xfId="0"/>
    <cellStyle name="Normal 6 110 2 3 6" xfId="0"/>
    <cellStyle name="Normal 6 110 2 4" xfId="0"/>
    <cellStyle name="Normal 6 110 2 4 2" xfId="0"/>
    <cellStyle name="Normal 6 110 2 4 2 2" xfId="0"/>
    <cellStyle name="Normal 6 110 2 4 2 2 2" xfId="0"/>
    <cellStyle name="Normal 6 110 2 4 2 2 2 2" xfId="0"/>
    <cellStyle name="Normal 6 110 2 4 2 2 3" xfId="0"/>
    <cellStyle name="Normal 6 110 2 4 2 3" xfId="0"/>
    <cellStyle name="Normal 6 110 2 4 2 3 2" xfId="0"/>
    <cellStyle name="Normal 6 110 2 4 2 4" xfId="0"/>
    <cellStyle name="Normal 6 110 2 4 3" xfId="0"/>
    <cellStyle name="Normal 6 110 2 4 3 2" xfId="0"/>
    <cellStyle name="Normal 6 110 2 4 3 2 2" xfId="0"/>
    <cellStyle name="Normal 6 110 2 4 3 3" xfId="0"/>
    <cellStyle name="Normal 6 110 2 4 4" xfId="0"/>
    <cellStyle name="Normal 6 110 2 4 4 2" xfId="0"/>
    <cellStyle name="Normal 6 110 2 4 5" xfId="0"/>
    <cellStyle name="Normal 6 110 2 5" xfId="0"/>
    <cellStyle name="Normal 6 110 2 5 2" xfId="0"/>
    <cellStyle name="Normal 6 110 2 5 2 2" xfId="0"/>
    <cellStyle name="Normal 6 110 2 5 2 2 2" xfId="0"/>
    <cellStyle name="Normal 6 110 2 5 2 3" xfId="0"/>
    <cellStyle name="Normal 6 110 2 5 3" xfId="0"/>
    <cellStyle name="Normal 6 110 2 5 3 2" xfId="0"/>
    <cellStyle name="Normal 6 110 2 5 4" xfId="0"/>
    <cellStyle name="Normal 6 110 2 6" xfId="0"/>
    <cellStyle name="Normal 6 110 2 6 2" xfId="0"/>
    <cellStyle name="Normal 6 110 2 6 2 2" xfId="0"/>
    <cellStyle name="Normal 6 110 2 6 3" xfId="0"/>
    <cellStyle name="Normal 6 110 2 7" xfId="0"/>
    <cellStyle name="Normal 6 110 2 7 2" xfId="0"/>
    <cellStyle name="Normal 6 110 2 8" xfId="0"/>
    <cellStyle name="Normal 6 110 3" xfId="0"/>
    <cellStyle name="Normal 6 110 3 2" xfId="0"/>
    <cellStyle name="Normal 6 110 3 2 2" xfId="0"/>
    <cellStyle name="Normal 6 110 3 2 2 2" xfId="0"/>
    <cellStyle name="Normal 6 110 3 2 2 2 2" xfId="0"/>
    <cellStyle name="Normal 6 110 3 2 2 2 2 2" xfId="0"/>
    <cellStyle name="Normal 6 110 3 2 2 2 2 2 2" xfId="0"/>
    <cellStyle name="Normal 6 110 3 2 2 2 2 2 2 2" xfId="0"/>
    <cellStyle name="Normal 6 110 3 2 2 2 2 2 3" xfId="0"/>
    <cellStyle name="Normal 6 110 3 2 2 2 2 3" xfId="0"/>
    <cellStyle name="Normal 6 110 3 2 2 2 2 3 2" xfId="0"/>
    <cellStyle name="Normal 6 110 3 2 2 2 2 4" xfId="0"/>
    <cellStyle name="Normal 6 110 3 2 2 2 3" xfId="0"/>
    <cellStyle name="Normal 6 110 3 2 2 2 3 2" xfId="0"/>
    <cellStyle name="Normal 6 110 3 2 2 2 3 2 2" xfId="0"/>
    <cellStyle name="Normal 6 110 3 2 2 2 3 3" xfId="0"/>
    <cellStyle name="Normal 6 110 3 2 2 2 4" xfId="0"/>
    <cellStyle name="Normal 6 110 3 2 2 2 4 2" xfId="0"/>
    <cellStyle name="Normal 6 110 3 2 2 2 5" xfId="0"/>
    <cellStyle name="Normal 6 110 3 2 2 3" xfId="0"/>
    <cellStyle name="Normal 6 110 3 2 2 3 2" xfId="0"/>
    <cellStyle name="Normal 6 110 3 2 2 3 2 2" xfId="0"/>
    <cellStyle name="Normal 6 110 3 2 2 3 2 2 2" xfId="0"/>
    <cellStyle name="Normal 6 110 3 2 2 3 2 3" xfId="0"/>
    <cellStyle name="Normal 6 110 3 2 2 3 3" xfId="0"/>
    <cellStyle name="Normal 6 110 3 2 2 3 3 2" xfId="0"/>
    <cellStyle name="Normal 6 110 3 2 2 3 4" xfId="0"/>
    <cellStyle name="Normal 6 110 3 2 2 4" xfId="0"/>
    <cellStyle name="Normal 6 110 3 2 2 4 2" xfId="0"/>
    <cellStyle name="Normal 6 110 3 2 2 4 2 2" xfId="0"/>
    <cellStyle name="Normal 6 110 3 2 2 4 3" xfId="0"/>
    <cellStyle name="Normal 6 110 3 2 2 5" xfId="0"/>
    <cellStyle name="Normal 6 110 3 2 2 5 2" xfId="0"/>
    <cellStyle name="Normal 6 110 3 2 2 6" xfId="0"/>
    <cellStyle name="Normal 6 110 3 2 3" xfId="0"/>
    <cellStyle name="Normal 6 110 3 2 3 2" xfId="0"/>
    <cellStyle name="Normal 6 110 3 2 3 2 2" xfId="0"/>
    <cellStyle name="Normal 6 110 3 2 3 2 2 2" xfId="0"/>
    <cellStyle name="Normal 6 110 3 2 3 2 2 2 2" xfId="0"/>
    <cellStyle name="Normal 6 110 3 2 3 2 2 3" xfId="0"/>
    <cellStyle name="Normal 6 110 3 2 3 2 3" xfId="0"/>
    <cellStyle name="Normal 6 110 3 2 3 2 3 2" xfId="0"/>
    <cellStyle name="Normal 6 110 3 2 3 2 4" xfId="0"/>
    <cellStyle name="Normal 6 110 3 2 3 3" xfId="0"/>
    <cellStyle name="Normal 6 110 3 2 3 3 2" xfId="0"/>
    <cellStyle name="Normal 6 110 3 2 3 3 2 2" xfId="0"/>
    <cellStyle name="Normal 6 110 3 2 3 3 3" xfId="0"/>
    <cellStyle name="Normal 6 110 3 2 3 4" xfId="0"/>
    <cellStyle name="Normal 6 110 3 2 3 4 2" xfId="0"/>
    <cellStyle name="Normal 6 110 3 2 3 5" xfId="0"/>
    <cellStyle name="Normal 6 110 3 2 4" xfId="0"/>
    <cellStyle name="Normal 6 110 3 2 4 2" xfId="0"/>
    <cellStyle name="Normal 6 110 3 2 4 2 2" xfId="0"/>
    <cellStyle name="Normal 6 110 3 2 4 2 2 2" xfId="0"/>
    <cellStyle name="Normal 6 110 3 2 4 2 3" xfId="0"/>
    <cellStyle name="Normal 6 110 3 2 4 3" xfId="0"/>
    <cellStyle name="Normal 6 110 3 2 4 3 2" xfId="0"/>
    <cellStyle name="Normal 6 110 3 2 4 4" xfId="0"/>
    <cellStyle name="Normal 6 110 3 2 5" xfId="0"/>
    <cellStyle name="Normal 6 110 3 2 5 2" xfId="0"/>
    <cellStyle name="Normal 6 110 3 2 5 2 2" xfId="0"/>
    <cellStyle name="Normal 6 110 3 2 5 3" xfId="0"/>
    <cellStyle name="Normal 6 110 3 2 6" xfId="0"/>
    <cellStyle name="Normal 6 110 3 2 6 2" xfId="0"/>
    <cellStyle name="Normal 6 110 3 2 7" xfId="0"/>
    <cellStyle name="Normal 6 110 3 3" xfId="0"/>
    <cellStyle name="Normal 6 110 3 3 2" xfId="0"/>
    <cellStyle name="Normal 6 110 3 3 2 2" xfId="0"/>
    <cellStyle name="Normal 6 110 3 3 2 2 2" xfId="0"/>
    <cellStyle name="Normal 6 110 3 3 2 2 2 2" xfId="0"/>
    <cellStyle name="Normal 6 110 3 3 2 2 2 2 2" xfId="0"/>
    <cellStyle name="Normal 6 110 3 3 2 2 2 3" xfId="0"/>
    <cellStyle name="Normal 6 110 3 3 2 2 3" xfId="0"/>
    <cellStyle name="Normal 6 110 3 3 2 2 3 2" xfId="0"/>
    <cellStyle name="Normal 6 110 3 3 2 2 4" xfId="0"/>
    <cellStyle name="Normal 6 110 3 3 2 3" xfId="0"/>
    <cellStyle name="Normal 6 110 3 3 2 3 2" xfId="0"/>
    <cellStyle name="Normal 6 110 3 3 2 3 2 2" xfId="0"/>
    <cellStyle name="Normal 6 110 3 3 2 3 3" xfId="0"/>
    <cellStyle name="Normal 6 110 3 3 2 4" xfId="0"/>
    <cellStyle name="Normal 6 110 3 3 2 4 2" xfId="0"/>
    <cellStyle name="Normal 6 110 3 3 2 5" xfId="0"/>
    <cellStyle name="Normal 6 110 3 3 3" xfId="0"/>
    <cellStyle name="Normal 6 110 3 3 3 2" xfId="0"/>
    <cellStyle name="Normal 6 110 3 3 3 2 2" xfId="0"/>
    <cellStyle name="Normal 6 110 3 3 3 2 2 2" xfId="0"/>
    <cellStyle name="Normal 6 110 3 3 3 2 3" xfId="0"/>
    <cellStyle name="Normal 6 110 3 3 3 3" xfId="0"/>
    <cellStyle name="Normal 6 110 3 3 3 3 2" xfId="0"/>
    <cellStyle name="Normal 6 110 3 3 3 4" xfId="0"/>
    <cellStyle name="Normal 6 110 3 3 4" xfId="0"/>
    <cellStyle name="Normal 6 110 3 3 4 2" xfId="0"/>
    <cellStyle name="Normal 6 110 3 3 4 2 2" xfId="0"/>
    <cellStyle name="Normal 6 110 3 3 4 3" xfId="0"/>
    <cellStyle name="Normal 6 110 3 3 5" xfId="0"/>
    <cellStyle name="Normal 6 110 3 3 5 2" xfId="0"/>
    <cellStyle name="Normal 6 110 3 3 6" xfId="0"/>
    <cellStyle name="Normal 6 110 3 4" xfId="0"/>
    <cellStyle name="Normal 6 110 3 4 2" xfId="0"/>
    <cellStyle name="Normal 6 110 3 4 2 2" xfId="0"/>
    <cellStyle name="Normal 6 110 3 4 2 2 2" xfId="0"/>
    <cellStyle name="Normal 6 110 3 4 2 2 2 2" xfId="0"/>
    <cellStyle name="Normal 6 110 3 4 2 2 3" xfId="0"/>
    <cellStyle name="Normal 6 110 3 4 2 3" xfId="0"/>
    <cellStyle name="Normal 6 110 3 4 2 3 2" xfId="0"/>
    <cellStyle name="Normal 6 110 3 4 2 4" xfId="0"/>
    <cellStyle name="Normal 6 110 3 4 3" xfId="0"/>
    <cellStyle name="Normal 6 110 3 4 3 2" xfId="0"/>
    <cellStyle name="Normal 6 110 3 4 3 2 2" xfId="0"/>
    <cellStyle name="Normal 6 110 3 4 3 3" xfId="0"/>
    <cellStyle name="Normal 6 110 3 4 4" xfId="0"/>
    <cellStyle name="Normal 6 110 3 4 4 2" xfId="0"/>
    <cellStyle name="Normal 6 110 3 4 5" xfId="0"/>
    <cellStyle name="Normal 6 110 3 5" xfId="0"/>
    <cellStyle name="Normal 6 110 3 5 2" xfId="0"/>
    <cellStyle name="Normal 6 110 3 5 2 2" xfId="0"/>
    <cellStyle name="Normal 6 110 3 5 2 2 2" xfId="0"/>
    <cellStyle name="Normal 6 110 3 5 2 3" xfId="0"/>
    <cellStyle name="Normal 6 110 3 5 3" xfId="0"/>
    <cellStyle name="Normal 6 110 3 5 3 2" xfId="0"/>
    <cellStyle name="Normal 6 110 3 5 4" xfId="0"/>
    <cellStyle name="Normal 6 110 3 6" xfId="0"/>
    <cellStyle name="Normal 6 110 3 6 2" xfId="0"/>
    <cellStyle name="Normal 6 110 3 6 2 2" xfId="0"/>
    <cellStyle name="Normal 6 110 3 6 3" xfId="0"/>
    <cellStyle name="Normal 6 110 3 7" xfId="0"/>
    <cellStyle name="Normal 6 110 3 7 2" xfId="0"/>
    <cellStyle name="Normal 6 110 3 8" xfId="0"/>
    <cellStyle name="Normal 6 110 4" xfId="0"/>
    <cellStyle name="Normal 6 110 4 2" xfId="0"/>
    <cellStyle name="Normal 6 110 4 2 2" xfId="0"/>
    <cellStyle name="Normal 6 110 4 2 2 2" xfId="0"/>
    <cellStyle name="Normal 6 110 4 2 2 2 2" xfId="0"/>
    <cellStyle name="Normal 6 110 4 2 2 2 2 2" xfId="0"/>
    <cellStyle name="Normal 6 110 4 2 2 2 2 2 2" xfId="0"/>
    <cellStyle name="Normal 6 110 4 2 2 2 2 3" xfId="0"/>
    <cellStyle name="Normal 6 110 4 2 2 2 3" xfId="0"/>
    <cellStyle name="Normal 6 110 4 2 2 2 3 2" xfId="0"/>
    <cellStyle name="Normal 6 110 4 2 2 2 4" xfId="0"/>
    <cellStyle name="Normal 6 110 4 2 2 3" xfId="0"/>
    <cellStyle name="Normal 6 110 4 2 2 3 2" xfId="0"/>
    <cellStyle name="Normal 6 110 4 2 2 3 2 2" xfId="0"/>
    <cellStyle name="Normal 6 110 4 2 2 3 3" xfId="0"/>
    <cellStyle name="Normal 6 110 4 2 2 4" xfId="0"/>
    <cellStyle name="Normal 6 110 4 2 2 4 2" xfId="0"/>
    <cellStyle name="Normal 6 110 4 2 2 5" xfId="0"/>
    <cellStyle name="Normal 6 110 4 2 3" xfId="0"/>
    <cellStyle name="Normal 6 110 4 2 3 2" xfId="0"/>
    <cellStyle name="Normal 6 110 4 2 3 2 2" xfId="0"/>
    <cellStyle name="Normal 6 110 4 2 3 2 2 2" xfId="0"/>
    <cellStyle name="Normal 6 110 4 2 3 2 3" xfId="0"/>
    <cellStyle name="Normal 6 110 4 2 3 3" xfId="0"/>
    <cellStyle name="Normal 6 110 4 2 3 3 2" xfId="0"/>
    <cellStyle name="Normal 6 110 4 2 3 4" xfId="0"/>
    <cellStyle name="Normal 6 110 4 2 4" xfId="0"/>
    <cellStyle name="Normal 6 110 4 2 4 2" xfId="0"/>
    <cellStyle name="Normal 6 110 4 2 4 2 2" xfId="0"/>
    <cellStyle name="Normal 6 110 4 2 4 3" xfId="0"/>
    <cellStyle name="Normal 6 110 4 2 5" xfId="0"/>
    <cellStyle name="Normal 6 110 4 2 5 2" xfId="0"/>
    <cellStyle name="Normal 6 110 4 2 6" xfId="0"/>
    <cellStyle name="Normal 6 110 4 3" xfId="0"/>
    <cellStyle name="Normal 6 110 4 3 2" xfId="0"/>
    <cellStyle name="Normal 6 110 4 3 2 2" xfId="0"/>
    <cellStyle name="Normal 6 110 4 3 2 2 2" xfId="0"/>
    <cellStyle name="Normal 6 110 4 3 2 2 2 2" xfId="0"/>
    <cellStyle name="Normal 6 110 4 3 2 2 3" xfId="0"/>
    <cellStyle name="Normal 6 110 4 3 2 3" xfId="0"/>
    <cellStyle name="Normal 6 110 4 3 2 3 2" xfId="0"/>
    <cellStyle name="Normal 6 110 4 3 2 4" xfId="0"/>
    <cellStyle name="Normal 6 110 4 3 3" xfId="0"/>
    <cellStyle name="Normal 6 110 4 3 3 2" xfId="0"/>
    <cellStyle name="Normal 6 110 4 3 3 2 2" xfId="0"/>
    <cellStyle name="Normal 6 110 4 3 3 3" xfId="0"/>
    <cellStyle name="Normal 6 110 4 3 4" xfId="0"/>
    <cellStyle name="Normal 6 110 4 3 4 2" xfId="0"/>
    <cellStyle name="Normal 6 110 4 3 5" xfId="0"/>
    <cellStyle name="Normal 6 110 4 4" xfId="0"/>
    <cellStyle name="Normal 6 110 4 4 2" xfId="0"/>
    <cellStyle name="Normal 6 110 4 4 2 2" xfId="0"/>
    <cellStyle name="Normal 6 110 4 4 2 2 2" xfId="0"/>
    <cellStyle name="Normal 6 110 4 4 2 3" xfId="0"/>
    <cellStyle name="Normal 6 110 4 4 3" xfId="0"/>
    <cellStyle name="Normal 6 110 4 4 3 2" xfId="0"/>
    <cellStyle name="Normal 6 110 4 4 4" xfId="0"/>
    <cellStyle name="Normal 6 110 4 5" xfId="0"/>
    <cellStyle name="Normal 6 110 4 5 2" xfId="0"/>
    <cellStyle name="Normal 6 110 4 5 2 2" xfId="0"/>
    <cellStyle name="Normal 6 110 4 5 3" xfId="0"/>
    <cellStyle name="Normal 6 110 4 6" xfId="0"/>
    <cellStyle name="Normal 6 110 4 6 2" xfId="0"/>
    <cellStyle name="Normal 6 110 4 7" xfId="0"/>
    <cellStyle name="Normal 6 110 5" xfId="0"/>
    <cellStyle name="Normal 6 110 5 2" xfId="0"/>
    <cellStyle name="Normal 6 110 5 2 2" xfId="0"/>
    <cellStyle name="Normal 6 110 5 2 2 2" xfId="0"/>
    <cellStyle name="Normal 6 110 5 2 2 2 2" xfId="0"/>
    <cellStyle name="Normal 6 110 5 2 2 2 2 2" xfId="0"/>
    <cellStyle name="Normal 6 110 5 2 2 2 2 2 2" xfId="0"/>
    <cellStyle name="Normal 6 110 5 2 2 2 2 3" xfId="0"/>
    <cellStyle name="Normal 6 110 5 2 2 2 3" xfId="0"/>
    <cellStyle name="Normal 6 110 5 2 2 2 3 2" xfId="0"/>
    <cellStyle name="Normal 6 110 5 2 2 2 4" xfId="0"/>
    <cellStyle name="Normal 6 110 5 2 2 3" xfId="0"/>
    <cellStyle name="Normal 6 110 5 2 2 3 2" xfId="0"/>
    <cellStyle name="Normal 6 110 5 2 2 3 2 2" xfId="0"/>
    <cellStyle name="Normal 6 110 5 2 2 3 3" xfId="0"/>
    <cellStyle name="Normal 6 110 5 2 2 4" xfId="0"/>
    <cellStyle name="Normal 6 110 5 2 2 4 2" xfId="0"/>
    <cellStyle name="Normal 6 110 5 2 2 5" xfId="0"/>
    <cellStyle name="Normal 6 110 5 2 3" xfId="0"/>
    <cellStyle name="Normal 6 110 5 2 3 2" xfId="0"/>
    <cellStyle name="Normal 6 110 5 2 3 2 2" xfId="0"/>
    <cellStyle name="Normal 6 110 5 2 3 2 2 2" xfId="0"/>
    <cellStyle name="Normal 6 110 5 2 3 2 3" xfId="0"/>
    <cellStyle name="Normal 6 110 5 2 3 3" xfId="0"/>
    <cellStyle name="Normal 6 110 5 2 3 3 2" xfId="0"/>
    <cellStyle name="Normal 6 110 5 2 3 4" xfId="0"/>
    <cellStyle name="Normal 6 110 5 2 4" xfId="0"/>
    <cellStyle name="Normal 6 110 5 2 4 2" xfId="0"/>
    <cellStyle name="Normal 6 110 5 2 4 2 2" xfId="0"/>
    <cellStyle name="Normal 6 110 5 2 4 3" xfId="0"/>
    <cellStyle name="Normal 6 110 5 2 5" xfId="0"/>
    <cellStyle name="Normal 6 110 5 2 5 2" xfId="0"/>
    <cellStyle name="Normal 6 110 5 2 6" xfId="0"/>
    <cellStyle name="Normal 6 110 5 3" xfId="0"/>
    <cellStyle name="Normal 6 110 5 3 2" xfId="0"/>
    <cellStyle name="Normal 6 110 5 3 2 2" xfId="0"/>
    <cellStyle name="Normal 6 110 5 3 2 2 2" xfId="0"/>
    <cellStyle name="Normal 6 110 5 3 2 2 2 2" xfId="0"/>
    <cellStyle name="Normal 6 110 5 3 2 2 3" xfId="0"/>
    <cellStyle name="Normal 6 110 5 3 2 3" xfId="0"/>
    <cellStyle name="Normal 6 110 5 3 2 3 2" xfId="0"/>
    <cellStyle name="Normal 6 110 5 3 2 4" xfId="0"/>
    <cellStyle name="Normal 6 110 5 3 3" xfId="0"/>
    <cellStyle name="Normal 6 110 5 3 3 2" xfId="0"/>
    <cellStyle name="Normal 6 110 5 3 3 2 2" xfId="0"/>
    <cellStyle name="Normal 6 110 5 3 3 3" xfId="0"/>
    <cellStyle name="Normal 6 110 5 3 4" xfId="0"/>
    <cellStyle name="Normal 6 110 5 3 4 2" xfId="0"/>
    <cellStyle name="Normal 6 110 5 3 5" xfId="0"/>
    <cellStyle name="Normal 6 110 5 4" xfId="0"/>
    <cellStyle name="Normal 6 110 5 4 2" xfId="0"/>
    <cellStyle name="Normal 6 110 5 4 2 2" xfId="0"/>
    <cellStyle name="Normal 6 110 5 4 2 2 2" xfId="0"/>
    <cellStyle name="Normal 6 110 5 4 2 3" xfId="0"/>
    <cellStyle name="Normal 6 110 5 4 3" xfId="0"/>
    <cellStyle name="Normal 6 110 5 4 3 2" xfId="0"/>
    <cellStyle name="Normal 6 110 5 4 4" xfId="0"/>
    <cellStyle name="Normal 6 110 5 5" xfId="0"/>
    <cellStyle name="Normal 6 110 5 5 2" xfId="0"/>
    <cellStyle name="Normal 6 110 5 5 2 2" xfId="0"/>
    <cellStyle name="Normal 6 110 5 5 3" xfId="0"/>
    <cellStyle name="Normal 6 110 5 6" xfId="0"/>
    <cellStyle name="Normal 6 110 5 6 2" xfId="0"/>
    <cellStyle name="Normal 6 110 5 7" xfId="0"/>
    <cellStyle name="Normal 6 110 6" xfId="0"/>
    <cellStyle name="Normal 6 110 6 2" xfId="0"/>
    <cellStyle name="Normal 6 110 6 2 2" xfId="0"/>
    <cellStyle name="Normal 6 110 6 2 2 2" xfId="0"/>
    <cellStyle name="Normal 6 110 6 2 2 2 2" xfId="0"/>
    <cellStyle name="Normal 6 110 6 2 2 2 2 2" xfId="0"/>
    <cellStyle name="Normal 6 110 6 2 2 2 3" xfId="0"/>
    <cellStyle name="Normal 6 110 6 2 2 3" xfId="0"/>
    <cellStyle name="Normal 6 110 6 2 2 3 2" xfId="0"/>
    <cellStyle name="Normal 6 110 6 2 2 4" xfId="0"/>
    <cellStyle name="Normal 6 110 6 2 3" xfId="0"/>
    <cellStyle name="Normal 6 110 6 2 3 2" xfId="0"/>
    <cellStyle name="Normal 6 110 6 2 3 2 2" xfId="0"/>
    <cellStyle name="Normal 6 110 6 2 3 3" xfId="0"/>
    <cellStyle name="Normal 6 110 6 2 4" xfId="0"/>
    <cellStyle name="Normal 6 110 6 2 4 2" xfId="0"/>
    <cellStyle name="Normal 6 110 6 2 5" xfId="0"/>
    <cellStyle name="Normal 6 110 6 3" xfId="0"/>
    <cellStyle name="Normal 6 110 6 3 2" xfId="0"/>
    <cellStyle name="Normal 6 110 6 3 2 2" xfId="0"/>
    <cellStyle name="Normal 6 110 6 3 2 2 2" xfId="0"/>
    <cellStyle name="Normal 6 110 6 3 2 3" xfId="0"/>
    <cellStyle name="Normal 6 110 6 3 3" xfId="0"/>
    <cellStyle name="Normal 6 110 6 3 3 2" xfId="0"/>
    <cellStyle name="Normal 6 110 6 3 4" xfId="0"/>
    <cellStyle name="Normal 6 110 6 4" xfId="0"/>
    <cellStyle name="Normal 6 110 6 4 2" xfId="0"/>
    <cellStyle name="Normal 6 110 6 4 2 2" xfId="0"/>
    <cellStyle name="Normal 6 110 6 4 3" xfId="0"/>
    <cellStyle name="Normal 6 110 6 5" xfId="0"/>
    <cellStyle name="Normal 6 110 6 5 2" xfId="0"/>
    <cellStyle name="Normal 6 110 6 6" xfId="0"/>
    <cellStyle name="Normal 6 110 7" xfId="0"/>
    <cellStyle name="Normal 6 110 7 2" xfId="0"/>
    <cellStyle name="Normal 6 110 7 2 2" xfId="0"/>
    <cellStyle name="Normal 6 110 7 2 2 2" xfId="0"/>
    <cellStyle name="Normal 6 110 7 2 2 2 2" xfId="0"/>
    <cellStyle name="Normal 6 110 7 2 2 3" xfId="0"/>
    <cellStyle name="Normal 6 110 7 2 3" xfId="0"/>
    <cellStyle name="Normal 6 110 7 2 3 2" xfId="0"/>
    <cellStyle name="Normal 6 110 7 2 4" xfId="0"/>
    <cellStyle name="Normal 6 110 7 3" xfId="0"/>
    <cellStyle name="Normal 6 110 7 3 2" xfId="0"/>
    <cellStyle name="Normal 6 110 7 3 2 2" xfId="0"/>
    <cellStyle name="Normal 6 110 7 3 3" xfId="0"/>
    <cellStyle name="Normal 6 110 7 4" xfId="0"/>
    <cellStyle name="Normal 6 110 7 4 2" xfId="0"/>
    <cellStyle name="Normal 6 110 7 5" xfId="0"/>
    <cellStyle name="Normal 6 110 8" xfId="0"/>
    <cellStyle name="Normal 6 110 8 2" xfId="0"/>
    <cellStyle name="Normal 6 110 8 2 2" xfId="0"/>
    <cellStyle name="Normal 6 110 8 2 2 2" xfId="0"/>
    <cellStyle name="Normal 6 110 8 2 3" xfId="0"/>
    <cellStyle name="Normal 6 110 8 3" xfId="0"/>
    <cellStyle name="Normal 6 110 8 3 2" xfId="0"/>
    <cellStyle name="Normal 6 110 8 4" xfId="0"/>
    <cellStyle name="Normal 6 110 9" xfId="0"/>
    <cellStyle name="Normal 6 110 9 2" xfId="0"/>
    <cellStyle name="Normal 6 110 9 2 2" xfId="0"/>
    <cellStyle name="Normal 6 110 9 3" xfId="0"/>
    <cellStyle name="Normal 6 111" xfId="0"/>
    <cellStyle name="Normal 6 111 2" xfId="0"/>
    <cellStyle name="Normal 6 111 2 2" xfId="0"/>
    <cellStyle name="Normal 6 111 2 2 2" xfId="0"/>
    <cellStyle name="Normal 6 111 2 2 2 2" xfId="0"/>
    <cellStyle name="Normal 6 111 2 2 2 2 2" xfId="0"/>
    <cellStyle name="Normal 6 111 2 2 2 2 2 2" xfId="0"/>
    <cellStyle name="Normal 6 111 2 2 2 2 2 2 2" xfId="0"/>
    <cellStyle name="Normal 6 111 2 2 2 2 2 3" xfId="0"/>
    <cellStyle name="Normal 6 111 2 2 2 2 3" xfId="0"/>
    <cellStyle name="Normal 6 111 2 2 2 2 3 2" xfId="0"/>
    <cellStyle name="Normal 6 111 2 2 2 2 4" xfId="0"/>
    <cellStyle name="Normal 6 111 2 2 2 3" xfId="0"/>
    <cellStyle name="Normal 6 111 2 2 2 3 2" xfId="0"/>
    <cellStyle name="Normal 6 111 2 2 2 3 2 2" xfId="0"/>
    <cellStyle name="Normal 6 111 2 2 2 3 3" xfId="0"/>
    <cellStyle name="Normal 6 111 2 2 2 4" xfId="0"/>
    <cellStyle name="Normal 6 111 2 2 2 4 2" xfId="0"/>
    <cellStyle name="Normal 6 111 2 2 2 5" xfId="0"/>
    <cellStyle name="Normal 6 111 2 2 3" xfId="0"/>
    <cellStyle name="Normal 6 111 2 2 3 2" xfId="0"/>
    <cellStyle name="Normal 6 111 2 2 3 2 2" xfId="0"/>
    <cellStyle name="Normal 6 111 2 2 3 2 2 2" xfId="0"/>
    <cellStyle name="Normal 6 111 2 2 3 2 3" xfId="0"/>
    <cellStyle name="Normal 6 111 2 2 3 3" xfId="0"/>
    <cellStyle name="Normal 6 111 2 2 3 3 2" xfId="0"/>
    <cellStyle name="Normal 6 111 2 2 3 4" xfId="0"/>
    <cellStyle name="Normal 6 111 2 2 4" xfId="0"/>
    <cellStyle name="Normal 6 111 2 2 4 2" xfId="0"/>
    <cellStyle name="Normal 6 111 2 2 4 2 2" xfId="0"/>
    <cellStyle name="Normal 6 111 2 2 4 3" xfId="0"/>
    <cellStyle name="Normal 6 111 2 2 5" xfId="0"/>
    <cellStyle name="Normal 6 111 2 2 5 2" xfId="0"/>
    <cellStyle name="Normal 6 111 2 2 6" xfId="0"/>
    <cellStyle name="Normal 6 111 2 3" xfId="0"/>
    <cellStyle name="Normal 6 111 2 3 2" xfId="0"/>
    <cellStyle name="Normal 6 111 2 3 2 2" xfId="0"/>
    <cellStyle name="Normal 6 111 2 3 2 2 2" xfId="0"/>
    <cellStyle name="Normal 6 111 2 3 2 2 2 2" xfId="0"/>
    <cellStyle name="Normal 6 111 2 3 2 2 3" xfId="0"/>
    <cellStyle name="Normal 6 111 2 3 2 3" xfId="0"/>
    <cellStyle name="Normal 6 111 2 3 2 3 2" xfId="0"/>
    <cellStyle name="Normal 6 111 2 3 2 4" xfId="0"/>
    <cellStyle name="Normal 6 111 2 3 3" xfId="0"/>
    <cellStyle name="Normal 6 111 2 3 3 2" xfId="0"/>
    <cellStyle name="Normal 6 111 2 3 3 2 2" xfId="0"/>
    <cellStyle name="Normal 6 111 2 3 3 3" xfId="0"/>
    <cellStyle name="Normal 6 111 2 3 4" xfId="0"/>
    <cellStyle name="Normal 6 111 2 3 4 2" xfId="0"/>
    <cellStyle name="Normal 6 111 2 3 5" xfId="0"/>
    <cellStyle name="Normal 6 111 2 4" xfId="0"/>
    <cellStyle name="Normal 6 111 2 4 2" xfId="0"/>
    <cellStyle name="Normal 6 111 2 4 2 2" xfId="0"/>
    <cellStyle name="Normal 6 111 2 4 2 2 2" xfId="0"/>
    <cellStyle name="Normal 6 111 2 4 2 3" xfId="0"/>
    <cellStyle name="Normal 6 111 2 4 3" xfId="0"/>
    <cellStyle name="Normal 6 111 2 4 3 2" xfId="0"/>
    <cellStyle name="Normal 6 111 2 4 4" xfId="0"/>
    <cellStyle name="Normal 6 111 2 5" xfId="0"/>
    <cellStyle name="Normal 6 111 2 5 2" xfId="0"/>
    <cellStyle name="Normal 6 111 2 5 2 2" xfId="0"/>
    <cellStyle name="Normal 6 111 2 5 3" xfId="0"/>
    <cellStyle name="Normal 6 111 2 6" xfId="0"/>
    <cellStyle name="Normal 6 111 2 6 2" xfId="0"/>
    <cellStyle name="Normal 6 111 2 7" xfId="0"/>
    <cellStyle name="Normal 6 111 3" xfId="0"/>
    <cellStyle name="Normal 6 111 3 2" xfId="0"/>
    <cellStyle name="Normal 6 111 3 2 2" xfId="0"/>
    <cellStyle name="Normal 6 111 3 2 2 2" xfId="0"/>
    <cellStyle name="Normal 6 111 3 2 2 2 2" xfId="0"/>
    <cellStyle name="Normal 6 111 3 2 2 2 2 2" xfId="0"/>
    <cellStyle name="Normal 6 111 3 2 2 2 3" xfId="0"/>
    <cellStyle name="Normal 6 111 3 2 2 3" xfId="0"/>
    <cellStyle name="Normal 6 111 3 2 2 3 2" xfId="0"/>
    <cellStyle name="Normal 6 111 3 2 2 4" xfId="0"/>
    <cellStyle name="Normal 6 111 3 2 3" xfId="0"/>
    <cellStyle name="Normal 6 111 3 2 3 2" xfId="0"/>
    <cellStyle name="Normal 6 111 3 2 3 2 2" xfId="0"/>
    <cellStyle name="Normal 6 111 3 2 3 3" xfId="0"/>
    <cellStyle name="Normal 6 111 3 2 4" xfId="0"/>
    <cellStyle name="Normal 6 111 3 2 4 2" xfId="0"/>
    <cellStyle name="Normal 6 111 3 2 5" xfId="0"/>
    <cellStyle name="Normal 6 111 3 3" xfId="0"/>
    <cellStyle name="Normal 6 111 3 3 2" xfId="0"/>
    <cellStyle name="Normal 6 111 3 3 2 2" xfId="0"/>
    <cellStyle name="Normal 6 111 3 3 2 2 2" xfId="0"/>
    <cellStyle name="Normal 6 111 3 3 2 3" xfId="0"/>
    <cellStyle name="Normal 6 111 3 3 3" xfId="0"/>
    <cellStyle name="Normal 6 111 3 3 3 2" xfId="0"/>
    <cellStyle name="Normal 6 111 3 3 4" xfId="0"/>
    <cellStyle name="Normal 6 111 3 4" xfId="0"/>
    <cellStyle name="Normal 6 111 3 4 2" xfId="0"/>
    <cellStyle name="Normal 6 111 3 4 2 2" xfId="0"/>
    <cellStyle name="Normal 6 111 3 4 3" xfId="0"/>
    <cellStyle name="Normal 6 111 3 5" xfId="0"/>
    <cellStyle name="Normal 6 111 3 5 2" xfId="0"/>
    <cellStyle name="Normal 6 111 3 6" xfId="0"/>
    <cellStyle name="Normal 6 111 4" xfId="0"/>
    <cellStyle name="Normal 6 111 4 2" xfId="0"/>
    <cellStyle name="Normal 6 111 4 2 2" xfId="0"/>
    <cellStyle name="Normal 6 111 4 2 2 2" xfId="0"/>
    <cellStyle name="Normal 6 111 4 2 2 2 2" xfId="0"/>
    <cellStyle name="Normal 6 111 4 2 2 3" xfId="0"/>
    <cellStyle name="Normal 6 111 4 2 3" xfId="0"/>
    <cellStyle name="Normal 6 111 4 2 3 2" xfId="0"/>
    <cellStyle name="Normal 6 111 4 2 4" xfId="0"/>
    <cellStyle name="Normal 6 111 4 3" xfId="0"/>
    <cellStyle name="Normal 6 111 4 3 2" xfId="0"/>
    <cellStyle name="Normal 6 111 4 3 2 2" xfId="0"/>
    <cellStyle name="Normal 6 111 4 3 3" xfId="0"/>
    <cellStyle name="Normal 6 111 4 4" xfId="0"/>
    <cellStyle name="Normal 6 111 4 4 2" xfId="0"/>
    <cellStyle name="Normal 6 111 4 5" xfId="0"/>
    <cellStyle name="Normal 6 111 5" xfId="0"/>
    <cellStyle name="Normal 6 111 5 2" xfId="0"/>
    <cellStyle name="Normal 6 111 5 2 2" xfId="0"/>
    <cellStyle name="Normal 6 111 5 2 2 2" xfId="0"/>
    <cellStyle name="Normal 6 111 5 2 3" xfId="0"/>
    <cellStyle name="Normal 6 111 5 3" xfId="0"/>
    <cellStyle name="Normal 6 111 5 3 2" xfId="0"/>
    <cellStyle name="Normal 6 111 5 4" xfId="0"/>
    <cellStyle name="Normal 6 111 6" xfId="0"/>
    <cellStyle name="Normal 6 111 6 2" xfId="0"/>
    <cellStyle name="Normal 6 111 6 2 2" xfId="0"/>
    <cellStyle name="Normal 6 111 6 3" xfId="0"/>
    <cellStyle name="Normal 6 111 7" xfId="0"/>
    <cellStyle name="Normal 6 111 7 2" xfId="0"/>
    <cellStyle name="Normal 6 111 8" xfId="0"/>
    <cellStyle name="Normal 6 112" xfId="0"/>
    <cellStyle name="Normal 6 112 2" xfId="0"/>
    <cellStyle name="Normal 6 112 2 2" xfId="0"/>
    <cellStyle name="Normal 6 112 2 2 2" xfId="0"/>
    <cellStyle name="Normal 6 112 2 2 2 2" xfId="0"/>
    <cellStyle name="Normal 6 112 2 2 2 2 2" xfId="0"/>
    <cellStyle name="Normal 6 112 2 2 2 2 2 2" xfId="0"/>
    <cellStyle name="Normal 6 112 2 2 2 2 2 2 2" xfId="0"/>
    <cellStyle name="Normal 6 112 2 2 2 2 2 3" xfId="0"/>
    <cellStyle name="Normal 6 112 2 2 2 2 3" xfId="0"/>
    <cellStyle name="Normal 6 112 2 2 2 2 3 2" xfId="0"/>
    <cellStyle name="Normal 6 112 2 2 2 2 4" xfId="0"/>
    <cellStyle name="Normal 6 112 2 2 2 3" xfId="0"/>
    <cellStyle name="Normal 6 112 2 2 2 3 2" xfId="0"/>
    <cellStyle name="Normal 6 112 2 2 2 3 2 2" xfId="0"/>
    <cellStyle name="Normal 6 112 2 2 2 3 3" xfId="0"/>
    <cellStyle name="Normal 6 112 2 2 2 4" xfId="0"/>
    <cellStyle name="Normal 6 112 2 2 2 4 2" xfId="0"/>
    <cellStyle name="Normal 6 112 2 2 2 5" xfId="0"/>
    <cellStyle name="Normal 6 112 2 2 3" xfId="0"/>
    <cellStyle name="Normal 6 112 2 2 3 2" xfId="0"/>
    <cellStyle name="Normal 6 112 2 2 3 2 2" xfId="0"/>
    <cellStyle name="Normal 6 112 2 2 3 2 2 2" xfId="0"/>
    <cellStyle name="Normal 6 112 2 2 3 2 3" xfId="0"/>
    <cellStyle name="Normal 6 112 2 2 3 3" xfId="0"/>
    <cellStyle name="Normal 6 112 2 2 3 3 2" xfId="0"/>
    <cellStyle name="Normal 6 112 2 2 3 4" xfId="0"/>
    <cellStyle name="Normal 6 112 2 2 4" xfId="0"/>
    <cellStyle name="Normal 6 112 2 2 4 2" xfId="0"/>
    <cellStyle name="Normal 6 112 2 2 4 2 2" xfId="0"/>
    <cellStyle name="Normal 6 112 2 2 4 3" xfId="0"/>
    <cellStyle name="Normal 6 112 2 2 5" xfId="0"/>
    <cellStyle name="Normal 6 112 2 2 5 2" xfId="0"/>
    <cellStyle name="Normal 6 112 2 2 6" xfId="0"/>
    <cellStyle name="Normal 6 112 2 3" xfId="0"/>
    <cellStyle name="Normal 6 112 2 3 2" xfId="0"/>
    <cellStyle name="Normal 6 112 2 3 2 2" xfId="0"/>
    <cellStyle name="Normal 6 112 2 3 2 2 2" xfId="0"/>
    <cellStyle name="Normal 6 112 2 3 2 2 2 2" xfId="0"/>
    <cellStyle name="Normal 6 112 2 3 2 2 3" xfId="0"/>
    <cellStyle name="Normal 6 112 2 3 2 3" xfId="0"/>
    <cellStyle name="Normal 6 112 2 3 2 3 2" xfId="0"/>
    <cellStyle name="Normal 6 112 2 3 2 4" xfId="0"/>
    <cellStyle name="Normal 6 112 2 3 3" xfId="0"/>
    <cellStyle name="Normal 6 112 2 3 3 2" xfId="0"/>
    <cellStyle name="Normal 6 112 2 3 3 2 2" xfId="0"/>
    <cellStyle name="Normal 6 112 2 3 3 3" xfId="0"/>
    <cellStyle name="Normal 6 112 2 3 4" xfId="0"/>
    <cellStyle name="Normal 6 112 2 3 4 2" xfId="0"/>
    <cellStyle name="Normal 6 112 2 3 5" xfId="0"/>
    <cellStyle name="Normal 6 112 2 4" xfId="0"/>
    <cellStyle name="Normal 6 112 2 4 2" xfId="0"/>
    <cellStyle name="Normal 6 112 2 4 2 2" xfId="0"/>
    <cellStyle name="Normal 6 112 2 4 2 2 2" xfId="0"/>
    <cellStyle name="Normal 6 112 2 4 2 3" xfId="0"/>
    <cellStyle name="Normal 6 112 2 4 3" xfId="0"/>
    <cellStyle name="Normal 6 112 2 4 3 2" xfId="0"/>
    <cellStyle name="Normal 6 112 2 4 4" xfId="0"/>
    <cellStyle name="Normal 6 112 2 5" xfId="0"/>
    <cellStyle name="Normal 6 112 2 5 2" xfId="0"/>
    <cellStyle name="Normal 6 112 2 5 2 2" xfId="0"/>
    <cellStyle name="Normal 6 112 2 5 3" xfId="0"/>
    <cellStyle name="Normal 6 112 2 6" xfId="0"/>
    <cellStyle name="Normal 6 112 2 6 2" xfId="0"/>
    <cellStyle name="Normal 6 112 2 7" xfId="0"/>
    <cellStyle name="Normal 6 112 3" xfId="0"/>
    <cellStyle name="Normal 6 112 3 2" xfId="0"/>
    <cellStyle name="Normal 6 112 3 2 2" xfId="0"/>
    <cellStyle name="Normal 6 112 3 2 2 2" xfId="0"/>
    <cellStyle name="Normal 6 112 3 2 2 2 2" xfId="0"/>
    <cellStyle name="Normal 6 112 3 2 2 2 2 2" xfId="0"/>
    <cellStyle name="Normal 6 112 3 2 2 2 3" xfId="0"/>
    <cellStyle name="Normal 6 112 3 2 2 3" xfId="0"/>
    <cellStyle name="Normal 6 112 3 2 2 3 2" xfId="0"/>
    <cellStyle name="Normal 6 112 3 2 2 4" xfId="0"/>
    <cellStyle name="Normal 6 112 3 2 3" xfId="0"/>
    <cellStyle name="Normal 6 112 3 2 3 2" xfId="0"/>
    <cellStyle name="Normal 6 112 3 2 3 2 2" xfId="0"/>
    <cellStyle name="Normal 6 112 3 2 3 3" xfId="0"/>
    <cellStyle name="Normal 6 112 3 2 4" xfId="0"/>
    <cellStyle name="Normal 6 112 3 2 4 2" xfId="0"/>
    <cellStyle name="Normal 6 112 3 2 5" xfId="0"/>
    <cellStyle name="Normal 6 112 3 3" xfId="0"/>
    <cellStyle name="Normal 6 112 3 3 2" xfId="0"/>
    <cellStyle name="Normal 6 112 3 3 2 2" xfId="0"/>
    <cellStyle name="Normal 6 112 3 3 2 2 2" xfId="0"/>
    <cellStyle name="Normal 6 112 3 3 2 3" xfId="0"/>
    <cellStyle name="Normal 6 112 3 3 3" xfId="0"/>
    <cellStyle name="Normal 6 112 3 3 3 2" xfId="0"/>
    <cellStyle name="Normal 6 112 3 3 4" xfId="0"/>
    <cellStyle name="Normal 6 112 3 4" xfId="0"/>
    <cellStyle name="Normal 6 112 3 4 2" xfId="0"/>
    <cellStyle name="Normal 6 112 3 4 2 2" xfId="0"/>
    <cellStyle name="Normal 6 112 3 4 3" xfId="0"/>
    <cellStyle name="Normal 6 112 3 5" xfId="0"/>
    <cellStyle name="Normal 6 112 3 5 2" xfId="0"/>
    <cellStyle name="Normal 6 112 3 6" xfId="0"/>
    <cellStyle name="Normal 6 112 4" xfId="0"/>
    <cellStyle name="Normal 6 112 4 2" xfId="0"/>
    <cellStyle name="Normal 6 112 4 2 2" xfId="0"/>
    <cellStyle name="Normal 6 112 4 2 2 2" xfId="0"/>
    <cellStyle name="Normal 6 112 4 2 2 2 2" xfId="0"/>
    <cellStyle name="Normal 6 112 4 2 2 3" xfId="0"/>
    <cellStyle name="Normal 6 112 4 2 3" xfId="0"/>
    <cellStyle name="Normal 6 112 4 2 3 2" xfId="0"/>
    <cellStyle name="Normal 6 112 4 2 4" xfId="0"/>
    <cellStyle name="Normal 6 112 4 3" xfId="0"/>
    <cellStyle name="Normal 6 112 4 3 2" xfId="0"/>
    <cellStyle name="Normal 6 112 4 3 2 2" xfId="0"/>
    <cellStyle name="Normal 6 112 4 3 3" xfId="0"/>
    <cellStyle name="Normal 6 112 4 4" xfId="0"/>
    <cellStyle name="Normal 6 112 4 4 2" xfId="0"/>
    <cellStyle name="Normal 6 112 4 5" xfId="0"/>
    <cellStyle name="Normal 6 112 5" xfId="0"/>
    <cellStyle name="Normal 6 112 5 2" xfId="0"/>
    <cellStyle name="Normal 6 112 5 2 2" xfId="0"/>
    <cellStyle name="Normal 6 112 5 2 2 2" xfId="0"/>
    <cellStyle name="Normal 6 112 5 2 3" xfId="0"/>
    <cellStyle name="Normal 6 112 5 3" xfId="0"/>
    <cellStyle name="Normal 6 112 5 3 2" xfId="0"/>
    <cellStyle name="Normal 6 112 5 4" xfId="0"/>
    <cellStyle name="Normal 6 112 6" xfId="0"/>
    <cellStyle name="Normal 6 112 6 2" xfId="0"/>
    <cellStyle name="Normal 6 112 6 2 2" xfId="0"/>
    <cellStyle name="Normal 6 112 6 3" xfId="0"/>
    <cellStyle name="Normal 6 112 7" xfId="0"/>
    <cellStyle name="Normal 6 112 7 2" xfId="0"/>
    <cellStyle name="Normal 6 112 8" xfId="0"/>
    <cellStyle name="Normal 6 113" xfId="0"/>
    <cellStyle name="Normal 6 113 2" xfId="0"/>
    <cellStyle name="Normal 6 113 2 2" xfId="0"/>
    <cellStyle name="Normal 6 113 2 2 2" xfId="0"/>
    <cellStyle name="Normal 6 113 2 2 2 2" xfId="0"/>
    <cellStyle name="Normal 6 113 2 2 2 2 2" xfId="0"/>
    <cellStyle name="Normal 6 113 2 2 2 2 2 2" xfId="0"/>
    <cellStyle name="Normal 6 113 2 2 2 2 3" xfId="0"/>
    <cellStyle name="Normal 6 113 2 2 2 3" xfId="0"/>
    <cellStyle name="Normal 6 113 2 2 2 3 2" xfId="0"/>
    <cellStyle name="Normal 6 113 2 2 2 4" xfId="0"/>
    <cellStyle name="Normal 6 113 2 2 3" xfId="0"/>
    <cellStyle name="Normal 6 113 2 2 3 2" xfId="0"/>
    <cellStyle name="Normal 6 113 2 2 3 2 2" xfId="0"/>
    <cellStyle name="Normal 6 113 2 2 3 3" xfId="0"/>
    <cellStyle name="Normal 6 113 2 2 4" xfId="0"/>
    <cellStyle name="Normal 6 113 2 2 4 2" xfId="0"/>
    <cellStyle name="Normal 6 113 2 2 5" xfId="0"/>
    <cellStyle name="Normal 6 113 2 3" xfId="0"/>
    <cellStyle name="Normal 6 113 2 3 2" xfId="0"/>
    <cellStyle name="Normal 6 113 2 3 2 2" xfId="0"/>
    <cellStyle name="Normal 6 113 2 3 2 2 2" xfId="0"/>
    <cellStyle name="Normal 6 113 2 3 2 3" xfId="0"/>
    <cellStyle name="Normal 6 113 2 3 3" xfId="0"/>
    <cellStyle name="Normal 6 113 2 3 3 2" xfId="0"/>
    <cellStyle name="Normal 6 113 2 3 4" xfId="0"/>
    <cellStyle name="Normal 6 113 2 4" xfId="0"/>
    <cellStyle name="Normal 6 113 2 4 2" xfId="0"/>
    <cellStyle name="Normal 6 113 2 4 2 2" xfId="0"/>
    <cellStyle name="Normal 6 113 2 4 3" xfId="0"/>
    <cellStyle name="Normal 6 113 2 5" xfId="0"/>
    <cellStyle name="Normal 6 113 2 5 2" xfId="0"/>
    <cellStyle name="Normal 6 113 2 6" xfId="0"/>
    <cellStyle name="Normal 6 113 3" xfId="0"/>
    <cellStyle name="Normal 6 113 3 2" xfId="0"/>
    <cellStyle name="Normal 6 113 3 2 2" xfId="0"/>
    <cellStyle name="Normal 6 113 3 2 2 2" xfId="0"/>
    <cellStyle name="Normal 6 113 3 2 2 2 2" xfId="0"/>
    <cellStyle name="Normal 6 113 3 2 2 3" xfId="0"/>
    <cellStyle name="Normal 6 113 3 2 3" xfId="0"/>
    <cellStyle name="Normal 6 113 3 2 3 2" xfId="0"/>
    <cellStyle name="Normal 6 113 3 2 4" xfId="0"/>
    <cellStyle name="Normal 6 113 3 3" xfId="0"/>
    <cellStyle name="Normal 6 113 3 3 2" xfId="0"/>
    <cellStyle name="Normal 6 113 3 3 2 2" xfId="0"/>
    <cellStyle name="Normal 6 113 3 3 3" xfId="0"/>
    <cellStyle name="Normal 6 113 3 4" xfId="0"/>
    <cellStyle name="Normal 6 113 3 4 2" xfId="0"/>
    <cellStyle name="Normal 6 113 3 5" xfId="0"/>
    <cellStyle name="Normal 6 113 4" xfId="0"/>
    <cellStyle name="Normal 6 113 4 2" xfId="0"/>
    <cellStyle name="Normal 6 113 4 2 2" xfId="0"/>
    <cellStyle name="Normal 6 113 4 2 2 2" xfId="0"/>
    <cellStyle name="Normal 6 113 4 2 3" xfId="0"/>
    <cellStyle name="Normal 6 113 4 3" xfId="0"/>
    <cellStyle name="Normal 6 113 4 3 2" xfId="0"/>
    <cellStyle name="Normal 6 113 4 4" xfId="0"/>
    <cellStyle name="Normal 6 113 5" xfId="0"/>
    <cellStyle name="Normal 6 113 5 2" xfId="0"/>
    <cellStyle name="Normal 6 113 5 2 2" xfId="0"/>
    <cellStyle name="Normal 6 113 5 3" xfId="0"/>
    <cellStyle name="Normal 6 113 6" xfId="0"/>
    <cellStyle name="Normal 6 113 6 2" xfId="0"/>
    <cellStyle name="Normal 6 113 7" xfId="0"/>
    <cellStyle name="Normal 6 114" xfId="0"/>
    <cellStyle name="Normal 6 114 2" xfId="0"/>
    <cellStyle name="Normal 6 114 2 2" xfId="0"/>
    <cellStyle name="Normal 6 114 2 2 2" xfId="0"/>
    <cellStyle name="Normal 6 114 2 2 2 2" xfId="0"/>
    <cellStyle name="Normal 6 114 2 2 2 2 2" xfId="0"/>
    <cellStyle name="Normal 6 114 2 2 2 2 2 2" xfId="0"/>
    <cellStyle name="Normal 6 114 2 2 2 2 3" xfId="0"/>
    <cellStyle name="Normal 6 114 2 2 2 3" xfId="0"/>
    <cellStyle name="Normal 6 114 2 2 2 3 2" xfId="0"/>
    <cellStyle name="Normal 6 114 2 2 2 4" xfId="0"/>
    <cellStyle name="Normal 6 114 2 2 3" xfId="0"/>
    <cellStyle name="Normal 6 114 2 2 3 2" xfId="0"/>
    <cellStyle name="Normal 6 114 2 2 3 2 2" xfId="0"/>
    <cellStyle name="Normal 6 114 2 2 3 3" xfId="0"/>
    <cellStyle name="Normal 6 114 2 2 4" xfId="0"/>
    <cellStyle name="Normal 6 114 2 2 4 2" xfId="0"/>
    <cellStyle name="Normal 6 114 2 2 5" xfId="0"/>
    <cellStyle name="Normal 6 114 2 3" xfId="0"/>
    <cellStyle name="Normal 6 114 2 3 2" xfId="0"/>
    <cellStyle name="Normal 6 114 2 3 2 2" xfId="0"/>
    <cellStyle name="Normal 6 114 2 3 2 2 2" xfId="0"/>
    <cellStyle name="Normal 6 114 2 3 2 3" xfId="0"/>
    <cellStyle name="Normal 6 114 2 3 3" xfId="0"/>
    <cellStyle name="Normal 6 114 2 3 3 2" xfId="0"/>
    <cellStyle name="Normal 6 114 2 3 4" xfId="0"/>
    <cellStyle name="Normal 6 114 2 4" xfId="0"/>
    <cellStyle name="Normal 6 114 2 4 2" xfId="0"/>
    <cellStyle name="Normal 6 114 2 4 2 2" xfId="0"/>
    <cellStyle name="Normal 6 114 2 4 3" xfId="0"/>
    <cellStyle name="Normal 6 114 2 5" xfId="0"/>
    <cellStyle name="Normal 6 114 2 5 2" xfId="0"/>
    <cellStyle name="Normal 6 114 2 6" xfId="0"/>
    <cellStyle name="Normal 6 114 3" xfId="0"/>
    <cellStyle name="Normal 6 114 3 2" xfId="0"/>
    <cellStyle name="Normal 6 114 3 2 2" xfId="0"/>
    <cellStyle name="Normal 6 114 3 2 2 2" xfId="0"/>
    <cellStyle name="Normal 6 114 3 2 2 2 2" xfId="0"/>
    <cellStyle name="Normal 6 114 3 2 2 3" xfId="0"/>
    <cellStyle name="Normal 6 114 3 2 3" xfId="0"/>
    <cellStyle name="Normal 6 114 3 2 3 2" xfId="0"/>
    <cellStyle name="Normal 6 114 3 2 4" xfId="0"/>
    <cellStyle name="Normal 6 114 3 3" xfId="0"/>
    <cellStyle name="Normal 6 114 3 3 2" xfId="0"/>
    <cellStyle name="Normal 6 114 3 3 2 2" xfId="0"/>
    <cellStyle name="Normal 6 114 3 3 3" xfId="0"/>
    <cellStyle name="Normal 6 114 3 4" xfId="0"/>
    <cellStyle name="Normal 6 114 3 4 2" xfId="0"/>
    <cellStyle name="Normal 6 114 3 5" xfId="0"/>
    <cellStyle name="Normal 6 114 4" xfId="0"/>
    <cellStyle name="Normal 6 114 4 2" xfId="0"/>
    <cellStyle name="Normal 6 114 4 2 2" xfId="0"/>
    <cellStyle name="Normal 6 114 4 2 2 2" xfId="0"/>
    <cellStyle name="Normal 6 114 4 2 3" xfId="0"/>
    <cellStyle name="Normal 6 114 4 3" xfId="0"/>
    <cellStyle name="Normal 6 114 4 3 2" xfId="0"/>
    <cellStyle name="Normal 6 114 4 4" xfId="0"/>
    <cellStyle name="Normal 6 114 5" xfId="0"/>
    <cellStyle name="Normal 6 114 5 2" xfId="0"/>
    <cellStyle name="Normal 6 114 5 2 2" xfId="0"/>
    <cellStyle name="Normal 6 114 5 3" xfId="0"/>
    <cellStyle name="Normal 6 114 6" xfId="0"/>
    <cellStyle name="Normal 6 114 6 2" xfId="0"/>
    <cellStyle name="Normal 6 114 7" xfId="0"/>
    <cellStyle name="Normal 6 115" xfId="0"/>
    <cellStyle name="Normal 6 115 2" xfId="0"/>
    <cellStyle name="Normal 6 115 2 2" xfId="0"/>
    <cellStyle name="Normal 6 115 2 2 2" xfId="0"/>
    <cellStyle name="Normal 6 115 2 2 2 2" xfId="0"/>
    <cellStyle name="Normal 6 115 2 2 2 2 2" xfId="0"/>
    <cellStyle name="Normal 6 115 2 2 2 3" xfId="0"/>
    <cellStyle name="Normal 6 115 2 2 3" xfId="0"/>
    <cellStyle name="Normal 6 115 2 2 3 2" xfId="0"/>
    <cellStyle name="Normal 6 115 2 2 4" xfId="0"/>
    <cellStyle name="Normal 6 115 2 3" xfId="0"/>
    <cellStyle name="Normal 6 115 2 3 2" xfId="0"/>
    <cellStyle name="Normal 6 115 2 3 2 2" xfId="0"/>
    <cellStyle name="Normal 6 115 2 3 3" xfId="0"/>
    <cellStyle name="Normal 6 115 2 4" xfId="0"/>
    <cellStyle name="Normal 6 115 2 4 2" xfId="0"/>
    <cellStyle name="Normal 6 115 2 5" xfId="0"/>
    <cellStyle name="Normal 6 115 3" xfId="0"/>
    <cellStyle name="Normal 6 115 3 2" xfId="0"/>
    <cellStyle name="Normal 6 115 3 2 2" xfId="0"/>
    <cellStyle name="Normal 6 115 3 2 2 2" xfId="0"/>
    <cellStyle name="Normal 6 115 3 2 3" xfId="0"/>
    <cellStyle name="Normal 6 115 3 3" xfId="0"/>
    <cellStyle name="Normal 6 115 3 3 2" xfId="0"/>
    <cellStyle name="Normal 6 115 3 4" xfId="0"/>
    <cellStyle name="Normal 6 115 4" xfId="0"/>
    <cellStyle name="Normal 6 115 4 2" xfId="0"/>
    <cellStyle name="Normal 6 115 4 2 2" xfId="0"/>
    <cellStyle name="Normal 6 115 4 3" xfId="0"/>
    <cellStyle name="Normal 6 115 5" xfId="0"/>
    <cellStyle name="Normal 6 115 5 2" xfId="0"/>
    <cellStyle name="Normal 6 115 6" xfId="0"/>
    <cellStyle name="Normal 6 116" xfId="0"/>
    <cellStyle name="Normal 6 116 2" xfId="0"/>
    <cellStyle name="Normal 6 116 2 2" xfId="0"/>
    <cellStyle name="Normal 6 116 2 2 2" xfId="0"/>
    <cellStyle name="Normal 6 116 2 2 2 2" xfId="0"/>
    <cellStyle name="Normal 6 116 2 2 3" xfId="0"/>
    <cellStyle name="Normal 6 116 2 3" xfId="0"/>
    <cellStyle name="Normal 6 116 2 3 2" xfId="0"/>
    <cellStyle name="Normal 6 116 2 4" xfId="0"/>
    <cellStyle name="Normal 6 116 3" xfId="0"/>
    <cellStyle name="Normal 6 116 3 2" xfId="0"/>
    <cellStyle name="Normal 6 116 3 2 2" xfId="0"/>
    <cellStyle name="Normal 6 116 3 3" xfId="0"/>
    <cellStyle name="Normal 6 116 4" xfId="0"/>
    <cellStyle name="Normal 6 116 4 2" xfId="0"/>
    <cellStyle name="Normal 6 116 5" xfId="0"/>
    <cellStyle name="Normal 6 117" xfId="0"/>
    <cellStyle name="Normal 6 117 2" xfId="0"/>
    <cellStyle name="Normal 6 117 2 2" xfId="0"/>
    <cellStyle name="Normal 6 117 2 2 2" xfId="0"/>
    <cellStyle name="Normal 6 117 2 3" xfId="0"/>
    <cellStyle name="Normal 6 117 3" xfId="0"/>
    <cellStyle name="Normal 6 117 3 2" xfId="0"/>
    <cellStyle name="Normal 6 117 4" xfId="0"/>
    <cellStyle name="Normal 6 118" xfId="0"/>
    <cellStyle name="Normal 6 118 2" xfId="0"/>
    <cellStyle name="Normal 6 118 2 2" xfId="0"/>
    <cellStyle name="Normal 6 118 3" xfId="0"/>
    <cellStyle name="Normal 6 119" xfId="0"/>
    <cellStyle name="Normal 6 119 2" xfId="0"/>
    <cellStyle name="Normal 6 12" xfId="0"/>
    <cellStyle name="Normal 6 120" xfId="0"/>
    <cellStyle name="Normal 6 121" xfId="0"/>
    <cellStyle name="Normal 6 122" xfId="0"/>
    <cellStyle name="Normal 6 13" xfId="0"/>
    <cellStyle name="Normal 6 14" xfId="0"/>
    <cellStyle name="Normal 6 15" xfId="0"/>
    <cellStyle name="Normal 6 16" xfId="0"/>
    <cellStyle name="Normal 6 17" xfId="0"/>
    <cellStyle name="Normal 6 18" xfId="0"/>
    <cellStyle name="Normal 6 19" xfId="0"/>
    <cellStyle name="Normal 6 2" xfId="0"/>
    <cellStyle name="Normal 6 2 10" xfId="0"/>
    <cellStyle name="Normal 6 2 10 2" xfId="0"/>
    <cellStyle name="Normal 6 2 10 2 2" xfId="0"/>
    <cellStyle name="Normal 6 2 10 2 2 2" xfId="0"/>
    <cellStyle name="Normal 6 2 10 2 2 2 2" xfId="0"/>
    <cellStyle name="Normal 6 2 10 2 2 2 2 2" xfId="0"/>
    <cellStyle name="Normal 6 2 10 2 2 2 2 2 2" xfId="0"/>
    <cellStyle name="Normal 6 2 10 2 2 2 2 3" xfId="0"/>
    <cellStyle name="Normal 6 2 10 2 2 2 3" xfId="0"/>
    <cellStyle name="Normal 6 2 10 2 2 2 3 2" xfId="0"/>
    <cellStyle name="Normal 6 2 10 2 2 2 4" xfId="0"/>
    <cellStyle name="Normal 6 2 10 2 2 3" xfId="0"/>
    <cellStyle name="Normal 6 2 10 2 2 3 2" xfId="0"/>
    <cellStyle name="Normal 6 2 10 2 2 3 2 2" xfId="0"/>
    <cellStyle name="Normal 6 2 10 2 2 3 3" xfId="0"/>
    <cellStyle name="Normal 6 2 10 2 2 4" xfId="0"/>
    <cellStyle name="Normal 6 2 10 2 2 4 2" xfId="0"/>
    <cellStyle name="Normal 6 2 10 2 2 5" xfId="0"/>
    <cellStyle name="Normal 6 2 10 2 3" xfId="0"/>
    <cellStyle name="Normal 6 2 10 2 3 2" xfId="0"/>
    <cellStyle name="Normal 6 2 10 2 3 2 2" xfId="0"/>
    <cellStyle name="Normal 6 2 10 2 3 2 2 2" xfId="0"/>
    <cellStyle name="Normal 6 2 10 2 3 2 3" xfId="0"/>
    <cellStyle name="Normal 6 2 10 2 3 3" xfId="0"/>
    <cellStyle name="Normal 6 2 10 2 3 3 2" xfId="0"/>
    <cellStyle name="Normal 6 2 10 2 3 4" xfId="0"/>
    <cellStyle name="Normal 6 2 10 2 4" xfId="0"/>
    <cellStyle name="Normal 6 2 10 2 4 2" xfId="0"/>
    <cellStyle name="Normal 6 2 10 2 4 2 2" xfId="0"/>
    <cellStyle name="Normal 6 2 10 2 4 3" xfId="0"/>
    <cellStyle name="Normal 6 2 10 2 5" xfId="0"/>
    <cellStyle name="Normal 6 2 10 2 5 2" xfId="0"/>
    <cellStyle name="Normal 6 2 10 2 6" xfId="0"/>
    <cellStyle name="Normal 6 2 10 3" xfId="0"/>
    <cellStyle name="Normal 6 2 10 3 2" xfId="0"/>
    <cellStyle name="Normal 6 2 10 3 2 2" xfId="0"/>
    <cellStyle name="Normal 6 2 10 3 2 2 2" xfId="0"/>
    <cellStyle name="Normal 6 2 10 3 2 2 2 2" xfId="0"/>
    <cellStyle name="Normal 6 2 10 3 2 2 3" xfId="0"/>
    <cellStyle name="Normal 6 2 10 3 2 3" xfId="0"/>
    <cellStyle name="Normal 6 2 10 3 2 3 2" xfId="0"/>
    <cellStyle name="Normal 6 2 10 3 2 4" xfId="0"/>
    <cellStyle name="Normal 6 2 10 3 3" xfId="0"/>
    <cellStyle name="Normal 6 2 10 3 3 2" xfId="0"/>
    <cellStyle name="Normal 6 2 10 3 3 2 2" xfId="0"/>
    <cellStyle name="Normal 6 2 10 3 3 3" xfId="0"/>
    <cellStyle name="Normal 6 2 10 3 4" xfId="0"/>
    <cellStyle name="Normal 6 2 10 3 4 2" xfId="0"/>
    <cellStyle name="Normal 6 2 10 3 5" xfId="0"/>
    <cellStyle name="Normal 6 2 10 4" xfId="0"/>
    <cellStyle name="Normal 6 2 10 4 2" xfId="0"/>
    <cellStyle name="Normal 6 2 10 4 2 2" xfId="0"/>
    <cellStyle name="Normal 6 2 10 4 2 2 2" xfId="0"/>
    <cellStyle name="Normal 6 2 10 4 2 3" xfId="0"/>
    <cellStyle name="Normal 6 2 10 4 3" xfId="0"/>
    <cellStyle name="Normal 6 2 10 4 3 2" xfId="0"/>
    <cellStyle name="Normal 6 2 10 4 4" xfId="0"/>
    <cellStyle name="Normal 6 2 10 5" xfId="0"/>
    <cellStyle name="Normal 6 2 10 5 2" xfId="0"/>
    <cellStyle name="Normal 6 2 10 5 2 2" xfId="0"/>
    <cellStyle name="Normal 6 2 10 5 3" xfId="0"/>
    <cellStyle name="Normal 6 2 10 6" xfId="0"/>
    <cellStyle name="Normal 6 2 10 6 2" xfId="0"/>
    <cellStyle name="Normal 6 2 10 7" xfId="0"/>
    <cellStyle name="Normal 6 2 11" xfId="0"/>
    <cellStyle name="Normal 6 2 11 2" xfId="0"/>
    <cellStyle name="Normal 6 2 11 2 2" xfId="0"/>
    <cellStyle name="Normal 6 2 11 2 2 2" xfId="0"/>
    <cellStyle name="Normal 6 2 11 2 2 2 2" xfId="0"/>
    <cellStyle name="Normal 6 2 11 2 2 2 2 2" xfId="0"/>
    <cellStyle name="Normal 6 2 11 2 2 2 3" xfId="0"/>
    <cellStyle name="Normal 6 2 11 2 2 3" xfId="0"/>
    <cellStyle name="Normal 6 2 11 2 2 3 2" xfId="0"/>
    <cellStyle name="Normal 6 2 11 2 2 4" xfId="0"/>
    <cellStyle name="Normal 6 2 11 2 3" xfId="0"/>
    <cellStyle name="Normal 6 2 11 2 3 2" xfId="0"/>
    <cellStyle name="Normal 6 2 11 2 3 2 2" xfId="0"/>
    <cellStyle name="Normal 6 2 11 2 3 3" xfId="0"/>
    <cellStyle name="Normal 6 2 11 2 4" xfId="0"/>
    <cellStyle name="Normal 6 2 11 2 4 2" xfId="0"/>
    <cellStyle name="Normal 6 2 11 2 5" xfId="0"/>
    <cellStyle name="Normal 6 2 11 3" xfId="0"/>
    <cellStyle name="Normal 6 2 11 3 2" xfId="0"/>
    <cellStyle name="Normal 6 2 11 3 2 2" xfId="0"/>
    <cellStyle name="Normal 6 2 11 3 2 2 2" xfId="0"/>
    <cellStyle name="Normal 6 2 11 3 2 3" xfId="0"/>
    <cellStyle name="Normal 6 2 11 3 3" xfId="0"/>
    <cellStyle name="Normal 6 2 11 3 3 2" xfId="0"/>
    <cellStyle name="Normal 6 2 11 3 4" xfId="0"/>
    <cellStyle name="Normal 6 2 11 4" xfId="0"/>
    <cellStyle name="Normal 6 2 11 4 2" xfId="0"/>
    <cellStyle name="Normal 6 2 11 4 2 2" xfId="0"/>
    <cellStyle name="Normal 6 2 11 4 3" xfId="0"/>
    <cellStyle name="Normal 6 2 11 5" xfId="0"/>
    <cellStyle name="Normal 6 2 11 5 2" xfId="0"/>
    <cellStyle name="Normal 6 2 11 6" xfId="0"/>
    <cellStyle name="Normal 6 2 12" xfId="0"/>
    <cellStyle name="Normal 6 2 12 2" xfId="0"/>
    <cellStyle name="Normal 6 2 12 2 2" xfId="0"/>
    <cellStyle name="Normal 6 2 12 2 2 2" xfId="0"/>
    <cellStyle name="Normal 6 2 12 2 2 2 2" xfId="0"/>
    <cellStyle name="Normal 6 2 12 2 2 3" xfId="0"/>
    <cellStyle name="Normal 6 2 12 2 3" xfId="0"/>
    <cellStyle name="Normal 6 2 12 2 3 2" xfId="0"/>
    <cellStyle name="Normal 6 2 12 2 4" xfId="0"/>
    <cellStyle name="Normal 6 2 12 3" xfId="0"/>
    <cellStyle name="Normal 6 2 12 3 2" xfId="0"/>
    <cellStyle name="Normal 6 2 12 3 2 2" xfId="0"/>
    <cellStyle name="Normal 6 2 12 3 3" xfId="0"/>
    <cellStyle name="Normal 6 2 12 4" xfId="0"/>
    <cellStyle name="Normal 6 2 12 4 2" xfId="0"/>
    <cellStyle name="Normal 6 2 12 5" xfId="0"/>
    <cellStyle name="Normal 6 2 13" xfId="0"/>
    <cellStyle name="Normal 6 2 13 2" xfId="0"/>
    <cellStyle name="Normal 6 2 13 2 2" xfId="0"/>
    <cellStyle name="Normal 6 2 13 2 2 2" xfId="0"/>
    <cellStyle name="Normal 6 2 13 2 3" xfId="0"/>
    <cellStyle name="Normal 6 2 13 3" xfId="0"/>
    <cellStyle name="Normal 6 2 13 3 2" xfId="0"/>
    <cellStyle name="Normal 6 2 13 4" xfId="0"/>
    <cellStyle name="Normal 6 2 14" xfId="0"/>
    <cellStyle name="Normal 6 2 14 2" xfId="0"/>
    <cellStyle name="Normal 6 2 14 2 2" xfId="0"/>
    <cellStyle name="Normal 6 2 14 3" xfId="0"/>
    <cellStyle name="Normal 6 2 15" xfId="0"/>
    <cellStyle name="Normal 6 2 15 2" xfId="0"/>
    <cellStyle name="Normal 6 2 16" xfId="0"/>
    <cellStyle name="Normal 6 2 17" xfId="0"/>
    <cellStyle name="Normal 6 2 2" xfId="0"/>
    <cellStyle name="Normal 6 2 2 10" xfId="0"/>
    <cellStyle name="Normal 6 2 2 10 2" xfId="0"/>
    <cellStyle name="Normal 6 2 2 10 2 2" xfId="0"/>
    <cellStyle name="Normal 6 2 2 10 2 2 2" xfId="0"/>
    <cellStyle name="Normal 6 2 2 10 2 2 2 2" xfId="0"/>
    <cellStyle name="Normal 6 2 2 10 2 2 3" xfId="0"/>
    <cellStyle name="Normal 6 2 2 10 2 3" xfId="0"/>
    <cellStyle name="Normal 6 2 2 10 2 3 2" xfId="0"/>
    <cellStyle name="Normal 6 2 2 10 2 4" xfId="0"/>
    <cellStyle name="Normal 6 2 2 10 3" xfId="0"/>
    <cellStyle name="Normal 6 2 2 10 3 2" xfId="0"/>
    <cellStyle name="Normal 6 2 2 10 3 2 2" xfId="0"/>
    <cellStyle name="Normal 6 2 2 10 3 3" xfId="0"/>
    <cellStyle name="Normal 6 2 2 10 4" xfId="0"/>
    <cellStyle name="Normal 6 2 2 10 4 2" xfId="0"/>
    <cellStyle name="Normal 6 2 2 10 5" xfId="0"/>
    <cellStyle name="Normal 6 2 2 11" xfId="0"/>
    <cellStyle name="Normal 6 2 2 11 2" xfId="0"/>
    <cellStyle name="Normal 6 2 2 11 2 2" xfId="0"/>
    <cellStyle name="Normal 6 2 2 11 2 2 2" xfId="0"/>
    <cellStyle name="Normal 6 2 2 11 2 3" xfId="0"/>
    <cellStyle name="Normal 6 2 2 11 3" xfId="0"/>
    <cellStyle name="Normal 6 2 2 11 3 2" xfId="0"/>
    <cellStyle name="Normal 6 2 2 11 4" xfId="0"/>
    <cellStyle name="Normal 6 2 2 12" xfId="0"/>
    <cellStyle name="Normal 6 2 2 12 2" xfId="0"/>
    <cellStyle name="Normal 6 2 2 12 2 2" xfId="0"/>
    <cellStyle name="Normal 6 2 2 12 3" xfId="0"/>
    <cellStyle name="Normal 6 2 2 13" xfId="0"/>
    <cellStyle name="Normal 6 2 2 13 2" xfId="0"/>
    <cellStyle name="Normal 6 2 2 14" xfId="0"/>
    <cellStyle name="Normal 6 2 2 15" xfId="0"/>
    <cellStyle name="Normal 6 2 2 2" xfId="0"/>
    <cellStyle name="Normal 6 2 2 2 10" xfId="0"/>
    <cellStyle name="Normal 6 2 2 2 10 2" xfId="0"/>
    <cellStyle name="Normal 6 2 2 2 10 2 2" xfId="0"/>
    <cellStyle name="Normal 6 2 2 2 10 3" xfId="0"/>
    <cellStyle name="Normal 6 2 2 2 11" xfId="0"/>
    <cellStyle name="Normal 6 2 2 2 11 2" xfId="0"/>
    <cellStyle name="Normal 6 2 2 2 12" xfId="0"/>
    <cellStyle name="Normal 6 2 2 2 2" xfId="0"/>
    <cellStyle name="Normal 6 2 2 2 2 10" xfId="0"/>
    <cellStyle name="Normal 6 2 2 2 2 10 2" xfId="0"/>
    <cellStyle name="Normal 6 2 2 2 2 11" xfId="0"/>
    <cellStyle name="Normal 6 2 2 2 2 2" xfId="0"/>
    <cellStyle name="Normal 6 2 2 2 2 2 2" xfId="0"/>
    <cellStyle name="Normal 6 2 2 2 2 2 2 2" xfId="0"/>
    <cellStyle name="Normal 6 2 2 2 2 2 2 2 2" xfId="0"/>
    <cellStyle name="Normal 6 2 2 2 2 2 2 2 2 2" xfId="0"/>
    <cellStyle name="Normal 6 2 2 2 2 2 2 2 2 2 2" xfId="0"/>
    <cellStyle name="Normal 6 2 2 2 2 2 2 2 2 2 2 2" xfId="0"/>
    <cellStyle name="Normal 6 2 2 2 2 2 2 2 2 2 2 2 2" xfId="0"/>
    <cellStyle name="Normal 6 2 2 2 2 2 2 2 2 2 2 3" xfId="0"/>
    <cellStyle name="Normal 6 2 2 2 2 2 2 2 2 2 3" xfId="0"/>
    <cellStyle name="Normal 6 2 2 2 2 2 2 2 2 2 3 2" xfId="0"/>
    <cellStyle name="Normal 6 2 2 2 2 2 2 2 2 2 4" xfId="0"/>
    <cellStyle name="Normal 6 2 2 2 2 2 2 2 2 3" xfId="0"/>
    <cellStyle name="Normal 6 2 2 2 2 2 2 2 2 3 2" xfId="0"/>
    <cellStyle name="Normal 6 2 2 2 2 2 2 2 2 3 2 2" xfId="0"/>
    <cellStyle name="Normal 6 2 2 2 2 2 2 2 2 3 3" xfId="0"/>
    <cellStyle name="Normal 6 2 2 2 2 2 2 2 2 4" xfId="0"/>
    <cellStyle name="Normal 6 2 2 2 2 2 2 2 2 4 2" xfId="0"/>
    <cellStyle name="Normal 6 2 2 2 2 2 2 2 2 5" xfId="0"/>
    <cellStyle name="Normal 6 2 2 2 2 2 2 2 3" xfId="0"/>
    <cellStyle name="Normal 6 2 2 2 2 2 2 2 3 2" xfId="0"/>
    <cellStyle name="Normal 6 2 2 2 2 2 2 2 3 2 2" xfId="0"/>
    <cellStyle name="Normal 6 2 2 2 2 2 2 2 3 2 2 2" xfId="0"/>
    <cellStyle name="Normal 6 2 2 2 2 2 2 2 3 2 3" xfId="0"/>
    <cellStyle name="Normal 6 2 2 2 2 2 2 2 3 3" xfId="0"/>
    <cellStyle name="Normal 6 2 2 2 2 2 2 2 3 3 2" xfId="0"/>
    <cellStyle name="Normal 6 2 2 2 2 2 2 2 3 4" xfId="0"/>
    <cellStyle name="Normal 6 2 2 2 2 2 2 2 4" xfId="0"/>
    <cellStyle name="Normal 6 2 2 2 2 2 2 2 4 2" xfId="0"/>
    <cellStyle name="Normal 6 2 2 2 2 2 2 2 4 2 2" xfId="0"/>
    <cellStyle name="Normal 6 2 2 2 2 2 2 2 4 3" xfId="0"/>
    <cellStyle name="Normal 6 2 2 2 2 2 2 2 5" xfId="0"/>
    <cellStyle name="Normal 6 2 2 2 2 2 2 2 5 2" xfId="0"/>
    <cellStyle name="Normal 6 2 2 2 2 2 2 2 6" xfId="0"/>
    <cellStyle name="Normal 6 2 2 2 2 2 2 3" xfId="0"/>
    <cellStyle name="Normal 6 2 2 2 2 2 2 3 2" xfId="0"/>
    <cellStyle name="Normal 6 2 2 2 2 2 2 3 2 2" xfId="0"/>
    <cellStyle name="Normal 6 2 2 2 2 2 2 3 2 2 2" xfId="0"/>
    <cellStyle name="Normal 6 2 2 2 2 2 2 3 2 2 2 2" xfId="0"/>
    <cellStyle name="Normal 6 2 2 2 2 2 2 3 2 2 3" xfId="0"/>
    <cellStyle name="Normal 6 2 2 2 2 2 2 3 2 3" xfId="0"/>
    <cellStyle name="Normal 6 2 2 2 2 2 2 3 2 3 2" xfId="0"/>
    <cellStyle name="Normal 6 2 2 2 2 2 2 3 2 4" xfId="0"/>
    <cellStyle name="Normal 6 2 2 2 2 2 2 3 3" xfId="0"/>
    <cellStyle name="Normal 6 2 2 2 2 2 2 3 3 2" xfId="0"/>
    <cellStyle name="Normal 6 2 2 2 2 2 2 3 3 2 2" xfId="0"/>
    <cellStyle name="Normal 6 2 2 2 2 2 2 3 3 3" xfId="0"/>
    <cellStyle name="Normal 6 2 2 2 2 2 2 3 4" xfId="0"/>
    <cellStyle name="Normal 6 2 2 2 2 2 2 3 4 2" xfId="0"/>
    <cellStyle name="Normal 6 2 2 2 2 2 2 3 5" xfId="0"/>
    <cellStyle name="Normal 6 2 2 2 2 2 2 4" xfId="0"/>
    <cellStyle name="Normal 6 2 2 2 2 2 2 4 2" xfId="0"/>
    <cellStyle name="Normal 6 2 2 2 2 2 2 4 2 2" xfId="0"/>
    <cellStyle name="Normal 6 2 2 2 2 2 2 4 2 2 2" xfId="0"/>
    <cellStyle name="Normal 6 2 2 2 2 2 2 4 2 3" xfId="0"/>
    <cellStyle name="Normal 6 2 2 2 2 2 2 4 3" xfId="0"/>
    <cellStyle name="Normal 6 2 2 2 2 2 2 4 3 2" xfId="0"/>
    <cellStyle name="Normal 6 2 2 2 2 2 2 4 4" xfId="0"/>
    <cellStyle name="Normal 6 2 2 2 2 2 2 5" xfId="0"/>
    <cellStyle name="Normal 6 2 2 2 2 2 2 5 2" xfId="0"/>
    <cellStyle name="Normal 6 2 2 2 2 2 2 5 2 2" xfId="0"/>
    <cellStyle name="Normal 6 2 2 2 2 2 2 5 3" xfId="0"/>
    <cellStyle name="Normal 6 2 2 2 2 2 2 6" xfId="0"/>
    <cellStyle name="Normal 6 2 2 2 2 2 2 6 2" xfId="0"/>
    <cellStyle name="Normal 6 2 2 2 2 2 2 7" xfId="0"/>
    <cellStyle name="Normal 6 2 2 2 2 2 3" xfId="0"/>
    <cellStyle name="Normal 6 2 2 2 2 2 3 2" xfId="0"/>
    <cellStyle name="Normal 6 2 2 2 2 2 3 2 2" xfId="0"/>
    <cellStyle name="Normal 6 2 2 2 2 2 3 2 2 2" xfId="0"/>
    <cellStyle name="Normal 6 2 2 2 2 2 3 2 2 2 2" xfId="0"/>
    <cellStyle name="Normal 6 2 2 2 2 2 3 2 2 2 2 2" xfId="0"/>
    <cellStyle name="Normal 6 2 2 2 2 2 3 2 2 2 3" xfId="0"/>
    <cellStyle name="Normal 6 2 2 2 2 2 3 2 2 3" xfId="0"/>
    <cellStyle name="Normal 6 2 2 2 2 2 3 2 2 3 2" xfId="0"/>
    <cellStyle name="Normal 6 2 2 2 2 2 3 2 2 4" xfId="0"/>
    <cellStyle name="Normal 6 2 2 2 2 2 3 2 3" xfId="0"/>
    <cellStyle name="Normal 6 2 2 2 2 2 3 2 3 2" xfId="0"/>
    <cellStyle name="Normal 6 2 2 2 2 2 3 2 3 2 2" xfId="0"/>
    <cellStyle name="Normal 6 2 2 2 2 2 3 2 3 3" xfId="0"/>
    <cellStyle name="Normal 6 2 2 2 2 2 3 2 4" xfId="0"/>
    <cellStyle name="Normal 6 2 2 2 2 2 3 2 4 2" xfId="0"/>
    <cellStyle name="Normal 6 2 2 2 2 2 3 2 5" xfId="0"/>
    <cellStyle name="Normal 6 2 2 2 2 2 3 3" xfId="0"/>
    <cellStyle name="Normal 6 2 2 2 2 2 3 3 2" xfId="0"/>
    <cellStyle name="Normal 6 2 2 2 2 2 3 3 2 2" xfId="0"/>
    <cellStyle name="Normal 6 2 2 2 2 2 3 3 2 2 2" xfId="0"/>
    <cellStyle name="Normal 6 2 2 2 2 2 3 3 2 3" xfId="0"/>
    <cellStyle name="Normal 6 2 2 2 2 2 3 3 3" xfId="0"/>
    <cellStyle name="Normal 6 2 2 2 2 2 3 3 3 2" xfId="0"/>
    <cellStyle name="Normal 6 2 2 2 2 2 3 3 4" xfId="0"/>
    <cellStyle name="Normal 6 2 2 2 2 2 3 4" xfId="0"/>
    <cellStyle name="Normal 6 2 2 2 2 2 3 4 2" xfId="0"/>
    <cellStyle name="Normal 6 2 2 2 2 2 3 4 2 2" xfId="0"/>
    <cellStyle name="Normal 6 2 2 2 2 2 3 4 3" xfId="0"/>
    <cellStyle name="Normal 6 2 2 2 2 2 3 5" xfId="0"/>
    <cellStyle name="Normal 6 2 2 2 2 2 3 5 2" xfId="0"/>
    <cellStyle name="Normal 6 2 2 2 2 2 3 6" xfId="0"/>
    <cellStyle name="Normal 6 2 2 2 2 2 4" xfId="0"/>
    <cellStyle name="Normal 6 2 2 2 2 2 4 2" xfId="0"/>
    <cellStyle name="Normal 6 2 2 2 2 2 4 2 2" xfId="0"/>
    <cellStyle name="Normal 6 2 2 2 2 2 4 2 2 2" xfId="0"/>
    <cellStyle name="Normal 6 2 2 2 2 2 4 2 2 2 2" xfId="0"/>
    <cellStyle name="Normal 6 2 2 2 2 2 4 2 2 3" xfId="0"/>
    <cellStyle name="Normal 6 2 2 2 2 2 4 2 3" xfId="0"/>
    <cellStyle name="Normal 6 2 2 2 2 2 4 2 3 2" xfId="0"/>
    <cellStyle name="Normal 6 2 2 2 2 2 4 2 4" xfId="0"/>
    <cellStyle name="Normal 6 2 2 2 2 2 4 3" xfId="0"/>
    <cellStyle name="Normal 6 2 2 2 2 2 4 3 2" xfId="0"/>
    <cellStyle name="Normal 6 2 2 2 2 2 4 3 2 2" xfId="0"/>
    <cellStyle name="Normal 6 2 2 2 2 2 4 3 3" xfId="0"/>
    <cellStyle name="Normal 6 2 2 2 2 2 4 4" xfId="0"/>
    <cellStyle name="Normal 6 2 2 2 2 2 4 4 2" xfId="0"/>
    <cellStyle name="Normal 6 2 2 2 2 2 4 5" xfId="0"/>
    <cellStyle name="Normal 6 2 2 2 2 2 5" xfId="0"/>
    <cellStyle name="Normal 6 2 2 2 2 2 5 2" xfId="0"/>
    <cellStyle name="Normal 6 2 2 2 2 2 5 2 2" xfId="0"/>
    <cellStyle name="Normal 6 2 2 2 2 2 5 2 2 2" xfId="0"/>
    <cellStyle name="Normal 6 2 2 2 2 2 5 2 3" xfId="0"/>
    <cellStyle name="Normal 6 2 2 2 2 2 5 3" xfId="0"/>
    <cellStyle name="Normal 6 2 2 2 2 2 5 3 2" xfId="0"/>
    <cellStyle name="Normal 6 2 2 2 2 2 5 4" xfId="0"/>
    <cellStyle name="Normal 6 2 2 2 2 2 6" xfId="0"/>
    <cellStyle name="Normal 6 2 2 2 2 2 6 2" xfId="0"/>
    <cellStyle name="Normal 6 2 2 2 2 2 6 2 2" xfId="0"/>
    <cellStyle name="Normal 6 2 2 2 2 2 6 3" xfId="0"/>
    <cellStyle name="Normal 6 2 2 2 2 2 7" xfId="0"/>
    <cellStyle name="Normal 6 2 2 2 2 2 7 2" xfId="0"/>
    <cellStyle name="Normal 6 2 2 2 2 2 8" xfId="0"/>
    <cellStyle name="Normal 6 2 2 2 2 3" xfId="0"/>
    <cellStyle name="Normal 6 2 2 2 2 3 2" xfId="0"/>
    <cellStyle name="Normal 6 2 2 2 2 3 2 2" xfId="0"/>
    <cellStyle name="Normal 6 2 2 2 2 3 2 2 2" xfId="0"/>
    <cellStyle name="Normal 6 2 2 2 2 3 2 2 2 2" xfId="0"/>
    <cellStyle name="Normal 6 2 2 2 2 3 2 2 2 2 2" xfId="0"/>
    <cellStyle name="Normal 6 2 2 2 2 3 2 2 2 2 2 2" xfId="0"/>
    <cellStyle name="Normal 6 2 2 2 2 3 2 2 2 2 2 2 2" xfId="0"/>
    <cellStyle name="Normal 6 2 2 2 2 3 2 2 2 2 2 3" xfId="0"/>
    <cellStyle name="Normal 6 2 2 2 2 3 2 2 2 2 3" xfId="0"/>
    <cellStyle name="Normal 6 2 2 2 2 3 2 2 2 2 3 2" xfId="0"/>
    <cellStyle name="Normal 6 2 2 2 2 3 2 2 2 2 4" xfId="0"/>
    <cellStyle name="Normal 6 2 2 2 2 3 2 2 2 3" xfId="0"/>
    <cellStyle name="Normal 6 2 2 2 2 3 2 2 2 3 2" xfId="0"/>
    <cellStyle name="Normal 6 2 2 2 2 3 2 2 2 3 2 2" xfId="0"/>
    <cellStyle name="Normal 6 2 2 2 2 3 2 2 2 3 3" xfId="0"/>
    <cellStyle name="Normal 6 2 2 2 2 3 2 2 2 4" xfId="0"/>
    <cellStyle name="Normal 6 2 2 2 2 3 2 2 2 4 2" xfId="0"/>
    <cellStyle name="Normal 6 2 2 2 2 3 2 2 2 5" xfId="0"/>
    <cellStyle name="Normal 6 2 2 2 2 3 2 2 3" xfId="0"/>
    <cellStyle name="Normal 6 2 2 2 2 3 2 2 3 2" xfId="0"/>
    <cellStyle name="Normal 6 2 2 2 2 3 2 2 3 2 2" xfId="0"/>
    <cellStyle name="Normal 6 2 2 2 2 3 2 2 3 2 2 2" xfId="0"/>
    <cellStyle name="Normal 6 2 2 2 2 3 2 2 3 2 3" xfId="0"/>
    <cellStyle name="Normal 6 2 2 2 2 3 2 2 3 3" xfId="0"/>
    <cellStyle name="Normal 6 2 2 2 2 3 2 2 3 3 2" xfId="0"/>
    <cellStyle name="Normal 6 2 2 2 2 3 2 2 3 4" xfId="0"/>
    <cellStyle name="Normal 6 2 2 2 2 3 2 2 4" xfId="0"/>
    <cellStyle name="Normal 6 2 2 2 2 3 2 2 4 2" xfId="0"/>
    <cellStyle name="Normal 6 2 2 2 2 3 2 2 4 2 2" xfId="0"/>
    <cellStyle name="Normal 6 2 2 2 2 3 2 2 4 3" xfId="0"/>
    <cellStyle name="Normal 6 2 2 2 2 3 2 2 5" xfId="0"/>
    <cellStyle name="Normal 6 2 2 2 2 3 2 2 5 2" xfId="0"/>
    <cellStyle name="Normal 6 2 2 2 2 3 2 2 6" xfId="0"/>
    <cellStyle name="Normal 6 2 2 2 2 3 2 3" xfId="0"/>
    <cellStyle name="Normal 6 2 2 2 2 3 2 3 2" xfId="0"/>
    <cellStyle name="Normal 6 2 2 2 2 3 2 3 2 2" xfId="0"/>
    <cellStyle name="Normal 6 2 2 2 2 3 2 3 2 2 2" xfId="0"/>
    <cellStyle name="Normal 6 2 2 2 2 3 2 3 2 2 2 2" xfId="0"/>
    <cellStyle name="Normal 6 2 2 2 2 3 2 3 2 2 3" xfId="0"/>
    <cellStyle name="Normal 6 2 2 2 2 3 2 3 2 3" xfId="0"/>
    <cellStyle name="Normal 6 2 2 2 2 3 2 3 2 3 2" xfId="0"/>
    <cellStyle name="Normal 6 2 2 2 2 3 2 3 2 4" xfId="0"/>
    <cellStyle name="Normal 6 2 2 2 2 3 2 3 3" xfId="0"/>
    <cellStyle name="Normal 6 2 2 2 2 3 2 3 3 2" xfId="0"/>
    <cellStyle name="Normal 6 2 2 2 2 3 2 3 3 2 2" xfId="0"/>
    <cellStyle name="Normal 6 2 2 2 2 3 2 3 3 3" xfId="0"/>
    <cellStyle name="Normal 6 2 2 2 2 3 2 3 4" xfId="0"/>
    <cellStyle name="Normal 6 2 2 2 2 3 2 3 4 2" xfId="0"/>
    <cellStyle name="Normal 6 2 2 2 2 3 2 3 5" xfId="0"/>
    <cellStyle name="Normal 6 2 2 2 2 3 2 4" xfId="0"/>
    <cellStyle name="Normal 6 2 2 2 2 3 2 4 2" xfId="0"/>
    <cellStyle name="Normal 6 2 2 2 2 3 2 4 2 2" xfId="0"/>
    <cellStyle name="Normal 6 2 2 2 2 3 2 4 2 2 2" xfId="0"/>
    <cellStyle name="Normal 6 2 2 2 2 3 2 4 2 3" xfId="0"/>
    <cellStyle name="Normal 6 2 2 2 2 3 2 4 3" xfId="0"/>
    <cellStyle name="Normal 6 2 2 2 2 3 2 4 3 2" xfId="0"/>
    <cellStyle name="Normal 6 2 2 2 2 3 2 4 4" xfId="0"/>
    <cellStyle name="Normal 6 2 2 2 2 3 2 5" xfId="0"/>
    <cellStyle name="Normal 6 2 2 2 2 3 2 5 2" xfId="0"/>
    <cellStyle name="Normal 6 2 2 2 2 3 2 5 2 2" xfId="0"/>
    <cellStyle name="Normal 6 2 2 2 2 3 2 5 3" xfId="0"/>
    <cellStyle name="Normal 6 2 2 2 2 3 2 6" xfId="0"/>
    <cellStyle name="Normal 6 2 2 2 2 3 2 6 2" xfId="0"/>
    <cellStyle name="Normal 6 2 2 2 2 3 2 7" xfId="0"/>
    <cellStyle name="Normal 6 2 2 2 2 3 3" xfId="0"/>
    <cellStyle name="Normal 6 2 2 2 2 3 3 2" xfId="0"/>
    <cellStyle name="Normal 6 2 2 2 2 3 3 2 2" xfId="0"/>
    <cellStyle name="Normal 6 2 2 2 2 3 3 2 2 2" xfId="0"/>
    <cellStyle name="Normal 6 2 2 2 2 3 3 2 2 2 2" xfId="0"/>
    <cellStyle name="Normal 6 2 2 2 2 3 3 2 2 2 2 2" xfId="0"/>
    <cellStyle name="Normal 6 2 2 2 2 3 3 2 2 2 3" xfId="0"/>
    <cellStyle name="Normal 6 2 2 2 2 3 3 2 2 3" xfId="0"/>
    <cellStyle name="Normal 6 2 2 2 2 3 3 2 2 3 2" xfId="0"/>
    <cellStyle name="Normal 6 2 2 2 2 3 3 2 2 4" xfId="0"/>
    <cellStyle name="Normal 6 2 2 2 2 3 3 2 3" xfId="0"/>
    <cellStyle name="Normal 6 2 2 2 2 3 3 2 3 2" xfId="0"/>
    <cellStyle name="Normal 6 2 2 2 2 3 3 2 3 2 2" xfId="0"/>
    <cellStyle name="Normal 6 2 2 2 2 3 3 2 3 3" xfId="0"/>
    <cellStyle name="Normal 6 2 2 2 2 3 3 2 4" xfId="0"/>
    <cellStyle name="Normal 6 2 2 2 2 3 3 2 4 2" xfId="0"/>
    <cellStyle name="Normal 6 2 2 2 2 3 3 2 5" xfId="0"/>
    <cellStyle name="Normal 6 2 2 2 2 3 3 3" xfId="0"/>
    <cellStyle name="Normal 6 2 2 2 2 3 3 3 2" xfId="0"/>
    <cellStyle name="Normal 6 2 2 2 2 3 3 3 2 2" xfId="0"/>
    <cellStyle name="Normal 6 2 2 2 2 3 3 3 2 2 2" xfId="0"/>
    <cellStyle name="Normal 6 2 2 2 2 3 3 3 2 3" xfId="0"/>
    <cellStyle name="Normal 6 2 2 2 2 3 3 3 3" xfId="0"/>
    <cellStyle name="Normal 6 2 2 2 2 3 3 3 3 2" xfId="0"/>
    <cellStyle name="Normal 6 2 2 2 2 3 3 3 4" xfId="0"/>
    <cellStyle name="Normal 6 2 2 2 2 3 3 4" xfId="0"/>
    <cellStyle name="Normal 6 2 2 2 2 3 3 4 2" xfId="0"/>
    <cellStyle name="Normal 6 2 2 2 2 3 3 4 2 2" xfId="0"/>
    <cellStyle name="Normal 6 2 2 2 2 3 3 4 3" xfId="0"/>
    <cellStyle name="Normal 6 2 2 2 2 3 3 5" xfId="0"/>
    <cellStyle name="Normal 6 2 2 2 2 3 3 5 2" xfId="0"/>
    <cellStyle name="Normal 6 2 2 2 2 3 3 6" xfId="0"/>
    <cellStyle name="Normal 6 2 2 2 2 3 4" xfId="0"/>
    <cellStyle name="Normal 6 2 2 2 2 3 4 2" xfId="0"/>
    <cellStyle name="Normal 6 2 2 2 2 3 4 2 2" xfId="0"/>
    <cellStyle name="Normal 6 2 2 2 2 3 4 2 2 2" xfId="0"/>
    <cellStyle name="Normal 6 2 2 2 2 3 4 2 2 2 2" xfId="0"/>
    <cellStyle name="Normal 6 2 2 2 2 3 4 2 2 3" xfId="0"/>
    <cellStyle name="Normal 6 2 2 2 2 3 4 2 3" xfId="0"/>
    <cellStyle name="Normal 6 2 2 2 2 3 4 2 3 2" xfId="0"/>
    <cellStyle name="Normal 6 2 2 2 2 3 4 2 4" xfId="0"/>
    <cellStyle name="Normal 6 2 2 2 2 3 4 3" xfId="0"/>
    <cellStyle name="Normal 6 2 2 2 2 3 4 3 2" xfId="0"/>
    <cellStyle name="Normal 6 2 2 2 2 3 4 3 2 2" xfId="0"/>
    <cellStyle name="Normal 6 2 2 2 2 3 4 3 3" xfId="0"/>
    <cellStyle name="Normal 6 2 2 2 2 3 4 4" xfId="0"/>
    <cellStyle name="Normal 6 2 2 2 2 3 4 4 2" xfId="0"/>
    <cellStyle name="Normal 6 2 2 2 2 3 4 5" xfId="0"/>
    <cellStyle name="Normal 6 2 2 2 2 3 5" xfId="0"/>
    <cellStyle name="Normal 6 2 2 2 2 3 5 2" xfId="0"/>
    <cellStyle name="Normal 6 2 2 2 2 3 5 2 2" xfId="0"/>
    <cellStyle name="Normal 6 2 2 2 2 3 5 2 2 2" xfId="0"/>
    <cellStyle name="Normal 6 2 2 2 2 3 5 2 3" xfId="0"/>
    <cellStyle name="Normal 6 2 2 2 2 3 5 3" xfId="0"/>
    <cellStyle name="Normal 6 2 2 2 2 3 5 3 2" xfId="0"/>
    <cellStyle name="Normal 6 2 2 2 2 3 5 4" xfId="0"/>
    <cellStyle name="Normal 6 2 2 2 2 3 6" xfId="0"/>
    <cellStyle name="Normal 6 2 2 2 2 3 6 2" xfId="0"/>
    <cellStyle name="Normal 6 2 2 2 2 3 6 2 2" xfId="0"/>
    <cellStyle name="Normal 6 2 2 2 2 3 6 3" xfId="0"/>
    <cellStyle name="Normal 6 2 2 2 2 3 7" xfId="0"/>
    <cellStyle name="Normal 6 2 2 2 2 3 7 2" xfId="0"/>
    <cellStyle name="Normal 6 2 2 2 2 3 8" xfId="0"/>
    <cellStyle name="Normal 6 2 2 2 2 4" xfId="0"/>
    <cellStyle name="Normal 6 2 2 2 2 4 2" xfId="0"/>
    <cellStyle name="Normal 6 2 2 2 2 4 2 2" xfId="0"/>
    <cellStyle name="Normal 6 2 2 2 2 4 2 2 2" xfId="0"/>
    <cellStyle name="Normal 6 2 2 2 2 4 2 2 2 2" xfId="0"/>
    <cellStyle name="Normal 6 2 2 2 2 4 2 2 2 2 2" xfId="0"/>
    <cellStyle name="Normal 6 2 2 2 2 4 2 2 2 2 2 2" xfId="0"/>
    <cellStyle name="Normal 6 2 2 2 2 4 2 2 2 2 3" xfId="0"/>
    <cellStyle name="Normal 6 2 2 2 2 4 2 2 2 3" xfId="0"/>
    <cellStyle name="Normal 6 2 2 2 2 4 2 2 2 3 2" xfId="0"/>
    <cellStyle name="Normal 6 2 2 2 2 4 2 2 2 4" xfId="0"/>
    <cellStyle name="Normal 6 2 2 2 2 4 2 2 3" xfId="0"/>
    <cellStyle name="Normal 6 2 2 2 2 4 2 2 3 2" xfId="0"/>
    <cellStyle name="Normal 6 2 2 2 2 4 2 2 3 2 2" xfId="0"/>
    <cellStyle name="Normal 6 2 2 2 2 4 2 2 3 3" xfId="0"/>
    <cellStyle name="Normal 6 2 2 2 2 4 2 2 4" xfId="0"/>
    <cellStyle name="Normal 6 2 2 2 2 4 2 2 4 2" xfId="0"/>
    <cellStyle name="Normal 6 2 2 2 2 4 2 2 5" xfId="0"/>
    <cellStyle name="Normal 6 2 2 2 2 4 2 3" xfId="0"/>
    <cellStyle name="Normal 6 2 2 2 2 4 2 3 2" xfId="0"/>
    <cellStyle name="Normal 6 2 2 2 2 4 2 3 2 2" xfId="0"/>
    <cellStyle name="Normal 6 2 2 2 2 4 2 3 2 2 2" xfId="0"/>
    <cellStyle name="Normal 6 2 2 2 2 4 2 3 2 3" xfId="0"/>
    <cellStyle name="Normal 6 2 2 2 2 4 2 3 3" xfId="0"/>
    <cellStyle name="Normal 6 2 2 2 2 4 2 3 3 2" xfId="0"/>
    <cellStyle name="Normal 6 2 2 2 2 4 2 3 4" xfId="0"/>
    <cellStyle name="Normal 6 2 2 2 2 4 2 4" xfId="0"/>
    <cellStyle name="Normal 6 2 2 2 2 4 2 4 2" xfId="0"/>
    <cellStyle name="Normal 6 2 2 2 2 4 2 4 2 2" xfId="0"/>
    <cellStyle name="Normal 6 2 2 2 2 4 2 4 3" xfId="0"/>
    <cellStyle name="Normal 6 2 2 2 2 4 2 5" xfId="0"/>
    <cellStyle name="Normal 6 2 2 2 2 4 2 5 2" xfId="0"/>
    <cellStyle name="Normal 6 2 2 2 2 4 2 6" xfId="0"/>
    <cellStyle name="Normal 6 2 2 2 2 4 3" xfId="0"/>
    <cellStyle name="Normal 6 2 2 2 2 4 3 2" xfId="0"/>
    <cellStyle name="Normal 6 2 2 2 2 4 3 2 2" xfId="0"/>
    <cellStyle name="Normal 6 2 2 2 2 4 3 2 2 2" xfId="0"/>
    <cellStyle name="Normal 6 2 2 2 2 4 3 2 2 2 2" xfId="0"/>
    <cellStyle name="Normal 6 2 2 2 2 4 3 2 2 3" xfId="0"/>
    <cellStyle name="Normal 6 2 2 2 2 4 3 2 3" xfId="0"/>
    <cellStyle name="Normal 6 2 2 2 2 4 3 2 3 2" xfId="0"/>
    <cellStyle name="Normal 6 2 2 2 2 4 3 2 4" xfId="0"/>
    <cellStyle name="Normal 6 2 2 2 2 4 3 3" xfId="0"/>
    <cellStyle name="Normal 6 2 2 2 2 4 3 3 2" xfId="0"/>
    <cellStyle name="Normal 6 2 2 2 2 4 3 3 2 2" xfId="0"/>
    <cellStyle name="Normal 6 2 2 2 2 4 3 3 3" xfId="0"/>
    <cellStyle name="Normal 6 2 2 2 2 4 3 4" xfId="0"/>
    <cellStyle name="Normal 6 2 2 2 2 4 3 4 2" xfId="0"/>
    <cellStyle name="Normal 6 2 2 2 2 4 3 5" xfId="0"/>
    <cellStyle name="Normal 6 2 2 2 2 4 4" xfId="0"/>
    <cellStyle name="Normal 6 2 2 2 2 4 4 2" xfId="0"/>
    <cellStyle name="Normal 6 2 2 2 2 4 4 2 2" xfId="0"/>
    <cellStyle name="Normal 6 2 2 2 2 4 4 2 2 2" xfId="0"/>
    <cellStyle name="Normal 6 2 2 2 2 4 4 2 3" xfId="0"/>
    <cellStyle name="Normal 6 2 2 2 2 4 4 3" xfId="0"/>
    <cellStyle name="Normal 6 2 2 2 2 4 4 3 2" xfId="0"/>
    <cellStyle name="Normal 6 2 2 2 2 4 4 4" xfId="0"/>
    <cellStyle name="Normal 6 2 2 2 2 4 5" xfId="0"/>
    <cellStyle name="Normal 6 2 2 2 2 4 5 2" xfId="0"/>
    <cellStyle name="Normal 6 2 2 2 2 4 5 2 2" xfId="0"/>
    <cellStyle name="Normal 6 2 2 2 2 4 5 3" xfId="0"/>
    <cellStyle name="Normal 6 2 2 2 2 4 6" xfId="0"/>
    <cellStyle name="Normal 6 2 2 2 2 4 6 2" xfId="0"/>
    <cellStyle name="Normal 6 2 2 2 2 4 7" xfId="0"/>
    <cellStyle name="Normal 6 2 2 2 2 5" xfId="0"/>
    <cellStyle name="Normal 6 2 2 2 2 5 2" xfId="0"/>
    <cellStyle name="Normal 6 2 2 2 2 5 2 2" xfId="0"/>
    <cellStyle name="Normal 6 2 2 2 2 5 2 2 2" xfId="0"/>
    <cellStyle name="Normal 6 2 2 2 2 5 2 2 2 2" xfId="0"/>
    <cellStyle name="Normal 6 2 2 2 2 5 2 2 2 2 2" xfId="0"/>
    <cellStyle name="Normal 6 2 2 2 2 5 2 2 2 2 2 2" xfId="0"/>
    <cellStyle name="Normal 6 2 2 2 2 5 2 2 2 2 3" xfId="0"/>
    <cellStyle name="Normal 6 2 2 2 2 5 2 2 2 3" xfId="0"/>
    <cellStyle name="Normal 6 2 2 2 2 5 2 2 2 3 2" xfId="0"/>
    <cellStyle name="Normal 6 2 2 2 2 5 2 2 2 4" xfId="0"/>
    <cellStyle name="Normal 6 2 2 2 2 5 2 2 3" xfId="0"/>
    <cellStyle name="Normal 6 2 2 2 2 5 2 2 3 2" xfId="0"/>
    <cellStyle name="Normal 6 2 2 2 2 5 2 2 3 2 2" xfId="0"/>
    <cellStyle name="Normal 6 2 2 2 2 5 2 2 3 3" xfId="0"/>
    <cellStyle name="Normal 6 2 2 2 2 5 2 2 4" xfId="0"/>
    <cellStyle name="Normal 6 2 2 2 2 5 2 2 4 2" xfId="0"/>
    <cellStyle name="Normal 6 2 2 2 2 5 2 2 5" xfId="0"/>
    <cellStyle name="Normal 6 2 2 2 2 5 2 3" xfId="0"/>
    <cellStyle name="Normal 6 2 2 2 2 5 2 3 2" xfId="0"/>
    <cellStyle name="Normal 6 2 2 2 2 5 2 3 2 2" xfId="0"/>
    <cellStyle name="Normal 6 2 2 2 2 5 2 3 2 2 2" xfId="0"/>
    <cellStyle name="Normal 6 2 2 2 2 5 2 3 2 3" xfId="0"/>
    <cellStyle name="Normal 6 2 2 2 2 5 2 3 3" xfId="0"/>
    <cellStyle name="Normal 6 2 2 2 2 5 2 3 3 2" xfId="0"/>
    <cellStyle name="Normal 6 2 2 2 2 5 2 3 4" xfId="0"/>
    <cellStyle name="Normal 6 2 2 2 2 5 2 4" xfId="0"/>
    <cellStyle name="Normal 6 2 2 2 2 5 2 4 2" xfId="0"/>
    <cellStyle name="Normal 6 2 2 2 2 5 2 4 2 2" xfId="0"/>
    <cellStyle name="Normal 6 2 2 2 2 5 2 4 3" xfId="0"/>
    <cellStyle name="Normal 6 2 2 2 2 5 2 5" xfId="0"/>
    <cellStyle name="Normal 6 2 2 2 2 5 2 5 2" xfId="0"/>
    <cellStyle name="Normal 6 2 2 2 2 5 2 6" xfId="0"/>
    <cellStyle name="Normal 6 2 2 2 2 5 3" xfId="0"/>
    <cellStyle name="Normal 6 2 2 2 2 5 3 2" xfId="0"/>
    <cellStyle name="Normal 6 2 2 2 2 5 3 2 2" xfId="0"/>
    <cellStyle name="Normal 6 2 2 2 2 5 3 2 2 2" xfId="0"/>
    <cellStyle name="Normal 6 2 2 2 2 5 3 2 2 2 2" xfId="0"/>
    <cellStyle name="Normal 6 2 2 2 2 5 3 2 2 3" xfId="0"/>
    <cellStyle name="Normal 6 2 2 2 2 5 3 2 3" xfId="0"/>
    <cellStyle name="Normal 6 2 2 2 2 5 3 2 3 2" xfId="0"/>
    <cellStyle name="Normal 6 2 2 2 2 5 3 2 4" xfId="0"/>
    <cellStyle name="Normal 6 2 2 2 2 5 3 3" xfId="0"/>
    <cellStyle name="Normal 6 2 2 2 2 5 3 3 2" xfId="0"/>
    <cellStyle name="Normal 6 2 2 2 2 5 3 3 2 2" xfId="0"/>
    <cellStyle name="Normal 6 2 2 2 2 5 3 3 3" xfId="0"/>
    <cellStyle name="Normal 6 2 2 2 2 5 3 4" xfId="0"/>
    <cellStyle name="Normal 6 2 2 2 2 5 3 4 2" xfId="0"/>
    <cellStyle name="Normal 6 2 2 2 2 5 3 5" xfId="0"/>
    <cellStyle name="Normal 6 2 2 2 2 5 4" xfId="0"/>
    <cellStyle name="Normal 6 2 2 2 2 5 4 2" xfId="0"/>
    <cellStyle name="Normal 6 2 2 2 2 5 4 2 2" xfId="0"/>
    <cellStyle name="Normal 6 2 2 2 2 5 4 2 2 2" xfId="0"/>
    <cellStyle name="Normal 6 2 2 2 2 5 4 2 3" xfId="0"/>
    <cellStyle name="Normal 6 2 2 2 2 5 4 3" xfId="0"/>
    <cellStyle name="Normal 6 2 2 2 2 5 4 3 2" xfId="0"/>
    <cellStyle name="Normal 6 2 2 2 2 5 4 4" xfId="0"/>
    <cellStyle name="Normal 6 2 2 2 2 5 5" xfId="0"/>
    <cellStyle name="Normal 6 2 2 2 2 5 5 2" xfId="0"/>
    <cellStyle name="Normal 6 2 2 2 2 5 5 2 2" xfId="0"/>
    <cellStyle name="Normal 6 2 2 2 2 5 5 3" xfId="0"/>
    <cellStyle name="Normal 6 2 2 2 2 5 6" xfId="0"/>
    <cellStyle name="Normal 6 2 2 2 2 5 6 2" xfId="0"/>
    <cellStyle name="Normal 6 2 2 2 2 5 7" xfId="0"/>
    <cellStyle name="Normal 6 2 2 2 2 6" xfId="0"/>
    <cellStyle name="Normal 6 2 2 2 2 6 2" xfId="0"/>
    <cellStyle name="Normal 6 2 2 2 2 6 2 2" xfId="0"/>
    <cellStyle name="Normal 6 2 2 2 2 6 2 2 2" xfId="0"/>
    <cellStyle name="Normal 6 2 2 2 2 6 2 2 2 2" xfId="0"/>
    <cellStyle name="Normal 6 2 2 2 2 6 2 2 2 2 2" xfId="0"/>
    <cellStyle name="Normal 6 2 2 2 2 6 2 2 2 3" xfId="0"/>
    <cellStyle name="Normal 6 2 2 2 2 6 2 2 3" xfId="0"/>
    <cellStyle name="Normal 6 2 2 2 2 6 2 2 3 2" xfId="0"/>
    <cellStyle name="Normal 6 2 2 2 2 6 2 2 4" xfId="0"/>
    <cellStyle name="Normal 6 2 2 2 2 6 2 3" xfId="0"/>
    <cellStyle name="Normal 6 2 2 2 2 6 2 3 2" xfId="0"/>
    <cellStyle name="Normal 6 2 2 2 2 6 2 3 2 2" xfId="0"/>
    <cellStyle name="Normal 6 2 2 2 2 6 2 3 3" xfId="0"/>
    <cellStyle name="Normal 6 2 2 2 2 6 2 4" xfId="0"/>
    <cellStyle name="Normal 6 2 2 2 2 6 2 4 2" xfId="0"/>
    <cellStyle name="Normal 6 2 2 2 2 6 2 5" xfId="0"/>
    <cellStyle name="Normal 6 2 2 2 2 6 3" xfId="0"/>
    <cellStyle name="Normal 6 2 2 2 2 6 3 2" xfId="0"/>
    <cellStyle name="Normal 6 2 2 2 2 6 3 2 2" xfId="0"/>
    <cellStyle name="Normal 6 2 2 2 2 6 3 2 2 2" xfId="0"/>
    <cellStyle name="Normal 6 2 2 2 2 6 3 2 3" xfId="0"/>
    <cellStyle name="Normal 6 2 2 2 2 6 3 3" xfId="0"/>
    <cellStyle name="Normal 6 2 2 2 2 6 3 3 2" xfId="0"/>
    <cellStyle name="Normal 6 2 2 2 2 6 3 4" xfId="0"/>
    <cellStyle name="Normal 6 2 2 2 2 6 4" xfId="0"/>
    <cellStyle name="Normal 6 2 2 2 2 6 4 2" xfId="0"/>
    <cellStyle name="Normal 6 2 2 2 2 6 4 2 2" xfId="0"/>
    <cellStyle name="Normal 6 2 2 2 2 6 4 3" xfId="0"/>
    <cellStyle name="Normal 6 2 2 2 2 6 5" xfId="0"/>
    <cellStyle name="Normal 6 2 2 2 2 6 5 2" xfId="0"/>
    <cellStyle name="Normal 6 2 2 2 2 6 6" xfId="0"/>
    <cellStyle name="Normal 6 2 2 2 2 7" xfId="0"/>
    <cellStyle name="Normal 6 2 2 2 2 7 2" xfId="0"/>
    <cellStyle name="Normal 6 2 2 2 2 7 2 2" xfId="0"/>
    <cellStyle name="Normal 6 2 2 2 2 7 2 2 2" xfId="0"/>
    <cellStyle name="Normal 6 2 2 2 2 7 2 2 2 2" xfId="0"/>
    <cellStyle name="Normal 6 2 2 2 2 7 2 2 3" xfId="0"/>
    <cellStyle name="Normal 6 2 2 2 2 7 2 3" xfId="0"/>
    <cellStyle name="Normal 6 2 2 2 2 7 2 3 2" xfId="0"/>
    <cellStyle name="Normal 6 2 2 2 2 7 2 4" xfId="0"/>
    <cellStyle name="Normal 6 2 2 2 2 7 3" xfId="0"/>
    <cellStyle name="Normal 6 2 2 2 2 7 3 2" xfId="0"/>
    <cellStyle name="Normal 6 2 2 2 2 7 3 2 2" xfId="0"/>
    <cellStyle name="Normal 6 2 2 2 2 7 3 3" xfId="0"/>
    <cellStyle name="Normal 6 2 2 2 2 7 4" xfId="0"/>
    <cellStyle name="Normal 6 2 2 2 2 7 4 2" xfId="0"/>
    <cellStyle name="Normal 6 2 2 2 2 7 5" xfId="0"/>
    <cellStyle name="Normal 6 2 2 2 2 8" xfId="0"/>
    <cellStyle name="Normal 6 2 2 2 2 8 2" xfId="0"/>
    <cellStyle name="Normal 6 2 2 2 2 8 2 2" xfId="0"/>
    <cellStyle name="Normal 6 2 2 2 2 8 2 2 2" xfId="0"/>
    <cellStyle name="Normal 6 2 2 2 2 8 2 3" xfId="0"/>
    <cellStyle name="Normal 6 2 2 2 2 8 3" xfId="0"/>
    <cellStyle name="Normal 6 2 2 2 2 8 3 2" xfId="0"/>
    <cellStyle name="Normal 6 2 2 2 2 8 4" xfId="0"/>
    <cellStyle name="Normal 6 2 2 2 2 9" xfId="0"/>
    <cellStyle name="Normal 6 2 2 2 2 9 2" xfId="0"/>
    <cellStyle name="Normal 6 2 2 2 2 9 2 2" xfId="0"/>
    <cellStyle name="Normal 6 2 2 2 2 9 3" xfId="0"/>
    <cellStyle name="Normal 6 2 2 2 3" xfId="0"/>
    <cellStyle name="Normal 6 2 2 2 3 2" xfId="0"/>
    <cellStyle name="Normal 6 2 2 2 3 2 2" xfId="0"/>
    <cellStyle name="Normal 6 2 2 2 3 2 2 2" xfId="0"/>
    <cellStyle name="Normal 6 2 2 2 3 2 2 2 2" xfId="0"/>
    <cellStyle name="Normal 6 2 2 2 3 2 2 2 2 2" xfId="0"/>
    <cellStyle name="Normal 6 2 2 2 3 2 2 2 2 2 2" xfId="0"/>
    <cellStyle name="Normal 6 2 2 2 3 2 2 2 2 2 2 2" xfId="0"/>
    <cellStyle name="Normal 6 2 2 2 3 2 2 2 2 2 3" xfId="0"/>
    <cellStyle name="Normal 6 2 2 2 3 2 2 2 2 3" xfId="0"/>
    <cellStyle name="Normal 6 2 2 2 3 2 2 2 2 3 2" xfId="0"/>
    <cellStyle name="Normal 6 2 2 2 3 2 2 2 2 4" xfId="0"/>
    <cellStyle name="Normal 6 2 2 2 3 2 2 2 3" xfId="0"/>
    <cellStyle name="Normal 6 2 2 2 3 2 2 2 3 2" xfId="0"/>
    <cellStyle name="Normal 6 2 2 2 3 2 2 2 3 2 2" xfId="0"/>
    <cellStyle name="Normal 6 2 2 2 3 2 2 2 3 3" xfId="0"/>
    <cellStyle name="Normal 6 2 2 2 3 2 2 2 4" xfId="0"/>
    <cellStyle name="Normal 6 2 2 2 3 2 2 2 4 2" xfId="0"/>
    <cellStyle name="Normal 6 2 2 2 3 2 2 2 5" xfId="0"/>
    <cellStyle name="Normal 6 2 2 2 3 2 2 3" xfId="0"/>
    <cellStyle name="Normal 6 2 2 2 3 2 2 3 2" xfId="0"/>
    <cellStyle name="Normal 6 2 2 2 3 2 2 3 2 2" xfId="0"/>
    <cellStyle name="Normal 6 2 2 2 3 2 2 3 2 2 2" xfId="0"/>
    <cellStyle name="Normal 6 2 2 2 3 2 2 3 2 3" xfId="0"/>
    <cellStyle name="Normal 6 2 2 2 3 2 2 3 3" xfId="0"/>
    <cellStyle name="Normal 6 2 2 2 3 2 2 3 3 2" xfId="0"/>
    <cellStyle name="Normal 6 2 2 2 3 2 2 3 4" xfId="0"/>
    <cellStyle name="Normal 6 2 2 2 3 2 2 4" xfId="0"/>
    <cellStyle name="Normal 6 2 2 2 3 2 2 4 2" xfId="0"/>
    <cellStyle name="Normal 6 2 2 2 3 2 2 4 2 2" xfId="0"/>
    <cellStyle name="Normal 6 2 2 2 3 2 2 4 3" xfId="0"/>
    <cellStyle name="Normal 6 2 2 2 3 2 2 5" xfId="0"/>
    <cellStyle name="Normal 6 2 2 2 3 2 2 5 2" xfId="0"/>
    <cellStyle name="Normal 6 2 2 2 3 2 2 6" xfId="0"/>
    <cellStyle name="Normal 6 2 2 2 3 2 3" xfId="0"/>
    <cellStyle name="Normal 6 2 2 2 3 2 3 2" xfId="0"/>
    <cellStyle name="Normal 6 2 2 2 3 2 3 2 2" xfId="0"/>
    <cellStyle name="Normal 6 2 2 2 3 2 3 2 2 2" xfId="0"/>
    <cellStyle name="Normal 6 2 2 2 3 2 3 2 2 2 2" xfId="0"/>
    <cellStyle name="Normal 6 2 2 2 3 2 3 2 2 3" xfId="0"/>
    <cellStyle name="Normal 6 2 2 2 3 2 3 2 3" xfId="0"/>
    <cellStyle name="Normal 6 2 2 2 3 2 3 2 3 2" xfId="0"/>
    <cellStyle name="Normal 6 2 2 2 3 2 3 2 4" xfId="0"/>
    <cellStyle name="Normal 6 2 2 2 3 2 3 3" xfId="0"/>
    <cellStyle name="Normal 6 2 2 2 3 2 3 3 2" xfId="0"/>
    <cellStyle name="Normal 6 2 2 2 3 2 3 3 2 2" xfId="0"/>
    <cellStyle name="Normal 6 2 2 2 3 2 3 3 3" xfId="0"/>
    <cellStyle name="Normal 6 2 2 2 3 2 3 4" xfId="0"/>
    <cellStyle name="Normal 6 2 2 2 3 2 3 4 2" xfId="0"/>
    <cellStyle name="Normal 6 2 2 2 3 2 3 5" xfId="0"/>
    <cellStyle name="Normal 6 2 2 2 3 2 4" xfId="0"/>
    <cellStyle name="Normal 6 2 2 2 3 2 4 2" xfId="0"/>
    <cellStyle name="Normal 6 2 2 2 3 2 4 2 2" xfId="0"/>
    <cellStyle name="Normal 6 2 2 2 3 2 4 2 2 2" xfId="0"/>
    <cellStyle name="Normal 6 2 2 2 3 2 4 2 3" xfId="0"/>
    <cellStyle name="Normal 6 2 2 2 3 2 4 3" xfId="0"/>
    <cellStyle name="Normal 6 2 2 2 3 2 4 3 2" xfId="0"/>
    <cellStyle name="Normal 6 2 2 2 3 2 4 4" xfId="0"/>
    <cellStyle name="Normal 6 2 2 2 3 2 5" xfId="0"/>
    <cellStyle name="Normal 6 2 2 2 3 2 5 2" xfId="0"/>
    <cellStyle name="Normal 6 2 2 2 3 2 5 2 2" xfId="0"/>
    <cellStyle name="Normal 6 2 2 2 3 2 5 3" xfId="0"/>
    <cellStyle name="Normal 6 2 2 2 3 2 6" xfId="0"/>
    <cellStyle name="Normal 6 2 2 2 3 2 6 2" xfId="0"/>
    <cellStyle name="Normal 6 2 2 2 3 2 7" xfId="0"/>
    <cellStyle name="Normal 6 2 2 2 3 3" xfId="0"/>
    <cellStyle name="Normal 6 2 2 2 3 3 2" xfId="0"/>
    <cellStyle name="Normal 6 2 2 2 3 3 2 2" xfId="0"/>
    <cellStyle name="Normal 6 2 2 2 3 3 2 2 2" xfId="0"/>
    <cellStyle name="Normal 6 2 2 2 3 3 2 2 2 2" xfId="0"/>
    <cellStyle name="Normal 6 2 2 2 3 3 2 2 2 2 2" xfId="0"/>
    <cellStyle name="Normal 6 2 2 2 3 3 2 2 2 3" xfId="0"/>
    <cellStyle name="Normal 6 2 2 2 3 3 2 2 3" xfId="0"/>
    <cellStyle name="Normal 6 2 2 2 3 3 2 2 3 2" xfId="0"/>
    <cellStyle name="Normal 6 2 2 2 3 3 2 2 4" xfId="0"/>
    <cellStyle name="Normal 6 2 2 2 3 3 2 3" xfId="0"/>
    <cellStyle name="Normal 6 2 2 2 3 3 2 3 2" xfId="0"/>
    <cellStyle name="Normal 6 2 2 2 3 3 2 3 2 2" xfId="0"/>
    <cellStyle name="Normal 6 2 2 2 3 3 2 3 3" xfId="0"/>
    <cellStyle name="Normal 6 2 2 2 3 3 2 4" xfId="0"/>
    <cellStyle name="Normal 6 2 2 2 3 3 2 4 2" xfId="0"/>
    <cellStyle name="Normal 6 2 2 2 3 3 2 5" xfId="0"/>
    <cellStyle name="Normal 6 2 2 2 3 3 3" xfId="0"/>
    <cellStyle name="Normal 6 2 2 2 3 3 3 2" xfId="0"/>
    <cellStyle name="Normal 6 2 2 2 3 3 3 2 2" xfId="0"/>
    <cellStyle name="Normal 6 2 2 2 3 3 3 2 2 2" xfId="0"/>
    <cellStyle name="Normal 6 2 2 2 3 3 3 2 3" xfId="0"/>
    <cellStyle name="Normal 6 2 2 2 3 3 3 3" xfId="0"/>
    <cellStyle name="Normal 6 2 2 2 3 3 3 3 2" xfId="0"/>
    <cellStyle name="Normal 6 2 2 2 3 3 3 4" xfId="0"/>
    <cellStyle name="Normal 6 2 2 2 3 3 4" xfId="0"/>
    <cellStyle name="Normal 6 2 2 2 3 3 4 2" xfId="0"/>
    <cellStyle name="Normal 6 2 2 2 3 3 4 2 2" xfId="0"/>
    <cellStyle name="Normal 6 2 2 2 3 3 4 3" xfId="0"/>
    <cellStyle name="Normal 6 2 2 2 3 3 5" xfId="0"/>
    <cellStyle name="Normal 6 2 2 2 3 3 5 2" xfId="0"/>
    <cellStyle name="Normal 6 2 2 2 3 3 6" xfId="0"/>
    <cellStyle name="Normal 6 2 2 2 3 4" xfId="0"/>
    <cellStyle name="Normal 6 2 2 2 3 4 2" xfId="0"/>
    <cellStyle name="Normal 6 2 2 2 3 4 2 2" xfId="0"/>
    <cellStyle name="Normal 6 2 2 2 3 4 2 2 2" xfId="0"/>
    <cellStyle name="Normal 6 2 2 2 3 4 2 2 2 2" xfId="0"/>
    <cellStyle name="Normal 6 2 2 2 3 4 2 2 3" xfId="0"/>
    <cellStyle name="Normal 6 2 2 2 3 4 2 3" xfId="0"/>
    <cellStyle name="Normal 6 2 2 2 3 4 2 3 2" xfId="0"/>
    <cellStyle name="Normal 6 2 2 2 3 4 2 4" xfId="0"/>
    <cellStyle name="Normal 6 2 2 2 3 4 3" xfId="0"/>
    <cellStyle name="Normal 6 2 2 2 3 4 3 2" xfId="0"/>
    <cellStyle name="Normal 6 2 2 2 3 4 3 2 2" xfId="0"/>
    <cellStyle name="Normal 6 2 2 2 3 4 3 3" xfId="0"/>
    <cellStyle name="Normal 6 2 2 2 3 4 4" xfId="0"/>
    <cellStyle name="Normal 6 2 2 2 3 4 4 2" xfId="0"/>
    <cellStyle name="Normal 6 2 2 2 3 4 5" xfId="0"/>
    <cellStyle name="Normal 6 2 2 2 3 5" xfId="0"/>
    <cellStyle name="Normal 6 2 2 2 3 5 2" xfId="0"/>
    <cellStyle name="Normal 6 2 2 2 3 5 2 2" xfId="0"/>
    <cellStyle name="Normal 6 2 2 2 3 5 2 2 2" xfId="0"/>
    <cellStyle name="Normal 6 2 2 2 3 5 2 3" xfId="0"/>
    <cellStyle name="Normal 6 2 2 2 3 5 3" xfId="0"/>
    <cellStyle name="Normal 6 2 2 2 3 5 3 2" xfId="0"/>
    <cellStyle name="Normal 6 2 2 2 3 5 4" xfId="0"/>
    <cellStyle name="Normal 6 2 2 2 3 6" xfId="0"/>
    <cellStyle name="Normal 6 2 2 2 3 6 2" xfId="0"/>
    <cellStyle name="Normal 6 2 2 2 3 6 2 2" xfId="0"/>
    <cellStyle name="Normal 6 2 2 2 3 6 3" xfId="0"/>
    <cellStyle name="Normal 6 2 2 2 3 7" xfId="0"/>
    <cellStyle name="Normal 6 2 2 2 3 7 2" xfId="0"/>
    <cellStyle name="Normal 6 2 2 2 3 8" xfId="0"/>
    <cellStyle name="Normal 6 2 2 2 4" xfId="0"/>
    <cellStyle name="Normal 6 2 2 2 4 2" xfId="0"/>
    <cellStyle name="Normal 6 2 2 2 4 2 2" xfId="0"/>
    <cellStyle name="Normal 6 2 2 2 4 2 2 2" xfId="0"/>
    <cellStyle name="Normal 6 2 2 2 4 2 2 2 2" xfId="0"/>
    <cellStyle name="Normal 6 2 2 2 4 2 2 2 2 2" xfId="0"/>
    <cellStyle name="Normal 6 2 2 2 4 2 2 2 2 2 2" xfId="0"/>
    <cellStyle name="Normal 6 2 2 2 4 2 2 2 2 2 2 2" xfId="0"/>
    <cellStyle name="Normal 6 2 2 2 4 2 2 2 2 2 3" xfId="0"/>
    <cellStyle name="Normal 6 2 2 2 4 2 2 2 2 3" xfId="0"/>
    <cellStyle name="Normal 6 2 2 2 4 2 2 2 2 3 2" xfId="0"/>
    <cellStyle name="Normal 6 2 2 2 4 2 2 2 2 4" xfId="0"/>
    <cellStyle name="Normal 6 2 2 2 4 2 2 2 3" xfId="0"/>
    <cellStyle name="Normal 6 2 2 2 4 2 2 2 3 2" xfId="0"/>
    <cellStyle name="Normal 6 2 2 2 4 2 2 2 3 2 2" xfId="0"/>
    <cellStyle name="Normal 6 2 2 2 4 2 2 2 3 3" xfId="0"/>
    <cellStyle name="Normal 6 2 2 2 4 2 2 2 4" xfId="0"/>
    <cellStyle name="Normal 6 2 2 2 4 2 2 2 4 2" xfId="0"/>
    <cellStyle name="Normal 6 2 2 2 4 2 2 2 5" xfId="0"/>
    <cellStyle name="Normal 6 2 2 2 4 2 2 3" xfId="0"/>
    <cellStyle name="Normal 6 2 2 2 4 2 2 3 2" xfId="0"/>
    <cellStyle name="Normal 6 2 2 2 4 2 2 3 2 2" xfId="0"/>
    <cellStyle name="Normal 6 2 2 2 4 2 2 3 2 2 2" xfId="0"/>
    <cellStyle name="Normal 6 2 2 2 4 2 2 3 2 3" xfId="0"/>
    <cellStyle name="Normal 6 2 2 2 4 2 2 3 3" xfId="0"/>
    <cellStyle name="Normal 6 2 2 2 4 2 2 3 3 2" xfId="0"/>
    <cellStyle name="Normal 6 2 2 2 4 2 2 3 4" xfId="0"/>
    <cellStyle name="Normal 6 2 2 2 4 2 2 4" xfId="0"/>
    <cellStyle name="Normal 6 2 2 2 4 2 2 4 2" xfId="0"/>
    <cellStyle name="Normal 6 2 2 2 4 2 2 4 2 2" xfId="0"/>
    <cellStyle name="Normal 6 2 2 2 4 2 2 4 3" xfId="0"/>
    <cellStyle name="Normal 6 2 2 2 4 2 2 5" xfId="0"/>
    <cellStyle name="Normal 6 2 2 2 4 2 2 5 2" xfId="0"/>
    <cellStyle name="Normal 6 2 2 2 4 2 2 6" xfId="0"/>
    <cellStyle name="Normal 6 2 2 2 4 2 3" xfId="0"/>
    <cellStyle name="Normal 6 2 2 2 4 2 3 2" xfId="0"/>
    <cellStyle name="Normal 6 2 2 2 4 2 3 2 2" xfId="0"/>
    <cellStyle name="Normal 6 2 2 2 4 2 3 2 2 2" xfId="0"/>
    <cellStyle name="Normal 6 2 2 2 4 2 3 2 2 2 2" xfId="0"/>
    <cellStyle name="Normal 6 2 2 2 4 2 3 2 2 3" xfId="0"/>
    <cellStyle name="Normal 6 2 2 2 4 2 3 2 3" xfId="0"/>
    <cellStyle name="Normal 6 2 2 2 4 2 3 2 3 2" xfId="0"/>
    <cellStyle name="Normal 6 2 2 2 4 2 3 2 4" xfId="0"/>
    <cellStyle name="Normal 6 2 2 2 4 2 3 3" xfId="0"/>
    <cellStyle name="Normal 6 2 2 2 4 2 3 3 2" xfId="0"/>
    <cellStyle name="Normal 6 2 2 2 4 2 3 3 2 2" xfId="0"/>
    <cellStyle name="Normal 6 2 2 2 4 2 3 3 3" xfId="0"/>
    <cellStyle name="Normal 6 2 2 2 4 2 3 4" xfId="0"/>
    <cellStyle name="Normal 6 2 2 2 4 2 3 4 2" xfId="0"/>
    <cellStyle name="Normal 6 2 2 2 4 2 3 5" xfId="0"/>
    <cellStyle name="Normal 6 2 2 2 4 2 4" xfId="0"/>
    <cellStyle name="Normal 6 2 2 2 4 2 4 2" xfId="0"/>
    <cellStyle name="Normal 6 2 2 2 4 2 4 2 2" xfId="0"/>
    <cellStyle name="Normal 6 2 2 2 4 2 4 2 2 2" xfId="0"/>
    <cellStyle name="Normal 6 2 2 2 4 2 4 2 3" xfId="0"/>
    <cellStyle name="Normal 6 2 2 2 4 2 4 3" xfId="0"/>
    <cellStyle name="Normal 6 2 2 2 4 2 4 3 2" xfId="0"/>
    <cellStyle name="Normal 6 2 2 2 4 2 4 4" xfId="0"/>
    <cellStyle name="Normal 6 2 2 2 4 2 5" xfId="0"/>
    <cellStyle name="Normal 6 2 2 2 4 2 5 2" xfId="0"/>
    <cellStyle name="Normal 6 2 2 2 4 2 5 2 2" xfId="0"/>
    <cellStyle name="Normal 6 2 2 2 4 2 5 3" xfId="0"/>
    <cellStyle name="Normal 6 2 2 2 4 2 6" xfId="0"/>
    <cellStyle name="Normal 6 2 2 2 4 2 6 2" xfId="0"/>
    <cellStyle name="Normal 6 2 2 2 4 2 7" xfId="0"/>
    <cellStyle name="Normal 6 2 2 2 4 3" xfId="0"/>
    <cellStyle name="Normal 6 2 2 2 4 3 2" xfId="0"/>
    <cellStyle name="Normal 6 2 2 2 4 3 2 2" xfId="0"/>
    <cellStyle name="Normal 6 2 2 2 4 3 2 2 2" xfId="0"/>
    <cellStyle name="Normal 6 2 2 2 4 3 2 2 2 2" xfId="0"/>
    <cellStyle name="Normal 6 2 2 2 4 3 2 2 2 2 2" xfId="0"/>
    <cellStyle name="Normal 6 2 2 2 4 3 2 2 2 3" xfId="0"/>
    <cellStyle name="Normal 6 2 2 2 4 3 2 2 3" xfId="0"/>
    <cellStyle name="Normal 6 2 2 2 4 3 2 2 3 2" xfId="0"/>
    <cellStyle name="Normal 6 2 2 2 4 3 2 2 4" xfId="0"/>
    <cellStyle name="Normal 6 2 2 2 4 3 2 3" xfId="0"/>
    <cellStyle name="Normal 6 2 2 2 4 3 2 3 2" xfId="0"/>
    <cellStyle name="Normal 6 2 2 2 4 3 2 3 2 2" xfId="0"/>
    <cellStyle name="Normal 6 2 2 2 4 3 2 3 3" xfId="0"/>
    <cellStyle name="Normal 6 2 2 2 4 3 2 4" xfId="0"/>
    <cellStyle name="Normal 6 2 2 2 4 3 2 4 2" xfId="0"/>
    <cellStyle name="Normal 6 2 2 2 4 3 2 5" xfId="0"/>
    <cellStyle name="Normal 6 2 2 2 4 3 3" xfId="0"/>
    <cellStyle name="Normal 6 2 2 2 4 3 3 2" xfId="0"/>
    <cellStyle name="Normal 6 2 2 2 4 3 3 2 2" xfId="0"/>
    <cellStyle name="Normal 6 2 2 2 4 3 3 2 2 2" xfId="0"/>
    <cellStyle name="Normal 6 2 2 2 4 3 3 2 3" xfId="0"/>
    <cellStyle name="Normal 6 2 2 2 4 3 3 3" xfId="0"/>
    <cellStyle name="Normal 6 2 2 2 4 3 3 3 2" xfId="0"/>
    <cellStyle name="Normal 6 2 2 2 4 3 3 4" xfId="0"/>
    <cellStyle name="Normal 6 2 2 2 4 3 4" xfId="0"/>
    <cellStyle name="Normal 6 2 2 2 4 3 4 2" xfId="0"/>
    <cellStyle name="Normal 6 2 2 2 4 3 4 2 2" xfId="0"/>
    <cellStyle name="Normal 6 2 2 2 4 3 4 3" xfId="0"/>
    <cellStyle name="Normal 6 2 2 2 4 3 5" xfId="0"/>
    <cellStyle name="Normal 6 2 2 2 4 3 5 2" xfId="0"/>
    <cellStyle name="Normal 6 2 2 2 4 3 6" xfId="0"/>
    <cellStyle name="Normal 6 2 2 2 4 4" xfId="0"/>
    <cellStyle name="Normal 6 2 2 2 4 4 2" xfId="0"/>
    <cellStyle name="Normal 6 2 2 2 4 4 2 2" xfId="0"/>
    <cellStyle name="Normal 6 2 2 2 4 4 2 2 2" xfId="0"/>
    <cellStyle name="Normal 6 2 2 2 4 4 2 2 2 2" xfId="0"/>
    <cellStyle name="Normal 6 2 2 2 4 4 2 2 3" xfId="0"/>
    <cellStyle name="Normal 6 2 2 2 4 4 2 3" xfId="0"/>
    <cellStyle name="Normal 6 2 2 2 4 4 2 3 2" xfId="0"/>
    <cellStyle name="Normal 6 2 2 2 4 4 2 4" xfId="0"/>
    <cellStyle name="Normal 6 2 2 2 4 4 3" xfId="0"/>
    <cellStyle name="Normal 6 2 2 2 4 4 3 2" xfId="0"/>
    <cellStyle name="Normal 6 2 2 2 4 4 3 2 2" xfId="0"/>
    <cellStyle name="Normal 6 2 2 2 4 4 3 3" xfId="0"/>
    <cellStyle name="Normal 6 2 2 2 4 4 4" xfId="0"/>
    <cellStyle name="Normal 6 2 2 2 4 4 4 2" xfId="0"/>
    <cellStyle name="Normal 6 2 2 2 4 4 5" xfId="0"/>
    <cellStyle name="Normal 6 2 2 2 4 5" xfId="0"/>
    <cellStyle name="Normal 6 2 2 2 4 5 2" xfId="0"/>
    <cellStyle name="Normal 6 2 2 2 4 5 2 2" xfId="0"/>
    <cellStyle name="Normal 6 2 2 2 4 5 2 2 2" xfId="0"/>
    <cellStyle name="Normal 6 2 2 2 4 5 2 3" xfId="0"/>
    <cellStyle name="Normal 6 2 2 2 4 5 3" xfId="0"/>
    <cellStyle name="Normal 6 2 2 2 4 5 3 2" xfId="0"/>
    <cellStyle name="Normal 6 2 2 2 4 5 4" xfId="0"/>
    <cellStyle name="Normal 6 2 2 2 4 6" xfId="0"/>
    <cellStyle name="Normal 6 2 2 2 4 6 2" xfId="0"/>
    <cellStyle name="Normal 6 2 2 2 4 6 2 2" xfId="0"/>
    <cellStyle name="Normal 6 2 2 2 4 6 3" xfId="0"/>
    <cellStyle name="Normal 6 2 2 2 4 7" xfId="0"/>
    <cellStyle name="Normal 6 2 2 2 4 7 2" xfId="0"/>
    <cellStyle name="Normal 6 2 2 2 4 8" xfId="0"/>
    <cellStyle name="Normal 6 2 2 2 5" xfId="0"/>
    <cellStyle name="Normal 6 2 2 2 5 2" xfId="0"/>
    <cellStyle name="Normal 6 2 2 2 5 2 2" xfId="0"/>
    <cellStyle name="Normal 6 2 2 2 5 2 2 2" xfId="0"/>
    <cellStyle name="Normal 6 2 2 2 5 2 2 2 2" xfId="0"/>
    <cellStyle name="Normal 6 2 2 2 5 2 2 2 2 2" xfId="0"/>
    <cellStyle name="Normal 6 2 2 2 5 2 2 2 2 2 2" xfId="0"/>
    <cellStyle name="Normal 6 2 2 2 5 2 2 2 2 3" xfId="0"/>
    <cellStyle name="Normal 6 2 2 2 5 2 2 2 3" xfId="0"/>
    <cellStyle name="Normal 6 2 2 2 5 2 2 2 3 2" xfId="0"/>
    <cellStyle name="Normal 6 2 2 2 5 2 2 2 4" xfId="0"/>
    <cellStyle name="Normal 6 2 2 2 5 2 2 3" xfId="0"/>
    <cellStyle name="Normal 6 2 2 2 5 2 2 3 2" xfId="0"/>
    <cellStyle name="Normal 6 2 2 2 5 2 2 3 2 2" xfId="0"/>
    <cellStyle name="Normal 6 2 2 2 5 2 2 3 3" xfId="0"/>
    <cellStyle name="Normal 6 2 2 2 5 2 2 4" xfId="0"/>
    <cellStyle name="Normal 6 2 2 2 5 2 2 4 2" xfId="0"/>
    <cellStyle name="Normal 6 2 2 2 5 2 2 5" xfId="0"/>
    <cellStyle name="Normal 6 2 2 2 5 2 3" xfId="0"/>
    <cellStyle name="Normal 6 2 2 2 5 2 3 2" xfId="0"/>
    <cellStyle name="Normal 6 2 2 2 5 2 3 2 2" xfId="0"/>
    <cellStyle name="Normal 6 2 2 2 5 2 3 2 2 2" xfId="0"/>
    <cellStyle name="Normal 6 2 2 2 5 2 3 2 3" xfId="0"/>
    <cellStyle name="Normal 6 2 2 2 5 2 3 3" xfId="0"/>
    <cellStyle name="Normal 6 2 2 2 5 2 3 3 2" xfId="0"/>
    <cellStyle name="Normal 6 2 2 2 5 2 3 4" xfId="0"/>
    <cellStyle name="Normal 6 2 2 2 5 2 4" xfId="0"/>
    <cellStyle name="Normal 6 2 2 2 5 2 4 2" xfId="0"/>
    <cellStyle name="Normal 6 2 2 2 5 2 4 2 2" xfId="0"/>
    <cellStyle name="Normal 6 2 2 2 5 2 4 3" xfId="0"/>
    <cellStyle name="Normal 6 2 2 2 5 2 5" xfId="0"/>
    <cellStyle name="Normal 6 2 2 2 5 2 5 2" xfId="0"/>
    <cellStyle name="Normal 6 2 2 2 5 2 6" xfId="0"/>
    <cellStyle name="Normal 6 2 2 2 5 3" xfId="0"/>
    <cellStyle name="Normal 6 2 2 2 5 3 2" xfId="0"/>
    <cellStyle name="Normal 6 2 2 2 5 3 2 2" xfId="0"/>
    <cellStyle name="Normal 6 2 2 2 5 3 2 2 2" xfId="0"/>
    <cellStyle name="Normal 6 2 2 2 5 3 2 2 2 2" xfId="0"/>
    <cellStyle name="Normal 6 2 2 2 5 3 2 2 3" xfId="0"/>
    <cellStyle name="Normal 6 2 2 2 5 3 2 3" xfId="0"/>
    <cellStyle name="Normal 6 2 2 2 5 3 2 3 2" xfId="0"/>
    <cellStyle name="Normal 6 2 2 2 5 3 2 4" xfId="0"/>
    <cellStyle name="Normal 6 2 2 2 5 3 3" xfId="0"/>
    <cellStyle name="Normal 6 2 2 2 5 3 3 2" xfId="0"/>
    <cellStyle name="Normal 6 2 2 2 5 3 3 2 2" xfId="0"/>
    <cellStyle name="Normal 6 2 2 2 5 3 3 3" xfId="0"/>
    <cellStyle name="Normal 6 2 2 2 5 3 4" xfId="0"/>
    <cellStyle name="Normal 6 2 2 2 5 3 4 2" xfId="0"/>
    <cellStyle name="Normal 6 2 2 2 5 3 5" xfId="0"/>
    <cellStyle name="Normal 6 2 2 2 5 4" xfId="0"/>
    <cellStyle name="Normal 6 2 2 2 5 4 2" xfId="0"/>
    <cellStyle name="Normal 6 2 2 2 5 4 2 2" xfId="0"/>
    <cellStyle name="Normal 6 2 2 2 5 4 2 2 2" xfId="0"/>
    <cellStyle name="Normal 6 2 2 2 5 4 2 3" xfId="0"/>
    <cellStyle name="Normal 6 2 2 2 5 4 3" xfId="0"/>
    <cellStyle name="Normal 6 2 2 2 5 4 3 2" xfId="0"/>
    <cellStyle name="Normal 6 2 2 2 5 4 4" xfId="0"/>
    <cellStyle name="Normal 6 2 2 2 5 5" xfId="0"/>
    <cellStyle name="Normal 6 2 2 2 5 5 2" xfId="0"/>
    <cellStyle name="Normal 6 2 2 2 5 5 2 2" xfId="0"/>
    <cellStyle name="Normal 6 2 2 2 5 5 3" xfId="0"/>
    <cellStyle name="Normal 6 2 2 2 5 6" xfId="0"/>
    <cellStyle name="Normal 6 2 2 2 5 6 2" xfId="0"/>
    <cellStyle name="Normal 6 2 2 2 5 7" xfId="0"/>
    <cellStyle name="Normal 6 2 2 2 6" xfId="0"/>
    <cellStyle name="Normal 6 2 2 2 6 2" xfId="0"/>
    <cellStyle name="Normal 6 2 2 2 6 2 2" xfId="0"/>
    <cellStyle name="Normal 6 2 2 2 6 2 2 2" xfId="0"/>
    <cellStyle name="Normal 6 2 2 2 6 2 2 2 2" xfId="0"/>
    <cellStyle name="Normal 6 2 2 2 6 2 2 2 2 2" xfId="0"/>
    <cellStyle name="Normal 6 2 2 2 6 2 2 2 2 2 2" xfId="0"/>
    <cellStyle name="Normal 6 2 2 2 6 2 2 2 2 3" xfId="0"/>
    <cellStyle name="Normal 6 2 2 2 6 2 2 2 3" xfId="0"/>
    <cellStyle name="Normal 6 2 2 2 6 2 2 2 3 2" xfId="0"/>
    <cellStyle name="Normal 6 2 2 2 6 2 2 2 4" xfId="0"/>
    <cellStyle name="Normal 6 2 2 2 6 2 2 3" xfId="0"/>
    <cellStyle name="Normal 6 2 2 2 6 2 2 3 2" xfId="0"/>
    <cellStyle name="Normal 6 2 2 2 6 2 2 3 2 2" xfId="0"/>
    <cellStyle name="Normal 6 2 2 2 6 2 2 3 3" xfId="0"/>
    <cellStyle name="Normal 6 2 2 2 6 2 2 4" xfId="0"/>
    <cellStyle name="Normal 6 2 2 2 6 2 2 4 2" xfId="0"/>
    <cellStyle name="Normal 6 2 2 2 6 2 2 5" xfId="0"/>
    <cellStyle name="Normal 6 2 2 2 6 2 3" xfId="0"/>
    <cellStyle name="Normal 6 2 2 2 6 2 3 2" xfId="0"/>
    <cellStyle name="Normal 6 2 2 2 6 2 3 2 2" xfId="0"/>
    <cellStyle name="Normal 6 2 2 2 6 2 3 2 2 2" xfId="0"/>
    <cellStyle name="Normal 6 2 2 2 6 2 3 2 3" xfId="0"/>
    <cellStyle name="Normal 6 2 2 2 6 2 3 3" xfId="0"/>
    <cellStyle name="Normal 6 2 2 2 6 2 3 3 2" xfId="0"/>
    <cellStyle name="Normal 6 2 2 2 6 2 3 4" xfId="0"/>
    <cellStyle name="Normal 6 2 2 2 6 2 4" xfId="0"/>
    <cellStyle name="Normal 6 2 2 2 6 2 4 2" xfId="0"/>
    <cellStyle name="Normal 6 2 2 2 6 2 4 2 2" xfId="0"/>
    <cellStyle name="Normal 6 2 2 2 6 2 4 3" xfId="0"/>
    <cellStyle name="Normal 6 2 2 2 6 2 5" xfId="0"/>
    <cellStyle name="Normal 6 2 2 2 6 2 5 2" xfId="0"/>
    <cellStyle name="Normal 6 2 2 2 6 2 6" xfId="0"/>
    <cellStyle name="Normal 6 2 2 2 6 3" xfId="0"/>
    <cellStyle name="Normal 6 2 2 2 6 3 2" xfId="0"/>
    <cellStyle name="Normal 6 2 2 2 6 3 2 2" xfId="0"/>
    <cellStyle name="Normal 6 2 2 2 6 3 2 2 2" xfId="0"/>
    <cellStyle name="Normal 6 2 2 2 6 3 2 2 2 2" xfId="0"/>
    <cellStyle name="Normal 6 2 2 2 6 3 2 2 3" xfId="0"/>
    <cellStyle name="Normal 6 2 2 2 6 3 2 3" xfId="0"/>
    <cellStyle name="Normal 6 2 2 2 6 3 2 3 2" xfId="0"/>
    <cellStyle name="Normal 6 2 2 2 6 3 2 4" xfId="0"/>
    <cellStyle name="Normal 6 2 2 2 6 3 3" xfId="0"/>
    <cellStyle name="Normal 6 2 2 2 6 3 3 2" xfId="0"/>
    <cellStyle name="Normal 6 2 2 2 6 3 3 2 2" xfId="0"/>
    <cellStyle name="Normal 6 2 2 2 6 3 3 3" xfId="0"/>
    <cellStyle name="Normal 6 2 2 2 6 3 4" xfId="0"/>
    <cellStyle name="Normal 6 2 2 2 6 3 4 2" xfId="0"/>
    <cellStyle name="Normal 6 2 2 2 6 3 5" xfId="0"/>
    <cellStyle name="Normal 6 2 2 2 6 4" xfId="0"/>
    <cellStyle name="Normal 6 2 2 2 6 4 2" xfId="0"/>
    <cellStyle name="Normal 6 2 2 2 6 4 2 2" xfId="0"/>
    <cellStyle name="Normal 6 2 2 2 6 4 2 2 2" xfId="0"/>
    <cellStyle name="Normal 6 2 2 2 6 4 2 3" xfId="0"/>
    <cellStyle name="Normal 6 2 2 2 6 4 3" xfId="0"/>
    <cellStyle name="Normal 6 2 2 2 6 4 3 2" xfId="0"/>
    <cellStyle name="Normal 6 2 2 2 6 4 4" xfId="0"/>
    <cellStyle name="Normal 6 2 2 2 6 5" xfId="0"/>
    <cellStyle name="Normal 6 2 2 2 6 5 2" xfId="0"/>
    <cellStyle name="Normal 6 2 2 2 6 5 2 2" xfId="0"/>
    <cellStyle name="Normal 6 2 2 2 6 5 3" xfId="0"/>
    <cellStyle name="Normal 6 2 2 2 6 6" xfId="0"/>
    <cellStyle name="Normal 6 2 2 2 6 6 2" xfId="0"/>
    <cellStyle name="Normal 6 2 2 2 6 7" xfId="0"/>
    <cellStyle name="Normal 6 2 2 2 7" xfId="0"/>
    <cellStyle name="Normal 6 2 2 2 7 2" xfId="0"/>
    <cellStyle name="Normal 6 2 2 2 7 2 2" xfId="0"/>
    <cellStyle name="Normal 6 2 2 2 7 2 2 2" xfId="0"/>
    <cellStyle name="Normal 6 2 2 2 7 2 2 2 2" xfId="0"/>
    <cellStyle name="Normal 6 2 2 2 7 2 2 2 2 2" xfId="0"/>
    <cellStyle name="Normal 6 2 2 2 7 2 2 2 3" xfId="0"/>
    <cellStyle name="Normal 6 2 2 2 7 2 2 3" xfId="0"/>
    <cellStyle name="Normal 6 2 2 2 7 2 2 3 2" xfId="0"/>
    <cellStyle name="Normal 6 2 2 2 7 2 2 4" xfId="0"/>
    <cellStyle name="Normal 6 2 2 2 7 2 3" xfId="0"/>
    <cellStyle name="Normal 6 2 2 2 7 2 3 2" xfId="0"/>
    <cellStyle name="Normal 6 2 2 2 7 2 3 2 2" xfId="0"/>
    <cellStyle name="Normal 6 2 2 2 7 2 3 3" xfId="0"/>
    <cellStyle name="Normal 6 2 2 2 7 2 4" xfId="0"/>
    <cellStyle name="Normal 6 2 2 2 7 2 4 2" xfId="0"/>
    <cellStyle name="Normal 6 2 2 2 7 2 5" xfId="0"/>
    <cellStyle name="Normal 6 2 2 2 7 3" xfId="0"/>
    <cellStyle name="Normal 6 2 2 2 7 3 2" xfId="0"/>
    <cellStyle name="Normal 6 2 2 2 7 3 2 2" xfId="0"/>
    <cellStyle name="Normal 6 2 2 2 7 3 2 2 2" xfId="0"/>
    <cellStyle name="Normal 6 2 2 2 7 3 2 3" xfId="0"/>
    <cellStyle name="Normal 6 2 2 2 7 3 3" xfId="0"/>
    <cellStyle name="Normal 6 2 2 2 7 3 3 2" xfId="0"/>
    <cellStyle name="Normal 6 2 2 2 7 3 4" xfId="0"/>
    <cellStyle name="Normal 6 2 2 2 7 4" xfId="0"/>
    <cellStyle name="Normal 6 2 2 2 7 4 2" xfId="0"/>
    <cellStyle name="Normal 6 2 2 2 7 4 2 2" xfId="0"/>
    <cellStyle name="Normal 6 2 2 2 7 4 3" xfId="0"/>
    <cellStyle name="Normal 6 2 2 2 7 5" xfId="0"/>
    <cellStyle name="Normal 6 2 2 2 7 5 2" xfId="0"/>
    <cellStyle name="Normal 6 2 2 2 7 6" xfId="0"/>
    <cellStyle name="Normal 6 2 2 2 8" xfId="0"/>
    <cellStyle name="Normal 6 2 2 2 8 2" xfId="0"/>
    <cellStyle name="Normal 6 2 2 2 8 2 2" xfId="0"/>
    <cellStyle name="Normal 6 2 2 2 8 2 2 2" xfId="0"/>
    <cellStyle name="Normal 6 2 2 2 8 2 2 2 2" xfId="0"/>
    <cellStyle name="Normal 6 2 2 2 8 2 2 3" xfId="0"/>
    <cellStyle name="Normal 6 2 2 2 8 2 3" xfId="0"/>
    <cellStyle name="Normal 6 2 2 2 8 2 3 2" xfId="0"/>
    <cellStyle name="Normal 6 2 2 2 8 2 4" xfId="0"/>
    <cellStyle name="Normal 6 2 2 2 8 3" xfId="0"/>
    <cellStyle name="Normal 6 2 2 2 8 3 2" xfId="0"/>
    <cellStyle name="Normal 6 2 2 2 8 3 2 2" xfId="0"/>
    <cellStyle name="Normal 6 2 2 2 8 3 3" xfId="0"/>
    <cellStyle name="Normal 6 2 2 2 8 4" xfId="0"/>
    <cellStyle name="Normal 6 2 2 2 8 4 2" xfId="0"/>
    <cellStyle name="Normal 6 2 2 2 8 5" xfId="0"/>
    <cellStyle name="Normal 6 2 2 2 9" xfId="0"/>
    <cellStyle name="Normal 6 2 2 2 9 2" xfId="0"/>
    <cellStyle name="Normal 6 2 2 2 9 2 2" xfId="0"/>
    <cellStyle name="Normal 6 2 2 2 9 2 2 2" xfId="0"/>
    <cellStyle name="Normal 6 2 2 2 9 2 3" xfId="0"/>
    <cellStyle name="Normal 6 2 2 2 9 3" xfId="0"/>
    <cellStyle name="Normal 6 2 2 2 9 3 2" xfId="0"/>
    <cellStyle name="Normal 6 2 2 2 9 4" xfId="0"/>
    <cellStyle name="Normal 6 2 2 3" xfId="0"/>
    <cellStyle name="Normal 6 2 2 3 10" xfId="0"/>
    <cellStyle name="Normal 6 2 2 3 10 2" xfId="0"/>
    <cellStyle name="Normal 6 2 2 3 10 2 2" xfId="0"/>
    <cellStyle name="Normal 6 2 2 3 10 3" xfId="0"/>
    <cellStyle name="Normal 6 2 2 3 11" xfId="0"/>
    <cellStyle name="Normal 6 2 2 3 11 2" xfId="0"/>
    <cellStyle name="Normal 6 2 2 3 12" xfId="0"/>
    <cellStyle name="Normal 6 2 2 3 2" xfId="0"/>
    <cellStyle name="Normal 6 2 2 3 2 10" xfId="0"/>
    <cellStyle name="Normal 6 2 2 3 2 10 2" xfId="0"/>
    <cellStyle name="Normal 6 2 2 3 2 11" xfId="0"/>
    <cellStyle name="Normal 6 2 2 3 2 2" xfId="0"/>
    <cellStyle name="Normal 6 2 2 3 2 2 2" xfId="0"/>
    <cellStyle name="Normal 6 2 2 3 2 2 2 2" xfId="0"/>
    <cellStyle name="Normal 6 2 2 3 2 2 2 2 2" xfId="0"/>
    <cellStyle name="Normal 6 2 2 3 2 2 2 2 2 2" xfId="0"/>
    <cellStyle name="Normal 6 2 2 3 2 2 2 2 2 2 2" xfId="0"/>
    <cellStyle name="Normal 6 2 2 3 2 2 2 2 2 2 2 2" xfId="0"/>
    <cellStyle name="Normal 6 2 2 3 2 2 2 2 2 2 2 2 2" xfId="0"/>
    <cellStyle name="Normal 6 2 2 3 2 2 2 2 2 2 2 3" xfId="0"/>
    <cellStyle name="Normal 6 2 2 3 2 2 2 2 2 2 3" xfId="0"/>
    <cellStyle name="Normal 6 2 2 3 2 2 2 2 2 2 3 2" xfId="0"/>
    <cellStyle name="Normal 6 2 2 3 2 2 2 2 2 2 4" xfId="0"/>
    <cellStyle name="Normal 6 2 2 3 2 2 2 2 2 3" xfId="0"/>
    <cellStyle name="Normal 6 2 2 3 2 2 2 2 2 3 2" xfId="0"/>
    <cellStyle name="Normal 6 2 2 3 2 2 2 2 2 3 2 2" xfId="0"/>
    <cellStyle name="Normal 6 2 2 3 2 2 2 2 2 3 3" xfId="0"/>
    <cellStyle name="Normal 6 2 2 3 2 2 2 2 2 4" xfId="0"/>
    <cellStyle name="Normal 6 2 2 3 2 2 2 2 2 4 2" xfId="0"/>
    <cellStyle name="Normal 6 2 2 3 2 2 2 2 2 5" xfId="0"/>
    <cellStyle name="Normal 6 2 2 3 2 2 2 2 3" xfId="0"/>
    <cellStyle name="Normal 6 2 2 3 2 2 2 2 3 2" xfId="0"/>
    <cellStyle name="Normal 6 2 2 3 2 2 2 2 3 2 2" xfId="0"/>
    <cellStyle name="Normal 6 2 2 3 2 2 2 2 3 2 2 2" xfId="0"/>
    <cellStyle name="Normal 6 2 2 3 2 2 2 2 3 2 3" xfId="0"/>
    <cellStyle name="Normal 6 2 2 3 2 2 2 2 3 3" xfId="0"/>
    <cellStyle name="Normal 6 2 2 3 2 2 2 2 3 3 2" xfId="0"/>
    <cellStyle name="Normal 6 2 2 3 2 2 2 2 3 4" xfId="0"/>
    <cellStyle name="Normal 6 2 2 3 2 2 2 2 4" xfId="0"/>
    <cellStyle name="Normal 6 2 2 3 2 2 2 2 4 2" xfId="0"/>
    <cellStyle name="Normal 6 2 2 3 2 2 2 2 4 2 2" xfId="0"/>
    <cellStyle name="Normal 6 2 2 3 2 2 2 2 4 3" xfId="0"/>
    <cellStyle name="Normal 6 2 2 3 2 2 2 2 5" xfId="0"/>
    <cellStyle name="Normal 6 2 2 3 2 2 2 2 5 2" xfId="0"/>
    <cellStyle name="Normal 6 2 2 3 2 2 2 2 6" xfId="0"/>
    <cellStyle name="Normal 6 2 2 3 2 2 2 3" xfId="0"/>
    <cellStyle name="Normal 6 2 2 3 2 2 2 3 2" xfId="0"/>
    <cellStyle name="Normal 6 2 2 3 2 2 2 3 2 2" xfId="0"/>
    <cellStyle name="Normal 6 2 2 3 2 2 2 3 2 2 2" xfId="0"/>
    <cellStyle name="Normal 6 2 2 3 2 2 2 3 2 2 2 2" xfId="0"/>
    <cellStyle name="Normal 6 2 2 3 2 2 2 3 2 2 3" xfId="0"/>
    <cellStyle name="Normal 6 2 2 3 2 2 2 3 2 3" xfId="0"/>
    <cellStyle name="Normal 6 2 2 3 2 2 2 3 2 3 2" xfId="0"/>
    <cellStyle name="Normal 6 2 2 3 2 2 2 3 2 4" xfId="0"/>
    <cellStyle name="Normal 6 2 2 3 2 2 2 3 3" xfId="0"/>
    <cellStyle name="Normal 6 2 2 3 2 2 2 3 3 2" xfId="0"/>
    <cellStyle name="Normal 6 2 2 3 2 2 2 3 3 2 2" xfId="0"/>
    <cellStyle name="Normal 6 2 2 3 2 2 2 3 3 3" xfId="0"/>
    <cellStyle name="Normal 6 2 2 3 2 2 2 3 4" xfId="0"/>
    <cellStyle name="Normal 6 2 2 3 2 2 2 3 4 2" xfId="0"/>
    <cellStyle name="Normal 6 2 2 3 2 2 2 3 5" xfId="0"/>
    <cellStyle name="Normal 6 2 2 3 2 2 2 4" xfId="0"/>
    <cellStyle name="Normal 6 2 2 3 2 2 2 4 2" xfId="0"/>
    <cellStyle name="Normal 6 2 2 3 2 2 2 4 2 2" xfId="0"/>
    <cellStyle name="Normal 6 2 2 3 2 2 2 4 2 2 2" xfId="0"/>
    <cellStyle name="Normal 6 2 2 3 2 2 2 4 2 3" xfId="0"/>
    <cellStyle name="Normal 6 2 2 3 2 2 2 4 3" xfId="0"/>
    <cellStyle name="Normal 6 2 2 3 2 2 2 4 3 2" xfId="0"/>
    <cellStyle name="Normal 6 2 2 3 2 2 2 4 4" xfId="0"/>
    <cellStyle name="Normal 6 2 2 3 2 2 2 5" xfId="0"/>
    <cellStyle name="Normal 6 2 2 3 2 2 2 5 2" xfId="0"/>
    <cellStyle name="Normal 6 2 2 3 2 2 2 5 2 2" xfId="0"/>
    <cellStyle name="Normal 6 2 2 3 2 2 2 5 3" xfId="0"/>
    <cellStyle name="Normal 6 2 2 3 2 2 2 6" xfId="0"/>
    <cellStyle name="Normal 6 2 2 3 2 2 2 6 2" xfId="0"/>
    <cellStyle name="Normal 6 2 2 3 2 2 2 7" xfId="0"/>
    <cellStyle name="Normal 6 2 2 3 2 2 3" xfId="0"/>
    <cellStyle name="Normal 6 2 2 3 2 2 3 2" xfId="0"/>
    <cellStyle name="Normal 6 2 2 3 2 2 3 2 2" xfId="0"/>
    <cellStyle name="Normal 6 2 2 3 2 2 3 2 2 2" xfId="0"/>
    <cellStyle name="Normal 6 2 2 3 2 2 3 2 2 2 2" xfId="0"/>
    <cellStyle name="Normal 6 2 2 3 2 2 3 2 2 2 2 2" xfId="0"/>
    <cellStyle name="Normal 6 2 2 3 2 2 3 2 2 2 3" xfId="0"/>
    <cellStyle name="Normal 6 2 2 3 2 2 3 2 2 3" xfId="0"/>
    <cellStyle name="Normal 6 2 2 3 2 2 3 2 2 3 2" xfId="0"/>
    <cellStyle name="Normal 6 2 2 3 2 2 3 2 2 4" xfId="0"/>
    <cellStyle name="Normal 6 2 2 3 2 2 3 2 3" xfId="0"/>
    <cellStyle name="Normal 6 2 2 3 2 2 3 2 3 2" xfId="0"/>
    <cellStyle name="Normal 6 2 2 3 2 2 3 2 3 2 2" xfId="0"/>
    <cellStyle name="Normal 6 2 2 3 2 2 3 2 3 3" xfId="0"/>
    <cellStyle name="Normal 6 2 2 3 2 2 3 2 4" xfId="0"/>
    <cellStyle name="Normal 6 2 2 3 2 2 3 2 4 2" xfId="0"/>
    <cellStyle name="Normal 6 2 2 3 2 2 3 2 5" xfId="0"/>
    <cellStyle name="Normal 6 2 2 3 2 2 3 3" xfId="0"/>
    <cellStyle name="Normal 6 2 2 3 2 2 3 3 2" xfId="0"/>
    <cellStyle name="Normal 6 2 2 3 2 2 3 3 2 2" xfId="0"/>
    <cellStyle name="Normal 6 2 2 3 2 2 3 3 2 2 2" xfId="0"/>
    <cellStyle name="Normal 6 2 2 3 2 2 3 3 2 3" xfId="0"/>
    <cellStyle name="Normal 6 2 2 3 2 2 3 3 3" xfId="0"/>
    <cellStyle name="Normal 6 2 2 3 2 2 3 3 3 2" xfId="0"/>
    <cellStyle name="Normal 6 2 2 3 2 2 3 3 4" xfId="0"/>
    <cellStyle name="Normal 6 2 2 3 2 2 3 4" xfId="0"/>
    <cellStyle name="Normal 6 2 2 3 2 2 3 4 2" xfId="0"/>
    <cellStyle name="Normal 6 2 2 3 2 2 3 4 2 2" xfId="0"/>
    <cellStyle name="Normal 6 2 2 3 2 2 3 4 3" xfId="0"/>
    <cellStyle name="Normal 6 2 2 3 2 2 3 5" xfId="0"/>
    <cellStyle name="Normal 6 2 2 3 2 2 3 5 2" xfId="0"/>
    <cellStyle name="Normal 6 2 2 3 2 2 3 6" xfId="0"/>
    <cellStyle name="Normal 6 2 2 3 2 2 4" xfId="0"/>
    <cellStyle name="Normal 6 2 2 3 2 2 4 2" xfId="0"/>
    <cellStyle name="Normal 6 2 2 3 2 2 4 2 2" xfId="0"/>
    <cellStyle name="Normal 6 2 2 3 2 2 4 2 2 2" xfId="0"/>
    <cellStyle name="Normal 6 2 2 3 2 2 4 2 2 2 2" xfId="0"/>
    <cellStyle name="Normal 6 2 2 3 2 2 4 2 2 3" xfId="0"/>
    <cellStyle name="Normal 6 2 2 3 2 2 4 2 3" xfId="0"/>
    <cellStyle name="Normal 6 2 2 3 2 2 4 2 3 2" xfId="0"/>
    <cellStyle name="Normal 6 2 2 3 2 2 4 2 4" xfId="0"/>
    <cellStyle name="Normal 6 2 2 3 2 2 4 3" xfId="0"/>
    <cellStyle name="Normal 6 2 2 3 2 2 4 3 2" xfId="0"/>
    <cellStyle name="Normal 6 2 2 3 2 2 4 3 2 2" xfId="0"/>
    <cellStyle name="Normal 6 2 2 3 2 2 4 3 3" xfId="0"/>
    <cellStyle name="Normal 6 2 2 3 2 2 4 4" xfId="0"/>
    <cellStyle name="Normal 6 2 2 3 2 2 4 4 2" xfId="0"/>
    <cellStyle name="Normal 6 2 2 3 2 2 4 5" xfId="0"/>
    <cellStyle name="Normal 6 2 2 3 2 2 5" xfId="0"/>
    <cellStyle name="Normal 6 2 2 3 2 2 5 2" xfId="0"/>
    <cellStyle name="Normal 6 2 2 3 2 2 5 2 2" xfId="0"/>
    <cellStyle name="Normal 6 2 2 3 2 2 5 2 2 2" xfId="0"/>
    <cellStyle name="Normal 6 2 2 3 2 2 5 2 3" xfId="0"/>
    <cellStyle name="Normal 6 2 2 3 2 2 5 3" xfId="0"/>
    <cellStyle name="Normal 6 2 2 3 2 2 5 3 2" xfId="0"/>
    <cellStyle name="Normal 6 2 2 3 2 2 5 4" xfId="0"/>
    <cellStyle name="Normal 6 2 2 3 2 2 6" xfId="0"/>
    <cellStyle name="Normal 6 2 2 3 2 2 6 2" xfId="0"/>
    <cellStyle name="Normal 6 2 2 3 2 2 6 2 2" xfId="0"/>
    <cellStyle name="Normal 6 2 2 3 2 2 6 3" xfId="0"/>
    <cellStyle name="Normal 6 2 2 3 2 2 7" xfId="0"/>
    <cellStyle name="Normal 6 2 2 3 2 2 7 2" xfId="0"/>
    <cellStyle name="Normal 6 2 2 3 2 2 8" xfId="0"/>
    <cellStyle name="Normal 6 2 2 3 2 3" xfId="0"/>
    <cellStyle name="Normal 6 2 2 3 2 3 2" xfId="0"/>
    <cellStyle name="Normal 6 2 2 3 2 3 2 2" xfId="0"/>
    <cellStyle name="Normal 6 2 2 3 2 3 2 2 2" xfId="0"/>
    <cellStyle name="Normal 6 2 2 3 2 3 2 2 2 2" xfId="0"/>
    <cellStyle name="Normal 6 2 2 3 2 3 2 2 2 2 2" xfId="0"/>
    <cellStyle name="Normal 6 2 2 3 2 3 2 2 2 2 2 2" xfId="0"/>
    <cellStyle name="Normal 6 2 2 3 2 3 2 2 2 2 2 2 2" xfId="0"/>
    <cellStyle name="Normal 6 2 2 3 2 3 2 2 2 2 2 3" xfId="0"/>
    <cellStyle name="Normal 6 2 2 3 2 3 2 2 2 2 3" xfId="0"/>
    <cellStyle name="Normal 6 2 2 3 2 3 2 2 2 2 3 2" xfId="0"/>
    <cellStyle name="Normal 6 2 2 3 2 3 2 2 2 2 4" xfId="0"/>
    <cellStyle name="Normal 6 2 2 3 2 3 2 2 2 3" xfId="0"/>
    <cellStyle name="Normal 6 2 2 3 2 3 2 2 2 3 2" xfId="0"/>
    <cellStyle name="Normal 6 2 2 3 2 3 2 2 2 3 2 2" xfId="0"/>
    <cellStyle name="Normal 6 2 2 3 2 3 2 2 2 3 3" xfId="0"/>
    <cellStyle name="Normal 6 2 2 3 2 3 2 2 2 4" xfId="0"/>
    <cellStyle name="Normal 6 2 2 3 2 3 2 2 2 4 2" xfId="0"/>
    <cellStyle name="Normal 6 2 2 3 2 3 2 2 2 5" xfId="0"/>
    <cellStyle name="Normal 6 2 2 3 2 3 2 2 3" xfId="0"/>
    <cellStyle name="Normal 6 2 2 3 2 3 2 2 3 2" xfId="0"/>
    <cellStyle name="Normal 6 2 2 3 2 3 2 2 3 2 2" xfId="0"/>
    <cellStyle name="Normal 6 2 2 3 2 3 2 2 3 2 2 2" xfId="0"/>
    <cellStyle name="Normal 6 2 2 3 2 3 2 2 3 2 3" xfId="0"/>
    <cellStyle name="Normal 6 2 2 3 2 3 2 2 3 3" xfId="0"/>
    <cellStyle name="Normal 6 2 2 3 2 3 2 2 3 3 2" xfId="0"/>
    <cellStyle name="Normal 6 2 2 3 2 3 2 2 3 4" xfId="0"/>
    <cellStyle name="Normal 6 2 2 3 2 3 2 2 4" xfId="0"/>
    <cellStyle name="Normal 6 2 2 3 2 3 2 2 4 2" xfId="0"/>
    <cellStyle name="Normal 6 2 2 3 2 3 2 2 4 2 2" xfId="0"/>
    <cellStyle name="Normal 6 2 2 3 2 3 2 2 4 3" xfId="0"/>
    <cellStyle name="Normal 6 2 2 3 2 3 2 2 5" xfId="0"/>
    <cellStyle name="Normal 6 2 2 3 2 3 2 2 5 2" xfId="0"/>
    <cellStyle name="Normal 6 2 2 3 2 3 2 2 6" xfId="0"/>
    <cellStyle name="Normal 6 2 2 3 2 3 2 3" xfId="0"/>
    <cellStyle name="Normal 6 2 2 3 2 3 2 3 2" xfId="0"/>
    <cellStyle name="Normal 6 2 2 3 2 3 2 3 2 2" xfId="0"/>
    <cellStyle name="Normal 6 2 2 3 2 3 2 3 2 2 2" xfId="0"/>
    <cellStyle name="Normal 6 2 2 3 2 3 2 3 2 2 2 2" xfId="0"/>
    <cellStyle name="Normal 6 2 2 3 2 3 2 3 2 2 3" xfId="0"/>
    <cellStyle name="Normal 6 2 2 3 2 3 2 3 2 3" xfId="0"/>
    <cellStyle name="Normal 6 2 2 3 2 3 2 3 2 3 2" xfId="0"/>
    <cellStyle name="Normal 6 2 2 3 2 3 2 3 2 4" xfId="0"/>
    <cellStyle name="Normal 6 2 2 3 2 3 2 3 3" xfId="0"/>
    <cellStyle name="Normal 6 2 2 3 2 3 2 3 3 2" xfId="0"/>
    <cellStyle name="Normal 6 2 2 3 2 3 2 3 3 2 2" xfId="0"/>
    <cellStyle name="Normal 6 2 2 3 2 3 2 3 3 3" xfId="0"/>
    <cellStyle name="Normal 6 2 2 3 2 3 2 3 4" xfId="0"/>
    <cellStyle name="Normal 6 2 2 3 2 3 2 3 4 2" xfId="0"/>
    <cellStyle name="Normal 6 2 2 3 2 3 2 3 5" xfId="0"/>
    <cellStyle name="Normal 6 2 2 3 2 3 2 4" xfId="0"/>
    <cellStyle name="Normal 6 2 2 3 2 3 2 4 2" xfId="0"/>
    <cellStyle name="Normal 6 2 2 3 2 3 2 4 2 2" xfId="0"/>
    <cellStyle name="Normal 6 2 2 3 2 3 2 4 2 2 2" xfId="0"/>
    <cellStyle name="Normal 6 2 2 3 2 3 2 4 2 3" xfId="0"/>
    <cellStyle name="Normal 6 2 2 3 2 3 2 4 3" xfId="0"/>
    <cellStyle name="Normal 6 2 2 3 2 3 2 4 3 2" xfId="0"/>
    <cellStyle name="Normal 6 2 2 3 2 3 2 4 4" xfId="0"/>
    <cellStyle name="Normal 6 2 2 3 2 3 2 5" xfId="0"/>
    <cellStyle name="Normal 6 2 2 3 2 3 2 5 2" xfId="0"/>
    <cellStyle name="Normal 6 2 2 3 2 3 2 5 2 2" xfId="0"/>
    <cellStyle name="Normal 6 2 2 3 2 3 2 5 3" xfId="0"/>
    <cellStyle name="Normal 6 2 2 3 2 3 2 6" xfId="0"/>
    <cellStyle name="Normal 6 2 2 3 2 3 2 6 2" xfId="0"/>
    <cellStyle name="Normal 6 2 2 3 2 3 2 7" xfId="0"/>
    <cellStyle name="Normal 6 2 2 3 2 3 3" xfId="0"/>
    <cellStyle name="Normal 6 2 2 3 2 3 3 2" xfId="0"/>
    <cellStyle name="Normal 6 2 2 3 2 3 3 2 2" xfId="0"/>
    <cellStyle name="Normal 6 2 2 3 2 3 3 2 2 2" xfId="0"/>
    <cellStyle name="Normal 6 2 2 3 2 3 3 2 2 2 2" xfId="0"/>
    <cellStyle name="Normal 6 2 2 3 2 3 3 2 2 2 2 2" xfId="0"/>
    <cellStyle name="Normal 6 2 2 3 2 3 3 2 2 2 3" xfId="0"/>
    <cellStyle name="Normal 6 2 2 3 2 3 3 2 2 3" xfId="0"/>
    <cellStyle name="Normal 6 2 2 3 2 3 3 2 2 3 2" xfId="0"/>
    <cellStyle name="Normal 6 2 2 3 2 3 3 2 2 4" xfId="0"/>
    <cellStyle name="Normal 6 2 2 3 2 3 3 2 3" xfId="0"/>
    <cellStyle name="Normal 6 2 2 3 2 3 3 2 3 2" xfId="0"/>
    <cellStyle name="Normal 6 2 2 3 2 3 3 2 3 2 2" xfId="0"/>
    <cellStyle name="Normal 6 2 2 3 2 3 3 2 3 3" xfId="0"/>
    <cellStyle name="Normal 6 2 2 3 2 3 3 2 4" xfId="0"/>
    <cellStyle name="Normal 6 2 2 3 2 3 3 2 4 2" xfId="0"/>
    <cellStyle name="Normal 6 2 2 3 2 3 3 2 5" xfId="0"/>
    <cellStyle name="Normal 6 2 2 3 2 3 3 3" xfId="0"/>
    <cellStyle name="Normal 6 2 2 3 2 3 3 3 2" xfId="0"/>
    <cellStyle name="Normal 6 2 2 3 2 3 3 3 2 2" xfId="0"/>
    <cellStyle name="Normal 6 2 2 3 2 3 3 3 2 2 2" xfId="0"/>
    <cellStyle name="Normal 6 2 2 3 2 3 3 3 2 3" xfId="0"/>
    <cellStyle name="Normal 6 2 2 3 2 3 3 3 3" xfId="0"/>
    <cellStyle name="Normal 6 2 2 3 2 3 3 3 3 2" xfId="0"/>
    <cellStyle name="Normal 6 2 2 3 2 3 3 3 4" xfId="0"/>
    <cellStyle name="Normal 6 2 2 3 2 3 3 4" xfId="0"/>
    <cellStyle name="Normal 6 2 2 3 2 3 3 4 2" xfId="0"/>
    <cellStyle name="Normal 6 2 2 3 2 3 3 4 2 2" xfId="0"/>
    <cellStyle name="Normal 6 2 2 3 2 3 3 4 3" xfId="0"/>
    <cellStyle name="Normal 6 2 2 3 2 3 3 5" xfId="0"/>
    <cellStyle name="Normal 6 2 2 3 2 3 3 5 2" xfId="0"/>
    <cellStyle name="Normal 6 2 2 3 2 3 3 6" xfId="0"/>
    <cellStyle name="Normal 6 2 2 3 2 3 4" xfId="0"/>
    <cellStyle name="Normal 6 2 2 3 2 3 4 2" xfId="0"/>
    <cellStyle name="Normal 6 2 2 3 2 3 4 2 2" xfId="0"/>
    <cellStyle name="Normal 6 2 2 3 2 3 4 2 2 2" xfId="0"/>
    <cellStyle name="Normal 6 2 2 3 2 3 4 2 2 2 2" xfId="0"/>
    <cellStyle name="Normal 6 2 2 3 2 3 4 2 2 3" xfId="0"/>
    <cellStyle name="Normal 6 2 2 3 2 3 4 2 3" xfId="0"/>
    <cellStyle name="Normal 6 2 2 3 2 3 4 2 3 2" xfId="0"/>
    <cellStyle name="Normal 6 2 2 3 2 3 4 2 4" xfId="0"/>
    <cellStyle name="Normal 6 2 2 3 2 3 4 3" xfId="0"/>
    <cellStyle name="Normal 6 2 2 3 2 3 4 3 2" xfId="0"/>
    <cellStyle name="Normal 6 2 2 3 2 3 4 3 2 2" xfId="0"/>
    <cellStyle name="Normal 6 2 2 3 2 3 4 3 3" xfId="0"/>
    <cellStyle name="Normal 6 2 2 3 2 3 4 4" xfId="0"/>
    <cellStyle name="Normal 6 2 2 3 2 3 4 4 2" xfId="0"/>
    <cellStyle name="Normal 6 2 2 3 2 3 4 5" xfId="0"/>
    <cellStyle name="Normal 6 2 2 3 2 3 5" xfId="0"/>
    <cellStyle name="Normal 6 2 2 3 2 3 5 2" xfId="0"/>
    <cellStyle name="Normal 6 2 2 3 2 3 5 2 2" xfId="0"/>
    <cellStyle name="Normal 6 2 2 3 2 3 5 2 2 2" xfId="0"/>
    <cellStyle name="Normal 6 2 2 3 2 3 5 2 3" xfId="0"/>
    <cellStyle name="Normal 6 2 2 3 2 3 5 3" xfId="0"/>
    <cellStyle name="Normal 6 2 2 3 2 3 5 3 2" xfId="0"/>
    <cellStyle name="Normal 6 2 2 3 2 3 5 4" xfId="0"/>
    <cellStyle name="Normal 6 2 2 3 2 3 6" xfId="0"/>
    <cellStyle name="Normal 6 2 2 3 2 3 6 2" xfId="0"/>
    <cellStyle name="Normal 6 2 2 3 2 3 6 2 2" xfId="0"/>
    <cellStyle name="Normal 6 2 2 3 2 3 6 3" xfId="0"/>
    <cellStyle name="Normal 6 2 2 3 2 3 7" xfId="0"/>
    <cellStyle name="Normal 6 2 2 3 2 3 7 2" xfId="0"/>
    <cellStyle name="Normal 6 2 2 3 2 3 8" xfId="0"/>
    <cellStyle name="Normal 6 2 2 3 2 4" xfId="0"/>
    <cellStyle name="Normal 6 2 2 3 2 4 2" xfId="0"/>
    <cellStyle name="Normal 6 2 2 3 2 4 2 2" xfId="0"/>
    <cellStyle name="Normal 6 2 2 3 2 4 2 2 2" xfId="0"/>
    <cellStyle name="Normal 6 2 2 3 2 4 2 2 2 2" xfId="0"/>
    <cellStyle name="Normal 6 2 2 3 2 4 2 2 2 2 2" xfId="0"/>
    <cellStyle name="Normal 6 2 2 3 2 4 2 2 2 2 2 2" xfId="0"/>
    <cellStyle name="Normal 6 2 2 3 2 4 2 2 2 2 3" xfId="0"/>
    <cellStyle name="Normal 6 2 2 3 2 4 2 2 2 3" xfId="0"/>
    <cellStyle name="Normal 6 2 2 3 2 4 2 2 2 3 2" xfId="0"/>
    <cellStyle name="Normal 6 2 2 3 2 4 2 2 2 4" xfId="0"/>
    <cellStyle name="Normal 6 2 2 3 2 4 2 2 3" xfId="0"/>
    <cellStyle name="Normal 6 2 2 3 2 4 2 2 3 2" xfId="0"/>
    <cellStyle name="Normal 6 2 2 3 2 4 2 2 3 2 2" xfId="0"/>
    <cellStyle name="Normal 6 2 2 3 2 4 2 2 3 3" xfId="0"/>
    <cellStyle name="Normal 6 2 2 3 2 4 2 2 4" xfId="0"/>
    <cellStyle name="Normal 6 2 2 3 2 4 2 2 4 2" xfId="0"/>
    <cellStyle name="Normal 6 2 2 3 2 4 2 2 5" xfId="0"/>
    <cellStyle name="Normal 6 2 2 3 2 4 2 3" xfId="0"/>
    <cellStyle name="Normal 6 2 2 3 2 4 2 3 2" xfId="0"/>
    <cellStyle name="Normal 6 2 2 3 2 4 2 3 2 2" xfId="0"/>
    <cellStyle name="Normal 6 2 2 3 2 4 2 3 2 2 2" xfId="0"/>
    <cellStyle name="Normal 6 2 2 3 2 4 2 3 2 3" xfId="0"/>
    <cellStyle name="Normal 6 2 2 3 2 4 2 3 3" xfId="0"/>
    <cellStyle name="Normal 6 2 2 3 2 4 2 3 3 2" xfId="0"/>
    <cellStyle name="Normal 6 2 2 3 2 4 2 3 4" xfId="0"/>
    <cellStyle name="Normal 6 2 2 3 2 4 2 4" xfId="0"/>
    <cellStyle name="Normal 6 2 2 3 2 4 2 4 2" xfId="0"/>
    <cellStyle name="Normal 6 2 2 3 2 4 2 4 2 2" xfId="0"/>
    <cellStyle name="Normal 6 2 2 3 2 4 2 4 3" xfId="0"/>
    <cellStyle name="Normal 6 2 2 3 2 4 2 5" xfId="0"/>
    <cellStyle name="Normal 6 2 2 3 2 4 2 5 2" xfId="0"/>
    <cellStyle name="Normal 6 2 2 3 2 4 2 6" xfId="0"/>
    <cellStyle name="Normal 6 2 2 3 2 4 3" xfId="0"/>
    <cellStyle name="Normal 6 2 2 3 2 4 3 2" xfId="0"/>
    <cellStyle name="Normal 6 2 2 3 2 4 3 2 2" xfId="0"/>
    <cellStyle name="Normal 6 2 2 3 2 4 3 2 2 2" xfId="0"/>
    <cellStyle name="Normal 6 2 2 3 2 4 3 2 2 2 2" xfId="0"/>
    <cellStyle name="Normal 6 2 2 3 2 4 3 2 2 3" xfId="0"/>
    <cellStyle name="Normal 6 2 2 3 2 4 3 2 3" xfId="0"/>
    <cellStyle name="Normal 6 2 2 3 2 4 3 2 3 2" xfId="0"/>
    <cellStyle name="Normal 6 2 2 3 2 4 3 2 4" xfId="0"/>
    <cellStyle name="Normal 6 2 2 3 2 4 3 3" xfId="0"/>
    <cellStyle name="Normal 6 2 2 3 2 4 3 3 2" xfId="0"/>
    <cellStyle name="Normal 6 2 2 3 2 4 3 3 2 2" xfId="0"/>
    <cellStyle name="Normal 6 2 2 3 2 4 3 3 3" xfId="0"/>
    <cellStyle name="Normal 6 2 2 3 2 4 3 4" xfId="0"/>
    <cellStyle name="Normal 6 2 2 3 2 4 3 4 2" xfId="0"/>
    <cellStyle name="Normal 6 2 2 3 2 4 3 5" xfId="0"/>
    <cellStyle name="Normal 6 2 2 3 2 4 4" xfId="0"/>
    <cellStyle name="Normal 6 2 2 3 2 4 4 2" xfId="0"/>
    <cellStyle name="Normal 6 2 2 3 2 4 4 2 2" xfId="0"/>
    <cellStyle name="Normal 6 2 2 3 2 4 4 2 2 2" xfId="0"/>
    <cellStyle name="Normal 6 2 2 3 2 4 4 2 3" xfId="0"/>
    <cellStyle name="Normal 6 2 2 3 2 4 4 3" xfId="0"/>
    <cellStyle name="Normal 6 2 2 3 2 4 4 3 2" xfId="0"/>
    <cellStyle name="Normal 6 2 2 3 2 4 4 4" xfId="0"/>
    <cellStyle name="Normal 6 2 2 3 2 4 5" xfId="0"/>
    <cellStyle name="Normal 6 2 2 3 2 4 5 2" xfId="0"/>
    <cellStyle name="Normal 6 2 2 3 2 4 5 2 2" xfId="0"/>
    <cellStyle name="Normal 6 2 2 3 2 4 5 3" xfId="0"/>
    <cellStyle name="Normal 6 2 2 3 2 4 6" xfId="0"/>
    <cellStyle name="Normal 6 2 2 3 2 4 6 2" xfId="0"/>
    <cellStyle name="Normal 6 2 2 3 2 4 7" xfId="0"/>
    <cellStyle name="Normal 6 2 2 3 2 5" xfId="0"/>
    <cellStyle name="Normal 6 2 2 3 2 5 2" xfId="0"/>
    <cellStyle name="Normal 6 2 2 3 2 5 2 2" xfId="0"/>
    <cellStyle name="Normal 6 2 2 3 2 5 2 2 2" xfId="0"/>
    <cellStyle name="Normal 6 2 2 3 2 5 2 2 2 2" xfId="0"/>
    <cellStyle name="Normal 6 2 2 3 2 5 2 2 2 2 2" xfId="0"/>
    <cellStyle name="Normal 6 2 2 3 2 5 2 2 2 2 2 2" xfId="0"/>
    <cellStyle name="Normal 6 2 2 3 2 5 2 2 2 2 3" xfId="0"/>
    <cellStyle name="Normal 6 2 2 3 2 5 2 2 2 3" xfId="0"/>
    <cellStyle name="Normal 6 2 2 3 2 5 2 2 2 3 2" xfId="0"/>
    <cellStyle name="Normal 6 2 2 3 2 5 2 2 2 4" xfId="0"/>
    <cellStyle name="Normal 6 2 2 3 2 5 2 2 3" xfId="0"/>
    <cellStyle name="Normal 6 2 2 3 2 5 2 2 3 2" xfId="0"/>
    <cellStyle name="Normal 6 2 2 3 2 5 2 2 3 2 2" xfId="0"/>
    <cellStyle name="Normal 6 2 2 3 2 5 2 2 3 3" xfId="0"/>
    <cellStyle name="Normal 6 2 2 3 2 5 2 2 4" xfId="0"/>
    <cellStyle name="Normal 6 2 2 3 2 5 2 2 4 2" xfId="0"/>
    <cellStyle name="Normal 6 2 2 3 2 5 2 2 5" xfId="0"/>
    <cellStyle name="Normal 6 2 2 3 2 5 2 3" xfId="0"/>
    <cellStyle name="Normal 6 2 2 3 2 5 2 3 2" xfId="0"/>
    <cellStyle name="Normal 6 2 2 3 2 5 2 3 2 2" xfId="0"/>
    <cellStyle name="Normal 6 2 2 3 2 5 2 3 2 2 2" xfId="0"/>
    <cellStyle name="Normal 6 2 2 3 2 5 2 3 2 3" xfId="0"/>
    <cellStyle name="Normal 6 2 2 3 2 5 2 3 3" xfId="0"/>
    <cellStyle name="Normal 6 2 2 3 2 5 2 3 3 2" xfId="0"/>
    <cellStyle name="Normal 6 2 2 3 2 5 2 3 4" xfId="0"/>
    <cellStyle name="Normal 6 2 2 3 2 5 2 4" xfId="0"/>
    <cellStyle name="Normal 6 2 2 3 2 5 2 4 2" xfId="0"/>
    <cellStyle name="Normal 6 2 2 3 2 5 2 4 2 2" xfId="0"/>
    <cellStyle name="Normal 6 2 2 3 2 5 2 4 3" xfId="0"/>
    <cellStyle name="Normal 6 2 2 3 2 5 2 5" xfId="0"/>
    <cellStyle name="Normal 6 2 2 3 2 5 2 5 2" xfId="0"/>
    <cellStyle name="Normal 6 2 2 3 2 5 2 6" xfId="0"/>
    <cellStyle name="Normal 6 2 2 3 2 5 3" xfId="0"/>
    <cellStyle name="Normal 6 2 2 3 2 5 3 2" xfId="0"/>
    <cellStyle name="Normal 6 2 2 3 2 5 3 2 2" xfId="0"/>
    <cellStyle name="Normal 6 2 2 3 2 5 3 2 2 2" xfId="0"/>
    <cellStyle name="Normal 6 2 2 3 2 5 3 2 2 2 2" xfId="0"/>
    <cellStyle name="Normal 6 2 2 3 2 5 3 2 2 3" xfId="0"/>
    <cellStyle name="Normal 6 2 2 3 2 5 3 2 3" xfId="0"/>
    <cellStyle name="Normal 6 2 2 3 2 5 3 2 3 2" xfId="0"/>
    <cellStyle name="Normal 6 2 2 3 2 5 3 2 4" xfId="0"/>
    <cellStyle name="Normal 6 2 2 3 2 5 3 3" xfId="0"/>
    <cellStyle name="Normal 6 2 2 3 2 5 3 3 2" xfId="0"/>
    <cellStyle name="Normal 6 2 2 3 2 5 3 3 2 2" xfId="0"/>
    <cellStyle name="Normal 6 2 2 3 2 5 3 3 3" xfId="0"/>
    <cellStyle name="Normal 6 2 2 3 2 5 3 4" xfId="0"/>
    <cellStyle name="Normal 6 2 2 3 2 5 3 4 2" xfId="0"/>
    <cellStyle name="Normal 6 2 2 3 2 5 3 5" xfId="0"/>
    <cellStyle name="Normal 6 2 2 3 2 5 4" xfId="0"/>
    <cellStyle name="Normal 6 2 2 3 2 5 4 2" xfId="0"/>
    <cellStyle name="Normal 6 2 2 3 2 5 4 2 2" xfId="0"/>
    <cellStyle name="Normal 6 2 2 3 2 5 4 2 2 2" xfId="0"/>
    <cellStyle name="Normal 6 2 2 3 2 5 4 2 3" xfId="0"/>
    <cellStyle name="Normal 6 2 2 3 2 5 4 3" xfId="0"/>
    <cellStyle name="Normal 6 2 2 3 2 5 4 3 2" xfId="0"/>
    <cellStyle name="Normal 6 2 2 3 2 5 4 4" xfId="0"/>
    <cellStyle name="Normal 6 2 2 3 2 5 5" xfId="0"/>
    <cellStyle name="Normal 6 2 2 3 2 5 5 2" xfId="0"/>
    <cellStyle name="Normal 6 2 2 3 2 5 5 2 2" xfId="0"/>
    <cellStyle name="Normal 6 2 2 3 2 5 5 3" xfId="0"/>
    <cellStyle name="Normal 6 2 2 3 2 5 6" xfId="0"/>
    <cellStyle name="Normal 6 2 2 3 2 5 6 2" xfId="0"/>
    <cellStyle name="Normal 6 2 2 3 2 5 7" xfId="0"/>
    <cellStyle name="Normal 6 2 2 3 2 6" xfId="0"/>
    <cellStyle name="Normal 6 2 2 3 2 6 2" xfId="0"/>
    <cellStyle name="Normal 6 2 2 3 2 6 2 2" xfId="0"/>
    <cellStyle name="Normal 6 2 2 3 2 6 2 2 2" xfId="0"/>
    <cellStyle name="Normal 6 2 2 3 2 6 2 2 2 2" xfId="0"/>
    <cellStyle name="Normal 6 2 2 3 2 6 2 2 2 2 2" xfId="0"/>
    <cellStyle name="Normal 6 2 2 3 2 6 2 2 2 3" xfId="0"/>
    <cellStyle name="Normal 6 2 2 3 2 6 2 2 3" xfId="0"/>
    <cellStyle name="Normal 6 2 2 3 2 6 2 2 3 2" xfId="0"/>
    <cellStyle name="Normal 6 2 2 3 2 6 2 2 4" xfId="0"/>
    <cellStyle name="Normal 6 2 2 3 2 6 2 3" xfId="0"/>
    <cellStyle name="Normal 6 2 2 3 2 6 2 3 2" xfId="0"/>
    <cellStyle name="Normal 6 2 2 3 2 6 2 3 2 2" xfId="0"/>
    <cellStyle name="Normal 6 2 2 3 2 6 2 3 3" xfId="0"/>
    <cellStyle name="Normal 6 2 2 3 2 6 2 4" xfId="0"/>
    <cellStyle name="Normal 6 2 2 3 2 6 2 4 2" xfId="0"/>
    <cellStyle name="Normal 6 2 2 3 2 6 2 5" xfId="0"/>
    <cellStyle name="Normal 6 2 2 3 2 6 3" xfId="0"/>
    <cellStyle name="Normal 6 2 2 3 2 6 3 2" xfId="0"/>
    <cellStyle name="Normal 6 2 2 3 2 6 3 2 2" xfId="0"/>
    <cellStyle name="Normal 6 2 2 3 2 6 3 2 2 2" xfId="0"/>
    <cellStyle name="Normal 6 2 2 3 2 6 3 2 3" xfId="0"/>
    <cellStyle name="Normal 6 2 2 3 2 6 3 3" xfId="0"/>
    <cellStyle name="Normal 6 2 2 3 2 6 3 3 2" xfId="0"/>
    <cellStyle name="Normal 6 2 2 3 2 6 3 4" xfId="0"/>
    <cellStyle name="Normal 6 2 2 3 2 6 4" xfId="0"/>
    <cellStyle name="Normal 6 2 2 3 2 6 4 2" xfId="0"/>
    <cellStyle name="Normal 6 2 2 3 2 6 4 2 2" xfId="0"/>
    <cellStyle name="Normal 6 2 2 3 2 6 4 3" xfId="0"/>
    <cellStyle name="Normal 6 2 2 3 2 6 5" xfId="0"/>
    <cellStyle name="Normal 6 2 2 3 2 6 5 2" xfId="0"/>
    <cellStyle name="Normal 6 2 2 3 2 6 6" xfId="0"/>
    <cellStyle name="Normal 6 2 2 3 2 7" xfId="0"/>
    <cellStyle name="Normal 6 2 2 3 2 7 2" xfId="0"/>
    <cellStyle name="Normal 6 2 2 3 2 7 2 2" xfId="0"/>
    <cellStyle name="Normal 6 2 2 3 2 7 2 2 2" xfId="0"/>
    <cellStyle name="Normal 6 2 2 3 2 7 2 2 2 2" xfId="0"/>
    <cellStyle name="Normal 6 2 2 3 2 7 2 2 3" xfId="0"/>
    <cellStyle name="Normal 6 2 2 3 2 7 2 3" xfId="0"/>
    <cellStyle name="Normal 6 2 2 3 2 7 2 3 2" xfId="0"/>
    <cellStyle name="Normal 6 2 2 3 2 7 2 4" xfId="0"/>
    <cellStyle name="Normal 6 2 2 3 2 7 3" xfId="0"/>
    <cellStyle name="Normal 6 2 2 3 2 7 3 2" xfId="0"/>
    <cellStyle name="Normal 6 2 2 3 2 7 3 2 2" xfId="0"/>
    <cellStyle name="Normal 6 2 2 3 2 7 3 3" xfId="0"/>
    <cellStyle name="Normal 6 2 2 3 2 7 4" xfId="0"/>
    <cellStyle name="Normal 6 2 2 3 2 7 4 2" xfId="0"/>
    <cellStyle name="Normal 6 2 2 3 2 7 5" xfId="0"/>
    <cellStyle name="Normal 6 2 2 3 2 8" xfId="0"/>
    <cellStyle name="Normal 6 2 2 3 2 8 2" xfId="0"/>
    <cellStyle name="Normal 6 2 2 3 2 8 2 2" xfId="0"/>
    <cellStyle name="Normal 6 2 2 3 2 8 2 2 2" xfId="0"/>
    <cellStyle name="Normal 6 2 2 3 2 8 2 3" xfId="0"/>
    <cellStyle name="Normal 6 2 2 3 2 8 3" xfId="0"/>
    <cellStyle name="Normal 6 2 2 3 2 8 3 2" xfId="0"/>
    <cellStyle name="Normal 6 2 2 3 2 8 4" xfId="0"/>
    <cellStyle name="Normal 6 2 2 3 2 9" xfId="0"/>
    <cellStyle name="Normal 6 2 2 3 2 9 2" xfId="0"/>
    <cellStyle name="Normal 6 2 2 3 2 9 2 2" xfId="0"/>
    <cellStyle name="Normal 6 2 2 3 2 9 3" xfId="0"/>
    <cellStyle name="Normal 6 2 2 3 3" xfId="0"/>
    <cellStyle name="Normal 6 2 2 3 3 2" xfId="0"/>
    <cellStyle name="Normal 6 2 2 3 3 2 2" xfId="0"/>
    <cellStyle name="Normal 6 2 2 3 3 2 2 2" xfId="0"/>
    <cellStyle name="Normal 6 2 2 3 3 2 2 2 2" xfId="0"/>
    <cellStyle name="Normal 6 2 2 3 3 2 2 2 2 2" xfId="0"/>
    <cellStyle name="Normal 6 2 2 3 3 2 2 2 2 2 2" xfId="0"/>
    <cellStyle name="Normal 6 2 2 3 3 2 2 2 2 2 2 2" xfId="0"/>
    <cellStyle name="Normal 6 2 2 3 3 2 2 2 2 2 3" xfId="0"/>
    <cellStyle name="Normal 6 2 2 3 3 2 2 2 2 3" xfId="0"/>
    <cellStyle name="Normal 6 2 2 3 3 2 2 2 2 3 2" xfId="0"/>
    <cellStyle name="Normal 6 2 2 3 3 2 2 2 2 4" xfId="0"/>
    <cellStyle name="Normal 6 2 2 3 3 2 2 2 3" xfId="0"/>
    <cellStyle name="Normal 6 2 2 3 3 2 2 2 3 2" xfId="0"/>
    <cellStyle name="Normal 6 2 2 3 3 2 2 2 3 2 2" xfId="0"/>
    <cellStyle name="Normal 6 2 2 3 3 2 2 2 3 3" xfId="0"/>
    <cellStyle name="Normal 6 2 2 3 3 2 2 2 4" xfId="0"/>
    <cellStyle name="Normal 6 2 2 3 3 2 2 2 4 2" xfId="0"/>
    <cellStyle name="Normal 6 2 2 3 3 2 2 2 5" xfId="0"/>
    <cellStyle name="Normal 6 2 2 3 3 2 2 3" xfId="0"/>
    <cellStyle name="Normal 6 2 2 3 3 2 2 3 2" xfId="0"/>
    <cellStyle name="Normal 6 2 2 3 3 2 2 3 2 2" xfId="0"/>
    <cellStyle name="Normal 6 2 2 3 3 2 2 3 2 2 2" xfId="0"/>
    <cellStyle name="Normal 6 2 2 3 3 2 2 3 2 3" xfId="0"/>
    <cellStyle name="Normal 6 2 2 3 3 2 2 3 3" xfId="0"/>
    <cellStyle name="Normal 6 2 2 3 3 2 2 3 3 2" xfId="0"/>
    <cellStyle name="Normal 6 2 2 3 3 2 2 3 4" xfId="0"/>
    <cellStyle name="Normal 6 2 2 3 3 2 2 4" xfId="0"/>
    <cellStyle name="Normal 6 2 2 3 3 2 2 4 2" xfId="0"/>
    <cellStyle name="Normal 6 2 2 3 3 2 2 4 2 2" xfId="0"/>
    <cellStyle name="Normal 6 2 2 3 3 2 2 4 3" xfId="0"/>
    <cellStyle name="Normal 6 2 2 3 3 2 2 5" xfId="0"/>
    <cellStyle name="Normal 6 2 2 3 3 2 2 5 2" xfId="0"/>
    <cellStyle name="Normal 6 2 2 3 3 2 2 6" xfId="0"/>
    <cellStyle name="Normal 6 2 2 3 3 2 3" xfId="0"/>
    <cellStyle name="Normal 6 2 2 3 3 2 3 2" xfId="0"/>
    <cellStyle name="Normal 6 2 2 3 3 2 3 2 2" xfId="0"/>
    <cellStyle name="Normal 6 2 2 3 3 2 3 2 2 2" xfId="0"/>
    <cellStyle name="Normal 6 2 2 3 3 2 3 2 2 2 2" xfId="0"/>
    <cellStyle name="Normal 6 2 2 3 3 2 3 2 2 3" xfId="0"/>
    <cellStyle name="Normal 6 2 2 3 3 2 3 2 3" xfId="0"/>
    <cellStyle name="Normal 6 2 2 3 3 2 3 2 3 2" xfId="0"/>
    <cellStyle name="Normal 6 2 2 3 3 2 3 2 4" xfId="0"/>
    <cellStyle name="Normal 6 2 2 3 3 2 3 3" xfId="0"/>
    <cellStyle name="Normal 6 2 2 3 3 2 3 3 2" xfId="0"/>
    <cellStyle name="Normal 6 2 2 3 3 2 3 3 2 2" xfId="0"/>
    <cellStyle name="Normal 6 2 2 3 3 2 3 3 3" xfId="0"/>
    <cellStyle name="Normal 6 2 2 3 3 2 3 4" xfId="0"/>
    <cellStyle name="Normal 6 2 2 3 3 2 3 4 2" xfId="0"/>
    <cellStyle name="Normal 6 2 2 3 3 2 3 5" xfId="0"/>
    <cellStyle name="Normal 6 2 2 3 3 2 4" xfId="0"/>
    <cellStyle name="Normal 6 2 2 3 3 2 4 2" xfId="0"/>
    <cellStyle name="Normal 6 2 2 3 3 2 4 2 2" xfId="0"/>
    <cellStyle name="Normal 6 2 2 3 3 2 4 2 2 2" xfId="0"/>
    <cellStyle name="Normal 6 2 2 3 3 2 4 2 3" xfId="0"/>
    <cellStyle name="Normal 6 2 2 3 3 2 4 3" xfId="0"/>
    <cellStyle name="Normal 6 2 2 3 3 2 4 3 2" xfId="0"/>
    <cellStyle name="Normal 6 2 2 3 3 2 4 4" xfId="0"/>
    <cellStyle name="Normal 6 2 2 3 3 2 5" xfId="0"/>
    <cellStyle name="Normal 6 2 2 3 3 2 5 2" xfId="0"/>
    <cellStyle name="Normal 6 2 2 3 3 2 5 2 2" xfId="0"/>
    <cellStyle name="Normal 6 2 2 3 3 2 5 3" xfId="0"/>
    <cellStyle name="Normal 6 2 2 3 3 2 6" xfId="0"/>
    <cellStyle name="Normal 6 2 2 3 3 2 6 2" xfId="0"/>
    <cellStyle name="Normal 6 2 2 3 3 2 7" xfId="0"/>
    <cellStyle name="Normal 6 2 2 3 3 3" xfId="0"/>
    <cellStyle name="Normal 6 2 2 3 3 3 2" xfId="0"/>
    <cellStyle name="Normal 6 2 2 3 3 3 2 2" xfId="0"/>
    <cellStyle name="Normal 6 2 2 3 3 3 2 2 2" xfId="0"/>
    <cellStyle name="Normal 6 2 2 3 3 3 2 2 2 2" xfId="0"/>
    <cellStyle name="Normal 6 2 2 3 3 3 2 2 2 2 2" xfId="0"/>
    <cellStyle name="Normal 6 2 2 3 3 3 2 2 2 3" xfId="0"/>
    <cellStyle name="Normal 6 2 2 3 3 3 2 2 3" xfId="0"/>
    <cellStyle name="Normal 6 2 2 3 3 3 2 2 3 2" xfId="0"/>
    <cellStyle name="Normal 6 2 2 3 3 3 2 2 4" xfId="0"/>
    <cellStyle name="Normal 6 2 2 3 3 3 2 3" xfId="0"/>
    <cellStyle name="Normal 6 2 2 3 3 3 2 3 2" xfId="0"/>
    <cellStyle name="Normal 6 2 2 3 3 3 2 3 2 2" xfId="0"/>
    <cellStyle name="Normal 6 2 2 3 3 3 2 3 3" xfId="0"/>
    <cellStyle name="Normal 6 2 2 3 3 3 2 4" xfId="0"/>
    <cellStyle name="Normal 6 2 2 3 3 3 2 4 2" xfId="0"/>
    <cellStyle name="Normal 6 2 2 3 3 3 2 5" xfId="0"/>
    <cellStyle name="Normal 6 2 2 3 3 3 3" xfId="0"/>
    <cellStyle name="Normal 6 2 2 3 3 3 3 2" xfId="0"/>
    <cellStyle name="Normal 6 2 2 3 3 3 3 2 2" xfId="0"/>
    <cellStyle name="Normal 6 2 2 3 3 3 3 2 2 2" xfId="0"/>
    <cellStyle name="Normal 6 2 2 3 3 3 3 2 3" xfId="0"/>
    <cellStyle name="Normal 6 2 2 3 3 3 3 3" xfId="0"/>
    <cellStyle name="Normal 6 2 2 3 3 3 3 3 2" xfId="0"/>
    <cellStyle name="Normal 6 2 2 3 3 3 3 4" xfId="0"/>
    <cellStyle name="Normal 6 2 2 3 3 3 4" xfId="0"/>
    <cellStyle name="Normal 6 2 2 3 3 3 4 2" xfId="0"/>
    <cellStyle name="Normal 6 2 2 3 3 3 4 2 2" xfId="0"/>
    <cellStyle name="Normal 6 2 2 3 3 3 4 3" xfId="0"/>
    <cellStyle name="Normal 6 2 2 3 3 3 5" xfId="0"/>
    <cellStyle name="Normal 6 2 2 3 3 3 5 2" xfId="0"/>
    <cellStyle name="Normal 6 2 2 3 3 3 6" xfId="0"/>
    <cellStyle name="Normal 6 2 2 3 3 4" xfId="0"/>
    <cellStyle name="Normal 6 2 2 3 3 4 2" xfId="0"/>
    <cellStyle name="Normal 6 2 2 3 3 4 2 2" xfId="0"/>
    <cellStyle name="Normal 6 2 2 3 3 4 2 2 2" xfId="0"/>
    <cellStyle name="Normal 6 2 2 3 3 4 2 2 2 2" xfId="0"/>
    <cellStyle name="Normal 6 2 2 3 3 4 2 2 3" xfId="0"/>
    <cellStyle name="Normal 6 2 2 3 3 4 2 3" xfId="0"/>
    <cellStyle name="Normal 6 2 2 3 3 4 2 3 2" xfId="0"/>
    <cellStyle name="Normal 6 2 2 3 3 4 2 4" xfId="0"/>
    <cellStyle name="Normal 6 2 2 3 3 4 3" xfId="0"/>
    <cellStyle name="Normal 6 2 2 3 3 4 3 2" xfId="0"/>
    <cellStyle name="Normal 6 2 2 3 3 4 3 2 2" xfId="0"/>
    <cellStyle name="Normal 6 2 2 3 3 4 3 3" xfId="0"/>
    <cellStyle name="Normal 6 2 2 3 3 4 4" xfId="0"/>
    <cellStyle name="Normal 6 2 2 3 3 4 4 2" xfId="0"/>
    <cellStyle name="Normal 6 2 2 3 3 4 5" xfId="0"/>
    <cellStyle name="Normal 6 2 2 3 3 5" xfId="0"/>
    <cellStyle name="Normal 6 2 2 3 3 5 2" xfId="0"/>
    <cellStyle name="Normal 6 2 2 3 3 5 2 2" xfId="0"/>
    <cellStyle name="Normal 6 2 2 3 3 5 2 2 2" xfId="0"/>
    <cellStyle name="Normal 6 2 2 3 3 5 2 3" xfId="0"/>
    <cellStyle name="Normal 6 2 2 3 3 5 3" xfId="0"/>
    <cellStyle name="Normal 6 2 2 3 3 5 3 2" xfId="0"/>
    <cellStyle name="Normal 6 2 2 3 3 5 4" xfId="0"/>
    <cellStyle name="Normal 6 2 2 3 3 6" xfId="0"/>
    <cellStyle name="Normal 6 2 2 3 3 6 2" xfId="0"/>
    <cellStyle name="Normal 6 2 2 3 3 6 2 2" xfId="0"/>
    <cellStyle name="Normal 6 2 2 3 3 6 3" xfId="0"/>
    <cellStyle name="Normal 6 2 2 3 3 7" xfId="0"/>
    <cellStyle name="Normal 6 2 2 3 3 7 2" xfId="0"/>
    <cellStyle name="Normal 6 2 2 3 3 8" xfId="0"/>
    <cellStyle name="Normal 6 2 2 3 4" xfId="0"/>
    <cellStyle name="Normal 6 2 2 3 4 2" xfId="0"/>
    <cellStyle name="Normal 6 2 2 3 4 2 2" xfId="0"/>
    <cellStyle name="Normal 6 2 2 3 4 2 2 2" xfId="0"/>
    <cellStyle name="Normal 6 2 2 3 4 2 2 2 2" xfId="0"/>
    <cellStyle name="Normal 6 2 2 3 4 2 2 2 2 2" xfId="0"/>
    <cellStyle name="Normal 6 2 2 3 4 2 2 2 2 2 2" xfId="0"/>
    <cellStyle name="Normal 6 2 2 3 4 2 2 2 2 2 2 2" xfId="0"/>
    <cellStyle name="Normal 6 2 2 3 4 2 2 2 2 2 3" xfId="0"/>
    <cellStyle name="Normal 6 2 2 3 4 2 2 2 2 3" xfId="0"/>
    <cellStyle name="Normal 6 2 2 3 4 2 2 2 2 3 2" xfId="0"/>
    <cellStyle name="Normal 6 2 2 3 4 2 2 2 2 4" xfId="0"/>
    <cellStyle name="Normal 6 2 2 3 4 2 2 2 3" xfId="0"/>
    <cellStyle name="Normal 6 2 2 3 4 2 2 2 3 2" xfId="0"/>
    <cellStyle name="Normal 6 2 2 3 4 2 2 2 3 2 2" xfId="0"/>
    <cellStyle name="Normal 6 2 2 3 4 2 2 2 3 3" xfId="0"/>
    <cellStyle name="Normal 6 2 2 3 4 2 2 2 4" xfId="0"/>
    <cellStyle name="Normal 6 2 2 3 4 2 2 2 4 2" xfId="0"/>
    <cellStyle name="Normal 6 2 2 3 4 2 2 2 5" xfId="0"/>
    <cellStyle name="Normal 6 2 2 3 4 2 2 3" xfId="0"/>
    <cellStyle name="Normal 6 2 2 3 4 2 2 3 2" xfId="0"/>
    <cellStyle name="Normal 6 2 2 3 4 2 2 3 2 2" xfId="0"/>
    <cellStyle name="Normal 6 2 2 3 4 2 2 3 2 2 2" xfId="0"/>
    <cellStyle name="Normal 6 2 2 3 4 2 2 3 2 3" xfId="0"/>
    <cellStyle name="Normal 6 2 2 3 4 2 2 3 3" xfId="0"/>
    <cellStyle name="Normal 6 2 2 3 4 2 2 3 3 2" xfId="0"/>
    <cellStyle name="Normal 6 2 2 3 4 2 2 3 4" xfId="0"/>
    <cellStyle name="Normal 6 2 2 3 4 2 2 4" xfId="0"/>
    <cellStyle name="Normal 6 2 2 3 4 2 2 4 2" xfId="0"/>
    <cellStyle name="Normal 6 2 2 3 4 2 2 4 2 2" xfId="0"/>
    <cellStyle name="Normal 6 2 2 3 4 2 2 4 3" xfId="0"/>
    <cellStyle name="Normal 6 2 2 3 4 2 2 5" xfId="0"/>
    <cellStyle name="Normal 6 2 2 3 4 2 2 5 2" xfId="0"/>
    <cellStyle name="Normal 6 2 2 3 4 2 2 6" xfId="0"/>
    <cellStyle name="Normal 6 2 2 3 4 2 3" xfId="0"/>
    <cellStyle name="Normal 6 2 2 3 4 2 3 2" xfId="0"/>
    <cellStyle name="Normal 6 2 2 3 4 2 3 2 2" xfId="0"/>
    <cellStyle name="Normal 6 2 2 3 4 2 3 2 2 2" xfId="0"/>
    <cellStyle name="Normal 6 2 2 3 4 2 3 2 2 2 2" xfId="0"/>
    <cellStyle name="Normal 6 2 2 3 4 2 3 2 2 3" xfId="0"/>
    <cellStyle name="Normal 6 2 2 3 4 2 3 2 3" xfId="0"/>
    <cellStyle name="Normal 6 2 2 3 4 2 3 2 3 2" xfId="0"/>
    <cellStyle name="Normal 6 2 2 3 4 2 3 2 4" xfId="0"/>
    <cellStyle name="Normal 6 2 2 3 4 2 3 3" xfId="0"/>
    <cellStyle name="Normal 6 2 2 3 4 2 3 3 2" xfId="0"/>
    <cellStyle name="Normal 6 2 2 3 4 2 3 3 2 2" xfId="0"/>
    <cellStyle name="Normal 6 2 2 3 4 2 3 3 3" xfId="0"/>
    <cellStyle name="Normal 6 2 2 3 4 2 3 4" xfId="0"/>
    <cellStyle name="Normal 6 2 2 3 4 2 3 4 2" xfId="0"/>
    <cellStyle name="Normal 6 2 2 3 4 2 3 5" xfId="0"/>
    <cellStyle name="Normal 6 2 2 3 4 2 4" xfId="0"/>
    <cellStyle name="Normal 6 2 2 3 4 2 4 2" xfId="0"/>
    <cellStyle name="Normal 6 2 2 3 4 2 4 2 2" xfId="0"/>
    <cellStyle name="Normal 6 2 2 3 4 2 4 2 2 2" xfId="0"/>
    <cellStyle name="Normal 6 2 2 3 4 2 4 2 3" xfId="0"/>
    <cellStyle name="Normal 6 2 2 3 4 2 4 3" xfId="0"/>
    <cellStyle name="Normal 6 2 2 3 4 2 4 3 2" xfId="0"/>
    <cellStyle name="Normal 6 2 2 3 4 2 4 4" xfId="0"/>
    <cellStyle name="Normal 6 2 2 3 4 2 5" xfId="0"/>
    <cellStyle name="Normal 6 2 2 3 4 2 5 2" xfId="0"/>
    <cellStyle name="Normal 6 2 2 3 4 2 5 2 2" xfId="0"/>
    <cellStyle name="Normal 6 2 2 3 4 2 5 3" xfId="0"/>
    <cellStyle name="Normal 6 2 2 3 4 2 6" xfId="0"/>
    <cellStyle name="Normal 6 2 2 3 4 2 6 2" xfId="0"/>
    <cellStyle name="Normal 6 2 2 3 4 2 7" xfId="0"/>
    <cellStyle name="Normal 6 2 2 3 4 3" xfId="0"/>
    <cellStyle name="Normal 6 2 2 3 4 3 2" xfId="0"/>
    <cellStyle name="Normal 6 2 2 3 4 3 2 2" xfId="0"/>
    <cellStyle name="Normal 6 2 2 3 4 3 2 2 2" xfId="0"/>
    <cellStyle name="Normal 6 2 2 3 4 3 2 2 2 2" xfId="0"/>
    <cellStyle name="Normal 6 2 2 3 4 3 2 2 2 2 2" xfId="0"/>
    <cellStyle name="Normal 6 2 2 3 4 3 2 2 2 3" xfId="0"/>
    <cellStyle name="Normal 6 2 2 3 4 3 2 2 3" xfId="0"/>
    <cellStyle name="Normal 6 2 2 3 4 3 2 2 3 2" xfId="0"/>
    <cellStyle name="Normal 6 2 2 3 4 3 2 2 4" xfId="0"/>
    <cellStyle name="Normal 6 2 2 3 4 3 2 3" xfId="0"/>
    <cellStyle name="Normal 6 2 2 3 4 3 2 3 2" xfId="0"/>
    <cellStyle name="Normal 6 2 2 3 4 3 2 3 2 2" xfId="0"/>
    <cellStyle name="Normal 6 2 2 3 4 3 2 3 3" xfId="0"/>
    <cellStyle name="Normal 6 2 2 3 4 3 2 4" xfId="0"/>
    <cellStyle name="Normal 6 2 2 3 4 3 2 4 2" xfId="0"/>
    <cellStyle name="Normal 6 2 2 3 4 3 2 5" xfId="0"/>
    <cellStyle name="Normal 6 2 2 3 4 3 3" xfId="0"/>
    <cellStyle name="Normal 6 2 2 3 4 3 3 2" xfId="0"/>
    <cellStyle name="Normal 6 2 2 3 4 3 3 2 2" xfId="0"/>
    <cellStyle name="Normal 6 2 2 3 4 3 3 2 2 2" xfId="0"/>
    <cellStyle name="Normal 6 2 2 3 4 3 3 2 3" xfId="0"/>
    <cellStyle name="Normal 6 2 2 3 4 3 3 3" xfId="0"/>
    <cellStyle name="Normal 6 2 2 3 4 3 3 3 2" xfId="0"/>
    <cellStyle name="Normal 6 2 2 3 4 3 3 4" xfId="0"/>
    <cellStyle name="Normal 6 2 2 3 4 3 4" xfId="0"/>
    <cellStyle name="Normal 6 2 2 3 4 3 4 2" xfId="0"/>
    <cellStyle name="Normal 6 2 2 3 4 3 4 2 2" xfId="0"/>
    <cellStyle name="Normal 6 2 2 3 4 3 4 3" xfId="0"/>
    <cellStyle name="Normal 6 2 2 3 4 3 5" xfId="0"/>
    <cellStyle name="Normal 6 2 2 3 4 3 5 2" xfId="0"/>
    <cellStyle name="Normal 6 2 2 3 4 3 6" xfId="0"/>
    <cellStyle name="Normal 6 2 2 3 4 4" xfId="0"/>
    <cellStyle name="Normal 6 2 2 3 4 4 2" xfId="0"/>
    <cellStyle name="Normal 6 2 2 3 4 4 2 2" xfId="0"/>
    <cellStyle name="Normal 6 2 2 3 4 4 2 2 2" xfId="0"/>
    <cellStyle name="Normal 6 2 2 3 4 4 2 2 2 2" xfId="0"/>
    <cellStyle name="Normal 6 2 2 3 4 4 2 2 3" xfId="0"/>
    <cellStyle name="Normal 6 2 2 3 4 4 2 3" xfId="0"/>
    <cellStyle name="Normal 6 2 2 3 4 4 2 3 2" xfId="0"/>
    <cellStyle name="Normal 6 2 2 3 4 4 2 4" xfId="0"/>
    <cellStyle name="Normal 6 2 2 3 4 4 3" xfId="0"/>
    <cellStyle name="Normal 6 2 2 3 4 4 3 2" xfId="0"/>
    <cellStyle name="Normal 6 2 2 3 4 4 3 2 2" xfId="0"/>
    <cellStyle name="Normal 6 2 2 3 4 4 3 3" xfId="0"/>
    <cellStyle name="Normal 6 2 2 3 4 4 4" xfId="0"/>
    <cellStyle name="Normal 6 2 2 3 4 4 4 2" xfId="0"/>
    <cellStyle name="Normal 6 2 2 3 4 4 5" xfId="0"/>
    <cellStyle name="Normal 6 2 2 3 4 5" xfId="0"/>
    <cellStyle name="Normal 6 2 2 3 4 5 2" xfId="0"/>
    <cellStyle name="Normal 6 2 2 3 4 5 2 2" xfId="0"/>
    <cellStyle name="Normal 6 2 2 3 4 5 2 2 2" xfId="0"/>
    <cellStyle name="Normal 6 2 2 3 4 5 2 3" xfId="0"/>
    <cellStyle name="Normal 6 2 2 3 4 5 3" xfId="0"/>
    <cellStyle name="Normal 6 2 2 3 4 5 3 2" xfId="0"/>
    <cellStyle name="Normal 6 2 2 3 4 5 4" xfId="0"/>
    <cellStyle name="Normal 6 2 2 3 4 6" xfId="0"/>
    <cellStyle name="Normal 6 2 2 3 4 6 2" xfId="0"/>
    <cellStyle name="Normal 6 2 2 3 4 6 2 2" xfId="0"/>
    <cellStyle name="Normal 6 2 2 3 4 6 3" xfId="0"/>
    <cellStyle name="Normal 6 2 2 3 4 7" xfId="0"/>
    <cellStyle name="Normal 6 2 2 3 4 7 2" xfId="0"/>
    <cellStyle name="Normal 6 2 2 3 4 8" xfId="0"/>
    <cellStyle name="Normal 6 2 2 3 5" xfId="0"/>
    <cellStyle name="Normal 6 2 2 3 5 2" xfId="0"/>
    <cellStyle name="Normal 6 2 2 3 5 2 2" xfId="0"/>
    <cellStyle name="Normal 6 2 2 3 5 2 2 2" xfId="0"/>
    <cellStyle name="Normal 6 2 2 3 5 2 2 2 2" xfId="0"/>
    <cellStyle name="Normal 6 2 2 3 5 2 2 2 2 2" xfId="0"/>
    <cellStyle name="Normal 6 2 2 3 5 2 2 2 2 2 2" xfId="0"/>
    <cellStyle name="Normal 6 2 2 3 5 2 2 2 2 3" xfId="0"/>
    <cellStyle name="Normal 6 2 2 3 5 2 2 2 3" xfId="0"/>
    <cellStyle name="Normal 6 2 2 3 5 2 2 2 3 2" xfId="0"/>
    <cellStyle name="Normal 6 2 2 3 5 2 2 2 4" xfId="0"/>
    <cellStyle name="Normal 6 2 2 3 5 2 2 3" xfId="0"/>
    <cellStyle name="Normal 6 2 2 3 5 2 2 3 2" xfId="0"/>
    <cellStyle name="Normal 6 2 2 3 5 2 2 3 2 2" xfId="0"/>
    <cellStyle name="Normal 6 2 2 3 5 2 2 3 3" xfId="0"/>
    <cellStyle name="Normal 6 2 2 3 5 2 2 4" xfId="0"/>
    <cellStyle name="Normal 6 2 2 3 5 2 2 4 2" xfId="0"/>
    <cellStyle name="Normal 6 2 2 3 5 2 2 5" xfId="0"/>
    <cellStyle name="Normal 6 2 2 3 5 2 3" xfId="0"/>
    <cellStyle name="Normal 6 2 2 3 5 2 3 2" xfId="0"/>
    <cellStyle name="Normal 6 2 2 3 5 2 3 2 2" xfId="0"/>
    <cellStyle name="Normal 6 2 2 3 5 2 3 2 2 2" xfId="0"/>
    <cellStyle name="Normal 6 2 2 3 5 2 3 2 3" xfId="0"/>
    <cellStyle name="Normal 6 2 2 3 5 2 3 3" xfId="0"/>
    <cellStyle name="Normal 6 2 2 3 5 2 3 3 2" xfId="0"/>
    <cellStyle name="Normal 6 2 2 3 5 2 3 4" xfId="0"/>
    <cellStyle name="Normal 6 2 2 3 5 2 4" xfId="0"/>
    <cellStyle name="Normal 6 2 2 3 5 2 4 2" xfId="0"/>
    <cellStyle name="Normal 6 2 2 3 5 2 4 2 2" xfId="0"/>
    <cellStyle name="Normal 6 2 2 3 5 2 4 3" xfId="0"/>
    <cellStyle name="Normal 6 2 2 3 5 2 5" xfId="0"/>
    <cellStyle name="Normal 6 2 2 3 5 2 5 2" xfId="0"/>
    <cellStyle name="Normal 6 2 2 3 5 2 6" xfId="0"/>
    <cellStyle name="Normal 6 2 2 3 5 3" xfId="0"/>
    <cellStyle name="Normal 6 2 2 3 5 3 2" xfId="0"/>
    <cellStyle name="Normal 6 2 2 3 5 3 2 2" xfId="0"/>
    <cellStyle name="Normal 6 2 2 3 5 3 2 2 2" xfId="0"/>
    <cellStyle name="Normal 6 2 2 3 5 3 2 2 2 2" xfId="0"/>
    <cellStyle name="Normal 6 2 2 3 5 3 2 2 3" xfId="0"/>
    <cellStyle name="Normal 6 2 2 3 5 3 2 3" xfId="0"/>
    <cellStyle name="Normal 6 2 2 3 5 3 2 3 2" xfId="0"/>
    <cellStyle name="Normal 6 2 2 3 5 3 2 4" xfId="0"/>
    <cellStyle name="Normal 6 2 2 3 5 3 3" xfId="0"/>
    <cellStyle name="Normal 6 2 2 3 5 3 3 2" xfId="0"/>
    <cellStyle name="Normal 6 2 2 3 5 3 3 2 2" xfId="0"/>
    <cellStyle name="Normal 6 2 2 3 5 3 3 3" xfId="0"/>
    <cellStyle name="Normal 6 2 2 3 5 3 4" xfId="0"/>
    <cellStyle name="Normal 6 2 2 3 5 3 4 2" xfId="0"/>
    <cellStyle name="Normal 6 2 2 3 5 3 5" xfId="0"/>
    <cellStyle name="Normal 6 2 2 3 5 4" xfId="0"/>
    <cellStyle name="Normal 6 2 2 3 5 4 2" xfId="0"/>
    <cellStyle name="Normal 6 2 2 3 5 4 2 2" xfId="0"/>
    <cellStyle name="Normal 6 2 2 3 5 4 2 2 2" xfId="0"/>
    <cellStyle name="Normal 6 2 2 3 5 4 2 3" xfId="0"/>
    <cellStyle name="Normal 6 2 2 3 5 4 3" xfId="0"/>
    <cellStyle name="Normal 6 2 2 3 5 4 3 2" xfId="0"/>
    <cellStyle name="Normal 6 2 2 3 5 4 4" xfId="0"/>
    <cellStyle name="Normal 6 2 2 3 5 5" xfId="0"/>
    <cellStyle name="Normal 6 2 2 3 5 5 2" xfId="0"/>
    <cellStyle name="Normal 6 2 2 3 5 5 2 2" xfId="0"/>
    <cellStyle name="Normal 6 2 2 3 5 5 3" xfId="0"/>
    <cellStyle name="Normal 6 2 2 3 5 6" xfId="0"/>
    <cellStyle name="Normal 6 2 2 3 5 6 2" xfId="0"/>
    <cellStyle name="Normal 6 2 2 3 5 7" xfId="0"/>
    <cellStyle name="Normal 6 2 2 3 6" xfId="0"/>
    <cellStyle name="Normal 6 2 2 3 6 2" xfId="0"/>
    <cellStyle name="Normal 6 2 2 3 6 2 2" xfId="0"/>
    <cellStyle name="Normal 6 2 2 3 6 2 2 2" xfId="0"/>
    <cellStyle name="Normal 6 2 2 3 6 2 2 2 2" xfId="0"/>
    <cellStyle name="Normal 6 2 2 3 6 2 2 2 2 2" xfId="0"/>
    <cellStyle name="Normal 6 2 2 3 6 2 2 2 2 2 2" xfId="0"/>
    <cellStyle name="Normal 6 2 2 3 6 2 2 2 2 3" xfId="0"/>
    <cellStyle name="Normal 6 2 2 3 6 2 2 2 3" xfId="0"/>
    <cellStyle name="Normal 6 2 2 3 6 2 2 2 3 2" xfId="0"/>
    <cellStyle name="Normal 6 2 2 3 6 2 2 2 4" xfId="0"/>
    <cellStyle name="Normal 6 2 2 3 6 2 2 3" xfId="0"/>
    <cellStyle name="Normal 6 2 2 3 6 2 2 3 2" xfId="0"/>
    <cellStyle name="Normal 6 2 2 3 6 2 2 3 2 2" xfId="0"/>
    <cellStyle name="Normal 6 2 2 3 6 2 2 3 3" xfId="0"/>
    <cellStyle name="Normal 6 2 2 3 6 2 2 4" xfId="0"/>
    <cellStyle name="Normal 6 2 2 3 6 2 2 4 2" xfId="0"/>
    <cellStyle name="Normal 6 2 2 3 6 2 2 5" xfId="0"/>
    <cellStyle name="Normal 6 2 2 3 6 2 3" xfId="0"/>
    <cellStyle name="Normal 6 2 2 3 6 2 3 2" xfId="0"/>
    <cellStyle name="Normal 6 2 2 3 6 2 3 2 2" xfId="0"/>
    <cellStyle name="Normal 6 2 2 3 6 2 3 2 2 2" xfId="0"/>
    <cellStyle name="Normal 6 2 2 3 6 2 3 2 3" xfId="0"/>
    <cellStyle name="Normal 6 2 2 3 6 2 3 3" xfId="0"/>
    <cellStyle name="Normal 6 2 2 3 6 2 3 3 2" xfId="0"/>
    <cellStyle name="Normal 6 2 2 3 6 2 3 4" xfId="0"/>
    <cellStyle name="Normal 6 2 2 3 6 2 4" xfId="0"/>
    <cellStyle name="Normal 6 2 2 3 6 2 4 2" xfId="0"/>
    <cellStyle name="Normal 6 2 2 3 6 2 4 2 2" xfId="0"/>
    <cellStyle name="Normal 6 2 2 3 6 2 4 3" xfId="0"/>
    <cellStyle name="Normal 6 2 2 3 6 2 5" xfId="0"/>
    <cellStyle name="Normal 6 2 2 3 6 2 5 2" xfId="0"/>
    <cellStyle name="Normal 6 2 2 3 6 2 6" xfId="0"/>
    <cellStyle name="Normal 6 2 2 3 6 3" xfId="0"/>
    <cellStyle name="Normal 6 2 2 3 6 3 2" xfId="0"/>
    <cellStyle name="Normal 6 2 2 3 6 3 2 2" xfId="0"/>
    <cellStyle name="Normal 6 2 2 3 6 3 2 2 2" xfId="0"/>
    <cellStyle name="Normal 6 2 2 3 6 3 2 2 2 2" xfId="0"/>
    <cellStyle name="Normal 6 2 2 3 6 3 2 2 3" xfId="0"/>
    <cellStyle name="Normal 6 2 2 3 6 3 2 3" xfId="0"/>
    <cellStyle name="Normal 6 2 2 3 6 3 2 3 2" xfId="0"/>
    <cellStyle name="Normal 6 2 2 3 6 3 2 4" xfId="0"/>
    <cellStyle name="Normal 6 2 2 3 6 3 3" xfId="0"/>
    <cellStyle name="Normal 6 2 2 3 6 3 3 2" xfId="0"/>
    <cellStyle name="Normal 6 2 2 3 6 3 3 2 2" xfId="0"/>
    <cellStyle name="Normal 6 2 2 3 6 3 3 3" xfId="0"/>
    <cellStyle name="Normal 6 2 2 3 6 3 4" xfId="0"/>
    <cellStyle name="Normal 6 2 2 3 6 3 4 2" xfId="0"/>
    <cellStyle name="Normal 6 2 2 3 6 3 5" xfId="0"/>
    <cellStyle name="Normal 6 2 2 3 6 4" xfId="0"/>
    <cellStyle name="Normal 6 2 2 3 6 4 2" xfId="0"/>
    <cellStyle name="Normal 6 2 2 3 6 4 2 2" xfId="0"/>
    <cellStyle name="Normal 6 2 2 3 6 4 2 2 2" xfId="0"/>
    <cellStyle name="Normal 6 2 2 3 6 4 2 3" xfId="0"/>
    <cellStyle name="Normal 6 2 2 3 6 4 3" xfId="0"/>
    <cellStyle name="Normal 6 2 2 3 6 4 3 2" xfId="0"/>
    <cellStyle name="Normal 6 2 2 3 6 4 4" xfId="0"/>
    <cellStyle name="Normal 6 2 2 3 6 5" xfId="0"/>
    <cellStyle name="Normal 6 2 2 3 6 5 2" xfId="0"/>
    <cellStyle name="Normal 6 2 2 3 6 5 2 2" xfId="0"/>
    <cellStyle name="Normal 6 2 2 3 6 5 3" xfId="0"/>
    <cellStyle name="Normal 6 2 2 3 6 6" xfId="0"/>
    <cellStyle name="Normal 6 2 2 3 6 6 2" xfId="0"/>
    <cellStyle name="Normal 6 2 2 3 6 7" xfId="0"/>
    <cellStyle name="Normal 6 2 2 3 7" xfId="0"/>
    <cellStyle name="Normal 6 2 2 3 7 2" xfId="0"/>
    <cellStyle name="Normal 6 2 2 3 7 2 2" xfId="0"/>
    <cellStyle name="Normal 6 2 2 3 7 2 2 2" xfId="0"/>
    <cellStyle name="Normal 6 2 2 3 7 2 2 2 2" xfId="0"/>
    <cellStyle name="Normal 6 2 2 3 7 2 2 2 2 2" xfId="0"/>
    <cellStyle name="Normal 6 2 2 3 7 2 2 2 3" xfId="0"/>
    <cellStyle name="Normal 6 2 2 3 7 2 2 3" xfId="0"/>
    <cellStyle name="Normal 6 2 2 3 7 2 2 3 2" xfId="0"/>
    <cellStyle name="Normal 6 2 2 3 7 2 2 4" xfId="0"/>
    <cellStyle name="Normal 6 2 2 3 7 2 3" xfId="0"/>
    <cellStyle name="Normal 6 2 2 3 7 2 3 2" xfId="0"/>
    <cellStyle name="Normal 6 2 2 3 7 2 3 2 2" xfId="0"/>
    <cellStyle name="Normal 6 2 2 3 7 2 3 3" xfId="0"/>
    <cellStyle name="Normal 6 2 2 3 7 2 4" xfId="0"/>
    <cellStyle name="Normal 6 2 2 3 7 2 4 2" xfId="0"/>
    <cellStyle name="Normal 6 2 2 3 7 2 5" xfId="0"/>
    <cellStyle name="Normal 6 2 2 3 7 3" xfId="0"/>
    <cellStyle name="Normal 6 2 2 3 7 3 2" xfId="0"/>
    <cellStyle name="Normal 6 2 2 3 7 3 2 2" xfId="0"/>
    <cellStyle name="Normal 6 2 2 3 7 3 2 2 2" xfId="0"/>
    <cellStyle name="Normal 6 2 2 3 7 3 2 3" xfId="0"/>
    <cellStyle name="Normal 6 2 2 3 7 3 3" xfId="0"/>
    <cellStyle name="Normal 6 2 2 3 7 3 3 2" xfId="0"/>
    <cellStyle name="Normal 6 2 2 3 7 3 4" xfId="0"/>
    <cellStyle name="Normal 6 2 2 3 7 4" xfId="0"/>
    <cellStyle name="Normal 6 2 2 3 7 4 2" xfId="0"/>
    <cellStyle name="Normal 6 2 2 3 7 4 2 2" xfId="0"/>
    <cellStyle name="Normal 6 2 2 3 7 4 3" xfId="0"/>
    <cellStyle name="Normal 6 2 2 3 7 5" xfId="0"/>
    <cellStyle name="Normal 6 2 2 3 7 5 2" xfId="0"/>
    <cellStyle name="Normal 6 2 2 3 7 6" xfId="0"/>
    <cellStyle name="Normal 6 2 2 3 8" xfId="0"/>
    <cellStyle name="Normal 6 2 2 3 8 2" xfId="0"/>
    <cellStyle name="Normal 6 2 2 3 8 2 2" xfId="0"/>
    <cellStyle name="Normal 6 2 2 3 8 2 2 2" xfId="0"/>
    <cellStyle name="Normal 6 2 2 3 8 2 2 2 2" xfId="0"/>
    <cellStyle name="Normal 6 2 2 3 8 2 2 3" xfId="0"/>
    <cellStyle name="Normal 6 2 2 3 8 2 3" xfId="0"/>
    <cellStyle name="Normal 6 2 2 3 8 2 3 2" xfId="0"/>
    <cellStyle name="Normal 6 2 2 3 8 2 4" xfId="0"/>
    <cellStyle name="Normal 6 2 2 3 8 3" xfId="0"/>
    <cellStyle name="Normal 6 2 2 3 8 3 2" xfId="0"/>
    <cellStyle name="Normal 6 2 2 3 8 3 2 2" xfId="0"/>
    <cellStyle name="Normal 6 2 2 3 8 3 3" xfId="0"/>
    <cellStyle name="Normal 6 2 2 3 8 4" xfId="0"/>
    <cellStyle name="Normal 6 2 2 3 8 4 2" xfId="0"/>
    <cellStyle name="Normal 6 2 2 3 8 5" xfId="0"/>
    <cellStyle name="Normal 6 2 2 3 9" xfId="0"/>
    <cellStyle name="Normal 6 2 2 3 9 2" xfId="0"/>
    <cellStyle name="Normal 6 2 2 3 9 2 2" xfId="0"/>
    <cellStyle name="Normal 6 2 2 3 9 2 2 2" xfId="0"/>
    <cellStyle name="Normal 6 2 2 3 9 2 3" xfId="0"/>
    <cellStyle name="Normal 6 2 2 3 9 3" xfId="0"/>
    <cellStyle name="Normal 6 2 2 3 9 3 2" xfId="0"/>
    <cellStyle name="Normal 6 2 2 3 9 4" xfId="0"/>
    <cellStyle name="Normal 6 2 2 4" xfId="0"/>
    <cellStyle name="Normal 6 2 2 4 10" xfId="0"/>
    <cellStyle name="Normal 6 2 2 4 10 2" xfId="0"/>
    <cellStyle name="Normal 6 2 2 4 11" xfId="0"/>
    <cellStyle name="Normal 6 2 2 4 2" xfId="0"/>
    <cellStyle name="Normal 6 2 2 4 2 2" xfId="0"/>
    <cellStyle name="Normal 6 2 2 4 2 2 2" xfId="0"/>
    <cellStyle name="Normal 6 2 2 4 2 2 2 2" xfId="0"/>
    <cellStyle name="Normal 6 2 2 4 2 2 2 2 2" xfId="0"/>
    <cellStyle name="Normal 6 2 2 4 2 2 2 2 2 2" xfId="0"/>
    <cellStyle name="Normal 6 2 2 4 2 2 2 2 2 2 2" xfId="0"/>
    <cellStyle name="Normal 6 2 2 4 2 2 2 2 2 2 2 2" xfId="0"/>
    <cellStyle name="Normal 6 2 2 4 2 2 2 2 2 2 3" xfId="0"/>
    <cellStyle name="Normal 6 2 2 4 2 2 2 2 2 3" xfId="0"/>
    <cellStyle name="Normal 6 2 2 4 2 2 2 2 2 3 2" xfId="0"/>
    <cellStyle name="Normal 6 2 2 4 2 2 2 2 2 4" xfId="0"/>
    <cellStyle name="Normal 6 2 2 4 2 2 2 2 3" xfId="0"/>
    <cellStyle name="Normal 6 2 2 4 2 2 2 2 3 2" xfId="0"/>
    <cellStyle name="Normal 6 2 2 4 2 2 2 2 3 2 2" xfId="0"/>
    <cellStyle name="Normal 6 2 2 4 2 2 2 2 3 3" xfId="0"/>
    <cellStyle name="Normal 6 2 2 4 2 2 2 2 4" xfId="0"/>
    <cellStyle name="Normal 6 2 2 4 2 2 2 2 4 2" xfId="0"/>
    <cellStyle name="Normal 6 2 2 4 2 2 2 2 5" xfId="0"/>
    <cellStyle name="Normal 6 2 2 4 2 2 2 3" xfId="0"/>
    <cellStyle name="Normal 6 2 2 4 2 2 2 3 2" xfId="0"/>
    <cellStyle name="Normal 6 2 2 4 2 2 2 3 2 2" xfId="0"/>
    <cellStyle name="Normal 6 2 2 4 2 2 2 3 2 2 2" xfId="0"/>
    <cellStyle name="Normal 6 2 2 4 2 2 2 3 2 3" xfId="0"/>
    <cellStyle name="Normal 6 2 2 4 2 2 2 3 3" xfId="0"/>
    <cellStyle name="Normal 6 2 2 4 2 2 2 3 3 2" xfId="0"/>
    <cellStyle name="Normal 6 2 2 4 2 2 2 3 4" xfId="0"/>
    <cellStyle name="Normal 6 2 2 4 2 2 2 4" xfId="0"/>
    <cellStyle name="Normal 6 2 2 4 2 2 2 4 2" xfId="0"/>
    <cellStyle name="Normal 6 2 2 4 2 2 2 4 2 2" xfId="0"/>
    <cellStyle name="Normal 6 2 2 4 2 2 2 4 3" xfId="0"/>
    <cellStyle name="Normal 6 2 2 4 2 2 2 5" xfId="0"/>
    <cellStyle name="Normal 6 2 2 4 2 2 2 5 2" xfId="0"/>
    <cellStyle name="Normal 6 2 2 4 2 2 2 6" xfId="0"/>
    <cellStyle name="Normal 6 2 2 4 2 2 3" xfId="0"/>
    <cellStyle name="Normal 6 2 2 4 2 2 3 2" xfId="0"/>
    <cellStyle name="Normal 6 2 2 4 2 2 3 2 2" xfId="0"/>
    <cellStyle name="Normal 6 2 2 4 2 2 3 2 2 2" xfId="0"/>
    <cellStyle name="Normal 6 2 2 4 2 2 3 2 2 2 2" xfId="0"/>
    <cellStyle name="Normal 6 2 2 4 2 2 3 2 2 3" xfId="0"/>
    <cellStyle name="Normal 6 2 2 4 2 2 3 2 3" xfId="0"/>
    <cellStyle name="Normal 6 2 2 4 2 2 3 2 3 2" xfId="0"/>
    <cellStyle name="Normal 6 2 2 4 2 2 3 2 4" xfId="0"/>
    <cellStyle name="Normal 6 2 2 4 2 2 3 3" xfId="0"/>
    <cellStyle name="Normal 6 2 2 4 2 2 3 3 2" xfId="0"/>
    <cellStyle name="Normal 6 2 2 4 2 2 3 3 2 2" xfId="0"/>
    <cellStyle name="Normal 6 2 2 4 2 2 3 3 3" xfId="0"/>
    <cellStyle name="Normal 6 2 2 4 2 2 3 4" xfId="0"/>
    <cellStyle name="Normal 6 2 2 4 2 2 3 4 2" xfId="0"/>
    <cellStyle name="Normal 6 2 2 4 2 2 3 5" xfId="0"/>
    <cellStyle name="Normal 6 2 2 4 2 2 4" xfId="0"/>
    <cellStyle name="Normal 6 2 2 4 2 2 4 2" xfId="0"/>
    <cellStyle name="Normal 6 2 2 4 2 2 4 2 2" xfId="0"/>
    <cellStyle name="Normal 6 2 2 4 2 2 4 2 2 2" xfId="0"/>
    <cellStyle name="Normal 6 2 2 4 2 2 4 2 3" xfId="0"/>
    <cellStyle name="Normal 6 2 2 4 2 2 4 3" xfId="0"/>
    <cellStyle name="Normal 6 2 2 4 2 2 4 3 2" xfId="0"/>
    <cellStyle name="Normal 6 2 2 4 2 2 4 4" xfId="0"/>
    <cellStyle name="Normal 6 2 2 4 2 2 5" xfId="0"/>
    <cellStyle name="Normal 6 2 2 4 2 2 5 2" xfId="0"/>
    <cellStyle name="Normal 6 2 2 4 2 2 5 2 2" xfId="0"/>
    <cellStyle name="Normal 6 2 2 4 2 2 5 3" xfId="0"/>
    <cellStyle name="Normal 6 2 2 4 2 2 6" xfId="0"/>
    <cellStyle name="Normal 6 2 2 4 2 2 6 2" xfId="0"/>
    <cellStyle name="Normal 6 2 2 4 2 2 7" xfId="0"/>
    <cellStyle name="Normal 6 2 2 4 2 3" xfId="0"/>
    <cellStyle name="Normal 6 2 2 4 2 3 2" xfId="0"/>
    <cellStyle name="Normal 6 2 2 4 2 3 2 2" xfId="0"/>
    <cellStyle name="Normal 6 2 2 4 2 3 2 2 2" xfId="0"/>
    <cellStyle name="Normal 6 2 2 4 2 3 2 2 2 2" xfId="0"/>
    <cellStyle name="Normal 6 2 2 4 2 3 2 2 2 2 2" xfId="0"/>
    <cellStyle name="Normal 6 2 2 4 2 3 2 2 2 3" xfId="0"/>
    <cellStyle name="Normal 6 2 2 4 2 3 2 2 3" xfId="0"/>
    <cellStyle name="Normal 6 2 2 4 2 3 2 2 3 2" xfId="0"/>
    <cellStyle name="Normal 6 2 2 4 2 3 2 2 4" xfId="0"/>
    <cellStyle name="Normal 6 2 2 4 2 3 2 3" xfId="0"/>
    <cellStyle name="Normal 6 2 2 4 2 3 2 3 2" xfId="0"/>
    <cellStyle name="Normal 6 2 2 4 2 3 2 3 2 2" xfId="0"/>
    <cellStyle name="Normal 6 2 2 4 2 3 2 3 3" xfId="0"/>
    <cellStyle name="Normal 6 2 2 4 2 3 2 4" xfId="0"/>
    <cellStyle name="Normal 6 2 2 4 2 3 2 4 2" xfId="0"/>
    <cellStyle name="Normal 6 2 2 4 2 3 2 5" xfId="0"/>
    <cellStyle name="Normal 6 2 2 4 2 3 3" xfId="0"/>
    <cellStyle name="Normal 6 2 2 4 2 3 3 2" xfId="0"/>
    <cellStyle name="Normal 6 2 2 4 2 3 3 2 2" xfId="0"/>
    <cellStyle name="Normal 6 2 2 4 2 3 3 2 2 2" xfId="0"/>
    <cellStyle name="Normal 6 2 2 4 2 3 3 2 3" xfId="0"/>
    <cellStyle name="Normal 6 2 2 4 2 3 3 3" xfId="0"/>
    <cellStyle name="Normal 6 2 2 4 2 3 3 3 2" xfId="0"/>
    <cellStyle name="Normal 6 2 2 4 2 3 3 4" xfId="0"/>
    <cellStyle name="Normal 6 2 2 4 2 3 4" xfId="0"/>
    <cellStyle name="Normal 6 2 2 4 2 3 4 2" xfId="0"/>
    <cellStyle name="Normal 6 2 2 4 2 3 4 2 2" xfId="0"/>
    <cellStyle name="Normal 6 2 2 4 2 3 4 3" xfId="0"/>
    <cellStyle name="Normal 6 2 2 4 2 3 5" xfId="0"/>
    <cellStyle name="Normal 6 2 2 4 2 3 5 2" xfId="0"/>
    <cellStyle name="Normal 6 2 2 4 2 3 6" xfId="0"/>
    <cellStyle name="Normal 6 2 2 4 2 4" xfId="0"/>
    <cellStyle name="Normal 6 2 2 4 2 4 2" xfId="0"/>
    <cellStyle name="Normal 6 2 2 4 2 4 2 2" xfId="0"/>
    <cellStyle name="Normal 6 2 2 4 2 4 2 2 2" xfId="0"/>
    <cellStyle name="Normal 6 2 2 4 2 4 2 2 2 2" xfId="0"/>
    <cellStyle name="Normal 6 2 2 4 2 4 2 2 3" xfId="0"/>
    <cellStyle name="Normal 6 2 2 4 2 4 2 3" xfId="0"/>
    <cellStyle name="Normal 6 2 2 4 2 4 2 3 2" xfId="0"/>
    <cellStyle name="Normal 6 2 2 4 2 4 2 4" xfId="0"/>
    <cellStyle name="Normal 6 2 2 4 2 4 3" xfId="0"/>
    <cellStyle name="Normal 6 2 2 4 2 4 3 2" xfId="0"/>
    <cellStyle name="Normal 6 2 2 4 2 4 3 2 2" xfId="0"/>
    <cellStyle name="Normal 6 2 2 4 2 4 3 3" xfId="0"/>
    <cellStyle name="Normal 6 2 2 4 2 4 4" xfId="0"/>
    <cellStyle name="Normal 6 2 2 4 2 4 4 2" xfId="0"/>
    <cellStyle name="Normal 6 2 2 4 2 4 5" xfId="0"/>
    <cellStyle name="Normal 6 2 2 4 2 5" xfId="0"/>
    <cellStyle name="Normal 6 2 2 4 2 5 2" xfId="0"/>
    <cellStyle name="Normal 6 2 2 4 2 5 2 2" xfId="0"/>
    <cellStyle name="Normal 6 2 2 4 2 5 2 2 2" xfId="0"/>
    <cellStyle name="Normal 6 2 2 4 2 5 2 3" xfId="0"/>
    <cellStyle name="Normal 6 2 2 4 2 5 3" xfId="0"/>
    <cellStyle name="Normal 6 2 2 4 2 5 3 2" xfId="0"/>
    <cellStyle name="Normal 6 2 2 4 2 5 4" xfId="0"/>
    <cellStyle name="Normal 6 2 2 4 2 6" xfId="0"/>
    <cellStyle name="Normal 6 2 2 4 2 6 2" xfId="0"/>
    <cellStyle name="Normal 6 2 2 4 2 6 2 2" xfId="0"/>
    <cellStyle name="Normal 6 2 2 4 2 6 3" xfId="0"/>
    <cellStyle name="Normal 6 2 2 4 2 7" xfId="0"/>
    <cellStyle name="Normal 6 2 2 4 2 7 2" xfId="0"/>
    <cellStyle name="Normal 6 2 2 4 2 8" xfId="0"/>
    <cellStyle name="Normal 6 2 2 4 3" xfId="0"/>
    <cellStyle name="Normal 6 2 2 4 3 2" xfId="0"/>
    <cellStyle name="Normal 6 2 2 4 3 2 2" xfId="0"/>
    <cellStyle name="Normal 6 2 2 4 3 2 2 2" xfId="0"/>
    <cellStyle name="Normal 6 2 2 4 3 2 2 2 2" xfId="0"/>
    <cellStyle name="Normal 6 2 2 4 3 2 2 2 2 2" xfId="0"/>
    <cellStyle name="Normal 6 2 2 4 3 2 2 2 2 2 2" xfId="0"/>
    <cellStyle name="Normal 6 2 2 4 3 2 2 2 2 2 2 2" xfId="0"/>
    <cellStyle name="Normal 6 2 2 4 3 2 2 2 2 2 3" xfId="0"/>
    <cellStyle name="Normal 6 2 2 4 3 2 2 2 2 3" xfId="0"/>
    <cellStyle name="Normal 6 2 2 4 3 2 2 2 2 3 2" xfId="0"/>
    <cellStyle name="Normal 6 2 2 4 3 2 2 2 2 4" xfId="0"/>
    <cellStyle name="Normal 6 2 2 4 3 2 2 2 3" xfId="0"/>
    <cellStyle name="Normal 6 2 2 4 3 2 2 2 3 2" xfId="0"/>
    <cellStyle name="Normal 6 2 2 4 3 2 2 2 3 2 2" xfId="0"/>
    <cellStyle name="Normal 6 2 2 4 3 2 2 2 3 3" xfId="0"/>
    <cellStyle name="Normal 6 2 2 4 3 2 2 2 4" xfId="0"/>
    <cellStyle name="Normal 6 2 2 4 3 2 2 2 4 2" xfId="0"/>
    <cellStyle name="Normal 6 2 2 4 3 2 2 2 5" xfId="0"/>
    <cellStyle name="Normal 6 2 2 4 3 2 2 3" xfId="0"/>
    <cellStyle name="Normal 6 2 2 4 3 2 2 3 2" xfId="0"/>
    <cellStyle name="Normal 6 2 2 4 3 2 2 3 2 2" xfId="0"/>
    <cellStyle name="Normal 6 2 2 4 3 2 2 3 2 2 2" xfId="0"/>
    <cellStyle name="Normal 6 2 2 4 3 2 2 3 2 3" xfId="0"/>
    <cellStyle name="Normal 6 2 2 4 3 2 2 3 3" xfId="0"/>
    <cellStyle name="Normal 6 2 2 4 3 2 2 3 3 2" xfId="0"/>
    <cellStyle name="Normal 6 2 2 4 3 2 2 3 4" xfId="0"/>
    <cellStyle name="Normal 6 2 2 4 3 2 2 4" xfId="0"/>
    <cellStyle name="Normal 6 2 2 4 3 2 2 4 2" xfId="0"/>
    <cellStyle name="Normal 6 2 2 4 3 2 2 4 2 2" xfId="0"/>
    <cellStyle name="Normal 6 2 2 4 3 2 2 4 3" xfId="0"/>
    <cellStyle name="Normal 6 2 2 4 3 2 2 5" xfId="0"/>
    <cellStyle name="Normal 6 2 2 4 3 2 2 5 2" xfId="0"/>
    <cellStyle name="Normal 6 2 2 4 3 2 2 6" xfId="0"/>
    <cellStyle name="Normal 6 2 2 4 3 2 3" xfId="0"/>
    <cellStyle name="Normal 6 2 2 4 3 2 3 2" xfId="0"/>
    <cellStyle name="Normal 6 2 2 4 3 2 3 2 2" xfId="0"/>
    <cellStyle name="Normal 6 2 2 4 3 2 3 2 2 2" xfId="0"/>
    <cellStyle name="Normal 6 2 2 4 3 2 3 2 2 2 2" xfId="0"/>
    <cellStyle name="Normal 6 2 2 4 3 2 3 2 2 3" xfId="0"/>
    <cellStyle name="Normal 6 2 2 4 3 2 3 2 3" xfId="0"/>
    <cellStyle name="Normal 6 2 2 4 3 2 3 2 3 2" xfId="0"/>
    <cellStyle name="Normal 6 2 2 4 3 2 3 2 4" xfId="0"/>
    <cellStyle name="Normal 6 2 2 4 3 2 3 3" xfId="0"/>
    <cellStyle name="Normal 6 2 2 4 3 2 3 3 2" xfId="0"/>
    <cellStyle name="Normal 6 2 2 4 3 2 3 3 2 2" xfId="0"/>
    <cellStyle name="Normal 6 2 2 4 3 2 3 3 3" xfId="0"/>
    <cellStyle name="Normal 6 2 2 4 3 2 3 4" xfId="0"/>
    <cellStyle name="Normal 6 2 2 4 3 2 3 4 2" xfId="0"/>
    <cellStyle name="Normal 6 2 2 4 3 2 3 5" xfId="0"/>
    <cellStyle name="Normal 6 2 2 4 3 2 4" xfId="0"/>
    <cellStyle name="Normal 6 2 2 4 3 2 4 2" xfId="0"/>
    <cellStyle name="Normal 6 2 2 4 3 2 4 2 2" xfId="0"/>
    <cellStyle name="Normal 6 2 2 4 3 2 4 2 2 2" xfId="0"/>
    <cellStyle name="Normal 6 2 2 4 3 2 4 2 3" xfId="0"/>
    <cellStyle name="Normal 6 2 2 4 3 2 4 3" xfId="0"/>
    <cellStyle name="Normal 6 2 2 4 3 2 4 3 2" xfId="0"/>
    <cellStyle name="Normal 6 2 2 4 3 2 4 4" xfId="0"/>
    <cellStyle name="Normal 6 2 2 4 3 2 5" xfId="0"/>
    <cellStyle name="Normal 6 2 2 4 3 2 5 2" xfId="0"/>
    <cellStyle name="Normal 6 2 2 4 3 2 5 2 2" xfId="0"/>
    <cellStyle name="Normal 6 2 2 4 3 2 5 3" xfId="0"/>
    <cellStyle name="Normal 6 2 2 4 3 2 6" xfId="0"/>
    <cellStyle name="Normal 6 2 2 4 3 2 6 2" xfId="0"/>
    <cellStyle name="Normal 6 2 2 4 3 2 7" xfId="0"/>
    <cellStyle name="Normal 6 2 2 4 3 3" xfId="0"/>
    <cellStyle name="Normal 6 2 2 4 3 3 2" xfId="0"/>
    <cellStyle name="Normal 6 2 2 4 3 3 2 2" xfId="0"/>
    <cellStyle name="Normal 6 2 2 4 3 3 2 2 2" xfId="0"/>
    <cellStyle name="Normal 6 2 2 4 3 3 2 2 2 2" xfId="0"/>
    <cellStyle name="Normal 6 2 2 4 3 3 2 2 2 2 2" xfId="0"/>
    <cellStyle name="Normal 6 2 2 4 3 3 2 2 2 3" xfId="0"/>
    <cellStyle name="Normal 6 2 2 4 3 3 2 2 3" xfId="0"/>
    <cellStyle name="Normal 6 2 2 4 3 3 2 2 3 2" xfId="0"/>
    <cellStyle name="Normal 6 2 2 4 3 3 2 2 4" xfId="0"/>
    <cellStyle name="Normal 6 2 2 4 3 3 2 3" xfId="0"/>
    <cellStyle name="Normal 6 2 2 4 3 3 2 3 2" xfId="0"/>
    <cellStyle name="Normal 6 2 2 4 3 3 2 3 2 2" xfId="0"/>
    <cellStyle name="Normal 6 2 2 4 3 3 2 3 3" xfId="0"/>
    <cellStyle name="Normal 6 2 2 4 3 3 2 4" xfId="0"/>
    <cellStyle name="Normal 6 2 2 4 3 3 2 4 2" xfId="0"/>
    <cellStyle name="Normal 6 2 2 4 3 3 2 5" xfId="0"/>
    <cellStyle name="Normal 6 2 2 4 3 3 3" xfId="0"/>
    <cellStyle name="Normal 6 2 2 4 3 3 3 2" xfId="0"/>
    <cellStyle name="Normal 6 2 2 4 3 3 3 2 2" xfId="0"/>
    <cellStyle name="Normal 6 2 2 4 3 3 3 2 2 2" xfId="0"/>
    <cellStyle name="Normal 6 2 2 4 3 3 3 2 3" xfId="0"/>
    <cellStyle name="Normal 6 2 2 4 3 3 3 3" xfId="0"/>
    <cellStyle name="Normal 6 2 2 4 3 3 3 3 2" xfId="0"/>
    <cellStyle name="Normal 6 2 2 4 3 3 3 4" xfId="0"/>
    <cellStyle name="Normal 6 2 2 4 3 3 4" xfId="0"/>
    <cellStyle name="Normal 6 2 2 4 3 3 4 2" xfId="0"/>
    <cellStyle name="Normal 6 2 2 4 3 3 4 2 2" xfId="0"/>
    <cellStyle name="Normal 6 2 2 4 3 3 4 3" xfId="0"/>
    <cellStyle name="Normal 6 2 2 4 3 3 5" xfId="0"/>
    <cellStyle name="Normal 6 2 2 4 3 3 5 2" xfId="0"/>
    <cellStyle name="Normal 6 2 2 4 3 3 6" xfId="0"/>
    <cellStyle name="Normal 6 2 2 4 3 4" xfId="0"/>
    <cellStyle name="Normal 6 2 2 4 3 4 2" xfId="0"/>
    <cellStyle name="Normal 6 2 2 4 3 4 2 2" xfId="0"/>
    <cellStyle name="Normal 6 2 2 4 3 4 2 2 2" xfId="0"/>
    <cellStyle name="Normal 6 2 2 4 3 4 2 2 2 2" xfId="0"/>
    <cellStyle name="Normal 6 2 2 4 3 4 2 2 3" xfId="0"/>
    <cellStyle name="Normal 6 2 2 4 3 4 2 3" xfId="0"/>
    <cellStyle name="Normal 6 2 2 4 3 4 2 3 2" xfId="0"/>
    <cellStyle name="Normal 6 2 2 4 3 4 2 4" xfId="0"/>
    <cellStyle name="Normal 6 2 2 4 3 4 3" xfId="0"/>
    <cellStyle name="Normal 6 2 2 4 3 4 3 2" xfId="0"/>
    <cellStyle name="Normal 6 2 2 4 3 4 3 2 2" xfId="0"/>
    <cellStyle name="Normal 6 2 2 4 3 4 3 3" xfId="0"/>
    <cellStyle name="Normal 6 2 2 4 3 4 4" xfId="0"/>
    <cellStyle name="Normal 6 2 2 4 3 4 4 2" xfId="0"/>
    <cellStyle name="Normal 6 2 2 4 3 4 5" xfId="0"/>
    <cellStyle name="Normal 6 2 2 4 3 5" xfId="0"/>
    <cellStyle name="Normal 6 2 2 4 3 5 2" xfId="0"/>
    <cellStyle name="Normal 6 2 2 4 3 5 2 2" xfId="0"/>
    <cellStyle name="Normal 6 2 2 4 3 5 2 2 2" xfId="0"/>
    <cellStyle name="Normal 6 2 2 4 3 5 2 3" xfId="0"/>
    <cellStyle name="Normal 6 2 2 4 3 5 3" xfId="0"/>
    <cellStyle name="Normal 6 2 2 4 3 5 3 2" xfId="0"/>
    <cellStyle name="Normal 6 2 2 4 3 5 4" xfId="0"/>
    <cellStyle name="Normal 6 2 2 4 3 6" xfId="0"/>
    <cellStyle name="Normal 6 2 2 4 3 6 2" xfId="0"/>
    <cellStyle name="Normal 6 2 2 4 3 6 2 2" xfId="0"/>
    <cellStyle name="Normal 6 2 2 4 3 6 3" xfId="0"/>
    <cellStyle name="Normal 6 2 2 4 3 7" xfId="0"/>
    <cellStyle name="Normal 6 2 2 4 3 7 2" xfId="0"/>
    <cellStyle name="Normal 6 2 2 4 3 8" xfId="0"/>
    <cellStyle name="Normal 6 2 2 4 4" xfId="0"/>
    <cellStyle name="Normal 6 2 2 4 4 2" xfId="0"/>
    <cellStyle name="Normal 6 2 2 4 4 2 2" xfId="0"/>
    <cellStyle name="Normal 6 2 2 4 4 2 2 2" xfId="0"/>
    <cellStyle name="Normal 6 2 2 4 4 2 2 2 2" xfId="0"/>
    <cellStyle name="Normal 6 2 2 4 4 2 2 2 2 2" xfId="0"/>
    <cellStyle name="Normal 6 2 2 4 4 2 2 2 2 2 2" xfId="0"/>
    <cellStyle name="Normal 6 2 2 4 4 2 2 2 2 3" xfId="0"/>
    <cellStyle name="Normal 6 2 2 4 4 2 2 2 3" xfId="0"/>
    <cellStyle name="Normal 6 2 2 4 4 2 2 2 3 2" xfId="0"/>
    <cellStyle name="Normal 6 2 2 4 4 2 2 2 4" xfId="0"/>
    <cellStyle name="Normal 6 2 2 4 4 2 2 3" xfId="0"/>
    <cellStyle name="Normal 6 2 2 4 4 2 2 3 2" xfId="0"/>
    <cellStyle name="Normal 6 2 2 4 4 2 2 3 2 2" xfId="0"/>
    <cellStyle name="Normal 6 2 2 4 4 2 2 3 3" xfId="0"/>
    <cellStyle name="Normal 6 2 2 4 4 2 2 4" xfId="0"/>
    <cellStyle name="Normal 6 2 2 4 4 2 2 4 2" xfId="0"/>
    <cellStyle name="Normal 6 2 2 4 4 2 2 5" xfId="0"/>
    <cellStyle name="Normal 6 2 2 4 4 2 3" xfId="0"/>
    <cellStyle name="Normal 6 2 2 4 4 2 3 2" xfId="0"/>
    <cellStyle name="Normal 6 2 2 4 4 2 3 2 2" xfId="0"/>
    <cellStyle name="Normal 6 2 2 4 4 2 3 2 2 2" xfId="0"/>
    <cellStyle name="Normal 6 2 2 4 4 2 3 2 3" xfId="0"/>
    <cellStyle name="Normal 6 2 2 4 4 2 3 3" xfId="0"/>
    <cellStyle name="Normal 6 2 2 4 4 2 3 3 2" xfId="0"/>
    <cellStyle name="Normal 6 2 2 4 4 2 3 4" xfId="0"/>
    <cellStyle name="Normal 6 2 2 4 4 2 4" xfId="0"/>
    <cellStyle name="Normal 6 2 2 4 4 2 4 2" xfId="0"/>
    <cellStyle name="Normal 6 2 2 4 4 2 4 2 2" xfId="0"/>
    <cellStyle name="Normal 6 2 2 4 4 2 4 3" xfId="0"/>
    <cellStyle name="Normal 6 2 2 4 4 2 5" xfId="0"/>
    <cellStyle name="Normal 6 2 2 4 4 2 5 2" xfId="0"/>
    <cellStyle name="Normal 6 2 2 4 4 2 6" xfId="0"/>
    <cellStyle name="Normal 6 2 2 4 4 3" xfId="0"/>
    <cellStyle name="Normal 6 2 2 4 4 3 2" xfId="0"/>
    <cellStyle name="Normal 6 2 2 4 4 3 2 2" xfId="0"/>
    <cellStyle name="Normal 6 2 2 4 4 3 2 2 2" xfId="0"/>
    <cellStyle name="Normal 6 2 2 4 4 3 2 2 2 2" xfId="0"/>
    <cellStyle name="Normal 6 2 2 4 4 3 2 2 3" xfId="0"/>
    <cellStyle name="Normal 6 2 2 4 4 3 2 3" xfId="0"/>
    <cellStyle name="Normal 6 2 2 4 4 3 2 3 2" xfId="0"/>
    <cellStyle name="Normal 6 2 2 4 4 3 2 4" xfId="0"/>
    <cellStyle name="Normal 6 2 2 4 4 3 3" xfId="0"/>
    <cellStyle name="Normal 6 2 2 4 4 3 3 2" xfId="0"/>
    <cellStyle name="Normal 6 2 2 4 4 3 3 2 2" xfId="0"/>
    <cellStyle name="Normal 6 2 2 4 4 3 3 3" xfId="0"/>
    <cellStyle name="Normal 6 2 2 4 4 3 4" xfId="0"/>
    <cellStyle name="Normal 6 2 2 4 4 3 4 2" xfId="0"/>
    <cellStyle name="Normal 6 2 2 4 4 3 5" xfId="0"/>
    <cellStyle name="Normal 6 2 2 4 4 4" xfId="0"/>
    <cellStyle name="Normal 6 2 2 4 4 4 2" xfId="0"/>
    <cellStyle name="Normal 6 2 2 4 4 4 2 2" xfId="0"/>
    <cellStyle name="Normal 6 2 2 4 4 4 2 2 2" xfId="0"/>
    <cellStyle name="Normal 6 2 2 4 4 4 2 3" xfId="0"/>
    <cellStyle name="Normal 6 2 2 4 4 4 3" xfId="0"/>
    <cellStyle name="Normal 6 2 2 4 4 4 3 2" xfId="0"/>
    <cellStyle name="Normal 6 2 2 4 4 4 4" xfId="0"/>
    <cellStyle name="Normal 6 2 2 4 4 5" xfId="0"/>
    <cellStyle name="Normal 6 2 2 4 4 5 2" xfId="0"/>
    <cellStyle name="Normal 6 2 2 4 4 5 2 2" xfId="0"/>
    <cellStyle name="Normal 6 2 2 4 4 5 3" xfId="0"/>
    <cellStyle name="Normal 6 2 2 4 4 6" xfId="0"/>
    <cellStyle name="Normal 6 2 2 4 4 6 2" xfId="0"/>
    <cellStyle name="Normal 6 2 2 4 4 7" xfId="0"/>
    <cellStyle name="Normal 6 2 2 4 5" xfId="0"/>
    <cellStyle name="Normal 6 2 2 4 5 2" xfId="0"/>
    <cellStyle name="Normal 6 2 2 4 5 2 2" xfId="0"/>
    <cellStyle name="Normal 6 2 2 4 5 2 2 2" xfId="0"/>
    <cellStyle name="Normal 6 2 2 4 5 2 2 2 2" xfId="0"/>
    <cellStyle name="Normal 6 2 2 4 5 2 2 2 2 2" xfId="0"/>
    <cellStyle name="Normal 6 2 2 4 5 2 2 2 2 2 2" xfId="0"/>
    <cellStyle name="Normal 6 2 2 4 5 2 2 2 2 3" xfId="0"/>
    <cellStyle name="Normal 6 2 2 4 5 2 2 2 3" xfId="0"/>
    <cellStyle name="Normal 6 2 2 4 5 2 2 2 3 2" xfId="0"/>
    <cellStyle name="Normal 6 2 2 4 5 2 2 2 4" xfId="0"/>
    <cellStyle name="Normal 6 2 2 4 5 2 2 3" xfId="0"/>
    <cellStyle name="Normal 6 2 2 4 5 2 2 3 2" xfId="0"/>
    <cellStyle name="Normal 6 2 2 4 5 2 2 3 2 2" xfId="0"/>
    <cellStyle name="Normal 6 2 2 4 5 2 2 3 3" xfId="0"/>
    <cellStyle name="Normal 6 2 2 4 5 2 2 4" xfId="0"/>
    <cellStyle name="Normal 6 2 2 4 5 2 2 4 2" xfId="0"/>
    <cellStyle name="Normal 6 2 2 4 5 2 2 5" xfId="0"/>
    <cellStyle name="Normal 6 2 2 4 5 2 3" xfId="0"/>
    <cellStyle name="Normal 6 2 2 4 5 2 3 2" xfId="0"/>
    <cellStyle name="Normal 6 2 2 4 5 2 3 2 2" xfId="0"/>
    <cellStyle name="Normal 6 2 2 4 5 2 3 2 2 2" xfId="0"/>
    <cellStyle name="Normal 6 2 2 4 5 2 3 2 3" xfId="0"/>
    <cellStyle name="Normal 6 2 2 4 5 2 3 3" xfId="0"/>
    <cellStyle name="Normal 6 2 2 4 5 2 3 3 2" xfId="0"/>
    <cellStyle name="Normal 6 2 2 4 5 2 3 4" xfId="0"/>
    <cellStyle name="Normal 6 2 2 4 5 2 4" xfId="0"/>
    <cellStyle name="Normal 6 2 2 4 5 2 4 2" xfId="0"/>
    <cellStyle name="Normal 6 2 2 4 5 2 4 2 2" xfId="0"/>
    <cellStyle name="Normal 6 2 2 4 5 2 4 3" xfId="0"/>
    <cellStyle name="Normal 6 2 2 4 5 2 5" xfId="0"/>
    <cellStyle name="Normal 6 2 2 4 5 2 5 2" xfId="0"/>
    <cellStyle name="Normal 6 2 2 4 5 2 6" xfId="0"/>
    <cellStyle name="Normal 6 2 2 4 5 3" xfId="0"/>
    <cellStyle name="Normal 6 2 2 4 5 3 2" xfId="0"/>
    <cellStyle name="Normal 6 2 2 4 5 3 2 2" xfId="0"/>
    <cellStyle name="Normal 6 2 2 4 5 3 2 2 2" xfId="0"/>
    <cellStyle name="Normal 6 2 2 4 5 3 2 2 2 2" xfId="0"/>
    <cellStyle name="Normal 6 2 2 4 5 3 2 2 3" xfId="0"/>
    <cellStyle name="Normal 6 2 2 4 5 3 2 3" xfId="0"/>
    <cellStyle name="Normal 6 2 2 4 5 3 2 3 2" xfId="0"/>
    <cellStyle name="Normal 6 2 2 4 5 3 2 4" xfId="0"/>
    <cellStyle name="Normal 6 2 2 4 5 3 3" xfId="0"/>
    <cellStyle name="Normal 6 2 2 4 5 3 3 2" xfId="0"/>
    <cellStyle name="Normal 6 2 2 4 5 3 3 2 2" xfId="0"/>
    <cellStyle name="Normal 6 2 2 4 5 3 3 3" xfId="0"/>
    <cellStyle name="Normal 6 2 2 4 5 3 4" xfId="0"/>
    <cellStyle name="Normal 6 2 2 4 5 3 4 2" xfId="0"/>
    <cellStyle name="Normal 6 2 2 4 5 3 5" xfId="0"/>
    <cellStyle name="Normal 6 2 2 4 5 4" xfId="0"/>
    <cellStyle name="Normal 6 2 2 4 5 4 2" xfId="0"/>
    <cellStyle name="Normal 6 2 2 4 5 4 2 2" xfId="0"/>
    <cellStyle name="Normal 6 2 2 4 5 4 2 2 2" xfId="0"/>
    <cellStyle name="Normal 6 2 2 4 5 4 2 3" xfId="0"/>
    <cellStyle name="Normal 6 2 2 4 5 4 3" xfId="0"/>
    <cellStyle name="Normal 6 2 2 4 5 4 3 2" xfId="0"/>
    <cellStyle name="Normal 6 2 2 4 5 4 4" xfId="0"/>
    <cellStyle name="Normal 6 2 2 4 5 5" xfId="0"/>
    <cellStyle name="Normal 6 2 2 4 5 5 2" xfId="0"/>
    <cellStyle name="Normal 6 2 2 4 5 5 2 2" xfId="0"/>
    <cellStyle name="Normal 6 2 2 4 5 5 3" xfId="0"/>
    <cellStyle name="Normal 6 2 2 4 5 6" xfId="0"/>
    <cellStyle name="Normal 6 2 2 4 5 6 2" xfId="0"/>
    <cellStyle name="Normal 6 2 2 4 5 7" xfId="0"/>
    <cellStyle name="Normal 6 2 2 4 6" xfId="0"/>
    <cellStyle name="Normal 6 2 2 4 6 2" xfId="0"/>
    <cellStyle name="Normal 6 2 2 4 6 2 2" xfId="0"/>
    <cellStyle name="Normal 6 2 2 4 6 2 2 2" xfId="0"/>
    <cellStyle name="Normal 6 2 2 4 6 2 2 2 2" xfId="0"/>
    <cellStyle name="Normal 6 2 2 4 6 2 2 2 2 2" xfId="0"/>
    <cellStyle name="Normal 6 2 2 4 6 2 2 2 3" xfId="0"/>
    <cellStyle name="Normal 6 2 2 4 6 2 2 3" xfId="0"/>
    <cellStyle name="Normal 6 2 2 4 6 2 2 3 2" xfId="0"/>
    <cellStyle name="Normal 6 2 2 4 6 2 2 4" xfId="0"/>
    <cellStyle name="Normal 6 2 2 4 6 2 3" xfId="0"/>
    <cellStyle name="Normal 6 2 2 4 6 2 3 2" xfId="0"/>
    <cellStyle name="Normal 6 2 2 4 6 2 3 2 2" xfId="0"/>
    <cellStyle name="Normal 6 2 2 4 6 2 3 3" xfId="0"/>
    <cellStyle name="Normal 6 2 2 4 6 2 4" xfId="0"/>
    <cellStyle name="Normal 6 2 2 4 6 2 4 2" xfId="0"/>
    <cellStyle name="Normal 6 2 2 4 6 2 5" xfId="0"/>
    <cellStyle name="Normal 6 2 2 4 6 3" xfId="0"/>
    <cellStyle name="Normal 6 2 2 4 6 3 2" xfId="0"/>
    <cellStyle name="Normal 6 2 2 4 6 3 2 2" xfId="0"/>
    <cellStyle name="Normal 6 2 2 4 6 3 2 2 2" xfId="0"/>
    <cellStyle name="Normal 6 2 2 4 6 3 2 3" xfId="0"/>
    <cellStyle name="Normal 6 2 2 4 6 3 3" xfId="0"/>
    <cellStyle name="Normal 6 2 2 4 6 3 3 2" xfId="0"/>
    <cellStyle name="Normal 6 2 2 4 6 3 4" xfId="0"/>
    <cellStyle name="Normal 6 2 2 4 6 4" xfId="0"/>
    <cellStyle name="Normal 6 2 2 4 6 4 2" xfId="0"/>
    <cellStyle name="Normal 6 2 2 4 6 4 2 2" xfId="0"/>
    <cellStyle name="Normal 6 2 2 4 6 4 3" xfId="0"/>
    <cellStyle name="Normal 6 2 2 4 6 5" xfId="0"/>
    <cellStyle name="Normal 6 2 2 4 6 5 2" xfId="0"/>
    <cellStyle name="Normal 6 2 2 4 6 6" xfId="0"/>
    <cellStyle name="Normal 6 2 2 4 7" xfId="0"/>
    <cellStyle name="Normal 6 2 2 4 7 2" xfId="0"/>
    <cellStyle name="Normal 6 2 2 4 7 2 2" xfId="0"/>
    <cellStyle name="Normal 6 2 2 4 7 2 2 2" xfId="0"/>
    <cellStyle name="Normal 6 2 2 4 7 2 2 2 2" xfId="0"/>
    <cellStyle name="Normal 6 2 2 4 7 2 2 3" xfId="0"/>
    <cellStyle name="Normal 6 2 2 4 7 2 3" xfId="0"/>
    <cellStyle name="Normal 6 2 2 4 7 2 3 2" xfId="0"/>
    <cellStyle name="Normal 6 2 2 4 7 2 4" xfId="0"/>
    <cellStyle name="Normal 6 2 2 4 7 3" xfId="0"/>
    <cellStyle name="Normal 6 2 2 4 7 3 2" xfId="0"/>
    <cellStyle name="Normal 6 2 2 4 7 3 2 2" xfId="0"/>
    <cellStyle name="Normal 6 2 2 4 7 3 3" xfId="0"/>
    <cellStyle name="Normal 6 2 2 4 7 4" xfId="0"/>
    <cellStyle name="Normal 6 2 2 4 7 4 2" xfId="0"/>
    <cellStyle name="Normal 6 2 2 4 7 5" xfId="0"/>
    <cellStyle name="Normal 6 2 2 4 8" xfId="0"/>
    <cellStyle name="Normal 6 2 2 4 8 2" xfId="0"/>
    <cellStyle name="Normal 6 2 2 4 8 2 2" xfId="0"/>
    <cellStyle name="Normal 6 2 2 4 8 2 2 2" xfId="0"/>
    <cellStyle name="Normal 6 2 2 4 8 2 3" xfId="0"/>
    <cellStyle name="Normal 6 2 2 4 8 3" xfId="0"/>
    <cellStyle name="Normal 6 2 2 4 8 3 2" xfId="0"/>
    <cellStyle name="Normal 6 2 2 4 8 4" xfId="0"/>
    <cellStyle name="Normal 6 2 2 4 9" xfId="0"/>
    <cellStyle name="Normal 6 2 2 4 9 2" xfId="0"/>
    <cellStyle name="Normal 6 2 2 4 9 2 2" xfId="0"/>
    <cellStyle name="Normal 6 2 2 4 9 3" xfId="0"/>
    <cellStyle name="Normal 6 2 2 5" xfId="0"/>
    <cellStyle name="Normal 6 2 2 5 2" xfId="0"/>
    <cellStyle name="Normal 6 2 2 5 2 2" xfId="0"/>
    <cellStyle name="Normal 6 2 2 5 2 2 2" xfId="0"/>
    <cellStyle name="Normal 6 2 2 5 2 2 2 2" xfId="0"/>
    <cellStyle name="Normal 6 2 2 5 2 2 2 2 2" xfId="0"/>
    <cellStyle name="Normal 6 2 2 5 2 2 2 2 2 2" xfId="0"/>
    <cellStyle name="Normal 6 2 2 5 2 2 2 2 2 2 2" xfId="0"/>
    <cellStyle name="Normal 6 2 2 5 2 2 2 2 2 3" xfId="0"/>
    <cellStyle name="Normal 6 2 2 5 2 2 2 2 3" xfId="0"/>
    <cellStyle name="Normal 6 2 2 5 2 2 2 2 3 2" xfId="0"/>
    <cellStyle name="Normal 6 2 2 5 2 2 2 2 4" xfId="0"/>
    <cellStyle name="Normal 6 2 2 5 2 2 2 3" xfId="0"/>
    <cellStyle name="Normal 6 2 2 5 2 2 2 3 2" xfId="0"/>
    <cellStyle name="Normal 6 2 2 5 2 2 2 3 2 2" xfId="0"/>
    <cellStyle name="Normal 6 2 2 5 2 2 2 3 3" xfId="0"/>
    <cellStyle name="Normal 6 2 2 5 2 2 2 4" xfId="0"/>
    <cellStyle name="Normal 6 2 2 5 2 2 2 4 2" xfId="0"/>
    <cellStyle name="Normal 6 2 2 5 2 2 2 5" xfId="0"/>
    <cellStyle name="Normal 6 2 2 5 2 2 3" xfId="0"/>
    <cellStyle name="Normal 6 2 2 5 2 2 3 2" xfId="0"/>
    <cellStyle name="Normal 6 2 2 5 2 2 3 2 2" xfId="0"/>
    <cellStyle name="Normal 6 2 2 5 2 2 3 2 2 2" xfId="0"/>
    <cellStyle name="Normal 6 2 2 5 2 2 3 2 3" xfId="0"/>
    <cellStyle name="Normal 6 2 2 5 2 2 3 3" xfId="0"/>
    <cellStyle name="Normal 6 2 2 5 2 2 3 3 2" xfId="0"/>
    <cellStyle name="Normal 6 2 2 5 2 2 3 4" xfId="0"/>
    <cellStyle name="Normal 6 2 2 5 2 2 4" xfId="0"/>
    <cellStyle name="Normal 6 2 2 5 2 2 4 2" xfId="0"/>
    <cellStyle name="Normal 6 2 2 5 2 2 4 2 2" xfId="0"/>
    <cellStyle name="Normal 6 2 2 5 2 2 4 3" xfId="0"/>
    <cellStyle name="Normal 6 2 2 5 2 2 5" xfId="0"/>
    <cellStyle name="Normal 6 2 2 5 2 2 5 2" xfId="0"/>
    <cellStyle name="Normal 6 2 2 5 2 2 6" xfId="0"/>
    <cellStyle name="Normal 6 2 2 5 2 3" xfId="0"/>
    <cellStyle name="Normal 6 2 2 5 2 3 2" xfId="0"/>
    <cellStyle name="Normal 6 2 2 5 2 3 2 2" xfId="0"/>
    <cellStyle name="Normal 6 2 2 5 2 3 2 2 2" xfId="0"/>
    <cellStyle name="Normal 6 2 2 5 2 3 2 2 2 2" xfId="0"/>
    <cellStyle name="Normal 6 2 2 5 2 3 2 2 3" xfId="0"/>
    <cellStyle name="Normal 6 2 2 5 2 3 2 3" xfId="0"/>
    <cellStyle name="Normal 6 2 2 5 2 3 2 3 2" xfId="0"/>
    <cellStyle name="Normal 6 2 2 5 2 3 2 4" xfId="0"/>
    <cellStyle name="Normal 6 2 2 5 2 3 3" xfId="0"/>
    <cellStyle name="Normal 6 2 2 5 2 3 3 2" xfId="0"/>
    <cellStyle name="Normal 6 2 2 5 2 3 3 2 2" xfId="0"/>
    <cellStyle name="Normal 6 2 2 5 2 3 3 3" xfId="0"/>
    <cellStyle name="Normal 6 2 2 5 2 3 4" xfId="0"/>
    <cellStyle name="Normal 6 2 2 5 2 3 4 2" xfId="0"/>
    <cellStyle name="Normal 6 2 2 5 2 3 5" xfId="0"/>
    <cellStyle name="Normal 6 2 2 5 2 4" xfId="0"/>
    <cellStyle name="Normal 6 2 2 5 2 4 2" xfId="0"/>
    <cellStyle name="Normal 6 2 2 5 2 4 2 2" xfId="0"/>
    <cellStyle name="Normal 6 2 2 5 2 4 2 2 2" xfId="0"/>
    <cellStyle name="Normal 6 2 2 5 2 4 2 3" xfId="0"/>
    <cellStyle name="Normal 6 2 2 5 2 4 3" xfId="0"/>
    <cellStyle name="Normal 6 2 2 5 2 4 3 2" xfId="0"/>
    <cellStyle name="Normal 6 2 2 5 2 4 4" xfId="0"/>
    <cellStyle name="Normal 6 2 2 5 2 5" xfId="0"/>
    <cellStyle name="Normal 6 2 2 5 2 5 2" xfId="0"/>
    <cellStyle name="Normal 6 2 2 5 2 5 2 2" xfId="0"/>
    <cellStyle name="Normal 6 2 2 5 2 5 3" xfId="0"/>
    <cellStyle name="Normal 6 2 2 5 2 6" xfId="0"/>
    <cellStyle name="Normal 6 2 2 5 2 6 2" xfId="0"/>
    <cellStyle name="Normal 6 2 2 5 2 7" xfId="0"/>
    <cellStyle name="Normal 6 2 2 5 3" xfId="0"/>
    <cellStyle name="Normal 6 2 2 5 3 2" xfId="0"/>
    <cellStyle name="Normal 6 2 2 5 3 2 2" xfId="0"/>
    <cellStyle name="Normal 6 2 2 5 3 2 2 2" xfId="0"/>
    <cellStyle name="Normal 6 2 2 5 3 2 2 2 2" xfId="0"/>
    <cellStyle name="Normal 6 2 2 5 3 2 2 2 2 2" xfId="0"/>
    <cellStyle name="Normal 6 2 2 5 3 2 2 2 3" xfId="0"/>
    <cellStyle name="Normal 6 2 2 5 3 2 2 3" xfId="0"/>
    <cellStyle name="Normal 6 2 2 5 3 2 2 3 2" xfId="0"/>
    <cellStyle name="Normal 6 2 2 5 3 2 2 4" xfId="0"/>
    <cellStyle name="Normal 6 2 2 5 3 2 3" xfId="0"/>
    <cellStyle name="Normal 6 2 2 5 3 2 3 2" xfId="0"/>
    <cellStyle name="Normal 6 2 2 5 3 2 3 2 2" xfId="0"/>
    <cellStyle name="Normal 6 2 2 5 3 2 3 3" xfId="0"/>
    <cellStyle name="Normal 6 2 2 5 3 2 4" xfId="0"/>
    <cellStyle name="Normal 6 2 2 5 3 2 4 2" xfId="0"/>
    <cellStyle name="Normal 6 2 2 5 3 2 5" xfId="0"/>
    <cellStyle name="Normal 6 2 2 5 3 3" xfId="0"/>
    <cellStyle name="Normal 6 2 2 5 3 3 2" xfId="0"/>
    <cellStyle name="Normal 6 2 2 5 3 3 2 2" xfId="0"/>
    <cellStyle name="Normal 6 2 2 5 3 3 2 2 2" xfId="0"/>
    <cellStyle name="Normal 6 2 2 5 3 3 2 3" xfId="0"/>
    <cellStyle name="Normal 6 2 2 5 3 3 3" xfId="0"/>
    <cellStyle name="Normal 6 2 2 5 3 3 3 2" xfId="0"/>
    <cellStyle name="Normal 6 2 2 5 3 3 4" xfId="0"/>
    <cellStyle name="Normal 6 2 2 5 3 4" xfId="0"/>
    <cellStyle name="Normal 6 2 2 5 3 4 2" xfId="0"/>
    <cellStyle name="Normal 6 2 2 5 3 4 2 2" xfId="0"/>
    <cellStyle name="Normal 6 2 2 5 3 4 3" xfId="0"/>
    <cellStyle name="Normal 6 2 2 5 3 5" xfId="0"/>
    <cellStyle name="Normal 6 2 2 5 3 5 2" xfId="0"/>
    <cellStyle name="Normal 6 2 2 5 3 6" xfId="0"/>
    <cellStyle name="Normal 6 2 2 5 4" xfId="0"/>
    <cellStyle name="Normal 6 2 2 5 4 2" xfId="0"/>
    <cellStyle name="Normal 6 2 2 5 4 2 2" xfId="0"/>
    <cellStyle name="Normal 6 2 2 5 4 2 2 2" xfId="0"/>
    <cellStyle name="Normal 6 2 2 5 4 2 2 2 2" xfId="0"/>
    <cellStyle name="Normal 6 2 2 5 4 2 2 3" xfId="0"/>
    <cellStyle name="Normal 6 2 2 5 4 2 3" xfId="0"/>
    <cellStyle name="Normal 6 2 2 5 4 2 3 2" xfId="0"/>
    <cellStyle name="Normal 6 2 2 5 4 2 4" xfId="0"/>
    <cellStyle name="Normal 6 2 2 5 4 3" xfId="0"/>
    <cellStyle name="Normal 6 2 2 5 4 3 2" xfId="0"/>
    <cellStyle name="Normal 6 2 2 5 4 3 2 2" xfId="0"/>
    <cellStyle name="Normal 6 2 2 5 4 3 3" xfId="0"/>
    <cellStyle name="Normal 6 2 2 5 4 4" xfId="0"/>
    <cellStyle name="Normal 6 2 2 5 4 4 2" xfId="0"/>
    <cellStyle name="Normal 6 2 2 5 4 5" xfId="0"/>
    <cellStyle name="Normal 6 2 2 5 5" xfId="0"/>
    <cellStyle name="Normal 6 2 2 5 5 2" xfId="0"/>
    <cellStyle name="Normal 6 2 2 5 5 2 2" xfId="0"/>
    <cellStyle name="Normal 6 2 2 5 5 2 2 2" xfId="0"/>
    <cellStyle name="Normal 6 2 2 5 5 2 3" xfId="0"/>
    <cellStyle name="Normal 6 2 2 5 5 3" xfId="0"/>
    <cellStyle name="Normal 6 2 2 5 5 3 2" xfId="0"/>
    <cellStyle name="Normal 6 2 2 5 5 4" xfId="0"/>
    <cellStyle name="Normal 6 2 2 5 6" xfId="0"/>
    <cellStyle name="Normal 6 2 2 5 6 2" xfId="0"/>
    <cellStyle name="Normal 6 2 2 5 6 2 2" xfId="0"/>
    <cellStyle name="Normal 6 2 2 5 6 3" xfId="0"/>
    <cellStyle name="Normal 6 2 2 5 7" xfId="0"/>
    <cellStyle name="Normal 6 2 2 5 7 2" xfId="0"/>
    <cellStyle name="Normal 6 2 2 5 8" xfId="0"/>
    <cellStyle name="Normal 6 2 2 6" xfId="0"/>
    <cellStyle name="Normal 6 2 2 6 2" xfId="0"/>
    <cellStyle name="Normal 6 2 2 6 2 2" xfId="0"/>
    <cellStyle name="Normal 6 2 2 6 2 2 2" xfId="0"/>
    <cellStyle name="Normal 6 2 2 6 2 2 2 2" xfId="0"/>
    <cellStyle name="Normal 6 2 2 6 2 2 2 2 2" xfId="0"/>
    <cellStyle name="Normal 6 2 2 6 2 2 2 2 2 2" xfId="0"/>
    <cellStyle name="Normal 6 2 2 6 2 2 2 2 2 2 2" xfId="0"/>
    <cellStyle name="Normal 6 2 2 6 2 2 2 2 2 3" xfId="0"/>
    <cellStyle name="Normal 6 2 2 6 2 2 2 2 3" xfId="0"/>
    <cellStyle name="Normal 6 2 2 6 2 2 2 2 3 2" xfId="0"/>
    <cellStyle name="Normal 6 2 2 6 2 2 2 2 4" xfId="0"/>
    <cellStyle name="Normal 6 2 2 6 2 2 2 3" xfId="0"/>
    <cellStyle name="Normal 6 2 2 6 2 2 2 3 2" xfId="0"/>
    <cellStyle name="Normal 6 2 2 6 2 2 2 3 2 2" xfId="0"/>
    <cellStyle name="Normal 6 2 2 6 2 2 2 3 3" xfId="0"/>
    <cellStyle name="Normal 6 2 2 6 2 2 2 4" xfId="0"/>
    <cellStyle name="Normal 6 2 2 6 2 2 2 4 2" xfId="0"/>
    <cellStyle name="Normal 6 2 2 6 2 2 2 5" xfId="0"/>
    <cellStyle name="Normal 6 2 2 6 2 2 3" xfId="0"/>
    <cellStyle name="Normal 6 2 2 6 2 2 3 2" xfId="0"/>
    <cellStyle name="Normal 6 2 2 6 2 2 3 2 2" xfId="0"/>
    <cellStyle name="Normal 6 2 2 6 2 2 3 2 2 2" xfId="0"/>
    <cellStyle name="Normal 6 2 2 6 2 2 3 2 3" xfId="0"/>
    <cellStyle name="Normal 6 2 2 6 2 2 3 3" xfId="0"/>
    <cellStyle name="Normal 6 2 2 6 2 2 3 3 2" xfId="0"/>
    <cellStyle name="Normal 6 2 2 6 2 2 3 4" xfId="0"/>
    <cellStyle name="Normal 6 2 2 6 2 2 4" xfId="0"/>
    <cellStyle name="Normal 6 2 2 6 2 2 4 2" xfId="0"/>
    <cellStyle name="Normal 6 2 2 6 2 2 4 2 2" xfId="0"/>
    <cellStyle name="Normal 6 2 2 6 2 2 4 3" xfId="0"/>
    <cellStyle name="Normal 6 2 2 6 2 2 5" xfId="0"/>
    <cellStyle name="Normal 6 2 2 6 2 2 5 2" xfId="0"/>
    <cellStyle name="Normal 6 2 2 6 2 2 6" xfId="0"/>
    <cellStyle name="Normal 6 2 2 6 2 3" xfId="0"/>
    <cellStyle name="Normal 6 2 2 6 2 3 2" xfId="0"/>
    <cellStyle name="Normal 6 2 2 6 2 3 2 2" xfId="0"/>
    <cellStyle name="Normal 6 2 2 6 2 3 2 2 2" xfId="0"/>
    <cellStyle name="Normal 6 2 2 6 2 3 2 2 2 2" xfId="0"/>
    <cellStyle name="Normal 6 2 2 6 2 3 2 2 3" xfId="0"/>
    <cellStyle name="Normal 6 2 2 6 2 3 2 3" xfId="0"/>
    <cellStyle name="Normal 6 2 2 6 2 3 2 3 2" xfId="0"/>
    <cellStyle name="Normal 6 2 2 6 2 3 2 4" xfId="0"/>
    <cellStyle name="Normal 6 2 2 6 2 3 3" xfId="0"/>
    <cellStyle name="Normal 6 2 2 6 2 3 3 2" xfId="0"/>
    <cellStyle name="Normal 6 2 2 6 2 3 3 2 2" xfId="0"/>
    <cellStyle name="Normal 6 2 2 6 2 3 3 3" xfId="0"/>
    <cellStyle name="Normal 6 2 2 6 2 3 4" xfId="0"/>
    <cellStyle name="Normal 6 2 2 6 2 3 4 2" xfId="0"/>
    <cellStyle name="Normal 6 2 2 6 2 3 5" xfId="0"/>
    <cellStyle name="Normal 6 2 2 6 2 4" xfId="0"/>
    <cellStyle name="Normal 6 2 2 6 2 4 2" xfId="0"/>
    <cellStyle name="Normal 6 2 2 6 2 4 2 2" xfId="0"/>
    <cellStyle name="Normal 6 2 2 6 2 4 2 2 2" xfId="0"/>
    <cellStyle name="Normal 6 2 2 6 2 4 2 3" xfId="0"/>
    <cellStyle name="Normal 6 2 2 6 2 4 3" xfId="0"/>
    <cellStyle name="Normal 6 2 2 6 2 4 3 2" xfId="0"/>
    <cellStyle name="Normal 6 2 2 6 2 4 4" xfId="0"/>
    <cellStyle name="Normal 6 2 2 6 2 5" xfId="0"/>
    <cellStyle name="Normal 6 2 2 6 2 5 2" xfId="0"/>
    <cellStyle name="Normal 6 2 2 6 2 5 2 2" xfId="0"/>
    <cellStyle name="Normal 6 2 2 6 2 5 3" xfId="0"/>
    <cellStyle name="Normal 6 2 2 6 2 6" xfId="0"/>
    <cellStyle name="Normal 6 2 2 6 2 6 2" xfId="0"/>
    <cellStyle name="Normal 6 2 2 6 2 7" xfId="0"/>
    <cellStyle name="Normal 6 2 2 6 3" xfId="0"/>
    <cellStyle name="Normal 6 2 2 6 3 2" xfId="0"/>
    <cellStyle name="Normal 6 2 2 6 3 2 2" xfId="0"/>
    <cellStyle name="Normal 6 2 2 6 3 2 2 2" xfId="0"/>
    <cellStyle name="Normal 6 2 2 6 3 2 2 2 2" xfId="0"/>
    <cellStyle name="Normal 6 2 2 6 3 2 2 2 2 2" xfId="0"/>
    <cellStyle name="Normal 6 2 2 6 3 2 2 2 3" xfId="0"/>
    <cellStyle name="Normal 6 2 2 6 3 2 2 3" xfId="0"/>
    <cellStyle name="Normal 6 2 2 6 3 2 2 3 2" xfId="0"/>
    <cellStyle name="Normal 6 2 2 6 3 2 2 4" xfId="0"/>
    <cellStyle name="Normal 6 2 2 6 3 2 3" xfId="0"/>
    <cellStyle name="Normal 6 2 2 6 3 2 3 2" xfId="0"/>
    <cellStyle name="Normal 6 2 2 6 3 2 3 2 2" xfId="0"/>
    <cellStyle name="Normal 6 2 2 6 3 2 3 3" xfId="0"/>
    <cellStyle name="Normal 6 2 2 6 3 2 4" xfId="0"/>
    <cellStyle name="Normal 6 2 2 6 3 2 4 2" xfId="0"/>
    <cellStyle name="Normal 6 2 2 6 3 2 5" xfId="0"/>
    <cellStyle name="Normal 6 2 2 6 3 3" xfId="0"/>
    <cellStyle name="Normal 6 2 2 6 3 3 2" xfId="0"/>
    <cellStyle name="Normal 6 2 2 6 3 3 2 2" xfId="0"/>
    <cellStyle name="Normal 6 2 2 6 3 3 2 2 2" xfId="0"/>
    <cellStyle name="Normal 6 2 2 6 3 3 2 3" xfId="0"/>
    <cellStyle name="Normal 6 2 2 6 3 3 3" xfId="0"/>
    <cellStyle name="Normal 6 2 2 6 3 3 3 2" xfId="0"/>
    <cellStyle name="Normal 6 2 2 6 3 3 4" xfId="0"/>
    <cellStyle name="Normal 6 2 2 6 3 4" xfId="0"/>
    <cellStyle name="Normal 6 2 2 6 3 4 2" xfId="0"/>
    <cellStyle name="Normal 6 2 2 6 3 4 2 2" xfId="0"/>
    <cellStyle name="Normal 6 2 2 6 3 4 3" xfId="0"/>
    <cellStyle name="Normal 6 2 2 6 3 5" xfId="0"/>
    <cellStyle name="Normal 6 2 2 6 3 5 2" xfId="0"/>
    <cellStyle name="Normal 6 2 2 6 3 6" xfId="0"/>
    <cellStyle name="Normal 6 2 2 6 4" xfId="0"/>
    <cellStyle name="Normal 6 2 2 6 4 2" xfId="0"/>
    <cellStyle name="Normal 6 2 2 6 4 2 2" xfId="0"/>
    <cellStyle name="Normal 6 2 2 6 4 2 2 2" xfId="0"/>
    <cellStyle name="Normal 6 2 2 6 4 2 2 2 2" xfId="0"/>
    <cellStyle name="Normal 6 2 2 6 4 2 2 3" xfId="0"/>
    <cellStyle name="Normal 6 2 2 6 4 2 3" xfId="0"/>
    <cellStyle name="Normal 6 2 2 6 4 2 3 2" xfId="0"/>
    <cellStyle name="Normal 6 2 2 6 4 2 4" xfId="0"/>
    <cellStyle name="Normal 6 2 2 6 4 3" xfId="0"/>
    <cellStyle name="Normal 6 2 2 6 4 3 2" xfId="0"/>
    <cellStyle name="Normal 6 2 2 6 4 3 2 2" xfId="0"/>
    <cellStyle name="Normal 6 2 2 6 4 3 3" xfId="0"/>
    <cellStyle name="Normal 6 2 2 6 4 4" xfId="0"/>
    <cellStyle name="Normal 6 2 2 6 4 4 2" xfId="0"/>
    <cellStyle name="Normal 6 2 2 6 4 5" xfId="0"/>
    <cellStyle name="Normal 6 2 2 6 5" xfId="0"/>
    <cellStyle name="Normal 6 2 2 6 5 2" xfId="0"/>
    <cellStyle name="Normal 6 2 2 6 5 2 2" xfId="0"/>
    <cellStyle name="Normal 6 2 2 6 5 2 2 2" xfId="0"/>
    <cellStyle name="Normal 6 2 2 6 5 2 3" xfId="0"/>
    <cellStyle name="Normal 6 2 2 6 5 3" xfId="0"/>
    <cellStyle name="Normal 6 2 2 6 5 3 2" xfId="0"/>
    <cellStyle name="Normal 6 2 2 6 5 4" xfId="0"/>
    <cellStyle name="Normal 6 2 2 6 6" xfId="0"/>
    <cellStyle name="Normal 6 2 2 6 6 2" xfId="0"/>
    <cellStyle name="Normal 6 2 2 6 6 2 2" xfId="0"/>
    <cellStyle name="Normal 6 2 2 6 6 3" xfId="0"/>
    <cellStyle name="Normal 6 2 2 6 7" xfId="0"/>
    <cellStyle name="Normal 6 2 2 6 7 2" xfId="0"/>
    <cellStyle name="Normal 6 2 2 6 8" xfId="0"/>
    <cellStyle name="Normal 6 2 2 7" xfId="0"/>
    <cellStyle name="Normal 6 2 2 7 2" xfId="0"/>
    <cellStyle name="Normal 6 2 2 7 2 2" xfId="0"/>
    <cellStyle name="Normal 6 2 2 7 2 2 2" xfId="0"/>
    <cellStyle name="Normal 6 2 2 7 2 2 2 2" xfId="0"/>
    <cellStyle name="Normal 6 2 2 7 2 2 2 2 2" xfId="0"/>
    <cellStyle name="Normal 6 2 2 7 2 2 2 2 2 2" xfId="0"/>
    <cellStyle name="Normal 6 2 2 7 2 2 2 2 3" xfId="0"/>
    <cellStyle name="Normal 6 2 2 7 2 2 2 3" xfId="0"/>
    <cellStyle name="Normal 6 2 2 7 2 2 2 3 2" xfId="0"/>
    <cellStyle name="Normal 6 2 2 7 2 2 2 4" xfId="0"/>
    <cellStyle name="Normal 6 2 2 7 2 2 3" xfId="0"/>
    <cellStyle name="Normal 6 2 2 7 2 2 3 2" xfId="0"/>
    <cellStyle name="Normal 6 2 2 7 2 2 3 2 2" xfId="0"/>
    <cellStyle name="Normal 6 2 2 7 2 2 3 3" xfId="0"/>
    <cellStyle name="Normal 6 2 2 7 2 2 4" xfId="0"/>
    <cellStyle name="Normal 6 2 2 7 2 2 4 2" xfId="0"/>
    <cellStyle name="Normal 6 2 2 7 2 2 5" xfId="0"/>
    <cellStyle name="Normal 6 2 2 7 2 3" xfId="0"/>
    <cellStyle name="Normal 6 2 2 7 2 3 2" xfId="0"/>
    <cellStyle name="Normal 6 2 2 7 2 3 2 2" xfId="0"/>
    <cellStyle name="Normal 6 2 2 7 2 3 2 2 2" xfId="0"/>
    <cellStyle name="Normal 6 2 2 7 2 3 2 3" xfId="0"/>
    <cellStyle name="Normal 6 2 2 7 2 3 3" xfId="0"/>
    <cellStyle name="Normal 6 2 2 7 2 3 3 2" xfId="0"/>
    <cellStyle name="Normal 6 2 2 7 2 3 4" xfId="0"/>
    <cellStyle name="Normal 6 2 2 7 2 4" xfId="0"/>
    <cellStyle name="Normal 6 2 2 7 2 4 2" xfId="0"/>
    <cellStyle name="Normal 6 2 2 7 2 4 2 2" xfId="0"/>
    <cellStyle name="Normal 6 2 2 7 2 4 3" xfId="0"/>
    <cellStyle name="Normal 6 2 2 7 2 5" xfId="0"/>
    <cellStyle name="Normal 6 2 2 7 2 5 2" xfId="0"/>
    <cellStyle name="Normal 6 2 2 7 2 6" xfId="0"/>
    <cellStyle name="Normal 6 2 2 7 3" xfId="0"/>
    <cellStyle name="Normal 6 2 2 7 3 2" xfId="0"/>
    <cellStyle name="Normal 6 2 2 7 3 2 2" xfId="0"/>
    <cellStyle name="Normal 6 2 2 7 3 2 2 2" xfId="0"/>
    <cellStyle name="Normal 6 2 2 7 3 2 2 2 2" xfId="0"/>
    <cellStyle name="Normal 6 2 2 7 3 2 2 3" xfId="0"/>
    <cellStyle name="Normal 6 2 2 7 3 2 3" xfId="0"/>
    <cellStyle name="Normal 6 2 2 7 3 2 3 2" xfId="0"/>
    <cellStyle name="Normal 6 2 2 7 3 2 4" xfId="0"/>
    <cellStyle name="Normal 6 2 2 7 3 3" xfId="0"/>
    <cellStyle name="Normal 6 2 2 7 3 3 2" xfId="0"/>
    <cellStyle name="Normal 6 2 2 7 3 3 2 2" xfId="0"/>
    <cellStyle name="Normal 6 2 2 7 3 3 3" xfId="0"/>
    <cellStyle name="Normal 6 2 2 7 3 4" xfId="0"/>
    <cellStyle name="Normal 6 2 2 7 3 4 2" xfId="0"/>
    <cellStyle name="Normal 6 2 2 7 3 5" xfId="0"/>
    <cellStyle name="Normal 6 2 2 7 4" xfId="0"/>
    <cellStyle name="Normal 6 2 2 7 4 2" xfId="0"/>
    <cellStyle name="Normal 6 2 2 7 4 2 2" xfId="0"/>
    <cellStyle name="Normal 6 2 2 7 4 2 2 2" xfId="0"/>
    <cellStyle name="Normal 6 2 2 7 4 2 3" xfId="0"/>
    <cellStyle name="Normal 6 2 2 7 4 3" xfId="0"/>
    <cellStyle name="Normal 6 2 2 7 4 3 2" xfId="0"/>
    <cellStyle name="Normal 6 2 2 7 4 4" xfId="0"/>
    <cellStyle name="Normal 6 2 2 7 5" xfId="0"/>
    <cellStyle name="Normal 6 2 2 7 5 2" xfId="0"/>
    <cellStyle name="Normal 6 2 2 7 5 2 2" xfId="0"/>
    <cellStyle name="Normal 6 2 2 7 5 3" xfId="0"/>
    <cellStyle name="Normal 6 2 2 7 6" xfId="0"/>
    <cellStyle name="Normal 6 2 2 7 6 2" xfId="0"/>
    <cellStyle name="Normal 6 2 2 7 7" xfId="0"/>
    <cellStyle name="Normal 6 2 2 8" xfId="0"/>
    <cellStyle name="Normal 6 2 2 8 2" xfId="0"/>
    <cellStyle name="Normal 6 2 2 8 2 2" xfId="0"/>
    <cellStyle name="Normal 6 2 2 8 2 2 2" xfId="0"/>
    <cellStyle name="Normal 6 2 2 8 2 2 2 2" xfId="0"/>
    <cellStyle name="Normal 6 2 2 8 2 2 2 2 2" xfId="0"/>
    <cellStyle name="Normal 6 2 2 8 2 2 2 2 2 2" xfId="0"/>
    <cellStyle name="Normal 6 2 2 8 2 2 2 2 3" xfId="0"/>
    <cellStyle name="Normal 6 2 2 8 2 2 2 3" xfId="0"/>
    <cellStyle name="Normal 6 2 2 8 2 2 2 3 2" xfId="0"/>
    <cellStyle name="Normal 6 2 2 8 2 2 2 4" xfId="0"/>
    <cellStyle name="Normal 6 2 2 8 2 2 3" xfId="0"/>
    <cellStyle name="Normal 6 2 2 8 2 2 3 2" xfId="0"/>
    <cellStyle name="Normal 6 2 2 8 2 2 3 2 2" xfId="0"/>
    <cellStyle name="Normal 6 2 2 8 2 2 3 3" xfId="0"/>
    <cellStyle name="Normal 6 2 2 8 2 2 4" xfId="0"/>
    <cellStyle name="Normal 6 2 2 8 2 2 4 2" xfId="0"/>
    <cellStyle name="Normal 6 2 2 8 2 2 5" xfId="0"/>
    <cellStyle name="Normal 6 2 2 8 2 3" xfId="0"/>
    <cellStyle name="Normal 6 2 2 8 2 3 2" xfId="0"/>
    <cellStyle name="Normal 6 2 2 8 2 3 2 2" xfId="0"/>
    <cellStyle name="Normal 6 2 2 8 2 3 2 2 2" xfId="0"/>
    <cellStyle name="Normal 6 2 2 8 2 3 2 3" xfId="0"/>
    <cellStyle name="Normal 6 2 2 8 2 3 3" xfId="0"/>
    <cellStyle name="Normal 6 2 2 8 2 3 3 2" xfId="0"/>
    <cellStyle name="Normal 6 2 2 8 2 3 4" xfId="0"/>
    <cellStyle name="Normal 6 2 2 8 2 4" xfId="0"/>
    <cellStyle name="Normal 6 2 2 8 2 4 2" xfId="0"/>
    <cellStyle name="Normal 6 2 2 8 2 4 2 2" xfId="0"/>
    <cellStyle name="Normal 6 2 2 8 2 4 3" xfId="0"/>
    <cellStyle name="Normal 6 2 2 8 2 5" xfId="0"/>
    <cellStyle name="Normal 6 2 2 8 2 5 2" xfId="0"/>
    <cellStyle name="Normal 6 2 2 8 2 6" xfId="0"/>
    <cellStyle name="Normal 6 2 2 8 3" xfId="0"/>
    <cellStyle name="Normal 6 2 2 8 3 2" xfId="0"/>
    <cellStyle name="Normal 6 2 2 8 3 2 2" xfId="0"/>
    <cellStyle name="Normal 6 2 2 8 3 2 2 2" xfId="0"/>
    <cellStyle name="Normal 6 2 2 8 3 2 2 2 2" xfId="0"/>
    <cellStyle name="Normal 6 2 2 8 3 2 2 3" xfId="0"/>
    <cellStyle name="Normal 6 2 2 8 3 2 3" xfId="0"/>
    <cellStyle name="Normal 6 2 2 8 3 2 3 2" xfId="0"/>
    <cellStyle name="Normal 6 2 2 8 3 2 4" xfId="0"/>
    <cellStyle name="Normal 6 2 2 8 3 3" xfId="0"/>
    <cellStyle name="Normal 6 2 2 8 3 3 2" xfId="0"/>
    <cellStyle name="Normal 6 2 2 8 3 3 2 2" xfId="0"/>
    <cellStyle name="Normal 6 2 2 8 3 3 3" xfId="0"/>
    <cellStyle name="Normal 6 2 2 8 3 4" xfId="0"/>
    <cellStyle name="Normal 6 2 2 8 3 4 2" xfId="0"/>
    <cellStyle name="Normal 6 2 2 8 3 5" xfId="0"/>
    <cellStyle name="Normal 6 2 2 8 4" xfId="0"/>
    <cellStyle name="Normal 6 2 2 8 4 2" xfId="0"/>
    <cellStyle name="Normal 6 2 2 8 4 2 2" xfId="0"/>
    <cellStyle name="Normal 6 2 2 8 4 2 2 2" xfId="0"/>
    <cellStyle name="Normal 6 2 2 8 4 2 3" xfId="0"/>
    <cellStyle name="Normal 6 2 2 8 4 3" xfId="0"/>
    <cellStyle name="Normal 6 2 2 8 4 3 2" xfId="0"/>
    <cellStyle name="Normal 6 2 2 8 4 4" xfId="0"/>
    <cellStyle name="Normal 6 2 2 8 5" xfId="0"/>
    <cellStyle name="Normal 6 2 2 8 5 2" xfId="0"/>
    <cellStyle name="Normal 6 2 2 8 5 2 2" xfId="0"/>
    <cellStyle name="Normal 6 2 2 8 5 3" xfId="0"/>
    <cellStyle name="Normal 6 2 2 8 6" xfId="0"/>
    <cellStyle name="Normal 6 2 2 8 6 2" xfId="0"/>
    <cellStyle name="Normal 6 2 2 8 7" xfId="0"/>
    <cellStyle name="Normal 6 2 2 9" xfId="0"/>
    <cellStyle name="Normal 6 2 2 9 2" xfId="0"/>
    <cellStyle name="Normal 6 2 2 9 2 2" xfId="0"/>
    <cellStyle name="Normal 6 2 2 9 2 2 2" xfId="0"/>
    <cellStyle name="Normal 6 2 2 9 2 2 2 2" xfId="0"/>
    <cellStyle name="Normal 6 2 2 9 2 2 2 2 2" xfId="0"/>
    <cellStyle name="Normal 6 2 2 9 2 2 2 3" xfId="0"/>
    <cellStyle name="Normal 6 2 2 9 2 2 3" xfId="0"/>
    <cellStyle name="Normal 6 2 2 9 2 2 3 2" xfId="0"/>
    <cellStyle name="Normal 6 2 2 9 2 2 4" xfId="0"/>
    <cellStyle name="Normal 6 2 2 9 2 3" xfId="0"/>
    <cellStyle name="Normal 6 2 2 9 2 3 2" xfId="0"/>
    <cellStyle name="Normal 6 2 2 9 2 3 2 2" xfId="0"/>
    <cellStyle name="Normal 6 2 2 9 2 3 3" xfId="0"/>
    <cellStyle name="Normal 6 2 2 9 2 4" xfId="0"/>
    <cellStyle name="Normal 6 2 2 9 2 4 2" xfId="0"/>
    <cellStyle name="Normal 6 2 2 9 2 5" xfId="0"/>
    <cellStyle name="Normal 6 2 2 9 3" xfId="0"/>
    <cellStyle name="Normal 6 2 2 9 3 2" xfId="0"/>
    <cellStyle name="Normal 6 2 2 9 3 2 2" xfId="0"/>
    <cellStyle name="Normal 6 2 2 9 3 2 2 2" xfId="0"/>
    <cellStyle name="Normal 6 2 2 9 3 2 3" xfId="0"/>
    <cellStyle name="Normal 6 2 2 9 3 3" xfId="0"/>
    <cellStyle name="Normal 6 2 2 9 3 3 2" xfId="0"/>
    <cellStyle name="Normal 6 2 2 9 3 4" xfId="0"/>
    <cellStyle name="Normal 6 2 2 9 4" xfId="0"/>
    <cellStyle name="Normal 6 2 2 9 4 2" xfId="0"/>
    <cellStyle name="Normal 6 2 2 9 4 2 2" xfId="0"/>
    <cellStyle name="Normal 6 2 2 9 4 3" xfId="0"/>
    <cellStyle name="Normal 6 2 2 9 5" xfId="0"/>
    <cellStyle name="Normal 6 2 2 9 5 2" xfId="0"/>
    <cellStyle name="Normal 6 2 2 9 6" xfId="0"/>
    <cellStyle name="Normal 6 2 3" xfId="0"/>
    <cellStyle name="Normal 6 2 4" xfId="0"/>
    <cellStyle name="Normal 6 2 4 10" xfId="0"/>
    <cellStyle name="Normal 6 2 4 10 2" xfId="0"/>
    <cellStyle name="Normal 6 2 4 10 2 2" xfId="0"/>
    <cellStyle name="Normal 6 2 4 10 3" xfId="0"/>
    <cellStyle name="Normal 6 2 4 11" xfId="0"/>
    <cellStyle name="Normal 6 2 4 11 2" xfId="0"/>
    <cellStyle name="Normal 6 2 4 12" xfId="0"/>
    <cellStyle name="Normal 6 2 4 2" xfId="0"/>
    <cellStyle name="Normal 6 2 4 2 10" xfId="0"/>
    <cellStyle name="Normal 6 2 4 2 10 2" xfId="0"/>
    <cellStyle name="Normal 6 2 4 2 11" xfId="0"/>
    <cellStyle name="Normal 6 2 4 2 2" xfId="0"/>
    <cellStyle name="Normal 6 2 4 2 2 2" xfId="0"/>
    <cellStyle name="Normal 6 2 4 2 2 2 2" xfId="0"/>
    <cellStyle name="Normal 6 2 4 2 2 2 2 2" xfId="0"/>
    <cellStyle name="Normal 6 2 4 2 2 2 2 2 2" xfId="0"/>
    <cellStyle name="Normal 6 2 4 2 2 2 2 2 2 2" xfId="0"/>
    <cellStyle name="Normal 6 2 4 2 2 2 2 2 2 2 2" xfId="0"/>
    <cellStyle name="Normal 6 2 4 2 2 2 2 2 2 2 2 2" xfId="0"/>
    <cellStyle name="Normal 6 2 4 2 2 2 2 2 2 2 3" xfId="0"/>
    <cellStyle name="Normal 6 2 4 2 2 2 2 2 2 3" xfId="0"/>
    <cellStyle name="Normal 6 2 4 2 2 2 2 2 2 3 2" xfId="0"/>
    <cellStyle name="Normal 6 2 4 2 2 2 2 2 2 4" xfId="0"/>
    <cellStyle name="Normal 6 2 4 2 2 2 2 2 3" xfId="0"/>
    <cellStyle name="Normal 6 2 4 2 2 2 2 2 3 2" xfId="0"/>
    <cellStyle name="Normal 6 2 4 2 2 2 2 2 3 2 2" xfId="0"/>
    <cellStyle name="Normal 6 2 4 2 2 2 2 2 3 3" xfId="0"/>
    <cellStyle name="Normal 6 2 4 2 2 2 2 2 4" xfId="0"/>
    <cellStyle name="Normal 6 2 4 2 2 2 2 2 4 2" xfId="0"/>
    <cellStyle name="Normal 6 2 4 2 2 2 2 2 5" xfId="0"/>
    <cellStyle name="Normal 6 2 4 2 2 2 2 3" xfId="0"/>
    <cellStyle name="Normal 6 2 4 2 2 2 2 3 2" xfId="0"/>
    <cellStyle name="Normal 6 2 4 2 2 2 2 3 2 2" xfId="0"/>
    <cellStyle name="Normal 6 2 4 2 2 2 2 3 2 2 2" xfId="0"/>
    <cellStyle name="Normal 6 2 4 2 2 2 2 3 2 3" xfId="0"/>
    <cellStyle name="Normal 6 2 4 2 2 2 2 3 3" xfId="0"/>
    <cellStyle name="Normal 6 2 4 2 2 2 2 3 3 2" xfId="0"/>
    <cellStyle name="Normal 6 2 4 2 2 2 2 3 4" xfId="0"/>
    <cellStyle name="Normal 6 2 4 2 2 2 2 4" xfId="0"/>
    <cellStyle name="Normal 6 2 4 2 2 2 2 4 2" xfId="0"/>
    <cellStyle name="Normal 6 2 4 2 2 2 2 4 2 2" xfId="0"/>
    <cellStyle name="Normal 6 2 4 2 2 2 2 4 3" xfId="0"/>
    <cellStyle name="Normal 6 2 4 2 2 2 2 5" xfId="0"/>
    <cellStyle name="Normal 6 2 4 2 2 2 2 5 2" xfId="0"/>
    <cellStyle name="Normal 6 2 4 2 2 2 2 6" xfId="0"/>
    <cellStyle name="Normal 6 2 4 2 2 2 3" xfId="0"/>
    <cellStyle name="Normal 6 2 4 2 2 2 3 2" xfId="0"/>
    <cellStyle name="Normal 6 2 4 2 2 2 3 2 2" xfId="0"/>
    <cellStyle name="Normal 6 2 4 2 2 2 3 2 2 2" xfId="0"/>
    <cellStyle name="Normal 6 2 4 2 2 2 3 2 2 2 2" xfId="0"/>
    <cellStyle name="Normal 6 2 4 2 2 2 3 2 2 3" xfId="0"/>
    <cellStyle name="Normal 6 2 4 2 2 2 3 2 3" xfId="0"/>
    <cellStyle name="Normal 6 2 4 2 2 2 3 2 3 2" xfId="0"/>
    <cellStyle name="Normal 6 2 4 2 2 2 3 2 4" xfId="0"/>
    <cellStyle name="Normal 6 2 4 2 2 2 3 3" xfId="0"/>
    <cellStyle name="Normal 6 2 4 2 2 2 3 3 2" xfId="0"/>
    <cellStyle name="Normal 6 2 4 2 2 2 3 3 2 2" xfId="0"/>
    <cellStyle name="Normal 6 2 4 2 2 2 3 3 3" xfId="0"/>
    <cellStyle name="Normal 6 2 4 2 2 2 3 4" xfId="0"/>
    <cellStyle name="Normal 6 2 4 2 2 2 3 4 2" xfId="0"/>
    <cellStyle name="Normal 6 2 4 2 2 2 3 5" xfId="0"/>
    <cellStyle name="Normal 6 2 4 2 2 2 4" xfId="0"/>
    <cellStyle name="Normal 6 2 4 2 2 2 4 2" xfId="0"/>
    <cellStyle name="Normal 6 2 4 2 2 2 4 2 2" xfId="0"/>
    <cellStyle name="Normal 6 2 4 2 2 2 4 2 2 2" xfId="0"/>
    <cellStyle name="Normal 6 2 4 2 2 2 4 2 3" xfId="0"/>
    <cellStyle name="Normal 6 2 4 2 2 2 4 3" xfId="0"/>
    <cellStyle name="Normal 6 2 4 2 2 2 4 3 2" xfId="0"/>
    <cellStyle name="Normal 6 2 4 2 2 2 4 4" xfId="0"/>
    <cellStyle name="Normal 6 2 4 2 2 2 5" xfId="0"/>
    <cellStyle name="Normal 6 2 4 2 2 2 5 2" xfId="0"/>
    <cellStyle name="Normal 6 2 4 2 2 2 5 2 2" xfId="0"/>
    <cellStyle name="Normal 6 2 4 2 2 2 5 3" xfId="0"/>
    <cellStyle name="Normal 6 2 4 2 2 2 6" xfId="0"/>
    <cellStyle name="Normal 6 2 4 2 2 2 6 2" xfId="0"/>
    <cellStyle name="Normal 6 2 4 2 2 2 7" xfId="0"/>
    <cellStyle name="Normal 6 2 4 2 2 3" xfId="0"/>
    <cellStyle name="Normal 6 2 4 2 2 3 2" xfId="0"/>
    <cellStyle name="Normal 6 2 4 2 2 3 2 2" xfId="0"/>
    <cellStyle name="Normal 6 2 4 2 2 3 2 2 2" xfId="0"/>
    <cellStyle name="Normal 6 2 4 2 2 3 2 2 2 2" xfId="0"/>
    <cellStyle name="Normal 6 2 4 2 2 3 2 2 2 2 2" xfId="0"/>
    <cellStyle name="Normal 6 2 4 2 2 3 2 2 2 3" xfId="0"/>
    <cellStyle name="Normal 6 2 4 2 2 3 2 2 3" xfId="0"/>
    <cellStyle name="Normal 6 2 4 2 2 3 2 2 3 2" xfId="0"/>
    <cellStyle name="Normal 6 2 4 2 2 3 2 2 4" xfId="0"/>
    <cellStyle name="Normal 6 2 4 2 2 3 2 3" xfId="0"/>
    <cellStyle name="Normal 6 2 4 2 2 3 2 3 2" xfId="0"/>
    <cellStyle name="Normal 6 2 4 2 2 3 2 3 2 2" xfId="0"/>
    <cellStyle name="Normal 6 2 4 2 2 3 2 3 3" xfId="0"/>
    <cellStyle name="Normal 6 2 4 2 2 3 2 4" xfId="0"/>
    <cellStyle name="Normal 6 2 4 2 2 3 2 4 2" xfId="0"/>
    <cellStyle name="Normal 6 2 4 2 2 3 2 5" xfId="0"/>
    <cellStyle name="Normal 6 2 4 2 2 3 3" xfId="0"/>
    <cellStyle name="Normal 6 2 4 2 2 3 3 2" xfId="0"/>
    <cellStyle name="Normal 6 2 4 2 2 3 3 2 2" xfId="0"/>
    <cellStyle name="Normal 6 2 4 2 2 3 3 2 2 2" xfId="0"/>
    <cellStyle name="Normal 6 2 4 2 2 3 3 2 3" xfId="0"/>
    <cellStyle name="Normal 6 2 4 2 2 3 3 3" xfId="0"/>
    <cellStyle name="Normal 6 2 4 2 2 3 3 3 2" xfId="0"/>
    <cellStyle name="Normal 6 2 4 2 2 3 3 4" xfId="0"/>
    <cellStyle name="Normal 6 2 4 2 2 3 4" xfId="0"/>
    <cellStyle name="Normal 6 2 4 2 2 3 4 2" xfId="0"/>
    <cellStyle name="Normal 6 2 4 2 2 3 4 2 2" xfId="0"/>
    <cellStyle name="Normal 6 2 4 2 2 3 4 3" xfId="0"/>
    <cellStyle name="Normal 6 2 4 2 2 3 5" xfId="0"/>
    <cellStyle name="Normal 6 2 4 2 2 3 5 2" xfId="0"/>
    <cellStyle name="Normal 6 2 4 2 2 3 6" xfId="0"/>
    <cellStyle name="Normal 6 2 4 2 2 4" xfId="0"/>
    <cellStyle name="Normal 6 2 4 2 2 4 2" xfId="0"/>
    <cellStyle name="Normal 6 2 4 2 2 4 2 2" xfId="0"/>
    <cellStyle name="Normal 6 2 4 2 2 4 2 2 2" xfId="0"/>
    <cellStyle name="Normal 6 2 4 2 2 4 2 2 2 2" xfId="0"/>
    <cellStyle name="Normal 6 2 4 2 2 4 2 2 3" xfId="0"/>
    <cellStyle name="Normal 6 2 4 2 2 4 2 3" xfId="0"/>
    <cellStyle name="Normal 6 2 4 2 2 4 2 3 2" xfId="0"/>
    <cellStyle name="Normal 6 2 4 2 2 4 2 4" xfId="0"/>
    <cellStyle name="Normal 6 2 4 2 2 4 3" xfId="0"/>
    <cellStyle name="Normal 6 2 4 2 2 4 3 2" xfId="0"/>
    <cellStyle name="Normal 6 2 4 2 2 4 3 2 2" xfId="0"/>
    <cellStyle name="Normal 6 2 4 2 2 4 3 3" xfId="0"/>
    <cellStyle name="Normal 6 2 4 2 2 4 4" xfId="0"/>
    <cellStyle name="Normal 6 2 4 2 2 4 4 2" xfId="0"/>
    <cellStyle name="Normal 6 2 4 2 2 4 5" xfId="0"/>
    <cellStyle name="Normal 6 2 4 2 2 5" xfId="0"/>
    <cellStyle name="Normal 6 2 4 2 2 5 2" xfId="0"/>
    <cellStyle name="Normal 6 2 4 2 2 5 2 2" xfId="0"/>
    <cellStyle name="Normal 6 2 4 2 2 5 2 2 2" xfId="0"/>
    <cellStyle name="Normal 6 2 4 2 2 5 2 3" xfId="0"/>
    <cellStyle name="Normal 6 2 4 2 2 5 3" xfId="0"/>
    <cellStyle name="Normal 6 2 4 2 2 5 3 2" xfId="0"/>
    <cellStyle name="Normal 6 2 4 2 2 5 4" xfId="0"/>
    <cellStyle name="Normal 6 2 4 2 2 6" xfId="0"/>
    <cellStyle name="Normal 6 2 4 2 2 6 2" xfId="0"/>
    <cellStyle name="Normal 6 2 4 2 2 6 2 2" xfId="0"/>
    <cellStyle name="Normal 6 2 4 2 2 6 3" xfId="0"/>
    <cellStyle name="Normal 6 2 4 2 2 7" xfId="0"/>
    <cellStyle name="Normal 6 2 4 2 2 7 2" xfId="0"/>
    <cellStyle name="Normal 6 2 4 2 2 8" xfId="0"/>
    <cellStyle name="Normal 6 2 4 2 3" xfId="0"/>
    <cellStyle name="Normal 6 2 4 2 3 2" xfId="0"/>
    <cellStyle name="Normal 6 2 4 2 3 2 2" xfId="0"/>
    <cellStyle name="Normal 6 2 4 2 3 2 2 2" xfId="0"/>
    <cellStyle name="Normal 6 2 4 2 3 2 2 2 2" xfId="0"/>
    <cellStyle name="Normal 6 2 4 2 3 2 2 2 2 2" xfId="0"/>
    <cellStyle name="Normal 6 2 4 2 3 2 2 2 2 2 2" xfId="0"/>
    <cellStyle name="Normal 6 2 4 2 3 2 2 2 2 2 2 2" xfId="0"/>
    <cellStyle name="Normal 6 2 4 2 3 2 2 2 2 2 3" xfId="0"/>
    <cellStyle name="Normal 6 2 4 2 3 2 2 2 2 3" xfId="0"/>
    <cellStyle name="Normal 6 2 4 2 3 2 2 2 2 3 2" xfId="0"/>
    <cellStyle name="Normal 6 2 4 2 3 2 2 2 2 4" xfId="0"/>
    <cellStyle name="Normal 6 2 4 2 3 2 2 2 3" xfId="0"/>
    <cellStyle name="Normal 6 2 4 2 3 2 2 2 3 2" xfId="0"/>
    <cellStyle name="Normal 6 2 4 2 3 2 2 2 3 2 2" xfId="0"/>
    <cellStyle name="Normal 6 2 4 2 3 2 2 2 3 3" xfId="0"/>
    <cellStyle name="Normal 6 2 4 2 3 2 2 2 4" xfId="0"/>
    <cellStyle name="Normal 6 2 4 2 3 2 2 2 4 2" xfId="0"/>
    <cellStyle name="Normal 6 2 4 2 3 2 2 2 5" xfId="0"/>
    <cellStyle name="Normal 6 2 4 2 3 2 2 3" xfId="0"/>
    <cellStyle name="Normal 6 2 4 2 3 2 2 3 2" xfId="0"/>
    <cellStyle name="Normal 6 2 4 2 3 2 2 3 2 2" xfId="0"/>
    <cellStyle name="Normal 6 2 4 2 3 2 2 3 2 2 2" xfId="0"/>
    <cellStyle name="Normal 6 2 4 2 3 2 2 3 2 3" xfId="0"/>
    <cellStyle name="Normal 6 2 4 2 3 2 2 3 3" xfId="0"/>
    <cellStyle name="Normal 6 2 4 2 3 2 2 3 3 2" xfId="0"/>
    <cellStyle name="Normal 6 2 4 2 3 2 2 3 4" xfId="0"/>
    <cellStyle name="Normal 6 2 4 2 3 2 2 4" xfId="0"/>
    <cellStyle name="Normal 6 2 4 2 3 2 2 4 2" xfId="0"/>
    <cellStyle name="Normal 6 2 4 2 3 2 2 4 2 2" xfId="0"/>
    <cellStyle name="Normal 6 2 4 2 3 2 2 4 3" xfId="0"/>
    <cellStyle name="Normal 6 2 4 2 3 2 2 5" xfId="0"/>
    <cellStyle name="Normal 6 2 4 2 3 2 2 5 2" xfId="0"/>
    <cellStyle name="Normal 6 2 4 2 3 2 2 6" xfId="0"/>
    <cellStyle name="Normal 6 2 4 2 3 2 3" xfId="0"/>
    <cellStyle name="Normal 6 2 4 2 3 2 3 2" xfId="0"/>
    <cellStyle name="Normal 6 2 4 2 3 2 3 2 2" xfId="0"/>
    <cellStyle name="Normal 6 2 4 2 3 2 3 2 2 2" xfId="0"/>
    <cellStyle name="Normal 6 2 4 2 3 2 3 2 2 2 2" xfId="0"/>
    <cellStyle name="Normal 6 2 4 2 3 2 3 2 2 3" xfId="0"/>
    <cellStyle name="Normal 6 2 4 2 3 2 3 2 3" xfId="0"/>
    <cellStyle name="Normal 6 2 4 2 3 2 3 2 3 2" xfId="0"/>
    <cellStyle name="Normal 6 2 4 2 3 2 3 2 4" xfId="0"/>
    <cellStyle name="Normal 6 2 4 2 3 2 3 3" xfId="0"/>
    <cellStyle name="Normal 6 2 4 2 3 2 3 3 2" xfId="0"/>
    <cellStyle name="Normal 6 2 4 2 3 2 3 3 2 2" xfId="0"/>
    <cellStyle name="Normal 6 2 4 2 3 2 3 3 3" xfId="0"/>
    <cellStyle name="Normal 6 2 4 2 3 2 3 4" xfId="0"/>
    <cellStyle name="Normal 6 2 4 2 3 2 3 4 2" xfId="0"/>
    <cellStyle name="Normal 6 2 4 2 3 2 3 5" xfId="0"/>
    <cellStyle name="Normal 6 2 4 2 3 2 4" xfId="0"/>
    <cellStyle name="Normal 6 2 4 2 3 2 4 2" xfId="0"/>
    <cellStyle name="Normal 6 2 4 2 3 2 4 2 2" xfId="0"/>
    <cellStyle name="Normal 6 2 4 2 3 2 4 2 2 2" xfId="0"/>
    <cellStyle name="Normal 6 2 4 2 3 2 4 2 3" xfId="0"/>
    <cellStyle name="Normal 6 2 4 2 3 2 4 3" xfId="0"/>
    <cellStyle name="Normal 6 2 4 2 3 2 4 3 2" xfId="0"/>
    <cellStyle name="Normal 6 2 4 2 3 2 4 4" xfId="0"/>
    <cellStyle name="Normal 6 2 4 2 3 2 5" xfId="0"/>
    <cellStyle name="Normal 6 2 4 2 3 2 5 2" xfId="0"/>
    <cellStyle name="Normal 6 2 4 2 3 2 5 2 2" xfId="0"/>
    <cellStyle name="Normal 6 2 4 2 3 2 5 3" xfId="0"/>
    <cellStyle name="Normal 6 2 4 2 3 2 6" xfId="0"/>
    <cellStyle name="Normal 6 2 4 2 3 2 6 2" xfId="0"/>
    <cellStyle name="Normal 6 2 4 2 3 2 7" xfId="0"/>
    <cellStyle name="Normal 6 2 4 2 3 3" xfId="0"/>
    <cellStyle name="Normal 6 2 4 2 3 3 2" xfId="0"/>
    <cellStyle name="Normal 6 2 4 2 3 3 2 2" xfId="0"/>
    <cellStyle name="Normal 6 2 4 2 3 3 2 2 2" xfId="0"/>
    <cellStyle name="Normal 6 2 4 2 3 3 2 2 2 2" xfId="0"/>
    <cellStyle name="Normal 6 2 4 2 3 3 2 2 2 2 2" xfId="0"/>
    <cellStyle name="Normal 6 2 4 2 3 3 2 2 2 3" xfId="0"/>
    <cellStyle name="Normal 6 2 4 2 3 3 2 2 3" xfId="0"/>
    <cellStyle name="Normal 6 2 4 2 3 3 2 2 3 2" xfId="0"/>
    <cellStyle name="Normal 6 2 4 2 3 3 2 2 4" xfId="0"/>
    <cellStyle name="Normal 6 2 4 2 3 3 2 3" xfId="0"/>
    <cellStyle name="Normal 6 2 4 2 3 3 2 3 2" xfId="0"/>
    <cellStyle name="Normal 6 2 4 2 3 3 2 3 2 2" xfId="0"/>
    <cellStyle name="Normal 6 2 4 2 3 3 2 3 3" xfId="0"/>
    <cellStyle name="Normal 6 2 4 2 3 3 2 4" xfId="0"/>
    <cellStyle name="Normal 6 2 4 2 3 3 2 4 2" xfId="0"/>
    <cellStyle name="Normal 6 2 4 2 3 3 2 5" xfId="0"/>
    <cellStyle name="Normal 6 2 4 2 3 3 3" xfId="0"/>
    <cellStyle name="Normal 6 2 4 2 3 3 3 2" xfId="0"/>
    <cellStyle name="Normal 6 2 4 2 3 3 3 2 2" xfId="0"/>
    <cellStyle name="Normal 6 2 4 2 3 3 3 2 2 2" xfId="0"/>
    <cellStyle name="Normal 6 2 4 2 3 3 3 2 3" xfId="0"/>
    <cellStyle name="Normal 6 2 4 2 3 3 3 3" xfId="0"/>
    <cellStyle name="Normal 6 2 4 2 3 3 3 3 2" xfId="0"/>
    <cellStyle name="Normal 6 2 4 2 3 3 3 4" xfId="0"/>
    <cellStyle name="Normal 6 2 4 2 3 3 4" xfId="0"/>
    <cellStyle name="Normal 6 2 4 2 3 3 4 2" xfId="0"/>
    <cellStyle name="Normal 6 2 4 2 3 3 4 2 2" xfId="0"/>
    <cellStyle name="Normal 6 2 4 2 3 3 4 3" xfId="0"/>
    <cellStyle name="Normal 6 2 4 2 3 3 5" xfId="0"/>
    <cellStyle name="Normal 6 2 4 2 3 3 5 2" xfId="0"/>
    <cellStyle name="Normal 6 2 4 2 3 3 6" xfId="0"/>
    <cellStyle name="Normal 6 2 4 2 3 4" xfId="0"/>
    <cellStyle name="Normal 6 2 4 2 3 4 2" xfId="0"/>
    <cellStyle name="Normal 6 2 4 2 3 4 2 2" xfId="0"/>
    <cellStyle name="Normal 6 2 4 2 3 4 2 2 2" xfId="0"/>
    <cellStyle name="Normal 6 2 4 2 3 4 2 2 2 2" xfId="0"/>
    <cellStyle name="Normal 6 2 4 2 3 4 2 2 3" xfId="0"/>
    <cellStyle name="Normal 6 2 4 2 3 4 2 3" xfId="0"/>
    <cellStyle name="Normal 6 2 4 2 3 4 2 3 2" xfId="0"/>
    <cellStyle name="Normal 6 2 4 2 3 4 2 4" xfId="0"/>
    <cellStyle name="Normal 6 2 4 2 3 4 3" xfId="0"/>
    <cellStyle name="Normal 6 2 4 2 3 4 3 2" xfId="0"/>
    <cellStyle name="Normal 6 2 4 2 3 4 3 2 2" xfId="0"/>
    <cellStyle name="Normal 6 2 4 2 3 4 3 3" xfId="0"/>
    <cellStyle name="Normal 6 2 4 2 3 4 4" xfId="0"/>
    <cellStyle name="Normal 6 2 4 2 3 4 4 2" xfId="0"/>
    <cellStyle name="Normal 6 2 4 2 3 4 5" xfId="0"/>
    <cellStyle name="Normal 6 2 4 2 3 5" xfId="0"/>
    <cellStyle name="Normal 6 2 4 2 3 5 2" xfId="0"/>
    <cellStyle name="Normal 6 2 4 2 3 5 2 2" xfId="0"/>
    <cellStyle name="Normal 6 2 4 2 3 5 2 2 2" xfId="0"/>
    <cellStyle name="Normal 6 2 4 2 3 5 2 3" xfId="0"/>
    <cellStyle name="Normal 6 2 4 2 3 5 3" xfId="0"/>
    <cellStyle name="Normal 6 2 4 2 3 5 3 2" xfId="0"/>
    <cellStyle name="Normal 6 2 4 2 3 5 4" xfId="0"/>
    <cellStyle name="Normal 6 2 4 2 3 6" xfId="0"/>
    <cellStyle name="Normal 6 2 4 2 3 6 2" xfId="0"/>
    <cellStyle name="Normal 6 2 4 2 3 6 2 2" xfId="0"/>
    <cellStyle name="Normal 6 2 4 2 3 6 3" xfId="0"/>
    <cellStyle name="Normal 6 2 4 2 3 7" xfId="0"/>
    <cellStyle name="Normal 6 2 4 2 3 7 2" xfId="0"/>
    <cellStyle name="Normal 6 2 4 2 3 8" xfId="0"/>
    <cellStyle name="Normal 6 2 4 2 4" xfId="0"/>
    <cellStyle name="Normal 6 2 4 2 4 2" xfId="0"/>
    <cellStyle name="Normal 6 2 4 2 4 2 2" xfId="0"/>
    <cellStyle name="Normal 6 2 4 2 4 2 2 2" xfId="0"/>
    <cellStyle name="Normal 6 2 4 2 4 2 2 2 2" xfId="0"/>
    <cellStyle name="Normal 6 2 4 2 4 2 2 2 2 2" xfId="0"/>
    <cellStyle name="Normal 6 2 4 2 4 2 2 2 2 2 2" xfId="0"/>
    <cellStyle name="Normal 6 2 4 2 4 2 2 2 2 3" xfId="0"/>
    <cellStyle name="Normal 6 2 4 2 4 2 2 2 3" xfId="0"/>
    <cellStyle name="Normal 6 2 4 2 4 2 2 2 3 2" xfId="0"/>
    <cellStyle name="Normal 6 2 4 2 4 2 2 2 4" xfId="0"/>
    <cellStyle name="Normal 6 2 4 2 4 2 2 3" xfId="0"/>
    <cellStyle name="Normal 6 2 4 2 4 2 2 3 2" xfId="0"/>
    <cellStyle name="Normal 6 2 4 2 4 2 2 3 2 2" xfId="0"/>
    <cellStyle name="Normal 6 2 4 2 4 2 2 3 3" xfId="0"/>
    <cellStyle name="Normal 6 2 4 2 4 2 2 4" xfId="0"/>
    <cellStyle name="Normal 6 2 4 2 4 2 2 4 2" xfId="0"/>
    <cellStyle name="Normal 6 2 4 2 4 2 2 5" xfId="0"/>
    <cellStyle name="Normal 6 2 4 2 4 2 3" xfId="0"/>
    <cellStyle name="Normal 6 2 4 2 4 2 3 2" xfId="0"/>
    <cellStyle name="Normal 6 2 4 2 4 2 3 2 2" xfId="0"/>
    <cellStyle name="Normal 6 2 4 2 4 2 3 2 2 2" xfId="0"/>
    <cellStyle name="Normal 6 2 4 2 4 2 3 2 3" xfId="0"/>
    <cellStyle name="Normal 6 2 4 2 4 2 3 3" xfId="0"/>
    <cellStyle name="Normal 6 2 4 2 4 2 3 3 2" xfId="0"/>
    <cellStyle name="Normal 6 2 4 2 4 2 3 4" xfId="0"/>
    <cellStyle name="Normal 6 2 4 2 4 2 4" xfId="0"/>
    <cellStyle name="Normal 6 2 4 2 4 2 4 2" xfId="0"/>
    <cellStyle name="Normal 6 2 4 2 4 2 4 2 2" xfId="0"/>
    <cellStyle name="Normal 6 2 4 2 4 2 4 3" xfId="0"/>
    <cellStyle name="Normal 6 2 4 2 4 2 5" xfId="0"/>
    <cellStyle name="Normal 6 2 4 2 4 2 5 2" xfId="0"/>
    <cellStyle name="Normal 6 2 4 2 4 2 6" xfId="0"/>
    <cellStyle name="Normal 6 2 4 2 4 3" xfId="0"/>
    <cellStyle name="Normal 6 2 4 2 4 3 2" xfId="0"/>
    <cellStyle name="Normal 6 2 4 2 4 3 2 2" xfId="0"/>
    <cellStyle name="Normal 6 2 4 2 4 3 2 2 2" xfId="0"/>
    <cellStyle name="Normal 6 2 4 2 4 3 2 2 2 2" xfId="0"/>
    <cellStyle name="Normal 6 2 4 2 4 3 2 2 3" xfId="0"/>
    <cellStyle name="Normal 6 2 4 2 4 3 2 3" xfId="0"/>
    <cellStyle name="Normal 6 2 4 2 4 3 2 3 2" xfId="0"/>
    <cellStyle name="Normal 6 2 4 2 4 3 2 4" xfId="0"/>
    <cellStyle name="Normal 6 2 4 2 4 3 3" xfId="0"/>
    <cellStyle name="Normal 6 2 4 2 4 3 3 2" xfId="0"/>
    <cellStyle name="Normal 6 2 4 2 4 3 3 2 2" xfId="0"/>
    <cellStyle name="Normal 6 2 4 2 4 3 3 3" xfId="0"/>
    <cellStyle name="Normal 6 2 4 2 4 3 4" xfId="0"/>
    <cellStyle name="Normal 6 2 4 2 4 3 4 2" xfId="0"/>
    <cellStyle name="Normal 6 2 4 2 4 3 5" xfId="0"/>
    <cellStyle name="Normal 6 2 4 2 4 4" xfId="0"/>
    <cellStyle name="Normal 6 2 4 2 4 4 2" xfId="0"/>
    <cellStyle name="Normal 6 2 4 2 4 4 2 2" xfId="0"/>
    <cellStyle name="Normal 6 2 4 2 4 4 2 2 2" xfId="0"/>
    <cellStyle name="Normal 6 2 4 2 4 4 2 3" xfId="0"/>
    <cellStyle name="Normal 6 2 4 2 4 4 3" xfId="0"/>
    <cellStyle name="Normal 6 2 4 2 4 4 3 2" xfId="0"/>
    <cellStyle name="Normal 6 2 4 2 4 4 4" xfId="0"/>
    <cellStyle name="Normal 6 2 4 2 4 5" xfId="0"/>
    <cellStyle name="Normal 6 2 4 2 4 5 2" xfId="0"/>
    <cellStyle name="Normal 6 2 4 2 4 5 2 2" xfId="0"/>
    <cellStyle name="Normal 6 2 4 2 4 5 3" xfId="0"/>
    <cellStyle name="Normal 6 2 4 2 4 6" xfId="0"/>
    <cellStyle name="Normal 6 2 4 2 4 6 2" xfId="0"/>
    <cellStyle name="Normal 6 2 4 2 4 7" xfId="0"/>
    <cellStyle name="Normal 6 2 4 2 5" xfId="0"/>
    <cellStyle name="Normal 6 2 4 2 5 2" xfId="0"/>
    <cellStyle name="Normal 6 2 4 2 5 2 2" xfId="0"/>
    <cellStyle name="Normal 6 2 4 2 5 2 2 2" xfId="0"/>
    <cellStyle name="Normal 6 2 4 2 5 2 2 2 2" xfId="0"/>
    <cellStyle name="Normal 6 2 4 2 5 2 2 2 2 2" xfId="0"/>
    <cellStyle name="Normal 6 2 4 2 5 2 2 2 2 2 2" xfId="0"/>
    <cellStyle name="Normal 6 2 4 2 5 2 2 2 2 3" xfId="0"/>
    <cellStyle name="Normal 6 2 4 2 5 2 2 2 3" xfId="0"/>
    <cellStyle name="Normal 6 2 4 2 5 2 2 2 3 2" xfId="0"/>
    <cellStyle name="Normal 6 2 4 2 5 2 2 2 4" xfId="0"/>
    <cellStyle name="Normal 6 2 4 2 5 2 2 3" xfId="0"/>
    <cellStyle name="Normal 6 2 4 2 5 2 2 3 2" xfId="0"/>
    <cellStyle name="Normal 6 2 4 2 5 2 2 3 2 2" xfId="0"/>
    <cellStyle name="Normal 6 2 4 2 5 2 2 3 3" xfId="0"/>
    <cellStyle name="Normal 6 2 4 2 5 2 2 4" xfId="0"/>
    <cellStyle name="Normal 6 2 4 2 5 2 2 4 2" xfId="0"/>
    <cellStyle name="Normal 6 2 4 2 5 2 2 5" xfId="0"/>
    <cellStyle name="Normal 6 2 4 2 5 2 3" xfId="0"/>
    <cellStyle name="Normal 6 2 4 2 5 2 3 2" xfId="0"/>
    <cellStyle name="Normal 6 2 4 2 5 2 3 2 2" xfId="0"/>
    <cellStyle name="Normal 6 2 4 2 5 2 3 2 2 2" xfId="0"/>
    <cellStyle name="Normal 6 2 4 2 5 2 3 2 3" xfId="0"/>
    <cellStyle name="Normal 6 2 4 2 5 2 3 3" xfId="0"/>
    <cellStyle name="Normal 6 2 4 2 5 2 3 3 2" xfId="0"/>
    <cellStyle name="Normal 6 2 4 2 5 2 3 4" xfId="0"/>
    <cellStyle name="Normal 6 2 4 2 5 2 4" xfId="0"/>
    <cellStyle name="Normal 6 2 4 2 5 2 4 2" xfId="0"/>
    <cellStyle name="Normal 6 2 4 2 5 2 4 2 2" xfId="0"/>
    <cellStyle name="Normal 6 2 4 2 5 2 4 3" xfId="0"/>
    <cellStyle name="Normal 6 2 4 2 5 2 5" xfId="0"/>
    <cellStyle name="Normal 6 2 4 2 5 2 5 2" xfId="0"/>
    <cellStyle name="Normal 6 2 4 2 5 2 6" xfId="0"/>
    <cellStyle name="Normal 6 2 4 2 5 3" xfId="0"/>
    <cellStyle name="Normal 6 2 4 2 5 3 2" xfId="0"/>
    <cellStyle name="Normal 6 2 4 2 5 3 2 2" xfId="0"/>
    <cellStyle name="Normal 6 2 4 2 5 3 2 2 2" xfId="0"/>
    <cellStyle name="Normal 6 2 4 2 5 3 2 2 2 2" xfId="0"/>
    <cellStyle name="Normal 6 2 4 2 5 3 2 2 3" xfId="0"/>
    <cellStyle name="Normal 6 2 4 2 5 3 2 3" xfId="0"/>
    <cellStyle name="Normal 6 2 4 2 5 3 2 3 2" xfId="0"/>
    <cellStyle name="Normal 6 2 4 2 5 3 2 4" xfId="0"/>
    <cellStyle name="Normal 6 2 4 2 5 3 3" xfId="0"/>
    <cellStyle name="Normal 6 2 4 2 5 3 3 2" xfId="0"/>
    <cellStyle name="Normal 6 2 4 2 5 3 3 2 2" xfId="0"/>
    <cellStyle name="Normal 6 2 4 2 5 3 3 3" xfId="0"/>
    <cellStyle name="Normal 6 2 4 2 5 3 4" xfId="0"/>
    <cellStyle name="Normal 6 2 4 2 5 3 4 2" xfId="0"/>
    <cellStyle name="Normal 6 2 4 2 5 3 5" xfId="0"/>
    <cellStyle name="Normal 6 2 4 2 5 4" xfId="0"/>
    <cellStyle name="Normal 6 2 4 2 5 4 2" xfId="0"/>
    <cellStyle name="Normal 6 2 4 2 5 4 2 2" xfId="0"/>
    <cellStyle name="Normal 6 2 4 2 5 4 2 2 2" xfId="0"/>
    <cellStyle name="Normal 6 2 4 2 5 4 2 3" xfId="0"/>
    <cellStyle name="Normal 6 2 4 2 5 4 3" xfId="0"/>
    <cellStyle name="Normal 6 2 4 2 5 4 3 2" xfId="0"/>
    <cellStyle name="Normal 6 2 4 2 5 4 4" xfId="0"/>
    <cellStyle name="Normal 6 2 4 2 5 5" xfId="0"/>
    <cellStyle name="Normal 6 2 4 2 5 5 2" xfId="0"/>
    <cellStyle name="Normal 6 2 4 2 5 5 2 2" xfId="0"/>
    <cellStyle name="Normal 6 2 4 2 5 5 3" xfId="0"/>
    <cellStyle name="Normal 6 2 4 2 5 6" xfId="0"/>
    <cellStyle name="Normal 6 2 4 2 5 6 2" xfId="0"/>
    <cellStyle name="Normal 6 2 4 2 5 7" xfId="0"/>
    <cellStyle name="Normal 6 2 4 2 6" xfId="0"/>
    <cellStyle name="Normal 6 2 4 2 6 2" xfId="0"/>
    <cellStyle name="Normal 6 2 4 2 6 2 2" xfId="0"/>
    <cellStyle name="Normal 6 2 4 2 6 2 2 2" xfId="0"/>
    <cellStyle name="Normal 6 2 4 2 6 2 2 2 2" xfId="0"/>
    <cellStyle name="Normal 6 2 4 2 6 2 2 2 2 2" xfId="0"/>
    <cellStyle name="Normal 6 2 4 2 6 2 2 2 3" xfId="0"/>
    <cellStyle name="Normal 6 2 4 2 6 2 2 3" xfId="0"/>
    <cellStyle name="Normal 6 2 4 2 6 2 2 3 2" xfId="0"/>
    <cellStyle name="Normal 6 2 4 2 6 2 2 4" xfId="0"/>
    <cellStyle name="Normal 6 2 4 2 6 2 3" xfId="0"/>
    <cellStyle name="Normal 6 2 4 2 6 2 3 2" xfId="0"/>
    <cellStyle name="Normal 6 2 4 2 6 2 3 2 2" xfId="0"/>
    <cellStyle name="Normal 6 2 4 2 6 2 3 3" xfId="0"/>
    <cellStyle name="Normal 6 2 4 2 6 2 4" xfId="0"/>
    <cellStyle name="Normal 6 2 4 2 6 2 4 2" xfId="0"/>
    <cellStyle name="Normal 6 2 4 2 6 2 5" xfId="0"/>
    <cellStyle name="Normal 6 2 4 2 6 3" xfId="0"/>
    <cellStyle name="Normal 6 2 4 2 6 3 2" xfId="0"/>
    <cellStyle name="Normal 6 2 4 2 6 3 2 2" xfId="0"/>
    <cellStyle name="Normal 6 2 4 2 6 3 2 2 2" xfId="0"/>
    <cellStyle name="Normal 6 2 4 2 6 3 2 3" xfId="0"/>
    <cellStyle name="Normal 6 2 4 2 6 3 3" xfId="0"/>
    <cellStyle name="Normal 6 2 4 2 6 3 3 2" xfId="0"/>
    <cellStyle name="Normal 6 2 4 2 6 3 4" xfId="0"/>
    <cellStyle name="Normal 6 2 4 2 6 4" xfId="0"/>
    <cellStyle name="Normal 6 2 4 2 6 4 2" xfId="0"/>
    <cellStyle name="Normal 6 2 4 2 6 4 2 2" xfId="0"/>
    <cellStyle name="Normal 6 2 4 2 6 4 3" xfId="0"/>
    <cellStyle name="Normal 6 2 4 2 6 5" xfId="0"/>
    <cellStyle name="Normal 6 2 4 2 6 5 2" xfId="0"/>
    <cellStyle name="Normal 6 2 4 2 6 6" xfId="0"/>
    <cellStyle name="Normal 6 2 4 2 7" xfId="0"/>
    <cellStyle name="Normal 6 2 4 2 7 2" xfId="0"/>
    <cellStyle name="Normal 6 2 4 2 7 2 2" xfId="0"/>
    <cellStyle name="Normal 6 2 4 2 7 2 2 2" xfId="0"/>
    <cellStyle name="Normal 6 2 4 2 7 2 2 2 2" xfId="0"/>
    <cellStyle name="Normal 6 2 4 2 7 2 2 3" xfId="0"/>
    <cellStyle name="Normal 6 2 4 2 7 2 3" xfId="0"/>
    <cellStyle name="Normal 6 2 4 2 7 2 3 2" xfId="0"/>
    <cellStyle name="Normal 6 2 4 2 7 2 4" xfId="0"/>
    <cellStyle name="Normal 6 2 4 2 7 3" xfId="0"/>
    <cellStyle name="Normal 6 2 4 2 7 3 2" xfId="0"/>
    <cellStyle name="Normal 6 2 4 2 7 3 2 2" xfId="0"/>
    <cellStyle name="Normal 6 2 4 2 7 3 3" xfId="0"/>
    <cellStyle name="Normal 6 2 4 2 7 4" xfId="0"/>
    <cellStyle name="Normal 6 2 4 2 7 4 2" xfId="0"/>
    <cellStyle name="Normal 6 2 4 2 7 5" xfId="0"/>
    <cellStyle name="Normal 6 2 4 2 8" xfId="0"/>
    <cellStyle name="Normal 6 2 4 2 8 2" xfId="0"/>
    <cellStyle name="Normal 6 2 4 2 8 2 2" xfId="0"/>
    <cellStyle name="Normal 6 2 4 2 8 2 2 2" xfId="0"/>
    <cellStyle name="Normal 6 2 4 2 8 2 3" xfId="0"/>
    <cellStyle name="Normal 6 2 4 2 8 3" xfId="0"/>
    <cellStyle name="Normal 6 2 4 2 8 3 2" xfId="0"/>
    <cellStyle name="Normal 6 2 4 2 8 4" xfId="0"/>
    <cellStyle name="Normal 6 2 4 2 9" xfId="0"/>
    <cellStyle name="Normal 6 2 4 2 9 2" xfId="0"/>
    <cellStyle name="Normal 6 2 4 2 9 2 2" xfId="0"/>
    <cellStyle name="Normal 6 2 4 2 9 3" xfId="0"/>
    <cellStyle name="Normal 6 2 4 3" xfId="0"/>
    <cellStyle name="Normal 6 2 4 3 2" xfId="0"/>
    <cellStyle name="Normal 6 2 4 3 2 2" xfId="0"/>
    <cellStyle name="Normal 6 2 4 3 2 2 2" xfId="0"/>
    <cellStyle name="Normal 6 2 4 3 2 2 2 2" xfId="0"/>
    <cellStyle name="Normal 6 2 4 3 2 2 2 2 2" xfId="0"/>
    <cellStyle name="Normal 6 2 4 3 2 2 2 2 2 2" xfId="0"/>
    <cellStyle name="Normal 6 2 4 3 2 2 2 2 2 2 2" xfId="0"/>
    <cellStyle name="Normal 6 2 4 3 2 2 2 2 2 3" xfId="0"/>
    <cellStyle name="Normal 6 2 4 3 2 2 2 2 3" xfId="0"/>
    <cellStyle name="Normal 6 2 4 3 2 2 2 2 3 2" xfId="0"/>
    <cellStyle name="Normal 6 2 4 3 2 2 2 2 4" xfId="0"/>
    <cellStyle name="Normal 6 2 4 3 2 2 2 3" xfId="0"/>
    <cellStyle name="Normal 6 2 4 3 2 2 2 3 2" xfId="0"/>
    <cellStyle name="Normal 6 2 4 3 2 2 2 3 2 2" xfId="0"/>
    <cellStyle name="Normal 6 2 4 3 2 2 2 3 3" xfId="0"/>
    <cellStyle name="Normal 6 2 4 3 2 2 2 4" xfId="0"/>
    <cellStyle name="Normal 6 2 4 3 2 2 2 4 2" xfId="0"/>
    <cellStyle name="Normal 6 2 4 3 2 2 2 5" xfId="0"/>
    <cellStyle name="Normal 6 2 4 3 2 2 3" xfId="0"/>
    <cellStyle name="Normal 6 2 4 3 2 2 3 2" xfId="0"/>
    <cellStyle name="Normal 6 2 4 3 2 2 3 2 2" xfId="0"/>
    <cellStyle name="Normal 6 2 4 3 2 2 3 2 2 2" xfId="0"/>
    <cellStyle name="Normal 6 2 4 3 2 2 3 2 3" xfId="0"/>
    <cellStyle name="Normal 6 2 4 3 2 2 3 3" xfId="0"/>
    <cellStyle name="Normal 6 2 4 3 2 2 3 3 2" xfId="0"/>
    <cellStyle name="Normal 6 2 4 3 2 2 3 4" xfId="0"/>
    <cellStyle name="Normal 6 2 4 3 2 2 4" xfId="0"/>
    <cellStyle name="Normal 6 2 4 3 2 2 4 2" xfId="0"/>
    <cellStyle name="Normal 6 2 4 3 2 2 4 2 2" xfId="0"/>
    <cellStyle name="Normal 6 2 4 3 2 2 4 3" xfId="0"/>
    <cellStyle name="Normal 6 2 4 3 2 2 5" xfId="0"/>
    <cellStyle name="Normal 6 2 4 3 2 2 5 2" xfId="0"/>
    <cellStyle name="Normal 6 2 4 3 2 2 6" xfId="0"/>
    <cellStyle name="Normal 6 2 4 3 2 3" xfId="0"/>
    <cellStyle name="Normal 6 2 4 3 2 3 2" xfId="0"/>
    <cellStyle name="Normal 6 2 4 3 2 3 2 2" xfId="0"/>
    <cellStyle name="Normal 6 2 4 3 2 3 2 2 2" xfId="0"/>
    <cellStyle name="Normal 6 2 4 3 2 3 2 2 2 2" xfId="0"/>
    <cellStyle name="Normal 6 2 4 3 2 3 2 2 3" xfId="0"/>
    <cellStyle name="Normal 6 2 4 3 2 3 2 3" xfId="0"/>
    <cellStyle name="Normal 6 2 4 3 2 3 2 3 2" xfId="0"/>
    <cellStyle name="Normal 6 2 4 3 2 3 2 4" xfId="0"/>
    <cellStyle name="Normal 6 2 4 3 2 3 3" xfId="0"/>
    <cellStyle name="Normal 6 2 4 3 2 3 3 2" xfId="0"/>
    <cellStyle name="Normal 6 2 4 3 2 3 3 2 2" xfId="0"/>
    <cellStyle name="Normal 6 2 4 3 2 3 3 3" xfId="0"/>
    <cellStyle name="Normal 6 2 4 3 2 3 4" xfId="0"/>
    <cellStyle name="Normal 6 2 4 3 2 3 4 2" xfId="0"/>
    <cellStyle name="Normal 6 2 4 3 2 3 5" xfId="0"/>
    <cellStyle name="Normal 6 2 4 3 2 4" xfId="0"/>
    <cellStyle name="Normal 6 2 4 3 2 4 2" xfId="0"/>
    <cellStyle name="Normal 6 2 4 3 2 4 2 2" xfId="0"/>
    <cellStyle name="Normal 6 2 4 3 2 4 2 2 2" xfId="0"/>
    <cellStyle name="Normal 6 2 4 3 2 4 2 3" xfId="0"/>
    <cellStyle name="Normal 6 2 4 3 2 4 3" xfId="0"/>
    <cellStyle name="Normal 6 2 4 3 2 4 3 2" xfId="0"/>
    <cellStyle name="Normal 6 2 4 3 2 4 4" xfId="0"/>
    <cellStyle name="Normal 6 2 4 3 2 5" xfId="0"/>
    <cellStyle name="Normal 6 2 4 3 2 5 2" xfId="0"/>
    <cellStyle name="Normal 6 2 4 3 2 5 2 2" xfId="0"/>
    <cellStyle name="Normal 6 2 4 3 2 5 3" xfId="0"/>
    <cellStyle name="Normal 6 2 4 3 2 6" xfId="0"/>
    <cellStyle name="Normal 6 2 4 3 2 6 2" xfId="0"/>
    <cellStyle name="Normal 6 2 4 3 2 7" xfId="0"/>
    <cellStyle name="Normal 6 2 4 3 3" xfId="0"/>
    <cellStyle name="Normal 6 2 4 3 3 2" xfId="0"/>
    <cellStyle name="Normal 6 2 4 3 3 2 2" xfId="0"/>
    <cellStyle name="Normal 6 2 4 3 3 2 2 2" xfId="0"/>
    <cellStyle name="Normal 6 2 4 3 3 2 2 2 2" xfId="0"/>
    <cellStyle name="Normal 6 2 4 3 3 2 2 2 2 2" xfId="0"/>
    <cellStyle name="Normal 6 2 4 3 3 2 2 2 3" xfId="0"/>
    <cellStyle name="Normal 6 2 4 3 3 2 2 3" xfId="0"/>
    <cellStyle name="Normal 6 2 4 3 3 2 2 3 2" xfId="0"/>
    <cellStyle name="Normal 6 2 4 3 3 2 2 4" xfId="0"/>
    <cellStyle name="Normal 6 2 4 3 3 2 3" xfId="0"/>
    <cellStyle name="Normal 6 2 4 3 3 2 3 2" xfId="0"/>
    <cellStyle name="Normal 6 2 4 3 3 2 3 2 2" xfId="0"/>
    <cellStyle name="Normal 6 2 4 3 3 2 3 3" xfId="0"/>
    <cellStyle name="Normal 6 2 4 3 3 2 4" xfId="0"/>
    <cellStyle name="Normal 6 2 4 3 3 2 4 2" xfId="0"/>
    <cellStyle name="Normal 6 2 4 3 3 2 5" xfId="0"/>
    <cellStyle name="Normal 6 2 4 3 3 3" xfId="0"/>
    <cellStyle name="Normal 6 2 4 3 3 3 2" xfId="0"/>
    <cellStyle name="Normal 6 2 4 3 3 3 2 2" xfId="0"/>
    <cellStyle name="Normal 6 2 4 3 3 3 2 2 2" xfId="0"/>
    <cellStyle name="Normal 6 2 4 3 3 3 2 3" xfId="0"/>
    <cellStyle name="Normal 6 2 4 3 3 3 3" xfId="0"/>
    <cellStyle name="Normal 6 2 4 3 3 3 3 2" xfId="0"/>
    <cellStyle name="Normal 6 2 4 3 3 3 4" xfId="0"/>
    <cellStyle name="Normal 6 2 4 3 3 4" xfId="0"/>
    <cellStyle name="Normal 6 2 4 3 3 4 2" xfId="0"/>
    <cellStyle name="Normal 6 2 4 3 3 4 2 2" xfId="0"/>
    <cellStyle name="Normal 6 2 4 3 3 4 3" xfId="0"/>
    <cellStyle name="Normal 6 2 4 3 3 5" xfId="0"/>
    <cellStyle name="Normal 6 2 4 3 3 5 2" xfId="0"/>
    <cellStyle name="Normal 6 2 4 3 3 6" xfId="0"/>
    <cellStyle name="Normal 6 2 4 3 4" xfId="0"/>
    <cellStyle name="Normal 6 2 4 3 4 2" xfId="0"/>
    <cellStyle name="Normal 6 2 4 3 4 2 2" xfId="0"/>
    <cellStyle name="Normal 6 2 4 3 4 2 2 2" xfId="0"/>
    <cellStyle name="Normal 6 2 4 3 4 2 2 2 2" xfId="0"/>
    <cellStyle name="Normal 6 2 4 3 4 2 2 3" xfId="0"/>
    <cellStyle name="Normal 6 2 4 3 4 2 3" xfId="0"/>
    <cellStyle name="Normal 6 2 4 3 4 2 3 2" xfId="0"/>
    <cellStyle name="Normal 6 2 4 3 4 2 4" xfId="0"/>
    <cellStyle name="Normal 6 2 4 3 4 3" xfId="0"/>
    <cellStyle name="Normal 6 2 4 3 4 3 2" xfId="0"/>
    <cellStyle name="Normal 6 2 4 3 4 3 2 2" xfId="0"/>
    <cellStyle name="Normal 6 2 4 3 4 3 3" xfId="0"/>
    <cellStyle name="Normal 6 2 4 3 4 4" xfId="0"/>
    <cellStyle name="Normal 6 2 4 3 4 4 2" xfId="0"/>
    <cellStyle name="Normal 6 2 4 3 4 5" xfId="0"/>
    <cellStyle name="Normal 6 2 4 3 5" xfId="0"/>
    <cellStyle name="Normal 6 2 4 3 5 2" xfId="0"/>
    <cellStyle name="Normal 6 2 4 3 5 2 2" xfId="0"/>
    <cellStyle name="Normal 6 2 4 3 5 2 2 2" xfId="0"/>
    <cellStyle name="Normal 6 2 4 3 5 2 3" xfId="0"/>
    <cellStyle name="Normal 6 2 4 3 5 3" xfId="0"/>
    <cellStyle name="Normal 6 2 4 3 5 3 2" xfId="0"/>
    <cellStyle name="Normal 6 2 4 3 5 4" xfId="0"/>
    <cellStyle name="Normal 6 2 4 3 6" xfId="0"/>
    <cellStyle name="Normal 6 2 4 3 6 2" xfId="0"/>
    <cellStyle name="Normal 6 2 4 3 6 2 2" xfId="0"/>
    <cellStyle name="Normal 6 2 4 3 6 3" xfId="0"/>
    <cellStyle name="Normal 6 2 4 3 7" xfId="0"/>
    <cellStyle name="Normal 6 2 4 3 7 2" xfId="0"/>
    <cellStyle name="Normal 6 2 4 3 8" xfId="0"/>
    <cellStyle name="Normal 6 2 4 4" xfId="0"/>
    <cellStyle name="Normal 6 2 4 4 2" xfId="0"/>
    <cellStyle name="Normal 6 2 4 4 2 2" xfId="0"/>
    <cellStyle name="Normal 6 2 4 4 2 2 2" xfId="0"/>
    <cellStyle name="Normal 6 2 4 4 2 2 2 2" xfId="0"/>
    <cellStyle name="Normal 6 2 4 4 2 2 2 2 2" xfId="0"/>
    <cellStyle name="Normal 6 2 4 4 2 2 2 2 2 2" xfId="0"/>
    <cellStyle name="Normal 6 2 4 4 2 2 2 2 2 2 2" xfId="0"/>
    <cellStyle name="Normal 6 2 4 4 2 2 2 2 2 3" xfId="0"/>
    <cellStyle name="Normal 6 2 4 4 2 2 2 2 3" xfId="0"/>
    <cellStyle name="Normal 6 2 4 4 2 2 2 2 3 2" xfId="0"/>
    <cellStyle name="Normal 6 2 4 4 2 2 2 2 4" xfId="0"/>
    <cellStyle name="Normal 6 2 4 4 2 2 2 3" xfId="0"/>
    <cellStyle name="Normal 6 2 4 4 2 2 2 3 2" xfId="0"/>
    <cellStyle name="Normal 6 2 4 4 2 2 2 3 2 2" xfId="0"/>
    <cellStyle name="Normal 6 2 4 4 2 2 2 3 3" xfId="0"/>
    <cellStyle name="Normal 6 2 4 4 2 2 2 4" xfId="0"/>
    <cellStyle name="Normal 6 2 4 4 2 2 2 4 2" xfId="0"/>
    <cellStyle name="Normal 6 2 4 4 2 2 2 5" xfId="0"/>
    <cellStyle name="Normal 6 2 4 4 2 2 3" xfId="0"/>
    <cellStyle name="Normal 6 2 4 4 2 2 3 2" xfId="0"/>
    <cellStyle name="Normal 6 2 4 4 2 2 3 2 2" xfId="0"/>
    <cellStyle name="Normal 6 2 4 4 2 2 3 2 2 2" xfId="0"/>
    <cellStyle name="Normal 6 2 4 4 2 2 3 2 3" xfId="0"/>
    <cellStyle name="Normal 6 2 4 4 2 2 3 3" xfId="0"/>
    <cellStyle name="Normal 6 2 4 4 2 2 3 3 2" xfId="0"/>
    <cellStyle name="Normal 6 2 4 4 2 2 3 4" xfId="0"/>
    <cellStyle name="Normal 6 2 4 4 2 2 4" xfId="0"/>
    <cellStyle name="Normal 6 2 4 4 2 2 4 2" xfId="0"/>
    <cellStyle name="Normal 6 2 4 4 2 2 4 2 2" xfId="0"/>
    <cellStyle name="Normal 6 2 4 4 2 2 4 3" xfId="0"/>
    <cellStyle name="Normal 6 2 4 4 2 2 5" xfId="0"/>
    <cellStyle name="Normal 6 2 4 4 2 2 5 2" xfId="0"/>
    <cellStyle name="Normal 6 2 4 4 2 2 6" xfId="0"/>
    <cellStyle name="Normal 6 2 4 4 2 3" xfId="0"/>
    <cellStyle name="Normal 6 2 4 4 2 3 2" xfId="0"/>
    <cellStyle name="Normal 6 2 4 4 2 3 2 2" xfId="0"/>
    <cellStyle name="Normal 6 2 4 4 2 3 2 2 2" xfId="0"/>
    <cellStyle name="Normal 6 2 4 4 2 3 2 2 2 2" xfId="0"/>
    <cellStyle name="Normal 6 2 4 4 2 3 2 2 3" xfId="0"/>
    <cellStyle name="Normal 6 2 4 4 2 3 2 3" xfId="0"/>
    <cellStyle name="Normal 6 2 4 4 2 3 2 3 2" xfId="0"/>
    <cellStyle name="Normal 6 2 4 4 2 3 2 4" xfId="0"/>
    <cellStyle name="Normal 6 2 4 4 2 3 3" xfId="0"/>
    <cellStyle name="Normal 6 2 4 4 2 3 3 2" xfId="0"/>
    <cellStyle name="Normal 6 2 4 4 2 3 3 2 2" xfId="0"/>
    <cellStyle name="Normal 6 2 4 4 2 3 3 3" xfId="0"/>
    <cellStyle name="Normal 6 2 4 4 2 3 4" xfId="0"/>
    <cellStyle name="Normal 6 2 4 4 2 3 4 2" xfId="0"/>
    <cellStyle name="Normal 6 2 4 4 2 3 5" xfId="0"/>
    <cellStyle name="Normal 6 2 4 4 2 4" xfId="0"/>
    <cellStyle name="Normal 6 2 4 4 2 4 2" xfId="0"/>
    <cellStyle name="Normal 6 2 4 4 2 4 2 2" xfId="0"/>
    <cellStyle name="Normal 6 2 4 4 2 4 2 2 2" xfId="0"/>
    <cellStyle name="Normal 6 2 4 4 2 4 2 3" xfId="0"/>
    <cellStyle name="Normal 6 2 4 4 2 4 3" xfId="0"/>
    <cellStyle name="Normal 6 2 4 4 2 4 3 2" xfId="0"/>
    <cellStyle name="Normal 6 2 4 4 2 4 4" xfId="0"/>
    <cellStyle name="Normal 6 2 4 4 2 5" xfId="0"/>
    <cellStyle name="Normal 6 2 4 4 2 5 2" xfId="0"/>
    <cellStyle name="Normal 6 2 4 4 2 5 2 2" xfId="0"/>
    <cellStyle name="Normal 6 2 4 4 2 5 3" xfId="0"/>
    <cellStyle name="Normal 6 2 4 4 2 6" xfId="0"/>
    <cellStyle name="Normal 6 2 4 4 2 6 2" xfId="0"/>
    <cellStyle name="Normal 6 2 4 4 2 7" xfId="0"/>
    <cellStyle name="Normal 6 2 4 4 3" xfId="0"/>
    <cellStyle name="Normal 6 2 4 4 3 2" xfId="0"/>
    <cellStyle name="Normal 6 2 4 4 3 2 2" xfId="0"/>
    <cellStyle name="Normal 6 2 4 4 3 2 2 2" xfId="0"/>
    <cellStyle name="Normal 6 2 4 4 3 2 2 2 2" xfId="0"/>
    <cellStyle name="Normal 6 2 4 4 3 2 2 2 2 2" xfId="0"/>
    <cellStyle name="Normal 6 2 4 4 3 2 2 2 3" xfId="0"/>
    <cellStyle name="Normal 6 2 4 4 3 2 2 3" xfId="0"/>
    <cellStyle name="Normal 6 2 4 4 3 2 2 3 2" xfId="0"/>
    <cellStyle name="Normal 6 2 4 4 3 2 2 4" xfId="0"/>
    <cellStyle name="Normal 6 2 4 4 3 2 3" xfId="0"/>
    <cellStyle name="Normal 6 2 4 4 3 2 3 2" xfId="0"/>
    <cellStyle name="Normal 6 2 4 4 3 2 3 2 2" xfId="0"/>
    <cellStyle name="Normal 6 2 4 4 3 2 3 3" xfId="0"/>
    <cellStyle name="Normal 6 2 4 4 3 2 4" xfId="0"/>
    <cellStyle name="Normal 6 2 4 4 3 2 4 2" xfId="0"/>
    <cellStyle name="Normal 6 2 4 4 3 2 5" xfId="0"/>
    <cellStyle name="Normal 6 2 4 4 3 3" xfId="0"/>
    <cellStyle name="Normal 6 2 4 4 3 3 2" xfId="0"/>
    <cellStyle name="Normal 6 2 4 4 3 3 2 2" xfId="0"/>
    <cellStyle name="Normal 6 2 4 4 3 3 2 2 2" xfId="0"/>
    <cellStyle name="Normal 6 2 4 4 3 3 2 3" xfId="0"/>
    <cellStyle name="Normal 6 2 4 4 3 3 3" xfId="0"/>
    <cellStyle name="Normal 6 2 4 4 3 3 3 2" xfId="0"/>
    <cellStyle name="Normal 6 2 4 4 3 3 4" xfId="0"/>
    <cellStyle name="Normal 6 2 4 4 3 4" xfId="0"/>
    <cellStyle name="Normal 6 2 4 4 3 4 2" xfId="0"/>
    <cellStyle name="Normal 6 2 4 4 3 4 2 2" xfId="0"/>
    <cellStyle name="Normal 6 2 4 4 3 4 3" xfId="0"/>
    <cellStyle name="Normal 6 2 4 4 3 5" xfId="0"/>
    <cellStyle name="Normal 6 2 4 4 3 5 2" xfId="0"/>
    <cellStyle name="Normal 6 2 4 4 3 6" xfId="0"/>
    <cellStyle name="Normal 6 2 4 4 4" xfId="0"/>
    <cellStyle name="Normal 6 2 4 4 4 2" xfId="0"/>
    <cellStyle name="Normal 6 2 4 4 4 2 2" xfId="0"/>
    <cellStyle name="Normal 6 2 4 4 4 2 2 2" xfId="0"/>
    <cellStyle name="Normal 6 2 4 4 4 2 2 2 2" xfId="0"/>
    <cellStyle name="Normal 6 2 4 4 4 2 2 3" xfId="0"/>
    <cellStyle name="Normal 6 2 4 4 4 2 3" xfId="0"/>
    <cellStyle name="Normal 6 2 4 4 4 2 3 2" xfId="0"/>
    <cellStyle name="Normal 6 2 4 4 4 2 4" xfId="0"/>
    <cellStyle name="Normal 6 2 4 4 4 3" xfId="0"/>
    <cellStyle name="Normal 6 2 4 4 4 3 2" xfId="0"/>
    <cellStyle name="Normal 6 2 4 4 4 3 2 2" xfId="0"/>
    <cellStyle name="Normal 6 2 4 4 4 3 3" xfId="0"/>
    <cellStyle name="Normal 6 2 4 4 4 4" xfId="0"/>
    <cellStyle name="Normal 6 2 4 4 4 4 2" xfId="0"/>
    <cellStyle name="Normal 6 2 4 4 4 5" xfId="0"/>
    <cellStyle name="Normal 6 2 4 4 5" xfId="0"/>
    <cellStyle name="Normal 6 2 4 4 5 2" xfId="0"/>
    <cellStyle name="Normal 6 2 4 4 5 2 2" xfId="0"/>
    <cellStyle name="Normal 6 2 4 4 5 2 2 2" xfId="0"/>
    <cellStyle name="Normal 6 2 4 4 5 2 3" xfId="0"/>
    <cellStyle name="Normal 6 2 4 4 5 3" xfId="0"/>
    <cellStyle name="Normal 6 2 4 4 5 3 2" xfId="0"/>
    <cellStyle name="Normal 6 2 4 4 5 4" xfId="0"/>
    <cellStyle name="Normal 6 2 4 4 6" xfId="0"/>
    <cellStyle name="Normal 6 2 4 4 6 2" xfId="0"/>
    <cellStyle name="Normal 6 2 4 4 6 2 2" xfId="0"/>
    <cellStyle name="Normal 6 2 4 4 6 3" xfId="0"/>
    <cellStyle name="Normal 6 2 4 4 7" xfId="0"/>
    <cellStyle name="Normal 6 2 4 4 7 2" xfId="0"/>
    <cellStyle name="Normal 6 2 4 4 8" xfId="0"/>
    <cellStyle name="Normal 6 2 4 5" xfId="0"/>
    <cellStyle name="Normal 6 2 4 5 2" xfId="0"/>
    <cellStyle name="Normal 6 2 4 5 2 2" xfId="0"/>
    <cellStyle name="Normal 6 2 4 5 2 2 2" xfId="0"/>
    <cellStyle name="Normal 6 2 4 5 2 2 2 2" xfId="0"/>
    <cellStyle name="Normal 6 2 4 5 2 2 2 2 2" xfId="0"/>
    <cellStyle name="Normal 6 2 4 5 2 2 2 2 2 2" xfId="0"/>
    <cellStyle name="Normal 6 2 4 5 2 2 2 2 3" xfId="0"/>
    <cellStyle name="Normal 6 2 4 5 2 2 2 3" xfId="0"/>
    <cellStyle name="Normal 6 2 4 5 2 2 2 3 2" xfId="0"/>
    <cellStyle name="Normal 6 2 4 5 2 2 2 4" xfId="0"/>
    <cellStyle name="Normal 6 2 4 5 2 2 3" xfId="0"/>
    <cellStyle name="Normal 6 2 4 5 2 2 3 2" xfId="0"/>
    <cellStyle name="Normal 6 2 4 5 2 2 3 2 2" xfId="0"/>
    <cellStyle name="Normal 6 2 4 5 2 2 3 3" xfId="0"/>
    <cellStyle name="Normal 6 2 4 5 2 2 4" xfId="0"/>
    <cellStyle name="Normal 6 2 4 5 2 2 4 2" xfId="0"/>
    <cellStyle name="Normal 6 2 4 5 2 2 5" xfId="0"/>
    <cellStyle name="Normal 6 2 4 5 2 3" xfId="0"/>
    <cellStyle name="Normal 6 2 4 5 2 3 2" xfId="0"/>
    <cellStyle name="Normal 6 2 4 5 2 3 2 2" xfId="0"/>
    <cellStyle name="Normal 6 2 4 5 2 3 2 2 2" xfId="0"/>
    <cellStyle name="Normal 6 2 4 5 2 3 2 3" xfId="0"/>
    <cellStyle name="Normal 6 2 4 5 2 3 3" xfId="0"/>
    <cellStyle name="Normal 6 2 4 5 2 3 3 2" xfId="0"/>
    <cellStyle name="Normal 6 2 4 5 2 3 4" xfId="0"/>
    <cellStyle name="Normal 6 2 4 5 2 4" xfId="0"/>
    <cellStyle name="Normal 6 2 4 5 2 4 2" xfId="0"/>
    <cellStyle name="Normal 6 2 4 5 2 4 2 2" xfId="0"/>
    <cellStyle name="Normal 6 2 4 5 2 4 3" xfId="0"/>
    <cellStyle name="Normal 6 2 4 5 2 5" xfId="0"/>
    <cellStyle name="Normal 6 2 4 5 2 5 2" xfId="0"/>
    <cellStyle name="Normal 6 2 4 5 2 6" xfId="0"/>
    <cellStyle name="Normal 6 2 4 5 3" xfId="0"/>
    <cellStyle name="Normal 6 2 4 5 3 2" xfId="0"/>
    <cellStyle name="Normal 6 2 4 5 3 2 2" xfId="0"/>
    <cellStyle name="Normal 6 2 4 5 3 2 2 2" xfId="0"/>
    <cellStyle name="Normal 6 2 4 5 3 2 2 2 2" xfId="0"/>
    <cellStyle name="Normal 6 2 4 5 3 2 2 3" xfId="0"/>
    <cellStyle name="Normal 6 2 4 5 3 2 3" xfId="0"/>
    <cellStyle name="Normal 6 2 4 5 3 2 3 2" xfId="0"/>
    <cellStyle name="Normal 6 2 4 5 3 2 4" xfId="0"/>
    <cellStyle name="Normal 6 2 4 5 3 3" xfId="0"/>
    <cellStyle name="Normal 6 2 4 5 3 3 2" xfId="0"/>
    <cellStyle name="Normal 6 2 4 5 3 3 2 2" xfId="0"/>
    <cellStyle name="Normal 6 2 4 5 3 3 3" xfId="0"/>
    <cellStyle name="Normal 6 2 4 5 3 4" xfId="0"/>
    <cellStyle name="Normal 6 2 4 5 3 4 2" xfId="0"/>
    <cellStyle name="Normal 6 2 4 5 3 5" xfId="0"/>
    <cellStyle name="Normal 6 2 4 5 4" xfId="0"/>
    <cellStyle name="Normal 6 2 4 5 4 2" xfId="0"/>
    <cellStyle name="Normal 6 2 4 5 4 2 2" xfId="0"/>
    <cellStyle name="Normal 6 2 4 5 4 2 2 2" xfId="0"/>
    <cellStyle name="Normal 6 2 4 5 4 2 3" xfId="0"/>
    <cellStyle name="Normal 6 2 4 5 4 3" xfId="0"/>
    <cellStyle name="Normal 6 2 4 5 4 3 2" xfId="0"/>
    <cellStyle name="Normal 6 2 4 5 4 4" xfId="0"/>
    <cellStyle name="Normal 6 2 4 5 5" xfId="0"/>
    <cellStyle name="Normal 6 2 4 5 5 2" xfId="0"/>
    <cellStyle name="Normal 6 2 4 5 5 2 2" xfId="0"/>
    <cellStyle name="Normal 6 2 4 5 5 3" xfId="0"/>
    <cellStyle name="Normal 6 2 4 5 6" xfId="0"/>
    <cellStyle name="Normal 6 2 4 5 6 2" xfId="0"/>
    <cellStyle name="Normal 6 2 4 5 7" xfId="0"/>
    <cellStyle name="Normal 6 2 4 6" xfId="0"/>
    <cellStyle name="Normal 6 2 4 6 2" xfId="0"/>
    <cellStyle name="Normal 6 2 4 6 2 2" xfId="0"/>
    <cellStyle name="Normal 6 2 4 6 2 2 2" xfId="0"/>
    <cellStyle name="Normal 6 2 4 6 2 2 2 2" xfId="0"/>
    <cellStyle name="Normal 6 2 4 6 2 2 2 2 2" xfId="0"/>
    <cellStyle name="Normal 6 2 4 6 2 2 2 2 2 2" xfId="0"/>
    <cellStyle name="Normal 6 2 4 6 2 2 2 2 3" xfId="0"/>
    <cellStyle name="Normal 6 2 4 6 2 2 2 3" xfId="0"/>
    <cellStyle name="Normal 6 2 4 6 2 2 2 3 2" xfId="0"/>
    <cellStyle name="Normal 6 2 4 6 2 2 2 4" xfId="0"/>
    <cellStyle name="Normal 6 2 4 6 2 2 3" xfId="0"/>
    <cellStyle name="Normal 6 2 4 6 2 2 3 2" xfId="0"/>
    <cellStyle name="Normal 6 2 4 6 2 2 3 2 2" xfId="0"/>
    <cellStyle name="Normal 6 2 4 6 2 2 3 3" xfId="0"/>
    <cellStyle name="Normal 6 2 4 6 2 2 4" xfId="0"/>
    <cellStyle name="Normal 6 2 4 6 2 2 4 2" xfId="0"/>
    <cellStyle name="Normal 6 2 4 6 2 2 5" xfId="0"/>
    <cellStyle name="Normal 6 2 4 6 2 3" xfId="0"/>
    <cellStyle name="Normal 6 2 4 6 2 3 2" xfId="0"/>
    <cellStyle name="Normal 6 2 4 6 2 3 2 2" xfId="0"/>
    <cellStyle name="Normal 6 2 4 6 2 3 2 2 2" xfId="0"/>
    <cellStyle name="Normal 6 2 4 6 2 3 2 3" xfId="0"/>
    <cellStyle name="Normal 6 2 4 6 2 3 3" xfId="0"/>
    <cellStyle name="Normal 6 2 4 6 2 3 3 2" xfId="0"/>
    <cellStyle name="Normal 6 2 4 6 2 3 4" xfId="0"/>
    <cellStyle name="Normal 6 2 4 6 2 4" xfId="0"/>
    <cellStyle name="Normal 6 2 4 6 2 4 2" xfId="0"/>
    <cellStyle name="Normal 6 2 4 6 2 4 2 2" xfId="0"/>
    <cellStyle name="Normal 6 2 4 6 2 4 3" xfId="0"/>
    <cellStyle name="Normal 6 2 4 6 2 5" xfId="0"/>
    <cellStyle name="Normal 6 2 4 6 2 5 2" xfId="0"/>
    <cellStyle name="Normal 6 2 4 6 2 6" xfId="0"/>
    <cellStyle name="Normal 6 2 4 6 3" xfId="0"/>
    <cellStyle name="Normal 6 2 4 6 3 2" xfId="0"/>
    <cellStyle name="Normal 6 2 4 6 3 2 2" xfId="0"/>
    <cellStyle name="Normal 6 2 4 6 3 2 2 2" xfId="0"/>
    <cellStyle name="Normal 6 2 4 6 3 2 2 2 2" xfId="0"/>
    <cellStyle name="Normal 6 2 4 6 3 2 2 3" xfId="0"/>
    <cellStyle name="Normal 6 2 4 6 3 2 3" xfId="0"/>
    <cellStyle name="Normal 6 2 4 6 3 2 3 2" xfId="0"/>
    <cellStyle name="Normal 6 2 4 6 3 2 4" xfId="0"/>
    <cellStyle name="Normal 6 2 4 6 3 3" xfId="0"/>
    <cellStyle name="Normal 6 2 4 6 3 3 2" xfId="0"/>
    <cellStyle name="Normal 6 2 4 6 3 3 2 2" xfId="0"/>
    <cellStyle name="Normal 6 2 4 6 3 3 3" xfId="0"/>
    <cellStyle name="Normal 6 2 4 6 3 4" xfId="0"/>
    <cellStyle name="Normal 6 2 4 6 3 4 2" xfId="0"/>
    <cellStyle name="Normal 6 2 4 6 3 5" xfId="0"/>
    <cellStyle name="Normal 6 2 4 6 4" xfId="0"/>
    <cellStyle name="Normal 6 2 4 6 4 2" xfId="0"/>
    <cellStyle name="Normal 6 2 4 6 4 2 2" xfId="0"/>
    <cellStyle name="Normal 6 2 4 6 4 2 2 2" xfId="0"/>
    <cellStyle name="Normal 6 2 4 6 4 2 3" xfId="0"/>
    <cellStyle name="Normal 6 2 4 6 4 3" xfId="0"/>
    <cellStyle name="Normal 6 2 4 6 4 3 2" xfId="0"/>
    <cellStyle name="Normal 6 2 4 6 4 4" xfId="0"/>
    <cellStyle name="Normal 6 2 4 6 5" xfId="0"/>
    <cellStyle name="Normal 6 2 4 6 5 2" xfId="0"/>
    <cellStyle name="Normal 6 2 4 6 5 2 2" xfId="0"/>
    <cellStyle name="Normal 6 2 4 6 5 3" xfId="0"/>
    <cellStyle name="Normal 6 2 4 6 6" xfId="0"/>
    <cellStyle name="Normal 6 2 4 6 6 2" xfId="0"/>
    <cellStyle name="Normal 6 2 4 6 7" xfId="0"/>
    <cellStyle name="Normal 6 2 4 7" xfId="0"/>
    <cellStyle name="Normal 6 2 4 7 2" xfId="0"/>
    <cellStyle name="Normal 6 2 4 7 2 2" xfId="0"/>
    <cellStyle name="Normal 6 2 4 7 2 2 2" xfId="0"/>
    <cellStyle name="Normal 6 2 4 7 2 2 2 2" xfId="0"/>
    <cellStyle name="Normal 6 2 4 7 2 2 2 2 2" xfId="0"/>
    <cellStyle name="Normal 6 2 4 7 2 2 2 3" xfId="0"/>
    <cellStyle name="Normal 6 2 4 7 2 2 3" xfId="0"/>
    <cellStyle name="Normal 6 2 4 7 2 2 3 2" xfId="0"/>
    <cellStyle name="Normal 6 2 4 7 2 2 4" xfId="0"/>
    <cellStyle name="Normal 6 2 4 7 2 3" xfId="0"/>
    <cellStyle name="Normal 6 2 4 7 2 3 2" xfId="0"/>
    <cellStyle name="Normal 6 2 4 7 2 3 2 2" xfId="0"/>
    <cellStyle name="Normal 6 2 4 7 2 3 3" xfId="0"/>
    <cellStyle name="Normal 6 2 4 7 2 4" xfId="0"/>
    <cellStyle name="Normal 6 2 4 7 2 4 2" xfId="0"/>
    <cellStyle name="Normal 6 2 4 7 2 5" xfId="0"/>
    <cellStyle name="Normal 6 2 4 7 3" xfId="0"/>
    <cellStyle name="Normal 6 2 4 7 3 2" xfId="0"/>
    <cellStyle name="Normal 6 2 4 7 3 2 2" xfId="0"/>
    <cellStyle name="Normal 6 2 4 7 3 2 2 2" xfId="0"/>
    <cellStyle name="Normal 6 2 4 7 3 2 3" xfId="0"/>
    <cellStyle name="Normal 6 2 4 7 3 3" xfId="0"/>
    <cellStyle name="Normal 6 2 4 7 3 3 2" xfId="0"/>
    <cellStyle name="Normal 6 2 4 7 3 4" xfId="0"/>
    <cellStyle name="Normal 6 2 4 7 4" xfId="0"/>
    <cellStyle name="Normal 6 2 4 7 4 2" xfId="0"/>
    <cellStyle name="Normal 6 2 4 7 4 2 2" xfId="0"/>
    <cellStyle name="Normal 6 2 4 7 4 3" xfId="0"/>
    <cellStyle name="Normal 6 2 4 7 5" xfId="0"/>
    <cellStyle name="Normal 6 2 4 7 5 2" xfId="0"/>
    <cellStyle name="Normal 6 2 4 7 6" xfId="0"/>
    <cellStyle name="Normal 6 2 4 8" xfId="0"/>
    <cellStyle name="Normal 6 2 4 8 2" xfId="0"/>
    <cellStyle name="Normal 6 2 4 8 2 2" xfId="0"/>
    <cellStyle name="Normal 6 2 4 8 2 2 2" xfId="0"/>
    <cellStyle name="Normal 6 2 4 8 2 2 2 2" xfId="0"/>
    <cellStyle name="Normal 6 2 4 8 2 2 3" xfId="0"/>
    <cellStyle name="Normal 6 2 4 8 2 3" xfId="0"/>
    <cellStyle name="Normal 6 2 4 8 2 3 2" xfId="0"/>
    <cellStyle name="Normal 6 2 4 8 2 4" xfId="0"/>
    <cellStyle name="Normal 6 2 4 8 3" xfId="0"/>
    <cellStyle name="Normal 6 2 4 8 3 2" xfId="0"/>
    <cellStyle name="Normal 6 2 4 8 3 2 2" xfId="0"/>
    <cellStyle name="Normal 6 2 4 8 3 3" xfId="0"/>
    <cellStyle name="Normal 6 2 4 8 4" xfId="0"/>
    <cellStyle name="Normal 6 2 4 8 4 2" xfId="0"/>
    <cellStyle name="Normal 6 2 4 8 5" xfId="0"/>
    <cellStyle name="Normal 6 2 4 9" xfId="0"/>
    <cellStyle name="Normal 6 2 4 9 2" xfId="0"/>
    <cellStyle name="Normal 6 2 4 9 2 2" xfId="0"/>
    <cellStyle name="Normal 6 2 4 9 2 2 2" xfId="0"/>
    <cellStyle name="Normal 6 2 4 9 2 3" xfId="0"/>
    <cellStyle name="Normal 6 2 4 9 3" xfId="0"/>
    <cellStyle name="Normal 6 2 4 9 3 2" xfId="0"/>
    <cellStyle name="Normal 6 2 4 9 4" xfId="0"/>
    <cellStyle name="Normal 6 2 5" xfId="0"/>
    <cellStyle name="Normal 6 2 5 10" xfId="0"/>
    <cellStyle name="Normal 6 2 5 10 2" xfId="0"/>
    <cellStyle name="Normal 6 2 5 10 2 2" xfId="0"/>
    <cellStyle name="Normal 6 2 5 10 3" xfId="0"/>
    <cellStyle name="Normal 6 2 5 11" xfId="0"/>
    <cellStyle name="Normal 6 2 5 11 2" xfId="0"/>
    <cellStyle name="Normal 6 2 5 12" xfId="0"/>
    <cellStyle name="Normal 6 2 5 2" xfId="0"/>
    <cellStyle name="Normal 6 2 5 2 10" xfId="0"/>
    <cellStyle name="Normal 6 2 5 2 10 2" xfId="0"/>
    <cellStyle name="Normal 6 2 5 2 11" xfId="0"/>
    <cellStyle name="Normal 6 2 5 2 2" xfId="0"/>
    <cellStyle name="Normal 6 2 5 2 2 2" xfId="0"/>
    <cellStyle name="Normal 6 2 5 2 2 2 2" xfId="0"/>
    <cellStyle name="Normal 6 2 5 2 2 2 2 2" xfId="0"/>
    <cellStyle name="Normal 6 2 5 2 2 2 2 2 2" xfId="0"/>
    <cellStyle name="Normal 6 2 5 2 2 2 2 2 2 2" xfId="0"/>
    <cellStyle name="Normal 6 2 5 2 2 2 2 2 2 2 2" xfId="0"/>
    <cellStyle name="Normal 6 2 5 2 2 2 2 2 2 2 2 2" xfId="0"/>
    <cellStyle name="Normal 6 2 5 2 2 2 2 2 2 2 3" xfId="0"/>
    <cellStyle name="Normal 6 2 5 2 2 2 2 2 2 3" xfId="0"/>
    <cellStyle name="Normal 6 2 5 2 2 2 2 2 2 3 2" xfId="0"/>
    <cellStyle name="Normal 6 2 5 2 2 2 2 2 2 4" xfId="0"/>
    <cellStyle name="Normal 6 2 5 2 2 2 2 2 3" xfId="0"/>
    <cellStyle name="Normal 6 2 5 2 2 2 2 2 3 2" xfId="0"/>
    <cellStyle name="Normal 6 2 5 2 2 2 2 2 3 2 2" xfId="0"/>
    <cellStyle name="Normal 6 2 5 2 2 2 2 2 3 3" xfId="0"/>
    <cellStyle name="Normal 6 2 5 2 2 2 2 2 4" xfId="0"/>
    <cellStyle name="Normal 6 2 5 2 2 2 2 2 4 2" xfId="0"/>
    <cellStyle name="Normal 6 2 5 2 2 2 2 2 5" xfId="0"/>
    <cellStyle name="Normal 6 2 5 2 2 2 2 3" xfId="0"/>
    <cellStyle name="Normal 6 2 5 2 2 2 2 3 2" xfId="0"/>
    <cellStyle name="Normal 6 2 5 2 2 2 2 3 2 2" xfId="0"/>
    <cellStyle name="Normal 6 2 5 2 2 2 2 3 2 2 2" xfId="0"/>
    <cellStyle name="Normal 6 2 5 2 2 2 2 3 2 3" xfId="0"/>
    <cellStyle name="Normal 6 2 5 2 2 2 2 3 3" xfId="0"/>
    <cellStyle name="Normal 6 2 5 2 2 2 2 3 3 2" xfId="0"/>
    <cellStyle name="Normal 6 2 5 2 2 2 2 3 4" xfId="0"/>
    <cellStyle name="Normal 6 2 5 2 2 2 2 4" xfId="0"/>
    <cellStyle name="Normal 6 2 5 2 2 2 2 4 2" xfId="0"/>
    <cellStyle name="Normal 6 2 5 2 2 2 2 4 2 2" xfId="0"/>
    <cellStyle name="Normal 6 2 5 2 2 2 2 4 3" xfId="0"/>
    <cellStyle name="Normal 6 2 5 2 2 2 2 5" xfId="0"/>
    <cellStyle name="Normal 6 2 5 2 2 2 2 5 2" xfId="0"/>
    <cellStyle name="Normal 6 2 5 2 2 2 2 6" xfId="0"/>
    <cellStyle name="Normal 6 2 5 2 2 2 3" xfId="0"/>
    <cellStyle name="Normal 6 2 5 2 2 2 3 2" xfId="0"/>
    <cellStyle name="Normal 6 2 5 2 2 2 3 2 2" xfId="0"/>
    <cellStyle name="Normal 6 2 5 2 2 2 3 2 2 2" xfId="0"/>
    <cellStyle name="Normal 6 2 5 2 2 2 3 2 2 2 2" xfId="0"/>
    <cellStyle name="Normal 6 2 5 2 2 2 3 2 2 3" xfId="0"/>
    <cellStyle name="Normal 6 2 5 2 2 2 3 2 3" xfId="0"/>
    <cellStyle name="Normal 6 2 5 2 2 2 3 2 3 2" xfId="0"/>
    <cellStyle name="Normal 6 2 5 2 2 2 3 2 4" xfId="0"/>
    <cellStyle name="Normal 6 2 5 2 2 2 3 3" xfId="0"/>
    <cellStyle name="Normal 6 2 5 2 2 2 3 3 2" xfId="0"/>
    <cellStyle name="Normal 6 2 5 2 2 2 3 3 2 2" xfId="0"/>
    <cellStyle name="Normal 6 2 5 2 2 2 3 3 3" xfId="0"/>
    <cellStyle name="Normal 6 2 5 2 2 2 3 4" xfId="0"/>
    <cellStyle name="Normal 6 2 5 2 2 2 3 4 2" xfId="0"/>
    <cellStyle name="Normal 6 2 5 2 2 2 3 5" xfId="0"/>
    <cellStyle name="Normal 6 2 5 2 2 2 4" xfId="0"/>
    <cellStyle name="Normal 6 2 5 2 2 2 4 2" xfId="0"/>
    <cellStyle name="Normal 6 2 5 2 2 2 4 2 2" xfId="0"/>
    <cellStyle name="Normal 6 2 5 2 2 2 4 2 2 2" xfId="0"/>
    <cellStyle name="Normal 6 2 5 2 2 2 4 2 3" xfId="0"/>
    <cellStyle name="Normal 6 2 5 2 2 2 4 3" xfId="0"/>
    <cellStyle name="Normal 6 2 5 2 2 2 4 3 2" xfId="0"/>
    <cellStyle name="Normal 6 2 5 2 2 2 4 4" xfId="0"/>
    <cellStyle name="Normal 6 2 5 2 2 2 5" xfId="0"/>
    <cellStyle name="Normal 6 2 5 2 2 2 5 2" xfId="0"/>
    <cellStyle name="Normal 6 2 5 2 2 2 5 2 2" xfId="0"/>
    <cellStyle name="Normal 6 2 5 2 2 2 5 3" xfId="0"/>
    <cellStyle name="Normal 6 2 5 2 2 2 6" xfId="0"/>
    <cellStyle name="Normal 6 2 5 2 2 2 6 2" xfId="0"/>
    <cellStyle name="Normal 6 2 5 2 2 2 7" xfId="0"/>
    <cellStyle name="Normal 6 2 5 2 2 3" xfId="0"/>
    <cellStyle name="Normal 6 2 5 2 2 3 2" xfId="0"/>
    <cellStyle name="Normal 6 2 5 2 2 3 2 2" xfId="0"/>
    <cellStyle name="Normal 6 2 5 2 2 3 2 2 2" xfId="0"/>
    <cellStyle name="Normal 6 2 5 2 2 3 2 2 2 2" xfId="0"/>
    <cellStyle name="Normal 6 2 5 2 2 3 2 2 2 2 2" xfId="0"/>
    <cellStyle name="Normal 6 2 5 2 2 3 2 2 2 3" xfId="0"/>
    <cellStyle name="Normal 6 2 5 2 2 3 2 2 3" xfId="0"/>
    <cellStyle name="Normal 6 2 5 2 2 3 2 2 3 2" xfId="0"/>
    <cellStyle name="Normal 6 2 5 2 2 3 2 2 4" xfId="0"/>
    <cellStyle name="Normal 6 2 5 2 2 3 2 3" xfId="0"/>
    <cellStyle name="Normal 6 2 5 2 2 3 2 3 2" xfId="0"/>
    <cellStyle name="Normal 6 2 5 2 2 3 2 3 2 2" xfId="0"/>
    <cellStyle name="Normal 6 2 5 2 2 3 2 3 3" xfId="0"/>
    <cellStyle name="Normal 6 2 5 2 2 3 2 4" xfId="0"/>
    <cellStyle name="Normal 6 2 5 2 2 3 2 4 2" xfId="0"/>
    <cellStyle name="Normal 6 2 5 2 2 3 2 5" xfId="0"/>
    <cellStyle name="Normal 6 2 5 2 2 3 3" xfId="0"/>
    <cellStyle name="Normal 6 2 5 2 2 3 3 2" xfId="0"/>
    <cellStyle name="Normal 6 2 5 2 2 3 3 2 2" xfId="0"/>
    <cellStyle name="Normal 6 2 5 2 2 3 3 2 2 2" xfId="0"/>
    <cellStyle name="Normal 6 2 5 2 2 3 3 2 3" xfId="0"/>
    <cellStyle name="Normal 6 2 5 2 2 3 3 3" xfId="0"/>
    <cellStyle name="Normal 6 2 5 2 2 3 3 3 2" xfId="0"/>
    <cellStyle name="Normal 6 2 5 2 2 3 3 4" xfId="0"/>
    <cellStyle name="Normal 6 2 5 2 2 3 4" xfId="0"/>
    <cellStyle name="Normal 6 2 5 2 2 3 4 2" xfId="0"/>
    <cellStyle name="Normal 6 2 5 2 2 3 4 2 2" xfId="0"/>
    <cellStyle name="Normal 6 2 5 2 2 3 4 3" xfId="0"/>
    <cellStyle name="Normal 6 2 5 2 2 3 5" xfId="0"/>
    <cellStyle name="Normal 6 2 5 2 2 3 5 2" xfId="0"/>
    <cellStyle name="Normal 6 2 5 2 2 3 6" xfId="0"/>
    <cellStyle name="Normal 6 2 5 2 2 4" xfId="0"/>
    <cellStyle name="Normal 6 2 5 2 2 4 2" xfId="0"/>
    <cellStyle name="Normal 6 2 5 2 2 4 2 2" xfId="0"/>
    <cellStyle name="Normal 6 2 5 2 2 4 2 2 2" xfId="0"/>
    <cellStyle name="Normal 6 2 5 2 2 4 2 2 2 2" xfId="0"/>
    <cellStyle name="Normal 6 2 5 2 2 4 2 2 3" xfId="0"/>
    <cellStyle name="Normal 6 2 5 2 2 4 2 3" xfId="0"/>
    <cellStyle name="Normal 6 2 5 2 2 4 2 3 2" xfId="0"/>
    <cellStyle name="Normal 6 2 5 2 2 4 2 4" xfId="0"/>
    <cellStyle name="Normal 6 2 5 2 2 4 3" xfId="0"/>
    <cellStyle name="Normal 6 2 5 2 2 4 3 2" xfId="0"/>
    <cellStyle name="Normal 6 2 5 2 2 4 3 2 2" xfId="0"/>
    <cellStyle name="Normal 6 2 5 2 2 4 3 3" xfId="0"/>
    <cellStyle name="Normal 6 2 5 2 2 4 4" xfId="0"/>
    <cellStyle name="Normal 6 2 5 2 2 4 4 2" xfId="0"/>
    <cellStyle name="Normal 6 2 5 2 2 4 5" xfId="0"/>
    <cellStyle name="Normal 6 2 5 2 2 5" xfId="0"/>
    <cellStyle name="Normal 6 2 5 2 2 5 2" xfId="0"/>
    <cellStyle name="Normal 6 2 5 2 2 5 2 2" xfId="0"/>
    <cellStyle name="Normal 6 2 5 2 2 5 2 2 2" xfId="0"/>
    <cellStyle name="Normal 6 2 5 2 2 5 2 3" xfId="0"/>
    <cellStyle name="Normal 6 2 5 2 2 5 3" xfId="0"/>
    <cellStyle name="Normal 6 2 5 2 2 5 3 2" xfId="0"/>
    <cellStyle name="Normal 6 2 5 2 2 5 4" xfId="0"/>
    <cellStyle name="Normal 6 2 5 2 2 6" xfId="0"/>
    <cellStyle name="Normal 6 2 5 2 2 6 2" xfId="0"/>
    <cellStyle name="Normal 6 2 5 2 2 6 2 2" xfId="0"/>
    <cellStyle name="Normal 6 2 5 2 2 6 3" xfId="0"/>
    <cellStyle name="Normal 6 2 5 2 2 7" xfId="0"/>
    <cellStyle name="Normal 6 2 5 2 2 7 2" xfId="0"/>
    <cellStyle name="Normal 6 2 5 2 2 8" xfId="0"/>
    <cellStyle name="Normal 6 2 5 2 3" xfId="0"/>
    <cellStyle name="Normal 6 2 5 2 3 2" xfId="0"/>
    <cellStyle name="Normal 6 2 5 2 3 2 2" xfId="0"/>
    <cellStyle name="Normal 6 2 5 2 3 2 2 2" xfId="0"/>
    <cellStyle name="Normal 6 2 5 2 3 2 2 2 2" xfId="0"/>
    <cellStyle name="Normal 6 2 5 2 3 2 2 2 2 2" xfId="0"/>
    <cellStyle name="Normal 6 2 5 2 3 2 2 2 2 2 2" xfId="0"/>
    <cellStyle name="Normal 6 2 5 2 3 2 2 2 2 2 2 2" xfId="0"/>
    <cellStyle name="Normal 6 2 5 2 3 2 2 2 2 2 3" xfId="0"/>
    <cellStyle name="Normal 6 2 5 2 3 2 2 2 2 3" xfId="0"/>
    <cellStyle name="Normal 6 2 5 2 3 2 2 2 2 3 2" xfId="0"/>
    <cellStyle name="Normal 6 2 5 2 3 2 2 2 2 4" xfId="0"/>
    <cellStyle name="Normal 6 2 5 2 3 2 2 2 3" xfId="0"/>
    <cellStyle name="Normal 6 2 5 2 3 2 2 2 3 2" xfId="0"/>
    <cellStyle name="Normal 6 2 5 2 3 2 2 2 3 2 2" xfId="0"/>
    <cellStyle name="Normal 6 2 5 2 3 2 2 2 3 3" xfId="0"/>
    <cellStyle name="Normal 6 2 5 2 3 2 2 2 4" xfId="0"/>
    <cellStyle name="Normal 6 2 5 2 3 2 2 2 4 2" xfId="0"/>
    <cellStyle name="Normal 6 2 5 2 3 2 2 2 5" xfId="0"/>
    <cellStyle name="Normal 6 2 5 2 3 2 2 3" xfId="0"/>
    <cellStyle name="Normal 6 2 5 2 3 2 2 3 2" xfId="0"/>
    <cellStyle name="Normal 6 2 5 2 3 2 2 3 2 2" xfId="0"/>
    <cellStyle name="Normal 6 2 5 2 3 2 2 3 2 2 2" xfId="0"/>
    <cellStyle name="Normal 6 2 5 2 3 2 2 3 2 3" xfId="0"/>
    <cellStyle name="Normal 6 2 5 2 3 2 2 3 3" xfId="0"/>
    <cellStyle name="Normal 6 2 5 2 3 2 2 3 3 2" xfId="0"/>
    <cellStyle name="Normal 6 2 5 2 3 2 2 3 4" xfId="0"/>
    <cellStyle name="Normal 6 2 5 2 3 2 2 4" xfId="0"/>
    <cellStyle name="Normal 6 2 5 2 3 2 2 4 2" xfId="0"/>
    <cellStyle name="Normal 6 2 5 2 3 2 2 4 2 2" xfId="0"/>
    <cellStyle name="Normal 6 2 5 2 3 2 2 4 3" xfId="0"/>
    <cellStyle name="Normal 6 2 5 2 3 2 2 5" xfId="0"/>
    <cellStyle name="Normal 6 2 5 2 3 2 2 5 2" xfId="0"/>
    <cellStyle name="Normal 6 2 5 2 3 2 2 6" xfId="0"/>
    <cellStyle name="Normal 6 2 5 2 3 2 3" xfId="0"/>
    <cellStyle name="Normal 6 2 5 2 3 2 3 2" xfId="0"/>
    <cellStyle name="Normal 6 2 5 2 3 2 3 2 2" xfId="0"/>
    <cellStyle name="Normal 6 2 5 2 3 2 3 2 2 2" xfId="0"/>
    <cellStyle name="Normal 6 2 5 2 3 2 3 2 2 2 2" xfId="0"/>
    <cellStyle name="Normal 6 2 5 2 3 2 3 2 2 3" xfId="0"/>
    <cellStyle name="Normal 6 2 5 2 3 2 3 2 3" xfId="0"/>
    <cellStyle name="Normal 6 2 5 2 3 2 3 2 3 2" xfId="0"/>
    <cellStyle name="Normal 6 2 5 2 3 2 3 2 4" xfId="0"/>
    <cellStyle name="Normal 6 2 5 2 3 2 3 3" xfId="0"/>
    <cellStyle name="Normal 6 2 5 2 3 2 3 3 2" xfId="0"/>
    <cellStyle name="Normal 6 2 5 2 3 2 3 3 2 2" xfId="0"/>
    <cellStyle name="Normal 6 2 5 2 3 2 3 3 3" xfId="0"/>
    <cellStyle name="Normal 6 2 5 2 3 2 3 4" xfId="0"/>
    <cellStyle name="Normal 6 2 5 2 3 2 3 4 2" xfId="0"/>
    <cellStyle name="Normal 6 2 5 2 3 2 3 5" xfId="0"/>
    <cellStyle name="Normal 6 2 5 2 3 2 4" xfId="0"/>
    <cellStyle name="Normal 6 2 5 2 3 2 4 2" xfId="0"/>
    <cellStyle name="Normal 6 2 5 2 3 2 4 2 2" xfId="0"/>
    <cellStyle name="Normal 6 2 5 2 3 2 4 2 2 2" xfId="0"/>
    <cellStyle name="Normal 6 2 5 2 3 2 4 2 3" xfId="0"/>
    <cellStyle name="Normal 6 2 5 2 3 2 4 3" xfId="0"/>
    <cellStyle name="Normal 6 2 5 2 3 2 4 3 2" xfId="0"/>
    <cellStyle name="Normal 6 2 5 2 3 2 4 4" xfId="0"/>
    <cellStyle name="Normal 6 2 5 2 3 2 5" xfId="0"/>
    <cellStyle name="Normal 6 2 5 2 3 2 5 2" xfId="0"/>
    <cellStyle name="Normal 6 2 5 2 3 2 5 2 2" xfId="0"/>
    <cellStyle name="Normal 6 2 5 2 3 2 5 3" xfId="0"/>
    <cellStyle name="Normal 6 2 5 2 3 2 6" xfId="0"/>
    <cellStyle name="Normal 6 2 5 2 3 2 6 2" xfId="0"/>
    <cellStyle name="Normal 6 2 5 2 3 2 7" xfId="0"/>
    <cellStyle name="Normal 6 2 5 2 3 3" xfId="0"/>
    <cellStyle name="Normal 6 2 5 2 3 3 2" xfId="0"/>
    <cellStyle name="Normal 6 2 5 2 3 3 2 2" xfId="0"/>
    <cellStyle name="Normal 6 2 5 2 3 3 2 2 2" xfId="0"/>
    <cellStyle name="Normal 6 2 5 2 3 3 2 2 2 2" xfId="0"/>
    <cellStyle name="Normal 6 2 5 2 3 3 2 2 2 2 2" xfId="0"/>
    <cellStyle name="Normal 6 2 5 2 3 3 2 2 2 3" xfId="0"/>
    <cellStyle name="Normal 6 2 5 2 3 3 2 2 3" xfId="0"/>
    <cellStyle name="Normal 6 2 5 2 3 3 2 2 3 2" xfId="0"/>
    <cellStyle name="Normal 6 2 5 2 3 3 2 2 4" xfId="0"/>
    <cellStyle name="Normal 6 2 5 2 3 3 2 3" xfId="0"/>
    <cellStyle name="Normal 6 2 5 2 3 3 2 3 2" xfId="0"/>
    <cellStyle name="Normal 6 2 5 2 3 3 2 3 2 2" xfId="0"/>
    <cellStyle name="Normal 6 2 5 2 3 3 2 3 3" xfId="0"/>
    <cellStyle name="Normal 6 2 5 2 3 3 2 4" xfId="0"/>
    <cellStyle name="Normal 6 2 5 2 3 3 2 4 2" xfId="0"/>
    <cellStyle name="Normal 6 2 5 2 3 3 2 5" xfId="0"/>
    <cellStyle name="Normal 6 2 5 2 3 3 3" xfId="0"/>
    <cellStyle name="Normal 6 2 5 2 3 3 3 2" xfId="0"/>
    <cellStyle name="Normal 6 2 5 2 3 3 3 2 2" xfId="0"/>
    <cellStyle name="Normal 6 2 5 2 3 3 3 2 2 2" xfId="0"/>
    <cellStyle name="Normal 6 2 5 2 3 3 3 2 3" xfId="0"/>
    <cellStyle name="Normal 6 2 5 2 3 3 3 3" xfId="0"/>
    <cellStyle name="Normal 6 2 5 2 3 3 3 3 2" xfId="0"/>
    <cellStyle name="Normal 6 2 5 2 3 3 3 4" xfId="0"/>
    <cellStyle name="Normal 6 2 5 2 3 3 4" xfId="0"/>
    <cellStyle name="Normal 6 2 5 2 3 3 4 2" xfId="0"/>
    <cellStyle name="Normal 6 2 5 2 3 3 4 2 2" xfId="0"/>
    <cellStyle name="Normal 6 2 5 2 3 3 4 3" xfId="0"/>
    <cellStyle name="Normal 6 2 5 2 3 3 5" xfId="0"/>
    <cellStyle name="Normal 6 2 5 2 3 3 5 2" xfId="0"/>
    <cellStyle name="Normal 6 2 5 2 3 3 6" xfId="0"/>
    <cellStyle name="Normal 6 2 5 2 3 4" xfId="0"/>
    <cellStyle name="Normal 6 2 5 2 3 4 2" xfId="0"/>
    <cellStyle name="Normal 6 2 5 2 3 4 2 2" xfId="0"/>
    <cellStyle name="Normal 6 2 5 2 3 4 2 2 2" xfId="0"/>
    <cellStyle name="Normal 6 2 5 2 3 4 2 2 2 2" xfId="0"/>
    <cellStyle name="Normal 6 2 5 2 3 4 2 2 3" xfId="0"/>
    <cellStyle name="Normal 6 2 5 2 3 4 2 3" xfId="0"/>
    <cellStyle name="Normal 6 2 5 2 3 4 2 3 2" xfId="0"/>
    <cellStyle name="Normal 6 2 5 2 3 4 2 4" xfId="0"/>
    <cellStyle name="Normal 6 2 5 2 3 4 3" xfId="0"/>
    <cellStyle name="Normal 6 2 5 2 3 4 3 2" xfId="0"/>
    <cellStyle name="Normal 6 2 5 2 3 4 3 2 2" xfId="0"/>
    <cellStyle name="Normal 6 2 5 2 3 4 3 3" xfId="0"/>
    <cellStyle name="Normal 6 2 5 2 3 4 4" xfId="0"/>
    <cellStyle name="Normal 6 2 5 2 3 4 4 2" xfId="0"/>
    <cellStyle name="Normal 6 2 5 2 3 4 5" xfId="0"/>
    <cellStyle name="Normal 6 2 5 2 3 5" xfId="0"/>
    <cellStyle name="Normal 6 2 5 2 3 5 2" xfId="0"/>
    <cellStyle name="Normal 6 2 5 2 3 5 2 2" xfId="0"/>
    <cellStyle name="Normal 6 2 5 2 3 5 2 2 2" xfId="0"/>
    <cellStyle name="Normal 6 2 5 2 3 5 2 3" xfId="0"/>
    <cellStyle name="Normal 6 2 5 2 3 5 3" xfId="0"/>
    <cellStyle name="Normal 6 2 5 2 3 5 3 2" xfId="0"/>
    <cellStyle name="Normal 6 2 5 2 3 5 4" xfId="0"/>
    <cellStyle name="Normal 6 2 5 2 3 6" xfId="0"/>
    <cellStyle name="Normal 6 2 5 2 3 6 2" xfId="0"/>
    <cellStyle name="Normal 6 2 5 2 3 6 2 2" xfId="0"/>
    <cellStyle name="Normal 6 2 5 2 3 6 3" xfId="0"/>
    <cellStyle name="Normal 6 2 5 2 3 7" xfId="0"/>
    <cellStyle name="Normal 6 2 5 2 3 7 2" xfId="0"/>
    <cellStyle name="Normal 6 2 5 2 3 8" xfId="0"/>
    <cellStyle name="Normal 6 2 5 2 4" xfId="0"/>
    <cellStyle name="Normal 6 2 5 2 4 2" xfId="0"/>
    <cellStyle name="Normal 6 2 5 2 4 2 2" xfId="0"/>
    <cellStyle name="Normal 6 2 5 2 4 2 2 2" xfId="0"/>
    <cellStyle name="Normal 6 2 5 2 4 2 2 2 2" xfId="0"/>
    <cellStyle name="Normal 6 2 5 2 4 2 2 2 2 2" xfId="0"/>
    <cellStyle name="Normal 6 2 5 2 4 2 2 2 2 2 2" xfId="0"/>
    <cellStyle name="Normal 6 2 5 2 4 2 2 2 2 3" xfId="0"/>
    <cellStyle name="Normal 6 2 5 2 4 2 2 2 3" xfId="0"/>
    <cellStyle name="Normal 6 2 5 2 4 2 2 2 3 2" xfId="0"/>
    <cellStyle name="Normal 6 2 5 2 4 2 2 2 4" xfId="0"/>
    <cellStyle name="Normal 6 2 5 2 4 2 2 3" xfId="0"/>
    <cellStyle name="Normal 6 2 5 2 4 2 2 3 2" xfId="0"/>
    <cellStyle name="Normal 6 2 5 2 4 2 2 3 2 2" xfId="0"/>
    <cellStyle name="Normal 6 2 5 2 4 2 2 3 3" xfId="0"/>
    <cellStyle name="Normal 6 2 5 2 4 2 2 4" xfId="0"/>
    <cellStyle name="Normal 6 2 5 2 4 2 2 4 2" xfId="0"/>
    <cellStyle name="Normal 6 2 5 2 4 2 2 5" xfId="0"/>
    <cellStyle name="Normal 6 2 5 2 4 2 3" xfId="0"/>
    <cellStyle name="Normal 6 2 5 2 4 2 3 2" xfId="0"/>
    <cellStyle name="Normal 6 2 5 2 4 2 3 2 2" xfId="0"/>
    <cellStyle name="Normal 6 2 5 2 4 2 3 2 2 2" xfId="0"/>
    <cellStyle name="Normal 6 2 5 2 4 2 3 2 3" xfId="0"/>
    <cellStyle name="Normal 6 2 5 2 4 2 3 3" xfId="0"/>
    <cellStyle name="Normal 6 2 5 2 4 2 3 3 2" xfId="0"/>
    <cellStyle name="Normal 6 2 5 2 4 2 3 4" xfId="0"/>
    <cellStyle name="Normal 6 2 5 2 4 2 4" xfId="0"/>
    <cellStyle name="Normal 6 2 5 2 4 2 4 2" xfId="0"/>
    <cellStyle name="Normal 6 2 5 2 4 2 4 2 2" xfId="0"/>
    <cellStyle name="Normal 6 2 5 2 4 2 4 3" xfId="0"/>
    <cellStyle name="Normal 6 2 5 2 4 2 5" xfId="0"/>
    <cellStyle name="Normal 6 2 5 2 4 2 5 2" xfId="0"/>
    <cellStyle name="Normal 6 2 5 2 4 2 6" xfId="0"/>
    <cellStyle name="Normal 6 2 5 2 4 3" xfId="0"/>
    <cellStyle name="Normal 6 2 5 2 4 3 2" xfId="0"/>
    <cellStyle name="Normal 6 2 5 2 4 3 2 2" xfId="0"/>
    <cellStyle name="Normal 6 2 5 2 4 3 2 2 2" xfId="0"/>
    <cellStyle name="Normal 6 2 5 2 4 3 2 2 2 2" xfId="0"/>
    <cellStyle name="Normal 6 2 5 2 4 3 2 2 3" xfId="0"/>
    <cellStyle name="Normal 6 2 5 2 4 3 2 3" xfId="0"/>
    <cellStyle name="Normal 6 2 5 2 4 3 2 3 2" xfId="0"/>
    <cellStyle name="Normal 6 2 5 2 4 3 2 4" xfId="0"/>
    <cellStyle name="Normal 6 2 5 2 4 3 3" xfId="0"/>
    <cellStyle name="Normal 6 2 5 2 4 3 3 2" xfId="0"/>
    <cellStyle name="Normal 6 2 5 2 4 3 3 2 2" xfId="0"/>
    <cellStyle name="Normal 6 2 5 2 4 3 3 3" xfId="0"/>
    <cellStyle name="Normal 6 2 5 2 4 3 4" xfId="0"/>
    <cellStyle name="Normal 6 2 5 2 4 3 4 2" xfId="0"/>
    <cellStyle name="Normal 6 2 5 2 4 3 5" xfId="0"/>
    <cellStyle name="Normal 6 2 5 2 4 4" xfId="0"/>
    <cellStyle name="Normal 6 2 5 2 4 4 2" xfId="0"/>
    <cellStyle name="Normal 6 2 5 2 4 4 2 2" xfId="0"/>
    <cellStyle name="Normal 6 2 5 2 4 4 2 2 2" xfId="0"/>
    <cellStyle name="Normal 6 2 5 2 4 4 2 3" xfId="0"/>
    <cellStyle name="Normal 6 2 5 2 4 4 3" xfId="0"/>
    <cellStyle name="Normal 6 2 5 2 4 4 3 2" xfId="0"/>
    <cellStyle name="Normal 6 2 5 2 4 4 4" xfId="0"/>
    <cellStyle name="Normal 6 2 5 2 4 5" xfId="0"/>
    <cellStyle name="Normal 6 2 5 2 4 5 2" xfId="0"/>
    <cellStyle name="Normal 6 2 5 2 4 5 2 2" xfId="0"/>
    <cellStyle name="Normal 6 2 5 2 4 5 3" xfId="0"/>
    <cellStyle name="Normal 6 2 5 2 4 6" xfId="0"/>
    <cellStyle name="Normal 6 2 5 2 4 6 2" xfId="0"/>
    <cellStyle name="Normal 6 2 5 2 4 7" xfId="0"/>
    <cellStyle name="Normal 6 2 5 2 5" xfId="0"/>
    <cellStyle name="Normal 6 2 5 2 5 2" xfId="0"/>
    <cellStyle name="Normal 6 2 5 2 5 2 2" xfId="0"/>
    <cellStyle name="Normal 6 2 5 2 5 2 2 2" xfId="0"/>
    <cellStyle name="Normal 6 2 5 2 5 2 2 2 2" xfId="0"/>
    <cellStyle name="Normal 6 2 5 2 5 2 2 2 2 2" xfId="0"/>
    <cellStyle name="Normal 6 2 5 2 5 2 2 2 2 2 2" xfId="0"/>
    <cellStyle name="Normal 6 2 5 2 5 2 2 2 2 3" xfId="0"/>
    <cellStyle name="Normal 6 2 5 2 5 2 2 2 3" xfId="0"/>
    <cellStyle name="Normal 6 2 5 2 5 2 2 2 3 2" xfId="0"/>
    <cellStyle name="Normal 6 2 5 2 5 2 2 2 4" xfId="0"/>
    <cellStyle name="Normal 6 2 5 2 5 2 2 3" xfId="0"/>
    <cellStyle name="Normal 6 2 5 2 5 2 2 3 2" xfId="0"/>
    <cellStyle name="Normal 6 2 5 2 5 2 2 3 2 2" xfId="0"/>
    <cellStyle name="Normal 6 2 5 2 5 2 2 3 3" xfId="0"/>
    <cellStyle name="Normal 6 2 5 2 5 2 2 4" xfId="0"/>
    <cellStyle name="Normal 6 2 5 2 5 2 2 4 2" xfId="0"/>
    <cellStyle name="Normal 6 2 5 2 5 2 2 5" xfId="0"/>
    <cellStyle name="Normal 6 2 5 2 5 2 3" xfId="0"/>
    <cellStyle name="Normal 6 2 5 2 5 2 3 2" xfId="0"/>
    <cellStyle name="Normal 6 2 5 2 5 2 3 2 2" xfId="0"/>
    <cellStyle name="Normal 6 2 5 2 5 2 3 2 2 2" xfId="0"/>
    <cellStyle name="Normal 6 2 5 2 5 2 3 2 3" xfId="0"/>
    <cellStyle name="Normal 6 2 5 2 5 2 3 3" xfId="0"/>
    <cellStyle name="Normal 6 2 5 2 5 2 3 3 2" xfId="0"/>
    <cellStyle name="Normal 6 2 5 2 5 2 3 4" xfId="0"/>
    <cellStyle name="Normal 6 2 5 2 5 2 4" xfId="0"/>
    <cellStyle name="Normal 6 2 5 2 5 2 4 2" xfId="0"/>
    <cellStyle name="Normal 6 2 5 2 5 2 4 2 2" xfId="0"/>
    <cellStyle name="Normal 6 2 5 2 5 2 4 3" xfId="0"/>
    <cellStyle name="Normal 6 2 5 2 5 2 5" xfId="0"/>
    <cellStyle name="Normal 6 2 5 2 5 2 5 2" xfId="0"/>
    <cellStyle name="Normal 6 2 5 2 5 2 6" xfId="0"/>
    <cellStyle name="Normal 6 2 5 2 5 3" xfId="0"/>
    <cellStyle name="Normal 6 2 5 2 5 3 2" xfId="0"/>
    <cellStyle name="Normal 6 2 5 2 5 3 2 2" xfId="0"/>
    <cellStyle name="Normal 6 2 5 2 5 3 2 2 2" xfId="0"/>
    <cellStyle name="Normal 6 2 5 2 5 3 2 2 2 2" xfId="0"/>
    <cellStyle name="Normal 6 2 5 2 5 3 2 2 3" xfId="0"/>
    <cellStyle name="Normal 6 2 5 2 5 3 2 3" xfId="0"/>
    <cellStyle name="Normal 6 2 5 2 5 3 2 3 2" xfId="0"/>
    <cellStyle name="Normal 6 2 5 2 5 3 2 4" xfId="0"/>
    <cellStyle name="Normal 6 2 5 2 5 3 3" xfId="0"/>
    <cellStyle name="Normal 6 2 5 2 5 3 3 2" xfId="0"/>
    <cellStyle name="Normal 6 2 5 2 5 3 3 2 2" xfId="0"/>
    <cellStyle name="Normal 6 2 5 2 5 3 3 3" xfId="0"/>
    <cellStyle name="Normal 6 2 5 2 5 3 4" xfId="0"/>
    <cellStyle name="Normal 6 2 5 2 5 3 4 2" xfId="0"/>
    <cellStyle name="Normal 6 2 5 2 5 3 5" xfId="0"/>
    <cellStyle name="Normal 6 2 5 2 5 4" xfId="0"/>
    <cellStyle name="Normal 6 2 5 2 5 4 2" xfId="0"/>
    <cellStyle name="Normal 6 2 5 2 5 4 2 2" xfId="0"/>
    <cellStyle name="Normal 6 2 5 2 5 4 2 2 2" xfId="0"/>
    <cellStyle name="Normal 6 2 5 2 5 4 2 3" xfId="0"/>
    <cellStyle name="Normal 6 2 5 2 5 4 3" xfId="0"/>
    <cellStyle name="Normal 6 2 5 2 5 4 3 2" xfId="0"/>
    <cellStyle name="Normal 6 2 5 2 5 4 4" xfId="0"/>
    <cellStyle name="Normal 6 2 5 2 5 5" xfId="0"/>
    <cellStyle name="Normal 6 2 5 2 5 5 2" xfId="0"/>
    <cellStyle name="Normal 6 2 5 2 5 5 2 2" xfId="0"/>
    <cellStyle name="Normal 6 2 5 2 5 5 3" xfId="0"/>
    <cellStyle name="Normal 6 2 5 2 5 6" xfId="0"/>
    <cellStyle name="Normal 6 2 5 2 5 6 2" xfId="0"/>
    <cellStyle name="Normal 6 2 5 2 5 7" xfId="0"/>
    <cellStyle name="Normal 6 2 5 2 6" xfId="0"/>
    <cellStyle name="Normal 6 2 5 2 6 2" xfId="0"/>
    <cellStyle name="Normal 6 2 5 2 6 2 2" xfId="0"/>
    <cellStyle name="Normal 6 2 5 2 6 2 2 2" xfId="0"/>
    <cellStyle name="Normal 6 2 5 2 6 2 2 2 2" xfId="0"/>
    <cellStyle name="Normal 6 2 5 2 6 2 2 2 2 2" xfId="0"/>
    <cellStyle name="Normal 6 2 5 2 6 2 2 2 3" xfId="0"/>
    <cellStyle name="Normal 6 2 5 2 6 2 2 3" xfId="0"/>
    <cellStyle name="Normal 6 2 5 2 6 2 2 3 2" xfId="0"/>
    <cellStyle name="Normal 6 2 5 2 6 2 2 4" xfId="0"/>
    <cellStyle name="Normal 6 2 5 2 6 2 3" xfId="0"/>
    <cellStyle name="Normal 6 2 5 2 6 2 3 2" xfId="0"/>
    <cellStyle name="Normal 6 2 5 2 6 2 3 2 2" xfId="0"/>
    <cellStyle name="Normal 6 2 5 2 6 2 3 3" xfId="0"/>
    <cellStyle name="Normal 6 2 5 2 6 2 4" xfId="0"/>
    <cellStyle name="Normal 6 2 5 2 6 2 4 2" xfId="0"/>
    <cellStyle name="Normal 6 2 5 2 6 2 5" xfId="0"/>
    <cellStyle name="Normal 6 2 5 2 6 3" xfId="0"/>
    <cellStyle name="Normal 6 2 5 2 6 3 2" xfId="0"/>
    <cellStyle name="Normal 6 2 5 2 6 3 2 2" xfId="0"/>
    <cellStyle name="Normal 6 2 5 2 6 3 2 2 2" xfId="0"/>
    <cellStyle name="Normal 6 2 5 2 6 3 2 3" xfId="0"/>
    <cellStyle name="Normal 6 2 5 2 6 3 3" xfId="0"/>
    <cellStyle name="Normal 6 2 5 2 6 3 3 2" xfId="0"/>
    <cellStyle name="Normal 6 2 5 2 6 3 4" xfId="0"/>
    <cellStyle name="Normal 6 2 5 2 6 4" xfId="0"/>
    <cellStyle name="Normal 6 2 5 2 6 4 2" xfId="0"/>
    <cellStyle name="Normal 6 2 5 2 6 4 2 2" xfId="0"/>
    <cellStyle name="Normal 6 2 5 2 6 4 3" xfId="0"/>
    <cellStyle name="Normal 6 2 5 2 6 5" xfId="0"/>
    <cellStyle name="Normal 6 2 5 2 6 5 2" xfId="0"/>
    <cellStyle name="Normal 6 2 5 2 6 6" xfId="0"/>
    <cellStyle name="Normal 6 2 5 2 7" xfId="0"/>
    <cellStyle name="Normal 6 2 5 2 7 2" xfId="0"/>
    <cellStyle name="Normal 6 2 5 2 7 2 2" xfId="0"/>
    <cellStyle name="Normal 6 2 5 2 7 2 2 2" xfId="0"/>
    <cellStyle name="Normal 6 2 5 2 7 2 2 2 2" xfId="0"/>
    <cellStyle name="Normal 6 2 5 2 7 2 2 3" xfId="0"/>
    <cellStyle name="Normal 6 2 5 2 7 2 3" xfId="0"/>
    <cellStyle name="Normal 6 2 5 2 7 2 3 2" xfId="0"/>
    <cellStyle name="Normal 6 2 5 2 7 2 4" xfId="0"/>
    <cellStyle name="Normal 6 2 5 2 7 3" xfId="0"/>
    <cellStyle name="Normal 6 2 5 2 7 3 2" xfId="0"/>
    <cellStyle name="Normal 6 2 5 2 7 3 2 2" xfId="0"/>
    <cellStyle name="Normal 6 2 5 2 7 3 3" xfId="0"/>
    <cellStyle name="Normal 6 2 5 2 7 4" xfId="0"/>
    <cellStyle name="Normal 6 2 5 2 7 4 2" xfId="0"/>
    <cellStyle name="Normal 6 2 5 2 7 5" xfId="0"/>
    <cellStyle name="Normal 6 2 5 2 8" xfId="0"/>
    <cellStyle name="Normal 6 2 5 2 8 2" xfId="0"/>
    <cellStyle name="Normal 6 2 5 2 8 2 2" xfId="0"/>
    <cellStyle name="Normal 6 2 5 2 8 2 2 2" xfId="0"/>
    <cellStyle name="Normal 6 2 5 2 8 2 3" xfId="0"/>
    <cellStyle name="Normal 6 2 5 2 8 3" xfId="0"/>
    <cellStyle name="Normal 6 2 5 2 8 3 2" xfId="0"/>
    <cellStyle name="Normal 6 2 5 2 8 4" xfId="0"/>
    <cellStyle name="Normal 6 2 5 2 9" xfId="0"/>
    <cellStyle name="Normal 6 2 5 2 9 2" xfId="0"/>
    <cellStyle name="Normal 6 2 5 2 9 2 2" xfId="0"/>
    <cellStyle name="Normal 6 2 5 2 9 3" xfId="0"/>
    <cellStyle name="Normal 6 2 5 3" xfId="0"/>
    <cellStyle name="Normal 6 2 5 3 2" xfId="0"/>
    <cellStyle name="Normal 6 2 5 3 2 2" xfId="0"/>
    <cellStyle name="Normal 6 2 5 3 2 2 2" xfId="0"/>
    <cellStyle name="Normal 6 2 5 3 2 2 2 2" xfId="0"/>
    <cellStyle name="Normal 6 2 5 3 2 2 2 2 2" xfId="0"/>
    <cellStyle name="Normal 6 2 5 3 2 2 2 2 2 2" xfId="0"/>
    <cellStyle name="Normal 6 2 5 3 2 2 2 2 2 2 2" xfId="0"/>
    <cellStyle name="Normal 6 2 5 3 2 2 2 2 2 3" xfId="0"/>
    <cellStyle name="Normal 6 2 5 3 2 2 2 2 3" xfId="0"/>
    <cellStyle name="Normal 6 2 5 3 2 2 2 2 3 2" xfId="0"/>
    <cellStyle name="Normal 6 2 5 3 2 2 2 2 4" xfId="0"/>
    <cellStyle name="Normal 6 2 5 3 2 2 2 3" xfId="0"/>
    <cellStyle name="Normal 6 2 5 3 2 2 2 3 2" xfId="0"/>
    <cellStyle name="Normal 6 2 5 3 2 2 2 3 2 2" xfId="0"/>
    <cellStyle name="Normal 6 2 5 3 2 2 2 3 3" xfId="0"/>
    <cellStyle name="Normal 6 2 5 3 2 2 2 4" xfId="0"/>
    <cellStyle name="Normal 6 2 5 3 2 2 2 4 2" xfId="0"/>
    <cellStyle name="Normal 6 2 5 3 2 2 2 5" xfId="0"/>
    <cellStyle name="Normal 6 2 5 3 2 2 3" xfId="0"/>
    <cellStyle name="Normal 6 2 5 3 2 2 3 2" xfId="0"/>
    <cellStyle name="Normal 6 2 5 3 2 2 3 2 2" xfId="0"/>
    <cellStyle name="Normal 6 2 5 3 2 2 3 2 2 2" xfId="0"/>
    <cellStyle name="Normal 6 2 5 3 2 2 3 2 3" xfId="0"/>
    <cellStyle name="Normal 6 2 5 3 2 2 3 3" xfId="0"/>
    <cellStyle name="Normal 6 2 5 3 2 2 3 3 2" xfId="0"/>
    <cellStyle name="Normal 6 2 5 3 2 2 3 4" xfId="0"/>
    <cellStyle name="Normal 6 2 5 3 2 2 4" xfId="0"/>
    <cellStyle name="Normal 6 2 5 3 2 2 4 2" xfId="0"/>
    <cellStyle name="Normal 6 2 5 3 2 2 4 2 2" xfId="0"/>
    <cellStyle name="Normal 6 2 5 3 2 2 4 3" xfId="0"/>
    <cellStyle name="Normal 6 2 5 3 2 2 5" xfId="0"/>
    <cellStyle name="Normal 6 2 5 3 2 2 5 2" xfId="0"/>
    <cellStyle name="Normal 6 2 5 3 2 2 6" xfId="0"/>
    <cellStyle name="Normal 6 2 5 3 2 3" xfId="0"/>
    <cellStyle name="Normal 6 2 5 3 2 3 2" xfId="0"/>
    <cellStyle name="Normal 6 2 5 3 2 3 2 2" xfId="0"/>
    <cellStyle name="Normal 6 2 5 3 2 3 2 2 2" xfId="0"/>
    <cellStyle name="Normal 6 2 5 3 2 3 2 2 2 2" xfId="0"/>
    <cellStyle name="Normal 6 2 5 3 2 3 2 2 3" xfId="0"/>
    <cellStyle name="Normal 6 2 5 3 2 3 2 3" xfId="0"/>
    <cellStyle name="Normal 6 2 5 3 2 3 2 3 2" xfId="0"/>
    <cellStyle name="Normal 6 2 5 3 2 3 2 4" xfId="0"/>
    <cellStyle name="Normal 6 2 5 3 2 3 3" xfId="0"/>
    <cellStyle name="Normal 6 2 5 3 2 3 3 2" xfId="0"/>
    <cellStyle name="Normal 6 2 5 3 2 3 3 2 2" xfId="0"/>
    <cellStyle name="Normal 6 2 5 3 2 3 3 3" xfId="0"/>
    <cellStyle name="Normal 6 2 5 3 2 3 4" xfId="0"/>
    <cellStyle name="Normal 6 2 5 3 2 3 4 2" xfId="0"/>
    <cellStyle name="Normal 6 2 5 3 2 3 5" xfId="0"/>
    <cellStyle name="Normal 6 2 5 3 2 4" xfId="0"/>
    <cellStyle name="Normal 6 2 5 3 2 4 2" xfId="0"/>
    <cellStyle name="Normal 6 2 5 3 2 4 2 2" xfId="0"/>
    <cellStyle name="Normal 6 2 5 3 2 4 2 2 2" xfId="0"/>
    <cellStyle name="Normal 6 2 5 3 2 4 2 3" xfId="0"/>
    <cellStyle name="Normal 6 2 5 3 2 4 3" xfId="0"/>
    <cellStyle name="Normal 6 2 5 3 2 4 3 2" xfId="0"/>
    <cellStyle name="Normal 6 2 5 3 2 4 4" xfId="0"/>
    <cellStyle name="Normal 6 2 5 3 2 5" xfId="0"/>
    <cellStyle name="Normal 6 2 5 3 2 5 2" xfId="0"/>
    <cellStyle name="Normal 6 2 5 3 2 5 2 2" xfId="0"/>
    <cellStyle name="Normal 6 2 5 3 2 5 3" xfId="0"/>
    <cellStyle name="Normal 6 2 5 3 2 6" xfId="0"/>
    <cellStyle name="Normal 6 2 5 3 2 6 2" xfId="0"/>
    <cellStyle name="Normal 6 2 5 3 2 7" xfId="0"/>
    <cellStyle name="Normal 6 2 5 3 3" xfId="0"/>
    <cellStyle name="Normal 6 2 5 3 3 2" xfId="0"/>
    <cellStyle name="Normal 6 2 5 3 3 2 2" xfId="0"/>
    <cellStyle name="Normal 6 2 5 3 3 2 2 2" xfId="0"/>
    <cellStyle name="Normal 6 2 5 3 3 2 2 2 2" xfId="0"/>
    <cellStyle name="Normal 6 2 5 3 3 2 2 2 2 2" xfId="0"/>
    <cellStyle name="Normal 6 2 5 3 3 2 2 2 3" xfId="0"/>
    <cellStyle name="Normal 6 2 5 3 3 2 2 3" xfId="0"/>
    <cellStyle name="Normal 6 2 5 3 3 2 2 3 2" xfId="0"/>
    <cellStyle name="Normal 6 2 5 3 3 2 2 4" xfId="0"/>
    <cellStyle name="Normal 6 2 5 3 3 2 3" xfId="0"/>
    <cellStyle name="Normal 6 2 5 3 3 2 3 2" xfId="0"/>
    <cellStyle name="Normal 6 2 5 3 3 2 3 2 2" xfId="0"/>
    <cellStyle name="Normal 6 2 5 3 3 2 3 3" xfId="0"/>
    <cellStyle name="Normal 6 2 5 3 3 2 4" xfId="0"/>
    <cellStyle name="Normal 6 2 5 3 3 2 4 2" xfId="0"/>
    <cellStyle name="Normal 6 2 5 3 3 2 5" xfId="0"/>
    <cellStyle name="Normal 6 2 5 3 3 3" xfId="0"/>
    <cellStyle name="Normal 6 2 5 3 3 3 2" xfId="0"/>
    <cellStyle name="Normal 6 2 5 3 3 3 2 2" xfId="0"/>
    <cellStyle name="Normal 6 2 5 3 3 3 2 2 2" xfId="0"/>
    <cellStyle name="Normal 6 2 5 3 3 3 2 3" xfId="0"/>
    <cellStyle name="Normal 6 2 5 3 3 3 3" xfId="0"/>
    <cellStyle name="Normal 6 2 5 3 3 3 3 2" xfId="0"/>
    <cellStyle name="Normal 6 2 5 3 3 3 4" xfId="0"/>
    <cellStyle name="Normal 6 2 5 3 3 4" xfId="0"/>
    <cellStyle name="Normal 6 2 5 3 3 4 2" xfId="0"/>
    <cellStyle name="Normal 6 2 5 3 3 4 2 2" xfId="0"/>
    <cellStyle name="Normal 6 2 5 3 3 4 3" xfId="0"/>
    <cellStyle name="Normal 6 2 5 3 3 5" xfId="0"/>
    <cellStyle name="Normal 6 2 5 3 3 5 2" xfId="0"/>
    <cellStyle name="Normal 6 2 5 3 3 6" xfId="0"/>
    <cellStyle name="Normal 6 2 5 3 4" xfId="0"/>
    <cellStyle name="Normal 6 2 5 3 4 2" xfId="0"/>
    <cellStyle name="Normal 6 2 5 3 4 2 2" xfId="0"/>
    <cellStyle name="Normal 6 2 5 3 4 2 2 2" xfId="0"/>
    <cellStyle name="Normal 6 2 5 3 4 2 2 2 2" xfId="0"/>
    <cellStyle name="Normal 6 2 5 3 4 2 2 3" xfId="0"/>
    <cellStyle name="Normal 6 2 5 3 4 2 3" xfId="0"/>
    <cellStyle name="Normal 6 2 5 3 4 2 3 2" xfId="0"/>
    <cellStyle name="Normal 6 2 5 3 4 2 4" xfId="0"/>
    <cellStyle name="Normal 6 2 5 3 4 3" xfId="0"/>
    <cellStyle name="Normal 6 2 5 3 4 3 2" xfId="0"/>
    <cellStyle name="Normal 6 2 5 3 4 3 2 2" xfId="0"/>
    <cellStyle name="Normal 6 2 5 3 4 3 3" xfId="0"/>
    <cellStyle name="Normal 6 2 5 3 4 4" xfId="0"/>
    <cellStyle name="Normal 6 2 5 3 4 4 2" xfId="0"/>
    <cellStyle name="Normal 6 2 5 3 4 5" xfId="0"/>
    <cellStyle name="Normal 6 2 5 3 5" xfId="0"/>
    <cellStyle name="Normal 6 2 5 3 5 2" xfId="0"/>
    <cellStyle name="Normal 6 2 5 3 5 2 2" xfId="0"/>
    <cellStyle name="Normal 6 2 5 3 5 2 2 2" xfId="0"/>
    <cellStyle name="Normal 6 2 5 3 5 2 3" xfId="0"/>
    <cellStyle name="Normal 6 2 5 3 5 3" xfId="0"/>
    <cellStyle name="Normal 6 2 5 3 5 3 2" xfId="0"/>
    <cellStyle name="Normal 6 2 5 3 5 4" xfId="0"/>
    <cellStyle name="Normal 6 2 5 3 6" xfId="0"/>
    <cellStyle name="Normal 6 2 5 3 6 2" xfId="0"/>
    <cellStyle name="Normal 6 2 5 3 6 2 2" xfId="0"/>
    <cellStyle name="Normal 6 2 5 3 6 3" xfId="0"/>
    <cellStyle name="Normal 6 2 5 3 7" xfId="0"/>
    <cellStyle name="Normal 6 2 5 3 7 2" xfId="0"/>
    <cellStyle name="Normal 6 2 5 3 8" xfId="0"/>
    <cellStyle name="Normal 6 2 5 4" xfId="0"/>
    <cellStyle name="Normal 6 2 5 4 2" xfId="0"/>
    <cellStyle name="Normal 6 2 5 4 2 2" xfId="0"/>
    <cellStyle name="Normal 6 2 5 4 2 2 2" xfId="0"/>
    <cellStyle name="Normal 6 2 5 4 2 2 2 2" xfId="0"/>
    <cellStyle name="Normal 6 2 5 4 2 2 2 2 2" xfId="0"/>
    <cellStyle name="Normal 6 2 5 4 2 2 2 2 2 2" xfId="0"/>
    <cellStyle name="Normal 6 2 5 4 2 2 2 2 2 2 2" xfId="0"/>
    <cellStyle name="Normal 6 2 5 4 2 2 2 2 2 3" xfId="0"/>
    <cellStyle name="Normal 6 2 5 4 2 2 2 2 3" xfId="0"/>
    <cellStyle name="Normal 6 2 5 4 2 2 2 2 3 2" xfId="0"/>
    <cellStyle name="Normal 6 2 5 4 2 2 2 2 4" xfId="0"/>
    <cellStyle name="Normal 6 2 5 4 2 2 2 3" xfId="0"/>
    <cellStyle name="Normal 6 2 5 4 2 2 2 3 2" xfId="0"/>
    <cellStyle name="Normal 6 2 5 4 2 2 2 3 2 2" xfId="0"/>
    <cellStyle name="Normal 6 2 5 4 2 2 2 3 3" xfId="0"/>
    <cellStyle name="Normal 6 2 5 4 2 2 2 4" xfId="0"/>
    <cellStyle name="Normal 6 2 5 4 2 2 2 4 2" xfId="0"/>
    <cellStyle name="Normal 6 2 5 4 2 2 2 5" xfId="0"/>
    <cellStyle name="Normal 6 2 5 4 2 2 3" xfId="0"/>
    <cellStyle name="Normal 6 2 5 4 2 2 3 2" xfId="0"/>
    <cellStyle name="Normal 6 2 5 4 2 2 3 2 2" xfId="0"/>
    <cellStyle name="Normal 6 2 5 4 2 2 3 2 2 2" xfId="0"/>
    <cellStyle name="Normal 6 2 5 4 2 2 3 2 3" xfId="0"/>
    <cellStyle name="Normal 6 2 5 4 2 2 3 3" xfId="0"/>
    <cellStyle name="Normal 6 2 5 4 2 2 3 3 2" xfId="0"/>
    <cellStyle name="Normal 6 2 5 4 2 2 3 4" xfId="0"/>
    <cellStyle name="Normal 6 2 5 4 2 2 4" xfId="0"/>
    <cellStyle name="Normal 6 2 5 4 2 2 4 2" xfId="0"/>
    <cellStyle name="Normal 6 2 5 4 2 2 4 2 2" xfId="0"/>
    <cellStyle name="Normal 6 2 5 4 2 2 4 3" xfId="0"/>
    <cellStyle name="Normal 6 2 5 4 2 2 5" xfId="0"/>
    <cellStyle name="Normal 6 2 5 4 2 2 5 2" xfId="0"/>
    <cellStyle name="Normal 6 2 5 4 2 2 6" xfId="0"/>
    <cellStyle name="Normal 6 2 5 4 2 3" xfId="0"/>
    <cellStyle name="Normal 6 2 5 4 2 3 2" xfId="0"/>
    <cellStyle name="Normal 6 2 5 4 2 3 2 2" xfId="0"/>
    <cellStyle name="Normal 6 2 5 4 2 3 2 2 2" xfId="0"/>
    <cellStyle name="Normal 6 2 5 4 2 3 2 2 2 2" xfId="0"/>
    <cellStyle name="Normal 6 2 5 4 2 3 2 2 3" xfId="0"/>
    <cellStyle name="Normal 6 2 5 4 2 3 2 3" xfId="0"/>
    <cellStyle name="Normal 6 2 5 4 2 3 2 3 2" xfId="0"/>
    <cellStyle name="Normal 6 2 5 4 2 3 2 4" xfId="0"/>
    <cellStyle name="Normal 6 2 5 4 2 3 3" xfId="0"/>
    <cellStyle name="Normal 6 2 5 4 2 3 3 2" xfId="0"/>
    <cellStyle name="Normal 6 2 5 4 2 3 3 2 2" xfId="0"/>
    <cellStyle name="Normal 6 2 5 4 2 3 3 3" xfId="0"/>
    <cellStyle name="Normal 6 2 5 4 2 3 4" xfId="0"/>
    <cellStyle name="Normal 6 2 5 4 2 3 4 2" xfId="0"/>
    <cellStyle name="Normal 6 2 5 4 2 3 5" xfId="0"/>
    <cellStyle name="Normal 6 2 5 4 2 4" xfId="0"/>
    <cellStyle name="Normal 6 2 5 4 2 4 2" xfId="0"/>
    <cellStyle name="Normal 6 2 5 4 2 4 2 2" xfId="0"/>
    <cellStyle name="Normal 6 2 5 4 2 4 2 2 2" xfId="0"/>
    <cellStyle name="Normal 6 2 5 4 2 4 2 3" xfId="0"/>
    <cellStyle name="Normal 6 2 5 4 2 4 3" xfId="0"/>
    <cellStyle name="Normal 6 2 5 4 2 4 3 2" xfId="0"/>
    <cellStyle name="Normal 6 2 5 4 2 4 4" xfId="0"/>
    <cellStyle name="Normal 6 2 5 4 2 5" xfId="0"/>
    <cellStyle name="Normal 6 2 5 4 2 5 2" xfId="0"/>
    <cellStyle name="Normal 6 2 5 4 2 5 2 2" xfId="0"/>
    <cellStyle name="Normal 6 2 5 4 2 5 3" xfId="0"/>
    <cellStyle name="Normal 6 2 5 4 2 6" xfId="0"/>
    <cellStyle name="Normal 6 2 5 4 2 6 2" xfId="0"/>
    <cellStyle name="Normal 6 2 5 4 2 7" xfId="0"/>
    <cellStyle name="Normal 6 2 5 4 3" xfId="0"/>
    <cellStyle name="Normal 6 2 5 4 3 2" xfId="0"/>
    <cellStyle name="Normal 6 2 5 4 3 2 2" xfId="0"/>
    <cellStyle name="Normal 6 2 5 4 3 2 2 2" xfId="0"/>
    <cellStyle name="Normal 6 2 5 4 3 2 2 2 2" xfId="0"/>
    <cellStyle name="Normal 6 2 5 4 3 2 2 2 2 2" xfId="0"/>
    <cellStyle name="Normal 6 2 5 4 3 2 2 2 3" xfId="0"/>
    <cellStyle name="Normal 6 2 5 4 3 2 2 3" xfId="0"/>
    <cellStyle name="Normal 6 2 5 4 3 2 2 3 2" xfId="0"/>
    <cellStyle name="Normal 6 2 5 4 3 2 2 4" xfId="0"/>
    <cellStyle name="Normal 6 2 5 4 3 2 3" xfId="0"/>
    <cellStyle name="Normal 6 2 5 4 3 2 3 2" xfId="0"/>
    <cellStyle name="Normal 6 2 5 4 3 2 3 2 2" xfId="0"/>
    <cellStyle name="Normal 6 2 5 4 3 2 3 3" xfId="0"/>
    <cellStyle name="Normal 6 2 5 4 3 2 4" xfId="0"/>
    <cellStyle name="Normal 6 2 5 4 3 2 4 2" xfId="0"/>
    <cellStyle name="Normal 6 2 5 4 3 2 5" xfId="0"/>
    <cellStyle name="Normal 6 2 5 4 3 3" xfId="0"/>
    <cellStyle name="Normal 6 2 5 4 3 3 2" xfId="0"/>
    <cellStyle name="Normal 6 2 5 4 3 3 2 2" xfId="0"/>
    <cellStyle name="Normal 6 2 5 4 3 3 2 2 2" xfId="0"/>
    <cellStyle name="Normal 6 2 5 4 3 3 2 3" xfId="0"/>
    <cellStyle name="Normal 6 2 5 4 3 3 3" xfId="0"/>
    <cellStyle name="Normal 6 2 5 4 3 3 3 2" xfId="0"/>
    <cellStyle name="Normal 6 2 5 4 3 3 4" xfId="0"/>
    <cellStyle name="Normal 6 2 5 4 3 4" xfId="0"/>
    <cellStyle name="Normal 6 2 5 4 3 4 2" xfId="0"/>
    <cellStyle name="Normal 6 2 5 4 3 4 2 2" xfId="0"/>
    <cellStyle name="Normal 6 2 5 4 3 4 3" xfId="0"/>
    <cellStyle name="Normal 6 2 5 4 3 5" xfId="0"/>
    <cellStyle name="Normal 6 2 5 4 3 5 2" xfId="0"/>
    <cellStyle name="Normal 6 2 5 4 3 6" xfId="0"/>
    <cellStyle name="Normal 6 2 5 4 4" xfId="0"/>
    <cellStyle name="Normal 6 2 5 4 4 2" xfId="0"/>
    <cellStyle name="Normal 6 2 5 4 4 2 2" xfId="0"/>
    <cellStyle name="Normal 6 2 5 4 4 2 2 2" xfId="0"/>
    <cellStyle name="Normal 6 2 5 4 4 2 2 2 2" xfId="0"/>
    <cellStyle name="Normal 6 2 5 4 4 2 2 3" xfId="0"/>
    <cellStyle name="Normal 6 2 5 4 4 2 3" xfId="0"/>
    <cellStyle name="Normal 6 2 5 4 4 2 3 2" xfId="0"/>
    <cellStyle name="Normal 6 2 5 4 4 2 4" xfId="0"/>
    <cellStyle name="Normal 6 2 5 4 4 3" xfId="0"/>
    <cellStyle name="Normal 6 2 5 4 4 3 2" xfId="0"/>
    <cellStyle name="Normal 6 2 5 4 4 3 2 2" xfId="0"/>
    <cellStyle name="Normal 6 2 5 4 4 3 3" xfId="0"/>
    <cellStyle name="Normal 6 2 5 4 4 4" xfId="0"/>
    <cellStyle name="Normal 6 2 5 4 4 4 2" xfId="0"/>
    <cellStyle name="Normal 6 2 5 4 4 5" xfId="0"/>
    <cellStyle name="Normal 6 2 5 4 5" xfId="0"/>
    <cellStyle name="Normal 6 2 5 4 5 2" xfId="0"/>
    <cellStyle name="Normal 6 2 5 4 5 2 2" xfId="0"/>
    <cellStyle name="Normal 6 2 5 4 5 2 2 2" xfId="0"/>
    <cellStyle name="Normal 6 2 5 4 5 2 3" xfId="0"/>
    <cellStyle name="Normal 6 2 5 4 5 3" xfId="0"/>
    <cellStyle name="Normal 6 2 5 4 5 3 2" xfId="0"/>
    <cellStyle name="Normal 6 2 5 4 5 4" xfId="0"/>
    <cellStyle name="Normal 6 2 5 4 6" xfId="0"/>
    <cellStyle name="Normal 6 2 5 4 6 2" xfId="0"/>
    <cellStyle name="Normal 6 2 5 4 6 2 2" xfId="0"/>
    <cellStyle name="Normal 6 2 5 4 6 3" xfId="0"/>
    <cellStyle name="Normal 6 2 5 4 7" xfId="0"/>
    <cellStyle name="Normal 6 2 5 4 7 2" xfId="0"/>
    <cellStyle name="Normal 6 2 5 4 8" xfId="0"/>
    <cellStyle name="Normal 6 2 5 5" xfId="0"/>
    <cellStyle name="Normal 6 2 5 5 2" xfId="0"/>
    <cellStyle name="Normal 6 2 5 5 2 2" xfId="0"/>
    <cellStyle name="Normal 6 2 5 5 2 2 2" xfId="0"/>
    <cellStyle name="Normal 6 2 5 5 2 2 2 2" xfId="0"/>
    <cellStyle name="Normal 6 2 5 5 2 2 2 2 2" xfId="0"/>
    <cellStyle name="Normal 6 2 5 5 2 2 2 2 2 2" xfId="0"/>
    <cellStyle name="Normal 6 2 5 5 2 2 2 2 3" xfId="0"/>
    <cellStyle name="Normal 6 2 5 5 2 2 2 3" xfId="0"/>
    <cellStyle name="Normal 6 2 5 5 2 2 2 3 2" xfId="0"/>
    <cellStyle name="Normal 6 2 5 5 2 2 2 4" xfId="0"/>
    <cellStyle name="Normal 6 2 5 5 2 2 3" xfId="0"/>
    <cellStyle name="Normal 6 2 5 5 2 2 3 2" xfId="0"/>
    <cellStyle name="Normal 6 2 5 5 2 2 3 2 2" xfId="0"/>
    <cellStyle name="Normal 6 2 5 5 2 2 3 3" xfId="0"/>
    <cellStyle name="Normal 6 2 5 5 2 2 4" xfId="0"/>
    <cellStyle name="Normal 6 2 5 5 2 2 4 2" xfId="0"/>
    <cellStyle name="Normal 6 2 5 5 2 2 5" xfId="0"/>
    <cellStyle name="Normal 6 2 5 5 2 3" xfId="0"/>
    <cellStyle name="Normal 6 2 5 5 2 3 2" xfId="0"/>
    <cellStyle name="Normal 6 2 5 5 2 3 2 2" xfId="0"/>
    <cellStyle name="Normal 6 2 5 5 2 3 2 2 2" xfId="0"/>
    <cellStyle name="Normal 6 2 5 5 2 3 2 3" xfId="0"/>
    <cellStyle name="Normal 6 2 5 5 2 3 3" xfId="0"/>
    <cellStyle name="Normal 6 2 5 5 2 3 3 2" xfId="0"/>
    <cellStyle name="Normal 6 2 5 5 2 3 4" xfId="0"/>
    <cellStyle name="Normal 6 2 5 5 2 4" xfId="0"/>
    <cellStyle name="Normal 6 2 5 5 2 4 2" xfId="0"/>
    <cellStyle name="Normal 6 2 5 5 2 4 2 2" xfId="0"/>
    <cellStyle name="Normal 6 2 5 5 2 4 3" xfId="0"/>
    <cellStyle name="Normal 6 2 5 5 2 5" xfId="0"/>
    <cellStyle name="Normal 6 2 5 5 2 5 2" xfId="0"/>
    <cellStyle name="Normal 6 2 5 5 2 6" xfId="0"/>
    <cellStyle name="Normal 6 2 5 5 3" xfId="0"/>
    <cellStyle name="Normal 6 2 5 5 3 2" xfId="0"/>
    <cellStyle name="Normal 6 2 5 5 3 2 2" xfId="0"/>
    <cellStyle name="Normal 6 2 5 5 3 2 2 2" xfId="0"/>
    <cellStyle name="Normal 6 2 5 5 3 2 2 2 2" xfId="0"/>
    <cellStyle name="Normal 6 2 5 5 3 2 2 3" xfId="0"/>
    <cellStyle name="Normal 6 2 5 5 3 2 3" xfId="0"/>
    <cellStyle name="Normal 6 2 5 5 3 2 3 2" xfId="0"/>
    <cellStyle name="Normal 6 2 5 5 3 2 4" xfId="0"/>
    <cellStyle name="Normal 6 2 5 5 3 3" xfId="0"/>
    <cellStyle name="Normal 6 2 5 5 3 3 2" xfId="0"/>
    <cellStyle name="Normal 6 2 5 5 3 3 2 2" xfId="0"/>
    <cellStyle name="Normal 6 2 5 5 3 3 3" xfId="0"/>
    <cellStyle name="Normal 6 2 5 5 3 4" xfId="0"/>
    <cellStyle name="Normal 6 2 5 5 3 4 2" xfId="0"/>
    <cellStyle name="Normal 6 2 5 5 3 5" xfId="0"/>
    <cellStyle name="Normal 6 2 5 5 4" xfId="0"/>
    <cellStyle name="Normal 6 2 5 5 4 2" xfId="0"/>
    <cellStyle name="Normal 6 2 5 5 4 2 2" xfId="0"/>
    <cellStyle name="Normal 6 2 5 5 4 2 2 2" xfId="0"/>
    <cellStyle name="Normal 6 2 5 5 4 2 3" xfId="0"/>
    <cellStyle name="Normal 6 2 5 5 4 3" xfId="0"/>
    <cellStyle name="Normal 6 2 5 5 4 3 2" xfId="0"/>
    <cellStyle name="Normal 6 2 5 5 4 4" xfId="0"/>
    <cellStyle name="Normal 6 2 5 5 5" xfId="0"/>
    <cellStyle name="Normal 6 2 5 5 5 2" xfId="0"/>
    <cellStyle name="Normal 6 2 5 5 5 2 2" xfId="0"/>
    <cellStyle name="Normal 6 2 5 5 5 3" xfId="0"/>
    <cellStyle name="Normal 6 2 5 5 6" xfId="0"/>
    <cellStyle name="Normal 6 2 5 5 6 2" xfId="0"/>
    <cellStyle name="Normal 6 2 5 5 7" xfId="0"/>
    <cellStyle name="Normal 6 2 5 6" xfId="0"/>
    <cellStyle name="Normal 6 2 5 6 2" xfId="0"/>
    <cellStyle name="Normal 6 2 5 6 2 2" xfId="0"/>
    <cellStyle name="Normal 6 2 5 6 2 2 2" xfId="0"/>
    <cellStyle name="Normal 6 2 5 6 2 2 2 2" xfId="0"/>
    <cellStyle name="Normal 6 2 5 6 2 2 2 2 2" xfId="0"/>
    <cellStyle name="Normal 6 2 5 6 2 2 2 2 2 2" xfId="0"/>
    <cellStyle name="Normal 6 2 5 6 2 2 2 2 3" xfId="0"/>
    <cellStyle name="Normal 6 2 5 6 2 2 2 3" xfId="0"/>
    <cellStyle name="Normal 6 2 5 6 2 2 2 3 2" xfId="0"/>
    <cellStyle name="Normal 6 2 5 6 2 2 2 4" xfId="0"/>
    <cellStyle name="Normal 6 2 5 6 2 2 3" xfId="0"/>
    <cellStyle name="Normal 6 2 5 6 2 2 3 2" xfId="0"/>
    <cellStyle name="Normal 6 2 5 6 2 2 3 2 2" xfId="0"/>
    <cellStyle name="Normal 6 2 5 6 2 2 3 3" xfId="0"/>
    <cellStyle name="Normal 6 2 5 6 2 2 4" xfId="0"/>
    <cellStyle name="Normal 6 2 5 6 2 2 4 2" xfId="0"/>
    <cellStyle name="Normal 6 2 5 6 2 2 5" xfId="0"/>
    <cellStyle name="Normal 6 2 5 6 2 3" xfId="0"/>
    <cellStyle name="Normal 6 2 5 6 2 3 2" xfId="0"/>
    <cellStyle name="Normal 6 2 5 6 2 3 2 2" xfId="0"/>
    <cellStyle name="Normal 6 2 5 6 2 3 2 2 2" xfId="0"/>
    <cellStyle name="Normal 6 2 5 6 2 3 2 3" xfId="0"/>
    <cellStyle name="Normal 6 2 5 6 2 3 3" xfId="0"/>
    <cellStyle name="Normal 6 2 5 6 2 3 3 2" xfId="0"/>
    <cellStyle name="Normal 6 2 5 6 2 3 4" xfId="0"/>
    <cellStyle name="Normal 6 2 5 6 2 4" xfId="0"/>
    <cellStyle name="Normal 6 2 5 6 2 4 2" xfId="0"/>
    <cellStyle name="Normal 6 2 5 6 2 4 2 2" xfId="0"/>
    <cellStyle name="Normal 6 2 5 6 2 4 3" xfId="0"/>
    <cellStyle name="Normal 6 2 5 6 2 5" xfId="0"/>
    <cellStyle name="Normal 6 2 5 6 2 5 2" xfId="0"/>
    <cellStyle name="Normal 6 2 5 6 2 6" xfId="0"/>
    <cellStyle name="Normal 6 2 5 6 3" xfId="0"/>
    <cellStyle name="Normal 6 2 5 6 3 2" xfId="0"/>
    <cellStyle name="Normal 6 2 5 6 3 2 2" xfId="0"/>
    <cellStyle name="Normal 6 2 5 6 3 2 2 2" xfId="0"/>
    <cellStyle name="Normal 6 2 5 6 3 2 2 2 2" xfId="0"/>
    <cellStyle name="Normal 6 2 5 6 3 2 2 3" xfId="0"/>
    <cellStyle name="Normal 6 2 5 6 3 2 3" xfId="0"/>
    <cellStyle name="Normal 6 2 5 6 3 2 3 2" xfId="0"/>
    <cellStyle name="Normal 6 2 5 6 3 2 4" xfId="0"/>
    <cellStyle name="Normal 6 2 5 6 3 3" xfId="0"/>
    <cellStyle name="Normal 6 2 5 6 3 3 2" xfId="0"/>
    <cellStyle name="Normal 6 2 5 6 3 3 2 2" xfId="0"/>
    <cellStyle name="Normal 6 2 5 6 3 3 3" xfId="0"/>
    <cellStyle name="Normal 6 2 5 6 3 4" xfId="0"/>
    <cellStyle name="Normal 6 2 5 6 3 4 2" xfId="0"/>
    <cellStyle name="Normal 6 2 5 6 3 5" xfId="0"/>
    <cellStyle name="Normal 6 2 5 6 4" xfId="0"/>
    <cellStyle name="Normal 6 2 5 6 4 2" xfId="0"/>
    <cellStyle name="Normal 6 2 5 6 4 2 2" xfId="0"/>
    <cellStyle name="Normal 6 2 5 6 4 2 2 2" xfId="0"/>
    <cellStyle name="Normal 6 2 5 6 4 2 3" xfId="0"/>
    <cellStyle name="Normal 6 2 5 6 4 3" xfId="0"/>
    <cellStyle name="Normal 6 2 5 6 4 3 2" xfId="0"/>
    <cellStyle name="Normal 6 2 5 6 4 4" xfId="0"/>
    <cellStyle name="Normal 6 2 5 6 5" xfId="0"/>
    <cellStyle name="Normal 6 2 5 6 5 2" xfId="0"/>
    <cellStyle name="Normal 6 2 5 6 5 2 2" xfId="0"/>
    <cellStyle name="Normal 6 2 5 6 5 3" xfId="0"/>
    <cellStyle name="Normal 6 2 5 6 6" xfId="0"/>
    <cellStyle name="Normal 6 2 5 6 6 2" xfId="0"/>
    <cellStyle name="Normal 6 2 5 6 7" xfId="0"/>
    <cellStyle name="Normal 6 2 5 7" xfId="0"/>
    <cellStyle name="Normal 6 2 5 7 2" xfId="0"/>
    <cellStyle name="Normal 6 2 5 7 2 2" xfId="0"/>
    <cellStyle name="Normal 6 2 5 7 2 2 2" xfId="0"/>
    <cellStyle name="Normal 6 2 5 7 2 2 2 2" xfId="0"/>
    <cellStyle name="Normal 6 2 5 7 2 2 2 2 2" xfId="0"/>
    <cellStyle name="Normal 6 2 5 7 2 2 2 3" xfId="0"/>
    <cellStyle name="Normal 6 2 5 7 2 2 3" xfId="0"/>
    <cellStyle name="Normal 6 2 5 7 2 2 3 2" xfId="0"/>
    <cellStyle name="Normal 6 2 5 7 2 2 4" xfId="0"/>
    <cellStyle name="Normal 6 2 5 7 2 3" xfId="0"/>
    <cellStyle name="Normal 6 2 5 7 2 3 2" xfId="0"/>
    <cellStyle name="Normal 6 2 5 7 2 3 2 2" xfId="0"/>
    <cellStyle name="Normal 6 2 5 7 2 3 3" xfId="0"/>
    <cellStyle name="Normal 6 2 5 7 2 4" xfId="0"/>
    <cellStyle name="Normal 6 2 5 7 2 4 2" xfId="0"/>
    <cellStyle name="Normal 6 2 5 7 2 5" xfId="0"/>
    <cellStyle name="Normal 6 2 5 7 3" xfId="0"/>
    <cellStyle name="Normal 6 2 5 7 3 2" xfId="0"/>
    <cellStyle name="Normal 6 2 5 7 3 2 2" xfId="0"/>
    <cellStyle name="Normal 6 2 5 7 3 2 2 2" xfId="0"/>
    <cellStyle name="Normal 6 2 5 7 3 2 3" xfId="0"/>
    <cellStyle name="Normal 6 2 5 7 3 3" xfId="0"/>
    <cellStyle name="Normal 6 2 5 7 3 3 2" xfId="0"/>
    <cellStyle name="Normal 6 2 5 7 3 4" xfId="0"/>
    <cellStyle name="Normal 6 2 5 7 4" xfId="0"/>
    <cellStyle name="Normal 6 2 5 7 4 2" xfId="0"/>
    <cellStyle name="Normal 6 2 5 7 4 2 2" xfId="0"/>
    <cellStyle name="Normal 6 2 5 7 4 3" xfId="0"/>
    <cellStyle name="Normal 6 2 5 7 5" xfId="0"/>
    <cellStyle name="Normal 6 2 5 7 5 2" xfId="0"/>
    <cellStyle name="Normal 6 2 5 7 6" xfId="0"/>
    <cellStyle name="Normal 6 2 5 8" xfId="0"/>
    <cellStyle name="Normal 6 2 5 8 2" xfId="0"/>
    <cellStyle name="Normal 6 2 5 8 2 2" xfId="0"/>
    <cellStyle name="Normal 6 2 5 8 2 2 2" xfId="0"/>
    <cellStyle name="Normal 6 2 5 8 2 2 2 2" xfId="0"/>
    <cellStyle name="Normal 6 2 5 8 2 2 3" xfId="0"/>
    <cellStyle name="Normal 6 2 5 8 2 3" xfId="0"/>
    <cellStyle name="Normal 6 2 5 8 2 3 2" xfId="0"/>
    <cellStyle name="Normal 6 2 5 8 2 4" xfId="0"/>
    <cellStyle name="Normal 6 2 5 8 3" xfId="0"/>
    <cellStyle name="Normal 6 2 5 8 3 2" xfId="0"/>
    <cellStyle name="Normal 6 2 5 8 3 2 2" xfId="0"/>
    <cellStyle name="Normal 6 2 5 8 3 3" xfId="0"/>
    <cellStyle name="Normal 6 2 5 8 4" xfId="0"/>
    <cellStyle name="Normal 6 2 5 8 4 2" xfId="0"/>
    <cellStyle name="Normal 6 2 5 8 5" xfId="0"/>
    <cellStyle name="Normal 6 2 5 9" xfId="0"/>
    <cellStyle name="Normal 6 2 5 9 2" xfId="0"/>
    <cellStyle name="Normal 6 2 5 9 2 2" xfId="0"/>
    <cellStyle name="Normal 6 2 5 9 2 2 2" xfId="0"/>
    <cellStyle name="Normal 6 2 5 9 2 3" xfId="0"/>
    <cellStyle name="Normal 6 2 5 9 3" xfId="0"/>
    <cellStyle name="Normal 6 2 5 9 3 2" xfId="0"/>
    <cellStyle name="Normal 6 2 5 9 4" xfId="0"/>
    <cellStyle name="Normal 6 2 6" xfId="0"/>
    <cellStyle name="Normal 6 2 6 10" xfId="0"/>
    <cellStyle name="Normal 6 2 6 10 2" xfId="0"/>
    <cellStyle name="Normal 6 2 6 11" xfId="0"/>
    <cellStyle name="Normal 6 2 6 2" xfId="0"/>
    <cellStyle name="Normal 6 2 6 2 2" xfId="0"/>
    <cellStyle name="Normal 6 2 6 2 2 2" xfId="0"/>
    <cellStyle name="Normal 6 2 6 2 2 2 2" xfId="0"/>
    <cellStyle name="Normal 6 2 6 2 2 2 2 2" xfId="0"/>
    <cellStyle name="Normal 6 2 6 2 2 2 2 2 2" xfId="0"/>
    <cellStyle name="Normal 6 2 6 2 2 2 2 2 2 2" xfId="0"/>
    <cellStyle name="Normal 6 2 6 2 2 2 2 2 2 2 2" xfId="0"/>
    <cellStyle name="Normal 6 2 6 2 2 2 2 2 2 3" xfId="0"/>
    <cellStyle name="Normal 6 2 6 2 2 2 2 2 3" xfId="0"/>
    <cellStyle name="Normal 6 2 6 2 2 2 2 2 3 2" xfId="0"/>
    <cellStyle name="Normal 6 2 6 2 2 2 2 2 4" xfId="0"/>
    <cellStyle name="Normal 6 2 6 2 2 2 2 3" xfId="0"/>
    <cellStyle name="Normal 6 2 6 2 2 2 2 3 2" xfId="0"/>
    <cellStyle name="Normal 6 2 6 2 2 2 2 3 2 2" xfId="0"/>
    <cellStyle name="Normal 6 2 6 2 2 2 2 3 3" xfId="0"/>
    <cellStyle name="Normal 6 2 6 2 2 2 2 4" xfId="0"/>
    <cellStyle name="Normal 6 2 6 2 2 2 2 4 2" xfId="0"/>
    <cellStyle name="Normal 6 2 6 2 2 2 2 5" xfId="0"/>
    <cellStyle name="Normal 6 2 6 2 2 2 3" xfId="0"/>
    <cellStyle name="Normal 6 2 6 2 2 2 3 2" xfId="0"/>
    <cellStyle name="Normal 6 2 6 2 2 2 3 2 2" xfId="0"/>
    <cellStyle name="Normal 6 2 6 2 2 2 3 2 2 2" xfId="0"/>
    <cellStyle name="Normal 6 2 6 2 2 2 3 2 3" xfId="0"/>
    <cellStyle name="Normal 6 2 6 2 2 2 3 3" xfId="0"/>
    <cellStyle name="Normal 6 2 6 2 2 2 3 3 2" xfId="0"/>
    <cellStyle name="Normal 6 2 6 2 2 2 3 4" xfId="0"/>
    <cellStyle name="Normal 6 2 6 2 2 2 4" xfId="0"/>
    <cellStyle name="Normal 6 2 6 2 2 2 4 2" xfId="0"/>
    <cellStyle name="Normal 6 2 6 2 2 2 4 2 2" xfId="0"/>
    <cellStyle name="Normal 6 2 6 2 2 2 4 3" xfId="0"/>
    <cellStyle name="Normal 6 2 6 2 2 2 5" xfId="0"/>
    <cellStyle name="Normal 6 2 6 2 2 2 5 2" xfId="0"/>
    <cellStyle name="Normal 6 2 6 2 2 2 6" xfId="0"/>
    <cellStyle name="Normal 6 2 6 2 2 3" xfId="0"/>
    <cellStyle name="Normal 6 2 6 2 2 3 2" xfId="0"/>
    <cellStyle name="Normal 6 2 6 2 2 3 2 2" xfId="0"/>
    <cellStyle name="Normal 6 2 6 2 2 3 2 2 2" xfId="0"/>
    <cellStyle name="Normal 6 2 6 2 2 3 2 2 2 2" xfId="0"/>
    <cellStyle name="Normal 6 2 6 2 2 3 2 2 3" xfId="0"/>
    <cellStyle name="Normal 6 2 6 2 2 3 2 3" xfId="0"/>
    <cellStyle name="Normal 6 2 6 2 2 3 2 3 2" xfId="0"/>
    <cellStyle name="Normal 6 2 6 2 2 3 2 4" xfId="0"/>
    <cellStyle name="Normal 6 2 6 2 2 3 3" xfId="0"/>
    <cellStyle name="Normal 6 2 6 2 2 3 3 2" xfId="0"/>
    <cellStyle name="Normal 6 2 6 2 2 3 3 2 2" xfId="0"/>
    <cellStyle name="Normal 6 2 6 2 2 3 3 3" xfId="0"/>
    <cellStyle name="Normal 6 2 6 2 2 3 4" xfId="0"/>
    <cellStyle name="Normal 6 2 6 2 2 3 4 2" xfId="0"/>
    <cellStyle name="Normal 6 2 6 2 2 3 5" xfId="0"/>
    <cellStyle name="Normal 6 2 6 2 2 4" xfId="0"/>
    <cellStyle name="Normal 6 2 6 2 2 4 2" xfId="0"/>
    <cellStyle name="Normal 6 2 6 2 2 4 2 2" xfId="0"/>
    <cellStyle name="Normal 6 2 6 2 2 4 2 2 2" xfId="0"/>
    <cellStyle name="Normal 6 2 6 2 2 4 2 3" xfId="0"/>
    <cellStyle name="Normal 6 2 6 2 2 4 3" xfId="0"/>
    <cellStyle name="Normal 6 2 6 2 2 4 3 2" xfId="0"/>
    <cellStyle name="Normal 6 2 6 2 2 4 4" xfId="0"/>
    <cellStyle name="Normal 6 2 6 2 2 5" xfId="0"/>
    <cellStyle name="Normal 6 2 6 2 2 5 2" xfId="0"/>
    <cellStyle name="Normal 6 2 6 2 2 5 2 2" xfId="0"/>
    <cellStyle name="Normal 6 2 6 2 2 5 3" xfId="0"/>
    <cellStyle name="Normal 6 2 6 2 2 6" xfId="0"/>
    <cellStyle name="Normal 6 2 6 2 2 6 2" xfId="0"/>
    <cellStyle name="Normal 6 2 6 2 2 7" xfId="0"/>
    <cellStyle name="Normal 6 2 6 2 3" xfId="0"/>
    <cellStyle name="Normal 6 2 6 2 3 2" xfId="0"/>
    <cellStyle name="Normal 6 2 6 2 3 2 2" xfId="0"/>
    <cellStyle name="Normal 6 2 6 2 3 2 2 2" xfId="0"/>
    <cellStyle name="Normal 6 2 6 2 3 2 2 2 2" xfId="0"/>
    <cellStyle name="Normal 6 2 6 2 3 2 2 2 2 2" xfId="0"/>
    <cellStyle name="Normal 6 2 6 2 3 2 2 2 3" xfId="0"/>
    <cellStyle name="Normal 6 2 6 2 3 2 2 3" xfId="0"/>
    <cellStyle name="Normal 6 2 6 2 3 2 2 3 2" xfId="0"/>
    <cellStyle name="Normal 6 2 6 2 3 2 2 4" xfId="0"/>
    <cellStyle name="Normal 6 2 6 2 3 2 3" xfId="0"/>
    <cellStyle name="Normal 6 2 6 2 3 2 3 2" xfId="0"/>
    <cellStyle name="Normal 6 2 6 2 3 2 3 2 2" xfId="0"/>
    <cellStyle name="Normal 6 2 6 2 3 2 3 3" xfId="0"/>
    <cellStyle name="Normal 6 2 6 2 3 2 4" xfId="0"/>
    <cellStyle name="Normal 6 2 6 2 3 2 4 2" xfId="0"/>
    <cellStyle name="Normal 6 2 6 2 3 2 5" xfId="0"/>
    <cellStyle name="Normal 6 2 6 2 3 3" xfId="0"/>
    <cellStyle name="Normal 6 2 6 2 3 3 2" xfId="0"/>
    <cellStyle name="Normal 6 2 6 2 3 3 2 2" xfId="0"/>
    <cellStyle name="Normal 6 2 6 2 3 3 2 2 2" xfId="0"/>
    <cellStyle name="Normal 6 2 6 2 3 3 2 3" xfId="0"/>
    <cellStyle name="Normal 6 2 6 2 3 3 3" xfId="0"/>
    <cellStyle name="Normal 6 2 6 2 3 3 3 2" xfId="0"/>
    <cellStyle name="Normal 6 2 6 2 3 3 4" xfId="0"/>
    <cellStyle name="Normal 6 2 6 2 3 4" xfId="0"/>
    <cellStyle name="Normal 6 2 6 2 3 4 2" xfId="0"/>
    <cellStyle name="Normal 6 2 6 2 3 4 2 2" xfId="0"/>
    <cellStyle name="Normal 6 2 6 2 3 4 3" xfId="0"/>
    <cellStyle name="Normal 6 2 6 2 3 5" xfId="0"/>
    <cellStyle name="Normal 6 2 6 2 3 5 2" xfId="0"/>
    <cellStyle name="Normal 6 2 6 2 3 6" xfId="0"/>
    <cellStyle name="Normal 6 2 6 2 4" xfId="0"/>
    <cellStyle name="Normal 6 2 6 2 4 2" xfId="0"/>
    <cellStyle name="Normal 6 2 6 2 4 2 2" xfId="0"/>
    <cellStyle name="Normal 6 2 6 2 4 2 2 2" xfId="0"/>
    <cellStyle name="Normal 6 2 6 2 4 2 2 2 2" xfId="0"/>
    <cellStyle name="Normal 6 2 6 2 4 2 2 3" xfId="0"/>
    <cellStyle name="Normal 6 2 6 2 4 2 3" xfId="0"/>
    <cellStyle name="Normal 6 2 6 2 4 2 3 2" xfId="0"/>
    <cellStyle name="Normal 6 2 6 2 4 2 4" xfId="0"/>
    <cellStyle name="Normal 6 2 6 2 4 3" xfId="0"/>
    <cellStyle name="Normal 6 2 6 2 4 3 2" xfId="0"/>
    <cellStyle name="Normal 6 2 6 2 4 3 2 2" xfId="0"/>
    <cellStyle name="Normal 6 2 6 2 4 3 3" xfId="0"/>
    <cellStyle name="Normal 6 2 6 2 4 4" xfId="0"/>
    <cellStyle name="Normal 6 2 6 2 4 4 2" xfId="0"/>
    <cellStyle name="Normal 6 2 6 2 4 5" xfId="0"/>
    <cellStyle name="Normal 6 2 6 2 5" xfId="0"/>
    <cellStyle name="Normal 6 2 6 2 5 2" xfId="0"/>
    <cellStyle name="Normal 6 2 6 2 5 2 2" xfId="0"/>
    <cellStyle name="Normal 6 2 6 2 5 2 2 2" xfId="0"/>
    <cellStyle name="Normal 6 2 6 2 5 2 3" xfId="0"/>
    <cellStyle name="Normal 6 2 6 2 5 3" xfId="0"/>
    <cellStyle name="Normal 6 2 6 2 5 3 2" xfId="0"/>
    <cellStyle name="Normal 6 2 6 2 5 4" xfId="0"/>
    <cellStyle name="Normal 6 2 6 2 6" xfId="0"/>
    <cellStyle name="Normal 6 2 6 2 6 2" xfId="0"/>
    <cellStyle name="Normal 6 2 6 2 6 2 2" xfId="0"/>
    <cellStyle name="Normal 6 2 6 2 6 3" xfId="0"/>
    <cellStyle name="Normal 6 2 6 2 7" xfId="0"/>
    <cellStyle name="Normal 6 2 6 2 7 2" xfId="0"/>
    <cellStyle name="Normal 6 2 6 2 8" xfId="0"/>
    <cellStyle name="Normal 6 2 6 3" xfId="0"/>
    <cellStyle name="Normal 6 2 6 3 2" xfId="0"/>
    <cellStyle name="Normal 6 2 6 3 2 2" xfId="0"/>
    <cellStyle name="Normal 6 2 6 3 2 2 2" xfId="0"/>
    <cellStyle name="Normal 6 2 6 3 2 2 2 2" xfId="0"/>
    <cellStyle name="Normal 6 2 6 3 2 2 2 2 2" xfId="0"/>
    <cellStyle name="Normal 6 2 6 3 2 2 2 2 2 2" xfId="0"/>
    <cellStyle name="Normal 6 2 6 3 2 2 2 2 2 2 2" xfId="0"/>
    <cellStyle name="Normal 6 2 6 3 2 2 2 2 2 3" xfId="0"/>
    <cellStyle name="Normal 6 2 6 3 2 2 2 2 3" xfId="0"/>
    <cellStyle name="Normal 6 2 6 3 2 2 2 2 3 2" xfId="0"/>
    <cellStyle name="Normal 6 2 6 3 2 2 2 2 4" xfId="0"/>
    <cellStyle name="Normal 6 2 6 3 2 2 2 3" xfId="0"/>
    <cellStyle name="Normal 6 2 6 3 2 2 2 3 2" xfId="0"/>
    <cellStyle name="Normal 6 2 6 3 2 2 2 3 2 2" xfId="0"/>
    <cellStyle name="Normal 6 2 6 3 2 2 2 3 3" xfId="0"/>
    <cellStyle name="Normal 6 2 6 3 2 2 2 4" xfId="0"/>
    <cellStyle name="Normal 6 2 6 3 2 2 2 4 2" xfId="0"/>
    <cellStyle name="Normal 6 2 6 3 2 2 2 5" xfId="0"/>
    <cellStyle name="Normal 6 2 6 3 2 2 3" xfId="0"/>
    <cellStyle name="Normal 6 2 6 3 2 2 3 2" xfId="0"/>
    <cellStyle name="Normal 6 2 6 3 2 2 3 2 2" xfId="0"/>
    <cellStyle name="Normal 6 2 6 3 2 2 3 2 2 2" xfId="0"/>
    <cellStyle name="Normal 6 2 6 3 2 2 3 2 3" xfId="0"/>
    <cellStyle name="Normal 6 2 6 3 2 2 3 3" xfId="0"/>
    <cellStyle name="Normal 6 2 6 3 2 2 3 3 2" xfId="0"/>
    <cellStyle name="Normal 6 2 6 3 2 2 3 4" xfId="0"/>
    <cellStyle name="Normal 6 2 6 3 2 2 4" xfId="0"/>
    <cellStyle name="Normal 6 2 6 3 2 2 4 2" xfId="0"/>
    <cellStyle name="Normal 6 2 6 3 2 2 4 2 2" xfId="0"/>
    <cellStyle name="Normal 6 2 6 3 2 2 4 3" xfId="0"/>
    <cellStyle name="Normal 6 2 6 3 2 2 5" xfId="0"/>
    <cellStyle name="Normal 6 2 6 3 2 2 5 2" xfId="0"/>
    <cellStyle name="Normal 6 2 6 3 2 2 6" xfId="0"/>
    <cellStyle name="Normal 6 2 6 3 2 3" xfId="0"/>
    <cellStyle name="Normal 6 2 6 3 2 3 2" xfId="0"/>
    <cellStyle name="Normal 6 2 6 3 2 3 2 2" xfId="0"/>
    <cellStyle name="Normal 6 2 6 3 2 3 2 2 2" xfId="0"/>
    <cellStyle name="Normal 6 2 6 3 2 3 2 2 2 2" xfId="0"/>
    <cellStyle name="Normal 6 2 6 3 2 3 2 2 3" xfId="0"/>
    <cellStyle name="Normal 6 2 6 3 2 3 2 3" xfId="0"/>
    <cellStyle name="Normal 6 2 6 3 2 3 2 3 2" xfId="0"/>
    <cellStyle name="Normal 6 2 6 3 2 3 2 4" xfId="0"/>
    <cellStyle name="Normal 6 2 6 3 2 3 3" xfId="0"/>
    <cellStyle name="Normal 6 2 6 3 2 3 3 2" xfId="0"/>
    <cellStyle name="Normal 6 2 6 3 2 3 3 2 2" xfId="0"/>
    <cellStyle name="Normal 6 2 6 3 2 3 3 3" xfId="0"/>
    <cellStyle name="Normal 6 2 6 3 2 3 4" xfId="0"/>
    <cellStyle name="Normal 6 2 6 3 2 3 4 2" xfId="0"/>
    <cellStyle name="Normal 6 2 6 3 2 3 5" xfId="0"/>
    <cellStyle name="Normal 6 2 6 3 2 4" xfId="0"/>
    <cellStyle name="Normal 6 2 6 3 2 4 2" xfId="0"/>
    <cellStyle name="Normal 6 2 6 3 2 4 2 2" xfId="0"/>
    <cellStyle name="Normal 6 2 6 3 2 4 2 2 2" xfId="0"/>
    <cellStyle name="Normal 6 2 6 3 2 4 2 3" xfId="0"/>
    <cellStyle name="Normal 6 2 6 3 2 4 3" xfId="0"/>
    <cellStyle name="Normal 6 2 6 3 2 4 3 2" xfId="0"/>
    <cellStyle name="Normal 6 2 6 3 2 4 4" xfId="0"/>
    <cellStyle name="Normal 6 2 6 3 2 5" xfId="0"/>
    <cellStyle name="Normal 6 2 6 3 2 5 2" xfId="0"/>
    <cellStyle name="Normal 6 2 6 3 2 5 2 2" xfId="0"/>
    <cellStyle name="Normal 6 2 6 3 2 5 3" xfId="0"/>
    <cellStyle name="Normal 6 2 6 3 2 6" xfId="0"/>
    <cellStyle name="Normal 6 2 6 3 2 6 2" xfId="0"/>
    <cellStyle name="Normal 6 2 6 3 2 7" xfId="0"/>
    <cellStyle name="Normal 6 2 6 3 3" xfId="0"/>
    <cellStyle name="Normal 6 2 6 3 3 2" xfId="0"/>
    <cellStyle name="Normal 6 2 6 3 3 2 2" xfId="0"/>
    <cellStyle name="Normal 6 2 6 3 3 2 2 2" xfId="0"/>
    <cellStyle name="Normal 6 2 6 3 3 2 2 2 2" xfId="0"/>
    <cellStyle name="Normal 6 2 6 3 3 2 2 2 2 2" xfId="0"/>
    <cellStyle name="Normal 6 2 6 3 3 2 2 2 3" xfId="0"/>
    <cellStyle name="Normal 6 2 6 3 3 2 2 3" xfId="0"/>
    <cellStyle name="Normal 6 2 6 3 3 2 2 3 2" xfId="0"/>
    <cellStyle name="Normal 6 2 6 3 3 2 2 4" xfId="0"/>
    <cellStyle name="Normal 6 2 6 3 3 2 3" xfId="0"/>
    <cellStyle name="Normal 6 2 6 3 3 2 3 2" xfId="0"/>
    <cellStyle name="Normal 6 2 6 3 3 2 3 2 2" xfId="0"/>
    <cellStyle name="Normal 6 2 6 3 3 2 3 3" xfId="0"/>
    <cellStyle name="Normal 6 2 6 3 3 2 4" xfId="0"/>
    <cellStyle name="Normal 6 2 6 3 3 2 4 2" xfId="0"/>
    <cellStyle name="Normal 6 2 6 3 3 2 5" xfId="0"/>
    <cellStyle name="Normal 6 2 6 3 3 3" xfId="0"/>
    <cellStyle name="Normal 6 2 6 3 3 3 2" xfId="0"/>
    <cellStyle name="Normal 6 2 6 3 3 3 2 2" xfId="0"/>
    <cellStyle name="Normal 6 2 6 3 3 3 2 2 2" xfId="0"/>
    <cellStyle name="Normal 6 2 6 3 3 3 2 3" xfId="0"/>
    <cellStyle name="Normal 6 2 6 3 3 3 3" xfId="0"/>
    <cellStyle name="Normal 6 2 6 3 3 3 3 2" xfId="0"/>
    <cellStyle name="Normal 6 2 6 3 3 3 4" xfId="0"/>
    <cellStyle name="Normal 6 2 6 3 3 4" xfId="0"/>
    <cellStyle name="Normal 6 2 6 3 3 4 2" xfId="0"/>
    <cellStyle name="Normal 6 2 6 3 3 4 2 2" xfId="0"/>
    <cellStyle name="Normal 6 2 6 3 3 4 3" xfId="0"/>
    <cellStyle name="Normal 6 2 6 3 3 5" xfId="0"/>
    <cellStyle name="Normal 6 2 6 3 3 5 2" xfId="0"/>
    <cellStyle name="Normal 6 2 6 3 3 6" xfId="0"/>
    <cellStyle name="Normal 6 2 6 3 4" xfId="0"/>
    <cellStyle name="Normal 6 2 6 3 4 2" xfId="0"/>
    <cellStyle name="Normal 6 2 6 3 4 2 2" xfId="0"/>
    <cellStyle name="Normal 6 2 6 3 4 2 2 2" xfId="0"/>
    <cellStyle name="Normal 6 2 6 3 4 2 2 2 2" xfId="0"/>
    <cellStyle name="Normal 6 2 6 3 4 2 2 3" xfId="0"/>
    <cellStyle name="Normal 6 2 6 3 4 2 3" xfId="0"/>
    <cellStyle name="Normal 6 2 6 3 4 2 3 2" xfId="0"/>
    <cellStyle name="Normal 6 2 6 3 4 2 4" xfId="0"/>
    <cellStyle name="Normal 6 2 6 3 4 3" xfId="0"/>
    <cellStyle name="Normal 6 2 6 3 4 3 2" xfId="0"/>
    <cellStyle name="Normal 6 2 6 3 4 3 2 2" xfId="0"/>
    <cellStyle name="Normal 6 2 6 3 4 3 3" xfId="0"/>
    <cellStyle name="Normal 6 2 6 3 4 4" xfId="0"/>
    <cellStyle name="Normal 6 2 6 3 4 4 2" xfId="0"/>
    <cellStyle name="Normal 6 2 6 3 4 5" xfId="0"/>
    <cellStyle name="Normal 6 2 6 3 5" xfId="0"/>
    <cellStyle name="Normal 6 2 6 3 5 2" xfId="0"/>
    <cellStyle name="Normal 6 2 6 3 5 2 2" xfId="0"/>
    <cellStyle name="Normal 6 2 6 3 5 2 2 2" xfId="0"/>
    <cellStyle name="Normal 6 2 6 3 5 2 3" xfId="0"/>
    <cellStyle name="Normal 6 2 6 3 5 3" xfId="0"/>
    <cellStyle name="Normal 6 2 6 3 5 3 2" xfId="0"/>
    <cellStyle name="Normal 6 2 6 3 5 4" xfId="0"/>
    <cellStyle name="Normal 6 2 6 3 6" xfId="0"/>
    <cellStyle name="Normal 6 2 6 3 6 2" xfId="0"/>
    <cellStyle name="Normal 6 2 6 3 6 2 2" xfId="0"/>
    <cellStyle name="Normal 6 2 6 3 6 3" xfId="0"/>
    <cellStyle name="Normal 6 2 6 3 7" xfId="0"/>
    <cellStyle name="Normal 6 2 6 3 7 2" xfId="0"/>
    <cellStyle name="Normal 6 2 6 3 8" xfId="0"/>
    <cellStyle name="Normal 6 2 6 4" xfId="0"/>
    <cellStyle name="Normal 6 2 6 4 2" xfId="0"/>
    <cellStyle name="Normal 6 2 6 4 2 2" xfId="0"/>
    <cellStyle name="Normal 6 2 6 4 2 2 2" xfId="0"/>
    <cellStyle name="Normal 6 2 6 4 2 2 2 2" xfId="0"/>
    <cellStyle name="Normal 6 2 6 4 2 2 2 2 2" xfId="0"/>
    <cellStyle name="Normal 6 2 6 4 2 2 2 2 2 2" xfId="0"/>
    <cellStyle name="Normal 6 2 6 4 2 2 2 2 3" xfId="0"/>
    <cellStyle name="Normal 6 2 6 4 2 2 2 3" xfId="0"/>
    <cellStyle name="Normal 6 2 6 4 2 2 2 3 2" xfId="0"/>
    <cellStyle name="Normal 6 2 6 4 2 2 2 4" xfId="0"/>
    <cellStyle name="Normal 6 2 6 4 2 2 3" xfId="0"/>
    <cellStyle name="Normal 6 2 6 4 2 2 3 2" xfId="0"/>
    <cellStyle name="Normal 6 2 6 4 2 2 3 2 2" xfId="0"/>
    <cellStyle name="Normal 6 2 6 4 2 2 3 3" xfId="0"/>
    <cellStyle name="Normal 6 2 6 4 2 2 4" xfId="0"/>
    <cellStyle name="Normal 6 2 6 4 2 2 4 2" xfId="0"/>
    <cellStyle name="Normal 6 2 6 4 2 2 5" xfId="0"/>
    <cellStyle name="Normal 6 2 6 4 2 3" xfId="0"/>
    <cellStyle name="Normal 6 2 6 4 2 3 2" xfId="0"/>
    <cellStyle name="Normal 6 2 6 4 2 3 2 2" xfId="0"/>
    <cellStyle name="Normal 6 2 6 4 2 3 2 2 2" xfId="0"/>
    <cellStyle name="Normal 6 2 6 4 2 3 2 3" xfId="0"/>
    <cellStyle name="Normal 6 2 6 4 2 3 3" xfId="0"/>
    <cellStyle name="Normal 6 2 6 4 2 3 3 2" xfId="0"/>
    <cellStyle name="Normal 6 2 6 4 2 3 4" xfId="0"/>
    <cellStyle name="Normal 6 2 6 4 2 4" xfId="0"/>
    <cellStyle name="Normal 6 2 6 4 2 4 2" xfId="0"/>
    <cellStyle name="Normal 6 2 6 4 2 4 2 2" xfId="0"/>
    <cellStyle name="Normal 6 2 6 4 2 4 3" xfId="0"/>
    <cellStyle name="Normal 6 2 6 4 2 5" xfId="0"/>
    <cellStyle name="Normal 6 2 6 4 2 5 2" xfId="0"/>
    <cellStyle name="Normal 6 2 6 4 2 6" xfId="0"/>
    <cellStyle name="Normal 6 2 6 4 3" xfId="0"/>
    <cellStyle name="Normal 6 2 6 4 3 2" xfId="0"/>
    <cellStyle name="Normal 6 2 6 4 3 2 2" xfId="0"/>
    <cellStyle name="Normal 6 2 6 4 3 2 2 2" xfId="0"/>
    <cellStyle name="Normal 6 2 6 4 3 2 2 2 2" xfId="0"/>
    <cellStyle name="Normal 6 2 6 4 3 2 2 3" xfId="0"/>
    <cellStyle name="Normal 6 2 6 4 3 2 3" xfId="0"/>
    <cellStyle name="Normal 6 2 6 4 3 2 3 2" xfId="0"/>
    <cellStyle name="Normal 6 2 6 4 3 2 4" xfId="0"/>
    <cellStyle name="Normal 6 2 6 4 3 3" xfId="0"/>
    <cellStyle name="Normal 6 2 6 4 3 3 2" xfId="0"/>
    <cellStyle name="Normal 6 2 6 4 3 3 2 2" xfId="0"/>
    <cellStyle name="Normal 6 2 6 4 3 3 3" xfId="0"/>
    <cellStyle name="Normal 6 2 6 4 3 4" xfId="0"/>
    <cellStyle name="Normal 6 2 6 4 3 4 2" xfId="0"/>
    <cellStyle name="Normal 6 2 6 4 3 5" xfId="0"/>
    <cellStyle name="Normal 6 2 6 4 4" xfId="0"/>
    <cellStyle name="Normal 6 2 6 4 4 2" xfId="0"/>
    <cellStyle name="Normal 6 2 6 4 4 2 2" xfId="0"/>
    <cellStyle name="Normal 6 2 6 4 4 2 2 2" xfId="0"/>
    <cellStyle name="Normal 6 2 6 4 4 2 3" xfId="0"/>
    <cellStyle name="Normal 6 2 6 4 4 3" xfId="0"/>
    <cellStyle name="Normal 6 2 6 4 4 3 2" xfId="0"/>
    <cellStyle name="Normal 6 2 6 4 4 4" xfId="0"/>
    <cellStyle name="Normal 6 2 6 4 5" xfId="0"/>
    <cellStyle name="Normal 6 2 6 4 5 2" xfId="0"/>
    <cellStyle name="Normal 6 2 6 4 5 2 2" xfId="0"/>
    <cellStyle name="Normal 6 2 6 4 5 3" xfId="0"/>
    <cellStyle name="Normal 6 2 6 4 6" xfId="0"/>
    <cellStyle name="Normal 6 2 6 4 6 2" xfId="0"/>
    <cellStyle name="Normal 6 2 6 4 7" xfId="0"/>
    <cellStyle name="Normal 6 2 6 5" xfId="0"/>
    <cellStyle name="Normal 6 2 6 5 2" xfId="0"/>
    <cellStyle name="Normal 6 2 6 5 2 2" xfId="0"/>
    <cellStyle name="Normal 6 2 6 5 2 2 2" xfId="0"/>
    <cellStyle name="Normal 6 2 6 5 2 2 2 2" xfId="0"/>
    <cellStyle name="Normal 6 2 6 5 2 2 2 2 2" xfId="0"/>
    <cellStyle name="Normal 6 2 6 5 2 2 2 2 2 2" xfId="0"/>
    <cellStyle name="Normal 6 2 6 5 2 2 2 2 3" xfId="0"/>
    <cellStyle name="Normal 6 2 6 5 2 2 2 3" xfId="0"/>
    <cellStyle name="Normal 6 2 6 5 2 2 2 3 2" xfId="0"/>
    <cellStyle name="Normal 6 2 6 5 2 2 2 4" xfId="0"/>
    <cellStyle name="Normal 6 2 6 5 2 2 3" xfId="0"/>
    <cellStyle name="Normal 6 2 6 5 2 2 3 2" xfId="0"/>
    <cellStyle name="Normal 6 2 6 5 2 2 3 2 2" xfId="0"/>
    <cellStyle name="Normal 6 2 6 5 2 2 3 3" xfId="0"/>
    <cellStyle name="Normal 6 2 6 5 2 2 4" xfId="0"/>
    <cellStyle name="Normal 6 2 6 5 2 2 4 2" xfId="0"/>
    <cellStyle name="Normal 6 2 6 5 2 2 5" xfId="0"/>
    <cellStyle name="Normal 6 2 6 5 2 3" xfId="0"/>
    <cellStyle name="Normal 6 2 6 5 2 3 2" xfId="0"/>
    <cellStyle name="Normal 6 2 6 5 2 3 2 2" xfId="0"/>
    <cellStyle name="Normal 6 2 6 5 2 3 2 2 2" xfId="0"/>
    <cellStyle name="Normal 6 2 6 5 2 3 2 3" xfId="0"/>
    <cellStyle name="Normal 6 2 6 5 2 3 3" xfId="0"/>
    <cellStyle name="Normal 6 2 6 5 2 3 3 2" xfId="0"/>
    <cellStyle name="Normal 6 2 6 5 2 3 4" xfId="0"/>
    <cellStyle name="Normal 6 2 6 5 2 4" xfId="0"/>
    <cellStyle name="Normal 6 2 6 5 2 4 2" xfId="0"/>
    <cellStyle name="Normal 6 2 6 5 2 4 2 2" xfId="0"/>
    <cellStyle name="Normal 6 2 6 5 2 4 3" xfId="0"/>
    <cellStyle name="Normal 6 2 6 5 2 5" xfId="0"/>
    <cellStyle name="Normal 6 2 6 5 2 5 2" xfId="0"/>
    <cellStyle name="Normal 6 2 6 5 2 6" xfId="0"/>
    <cellStyle name="Normal 6 2 6 5 3" xfId="0"/>
    <cellStyle name="Normal 6 2 6 5 3 2" xfId="0"/>
    <cellStyle name="Normal 6 2 6 5 3 2 2" xfId="0"/>
    <cellStyle name="Normal 6 2 6 5 3 2 2 2" xfId="0"/>
    <cellStyle name="Normal 6 2 6 5 3 2 2 2 2" xfId="0"/>
    <cellStyle name="Normal 6 2 6 5 3 2 2 3" xfId="0"/>
    <cellStyle name="Normal 6 2 6 5 3 2 3" xfId="0"/>
    <cellStyle name="Normal 6 2 6 5 3 2 3 2" xfId="0"/>
    <cellStyle name="Normal 6 2 6 5 3 2 4" xfId="0"/>
    <cellStyle name="Normal 6 2 6 5 3 3" xfId="0"/>
    <cellStyle name="Normal 6 2 6 5 3 3 2" xfId="0"/>
    <cellStyle name="Normal 6 2 6 5 3 3 2 2" xfId="0"/>
    <cellStyle name="Normal 6 2 6 5 3 3 3" xfId="0"/>
    <cellStyle name="Normal 6 2 6 5 3 4" xfId="0"/>
    <cellStyle name="Normal 6 2 6 5 3 4 2" xfId="0"/>
    <cellStyle name="Normal 6 2 6 5 3 5" xfId="0"/>
    <cellStyle name="Normal 6 2 6 5 4" xfId="0"/>
    <cellStyle name="Normal 6 2 6 5 4 2" xfId="0"/>
    <cellStyle name="Normal 6 2 6 5 4 2 2" xfId="0"/>
    <cellStyle name="Normal 6 2 6 5 4 2 2 2" xfId="0"/>
    <cellStyle name="Normal 6 2 6 5 4 2 3" xfId="0"/>
    <cellStyle name="Normal 6 2 6 5 4 3" xfId="0"/>
    <cellStyle name="Normal 6 2 6 5 4 3 2" xfId="0"/>
    <cellStyle name="Normal 6 2 6 5 4 4" xfId="0"/>
    <cellStyle name="Normal 6 2 6 5 5" xfId="0"/>
    <cellStyle name="Normal 6 2 6 5 5 2" xfId="0"/>
    <cellStyle name="Normal 6 2 6 5 5 2 2" xfId="0"/>
    <cellStyle name="Normal 6 2 6 5 5 3" xfId="0"/>
    <cellStyle name="Normal 6 2 6 5 6" xfId="0"/>
    <cellStyle name="Normal 6 2 6 5 6 2" xfId="0"/>
    <cellStyle name="Normal 6 2 6 5 7" xfId="0"/>
    <cellStyle name="Normal 6 2 6 6" xfId="0"/>
    <cellStyle name="Normal 6 2 6 6 2" xfId="0"/>
    <cellStyle name="Normal 6 2 6 6 2 2" xfId="0"/>
    <cellStyle name="Normal 6 2 6 6 2 2 2" xfId="0"/>
    <cellStyle name="Normal 6 2 6 6 2 2 2 2" xfId="0"/>
    <cellStyle name="Normal 6 2 6 6 2 2 2 2 2" xfId="0"/>
    <cellStyle name="Normal 6 2 6 6 2 2 2 3" xfId="0"/>
    <cellStyle name="Normal 6 2 6 6 2 2 3" xfId="0"/>
    <cellStyle name="Normal 6 2 6 6 2 2 3 2" xfId="0"/>
    <cellStyle name="Normal 6 2 6 6 2 2 4" xfId="0"/>
    <cellStyle name="Normal 6 2 6 6 2 3" xfId="0"/>
    <cellStyle name="Normal 6 2 6 6 2 3 2" xfId="0"/>
    <cellStyle name="Normal 6 2 6 6 2 3 2 2" xfId="0"/>
    <cellStyle name="Normal 6 2 6 6 2 3 3" xfId="0"/>
    <cellStyle name="Normal 6 2 6 6 2 4" xfId="0"/>
    <cellStyle name="Normal 6 2 6 6 2 4 2" xfId="0"/>
    <cellStyle name="Normal 6 2 6 6 2 5" xfId="0"/>
    <cellStyle name="Normal 6 2 6 6 3" xfId="0"/>
    <cellStyle name="Normal 6 2 6 6 3 2" xfId="0"/>
    <cellStyle name="Normal 6 2 6 6 3 2 2" xfId="0"/>
    <cellStyle name="Normal 6 2 6 6 3 2 2 2" xfId="0"/>
    <cellStyle name="Normal 6 2 6 6 3 2 3" xfId="0"/>
    <cellStyle name="Normal 6 2 6 6 3 3" xfId="0"/>
    <cellStyle name="Normal 6 2 6 6 3 3 2" xfId="0"/>
    <cellStyle name="Normal 6 2 6 6 3 4" xfId="0"/>
    <cellStyle name="Normal 6 2 6 6 4" xfId="0"/>
    <cellStyle name="Normal 6 2 6 6 4 2" xfId="0"/>
    <cellStyle name="Normal 6 2 6 6 4 2 2" xfId="0"/>
    <cellStyle name="Normal 6 2 6 6 4 3" xfId="0"/>
    <cellStyle name="Normal 6 2 6 6 5" xfId="0"/>
    <cellStyle name="Normal 6 2 6 6 5 2" xfId="0"/>
    <cellStyle name="Normal 6 2 6 6 6" xfId="0"/>
    <cellStyle name="Normal 6 2 6 7" xfId="0"/>
    <cellStyle name="Normal 6 2 6 7 2" xfId="0"/>
    <cellStyle name="Normal 6 2 6 7 2 2" xfId="0"/>
    <cellStyle name="Normal 6 2 6 7 2 2 2" xfId="0"/>
    <cellStyle name="Normal 6 2 6 7 2 2 2 2" xfId="0"/>
    <cellStyle name="Normal 6 2 6 7 2 2 3" xfId="0"/>
    <cellStyle name="Normal 6 2 6 7 2 3" xfId="0"/>
    <cellStyle name="Normal 6 2 6 7 2 3 2" xfId="0"/>
    <cellStyle name="Normal 6 2 6 7 2 4" xfId="0"/>
    <cellStyle name="Normal 6 2 6 7 3" xfId="0"/>
    <cellStyle name="Normal 6 2 6 7 3 2" xfId="0"/>
    <cellStyle name="Normal 6 2 6 7 3 2 2" xfId="0"/>
    <cellStyle name="Normal 6 2 6 7 3 3" xfId="0"/>
    <cellStyle name="Normal 6 2 6 7 4" xfId="0"/>
    <cellStyle name="Normal 6 2 6 7 4 2" xfId="0"/>
    <cellStyle name="Normal 6 2 6 7 5" xfId="0"/>
    <cellStyle name="Normal 6 2 6 8" xfId="0"/>
    <cellStyle name="Normal 6 2 6 8 2" xfId="0"/>
    <cellStyle name="Normal 6 2 6 8 2 2" xfId="0"/>
    <cellStyle name="Normal 6 2 6 8 2 2 2" xfId="0"/>
    <cellStyle name="Normal 6 2 6 8 2 3" xfId="0"/>
    <cellStyle name="Normal 6 2 6 8 3" xfId="0"/>
    <cellStyle name="Normal 6 2 6 8 3 2" xfId="0"/>
    <cellStyle name="Normal 6 2 6 8 4" xfId="0"/>
    <cellStyle name="Normal 6 2 6 9" xfId="0"/>
    <cellStyle name="Normal 6 2 6 9 2" xfId="0"/>
    <cellStyle name="Normal 6 2 6 9 2 2" xfId="0"/>
    <cellStyle name="Normal 6 2 6 9 3" xfId="0"/>
    <cellStyle name="Normal 6 2 7" xfId="0"/>
    <cellStyle name="Normal 6 2 7 2" xfId="0"/>
    <cellStyle name="Normal 6 2 7 2 2" xfId="0"/>
    <cellStyle name="Normal 6 2 7 2 2 2" xfId="0"/>
    <cellStyle name="Normal 6 2 7 2 2 2 2" xfId="0"/>
    <cellStyle name="Normal 6 2 7 2 2 2 2 2" xfId="0"/>
    <cellStyle name="Normal 6 2 7 2 2 2 2 2 2" xfId="0"/>
    <cellStyle name="Normal 6 2 7 2 2 2 2 2 2 2" xfId="0"/>
    <cellStyle name="Normal 6 2 7 2 2 2 2 2 3" xfId="0"/>
    <cellStyle name="Normal 6 2 7 2 2 2 2 3" xfId="0"/>
    <cellStyle name="Normal 6 2 7 2 2 2 2 3 2" xfId="0"/>
    <cellStyle name="Normal 6 2 7 2 2 2 2 4" xfId="0"/>
    <cellStyle name="Normal 6 2 7 2 2 2 3" xfId="0"/>
    <cellStyle name="Normal 6 2 7 2 2 2 3 2" xfId="0"/>
    <cellStyle name="Normal 6 2 7 2 2 2 3 2 2" xfId="0"/>
    <cellStyle name="Normal 6 2 7 2 2 2 3 3" xfId="0"/>
    <cellStyle name="Normal 6 2 7 2 2 2 4" xfId="0"/>
    <cellStyle name="Normal 6 2 7 2 2 2 4 2" xfId="0"/>
    <cellStyle name="Normal 6 2 7 2 2 2 5" xfId="0"/>
    <cellStyle name="Normal 6 2 7 2 2 3" xfId="0"/>
    <cellStyle name="Normal 6 2 7 2 2 3 2" xfId="0"/>
    <cellStyle name="Normal 6 2 7 2 2 3 2 2" xfId="0"/>
    <cellStyle name="Normal 6 2 7 2 2 3 2 2 2" xfId="0"/>
    <cellStyle name="Normal 6 2 7 2 2 3 2 3" xfId="0"/>
    <cellStyle name="Normal 6 2 7 2 2 3 3" xfId="0"/>
    <cellStyle name="Normal 6 2 7 2 2 3 3 2" xfId="0"/>
    <cellStyle name="Normal 6 2 7 2 2 3 4" xfId="0"/>
    <cellStyle name="Normal 6 2 7 2 2 4" xfId="0"/>
    <cellStyle name="Normal 6 2 7 2 2 4 2" xfId="0"/>
    <cellStyle name="Normal 6 2 7 2 2 4 2 2" xfId="0"/>
    <cellStyle name="Normal 6 2 7 2 2 4 3" xfId="0"/>
    <cellStyle name="Normal 6 2 7 2 2 5" xfId="0"/>
    <cellStyle name="Normal 6 2 7 2 2 5 2" xfId="0"/>
    <cellStyle name="Normal 6 2 7 2 2 6" xfId="0"/>
    <cellStyle name="Normal 6 2 7 2 3" xfId="0"/>
    <cellStyle name="Normal 6 2 7 2 3 2" xfId="0"/>
    <cellStyle name="Normal 6 2 7 2 3 2 2" xfId="0"/>
    <cellStyle name="Normal 6 2 7 2 3 2 2 2" xfId="0"/>
    <cellStyle name="Normal 6 2 7 2 3 2 2 2 2" xfId="0"/>
    <cellStyle name="Normal 6 2 7 2 3 2 2 3" xfId="0"/>
    <cellStyle name="Normal 6 2 7 2 3 2 3" xfId="0"/>
    <cellStyle name="Normal 6 2 7 2 3 2 3 2" xfId="0"/>
    <cellStyle name="Normal 6 2 7 2 3 2 4" xfId="0"/>
    <cellStyle name="Normal 6 2 7 2 3 3" xfId="0"/>
    <cellStyle name="Normal 6 2 7 2 3 3 2" xfId="0"/>
    <cellStyle name="Normal 6 2 7 2 3 3 2 2" xfId="0"/>
    <cellStyle name="Normal 6 2 7 2 3 3 3" xfId="0"/>
    <cellStyle name="Normal 6 2 7 2 3 4" xfId="0"/>
    <cellStyle name="Normal 6 2 7 2 3 4 2" xfId="0"/>
    <cellStyle name="Normal 6 2 7 2 3 5" xfId="0"/>
    <cellStyle name="Normal 6 2 7 2 4" xfId="0"/>
    <cellStyle name="Normal 6 2 7 2 4 2" xfId="0"/>
    <cellStyle name="Normal 6 2 7 2 4 2 2" xfId="0"/>
    <cellStyle name="Normal 6 2 7 2 4 2 2 2" xfId="0"/>
    <cellStyle name="Normal 6 2 7 2 4 2 3" xfId="0"/>
    <cellStyle name="Normal 6 2 7 2 4 3" xfId="0"/>
    <cellStyle name="Normal 6 2 7 2 4 3 2" xfId="0"/>
    <cellStyle name="Normal 6 2 7 2 4 4" xfId="0"/>
    <cellStyle name="Normal 6 2 7 2 5" xfId="0"/>
    <cellStyle name="Normal 6 2 7 2 5 2" xfId="0"/>
    <cellStyle name="Normal 6 2 7 2 5 2 2" xfId="0"/>
    <cellStyle name="Normal 6 2 7 2 5 3" xfId="0"/>
    <cellStyle name="Normal 6 2 7 2 6" xfId="0"/>
    <cellStyle name="Normal 6 2 7 2 6 2" xfId="0"/>
    <cellStyle name="Normal 6 2 7 2 7" xfId="0"/>
    <cellStyle name="Normal 6 2 7 3" xfId="0"/>
    <cellStyle name="Normal 6 2 7 3 2" xfId="0"/>
    <cellStyle name="Normal 6 2 7 3 2 2" xfId="0"/>
    <cellStyle name="Normal 6 2 7 3 2 2 2" xfId="0"/>
    <cellStyle name="Normal 6 2 7 3 2 2 2 2" xfId="0"/>
    <cellStyle name="Normal 6 2 7 3 2 2 2 2 2" xfId="0"/>
    <cellStyle name="Normal 6 2 7 3 2 2 2 3" xfId="0"/>
    <cellStyle name="Normal 6 2 7 3 2 2 3" xfId="0"/>
    <cellStyle name="Normal 6 2 7 3 2 2 3 2" xfId="0"/>
    <cellStyle name="Normal 6 2 7 3 2 2 4" xfId="0"/>
    <cellStyle name="Normal 6 2 7 3 2 3" xfId="0"/>
    <cellStyle name="Normal 6 2 7 3 2 3 2" xfId="0"/>
    <cellStyle name="Normal 6 2 7 3 2 3 2 2" xfId="0"/>
    <cellStyle name="Normal 6 2 7 3 2 3 3" xfId="0"/>
    <cellStyle name="Normal 6 2 7 3 2 4" xfId="0"/>
    <cellStyle name="Normal 6 2 7 3 2 4 2" xfId="0"/>
    <cellStyle name="Normal 6 2 7 3 2 5" xfId="0"/>
    <cellStyle name="Normal 6 2 7 3 3" xfId="0"/>
    <cellStyle name="Normal 6 2 7 3 3 2" xfId="0"/>
    <cellStyle name="Normal 6 2 7 3 3 2 2" xfId="0"/>
    <cellStyle name="Normal 6 2 7 3 3 2 2 2" xfId="0"/>
    <cellStyle name="Normal 6 2 7 3 3 2 3" xfId="0"/>
    <cellStyle name="Normal 6 2 7 3 3 3" xfId="0"/>
    <cellStyle name="Normal 6 2 7 3 3 3 2" xfId="0"/>
    <cellStyle name="Normal 6 2 7 3 3 4" xfId="0"/>
    <cellStyle name="Normal 6 2 7 3 4" xfId="0"/>
    <cellStyle name="Normal 6 2 7 3 4 2" xfId="0"/>
    <cellStyle name="Normal 6 2 7 3 4 2 2" xfId="0"/>
    <cellStyle name="Normal 6 2 7 3 4 3" xfId="0"/>
    <cellStyle name="Normal 6 2 7 3 5" xfId="0"/>
    <cellStyle name="Normal 6 2 7 3 5 2" xfId="0"/>
    <cellStyle name="Normal 6 2 7 3 6" xfId="0"/>
    <cellStyle name="Normal 6 2 7 4" xfId="0"/>
    <cellStyle name="Normal 6 2 7 4 2" xfId="0"/>
    <cellStyle name="Normal 6 2 7 4 2 2" xfId="0"/>
    <cellStyle name="Normal 6 2 7 4 2 2 2" xfId="0"/>
    <cellStyle name="Normal 6 2 7 4 2 2 2 2" xfId="0"/>
    <cellStyle name="Normal 6 2 7 4 2 2 3" xfId="0"/>
    <cellStyle name="Normal 6 2 7 4 2 3" xfId="0"/>
    <cellStyle name="Normal 6 2 7 4 2 3 2" xfId="0"/>
    <cellStyle name="Normal 6 2 7 4 2 4" xfId="0"/>
    <cellStyle name="Normal 6 2 7 4 3" xfId="0"/>
    <cellStyle name="Normal 6 2 7 4 3 2" xfId="0"/>
    <cellStyle name="Normal 6 2 7 4 3 2 2" xfId="0"/>
    <cellStyle name="Normal 6 2 7 4 3 3" xfId="0"/>
    <cellStyle name="Normal 6 2 7 4 4" xfId="0"/>
    <cellStyle name="Normal 6 2 7 4 4 2" xfId="0"/>
    <cellStyle name="Normal 6 2 7 4 5" xfId="0"/>
    <cellStyle name="Normal 6 2 7 5" xfId="0"/>
    <cellStyle name="Normal 6 2 7 5 2" xfId="0"/>
    <cellStyle name="Normal 6 2 7 5 2 2" xfId="0"/>
    <cellStyle name="Normal 6 2 7 5 2 2 2" xfId="0"/>
    <cellStyle name="Normal 6 2 7 5 2 3" xfId="0"/>
    <cellStyle name="Normal 6 2 7 5 3" xfId="0"/>
    <cellStyle name="Normal 6 2 7 5 3 2" xfId="0"/>
    <cellStyle name="Normal 6 2 7 5 4" xfId="0"/>
    <cellStyle name="Normal 6 2 7 6" xfId="0"/>
    <cellStyle name="Normal 6 2 7 6 2" xfId="0"/>
    <cellStyle name="Normal 6 2 7 6 2 2" xfId="0"/>
    <cellStyle name="Normal 6 2 7 6 3" xfId="0"/>
    <cellStyle name="Normal 6 2 7 7" xfId="0"/>
    <cellStyle name="Normal 6 2 7 7 2" xfId="0"/>
    <cellStyle name="Normal 6 2 7 8" xfId="0"/>
    <cellStyle name="Normal 6 2 8" xfId="0"/>
    <cellStyle name="Normal 6 2 8 2" xfId="0"/>
    <cellStyle name="Normal 6 2 8 2 2" xfId="0"/>
    <cellStyle name="Normal 6 2 8 2 2 2" xfId="0"/>
    <cellStyle name="Normal 6 2 8 2 2 2 2" xfId="0"/>
    <cellStyle name="Normal 6 2 8 2 2 2 2 2" xfId="0"/>
    <cellStyle name="Normal 6 2 8 2 2 2 2 2 2" xfId="0"/>
    <cellStyle name="Normal 6 2 8 2 2 2 2 2 2 2" xfId="0"/>
    <cellStyle name="Normal 6 2 8 2 2 2 2 2 3" xfId="0"/>
    <cellStyle name="Normal 6 2 8 2 2 2 2 3" xfId="0"/>
    <cellStyle name="Normal 6 2 8 2 2 2 2 3 2" xfId="0"/>
    <cellStyle name="Normal 6 2 8 2 2 2 2 4" xfId="0"/>
    <cellStyle name="Normal 6 2 8 2 2 2 3" xfId="0"/>
    <cellStyle name="Normal 6 2 8 2 2 2 3 2" xfId="0"/>
    <cellStyle name="Normal 6 2 8 2 2 2 3 2 2" xfId="0"/>
    <cellStyle name="Normal 6 2 8 2 2 2 3 3" xfId="0"/>
    <cellStyle name="Normal 6 2 8 2 2 2 4" xfId="0"/>
    <cellStyle name="Normal 6 2 8 2 2 2 4 2" xfId="0"/>
    <cellStyle name="Normal 6 2 8 2 2 2 5" xfId="0"/>
    <cellStyle name="Normal 6 2 8 2 2 3" xfId="0"/>
    <cellStyle name="Normal 6 2 8 2 2 3 2" xfId="0"/>
    <cellStyle name="Normal 6 2 8 2 2 3 2 2" xfId="0"/>
    <cellStyle name="Normal 6 2 8 2 2 3 2 2 2" xfId="0"/>
    <cellStyle name="Normal 6 2 8 2 2 3 2 3" xfId="0"/>
    <cellStyle name="Normal 6 2 8 2 2 3 3" xfId="0"/>
    <cellStyle name="Normal 6 2 8 2 2 3 3 2" xfId="0"/>
    <cellStyle name="Normal 6 2 8 2 2 3 4" xfId="0"/>
    <cellStyle name="Normal 6 2 8 2 2 4" xfId="0"/>
    <cellStyle name="Normal 6 2 8 2 2 4 2" xfId="0"/>
    <cellStyle name="Normal 6 2 8 2 2 4 2 2" xfId="0"/>
    <cellStyle name="Normal 6 2 8 2 2 4 3" xfId="0"/>
    <cellStyle name="Normal 6 2 8 2 2 5" xfId="0"/>
    <cellStyle name="Normal 6 2 8 2 2 5 2" xfId="0"/>
    <cellStyle name="Normal 6 2 8 2 2 6" xfId="0"/>
    <cellStyle name="Normal 6 2 8 2 3" xfId="0"/>
    <cellStyle name="Normal 6 2 8 2 3 2" xfId="0"/>
    <cellStyle name="Normal 6 2 8 2 3 2 2" xfId="0"/>
    <cellStyle name="Normal 6 2 8 2 3 2 2 2" xfId="0"/>
    <cellStyle name="Normal 6 2 8 2 3 2 2 2 2" xfId="0"/>
    <cellStyle name="Normal 6 2 8 2 3 2 2 3" xfId="0"/>
    <cellStyle name="Normal 6 2 8 2 3 2 3" xfId="0"/>
    <cellStyle name="Normal 6 2 8 2 3 2 3 2" xfId="0"/>
    <cellStyle name="Normal 6 2 8 2 3 2 4" xfId="0"/>
    <cellStyle name="Normal 6 2 8 2 3 3" xfId="0"/>
    <cellStyle name="Normal 6 2 8 2 3 3 2" xfId="0"/>
    <cellStyle name="Normal 6 2 8 2 3 3 2 2" xfId="0"/>
    <cellStyle name="Normal 6 2 8 2 3 3 3" xfId="0"/>
    <cellStyle name="Normal 6 2 8 2 3 4" xfId="0"/>
    <cellStyle name="Normal 6 2 8 2 3 4 2" xfId="0"/>
    <cellStyle name="Normal 6 2 8 2 3 5" xfId="0"/>
    <cellStyle name="Normal 6 2 8 2 4" xfId="0"/>
    <cellStyle name="Normal 6 2 8 2 4 2" xfId="0"/>
    <cellStyle name="Normal 6 2 8 2 4 2 2" xfId="0"/>
    <cellStyle name="Normal 6 2 8 2 4 2 2 2" xfId="0"/>
    <cellStyle name="Normal 6 2 8 2 4 2 3" xfId="0"/>
    <cellStyle name="Normal 6 2 8 2 4 3" xfId="0"/>
    <cellStyle name="Normal 6 2 8 2 4 3 2" xfId="0"/>
    <cellStyle name="Normal 6 2 8 2 4 4" xfId="0"/>
    <cellStyle name="Normal 6 2 8 2 5" xfId="0"/>
    <cellStyle name="Normal 6 2 8 2 5 2" xfId="0"/>
    <cellStyle name="Normal 6 2 8 2 5 2 2" xfId="0"/>
    <cellStyle name="Normal 6 2 8 2 5 3" xfId="0"/>
    <cellStyle name="Normal 6 2 8 2 6" xfId="0"/>
    <cellStyle name="Normal 6 2 8 2 6 2" xfId="0"/>
    <cellStyle name="Normal 6 2 8 2 7" xfId="0"/>
    <cellStyle name="Normal 6 2 8 3" xfId="0"/>
    <cellStyle name="Normal 6 2 8 3 2" xfId="0"/>
    <cellStyle name="Normal 6 2 8 3 2 2" xfId="0"/>
    <cellStyle name="Normal 6 2 8 3 2 2 2" xfId="0"/>
    <cellStyle name="Normal 6 2 8 3 2 2 2 2" xfId="0"/>
    <cellStyle name="Normal 6 2 8 3 2 2 2 2 2" xfId="0"/>
    <cellStyle name="Normal 6 2 8 3 2 2 2 3" xfId="0"/>
    <cellStyle name="Normal 6 2 8 3 2 2 3" xfId="0"/>
    <cellStyle name="Normal 6 2 8 3 2 2 3 2" xfId="0"/>
    <cellStyle name="Normal 6 2 8 3 2 2 4" xfId="0"/>
    <cellStyle name="Normal 6 2 8 3 2 3" xfId="0"/>
    <cellStyle name="Normal 6 2 8 3 2 3 2" xfId="0"/>
    <cellStyle name="Normal 6 2 8 3 2 3 2 2" xfId="0"/>
    <cellStyle name="Normal 6 2 8 3 2 3 3" xfId="0"/>
    <cellStyle name="Normal 6 2 8 3 2 4" xfId="0"/>
    <cellStyle name="Normal 6 2 8 3 2 4 2" xfId="0"/>
    <cellStyle name="Normal 6 2 8 3 2 5" xfId="0"/>
    <cellStyle name="Normal 6 2 8 3 3" xfId="0"/>
    <cellStyle name="Normal 6 2 8 3 3 2" xfId="0"/>
    <cellStyle name="Normal 6 2 8 3 3 2 2" xfId="0"/>
    <cellStyle name="Normal 6 2 8 3 3 2 2 2" xfId="0"/>
    <cellStyle name="Normal 6 2 8 3 3 2 3" xfId="0"/>
    <cellStyle name="Normal 6 2 8 3 3 3" xfId="0"/>
    <cellStyle name="Normal 6 2 8 3 3 3 2" xfId="0"/>
    <cellStyle name="Normal 6 2 8 3 3 4" xfId="0"/>
    <cellStyle name="Normal 6 2 8 3 4" xfId="0"/>
    <cellStyle name="Normal 6 2 8 3 4 2" xfId="0"/>
    <cellStyle name="Normal 6 2 8 3 4 2 2" xfId="0"/>
    <cellStyle name="Normal 6 2 8 3 4 3" xfId="0"/>
    <cellStyle name="Normal 6 2 8 3 5" xfId="0"/>
    <cellStyle name="Normal 6 2 8 3 5 2" xfId="0"/>
    <cellStyle name="Normal 6 2 8 3 6" xfId="0"/>
    <cellStyle name="Normal 6 2 8 4" xfId="0"/>
    <cellStyle name="Normal 6 2 8 4 2" xfId="0"/>
    <cellStyle name="Normal 6 2 8 4 2 2" xfId="0"/>
    <cellStyle name="Normal 6 2 8 4 2 2 2" xfId="0"/>
    <cellStyle name="Normal 6 2 8 4 2 2 2 2" xfId="0"/>
    <cellStyle name="Normal 6 2 8 4 2 2 3" xfId="0"/>
    <cellStyle name="Normal 6 2 8 4 2 3" xfId="0"/>
    <cellStyle name="Normal 6 2 8 4 2 3 2" xfId="0"/>
    <cellStyle name="Normal 6 2 8 4 2 4" xfId="0"/>
    <cellStyle name="Normal 6 2 8 4 3" xfId="0"/>
    <cellStyle name="Normal 6 2 8 4 3 2" xfId="0"/>
    <cellStyle name="Normal 6 2 8 4 3 2 2" xfId="0"/>
    <cellStyle name="Normal 6 2 8 4 3 3" xfId="0"/>
    <cellStyle name="Normal 6 2 8 4 4" xfId="0"/>
    <cellStyle name="Normal 6 2 8 4 4 2" xfId="0"/>
    <cellStyle name="Normal 6 2 8 4 5" xfId="0"/>
    <cellStyle name="Normal 6 2 8 5" xfId="0"/>
    <cellStyle name="Normal 6 2 8 5 2" xfId="0"/>
    <cellStyle name="Normal 6 2 8 5 2 2" xfId="0"/>
    <cellStyle name="Normal 6 2 8 5 2 2 2" xfId="0"/>
    <cellStyle name="Normal 6 2 8 5 2 3" xfId="0"/>
    <cellStyle name="Normal 6 2 8 5 3" xfId="0"/>
    <cellStyle name="Normal 6 2 8 5 3 2" xfId="0"/>
    <cellStyle name="Normal 6 2 8 5 4" xfId="0"/>
    <cellStyle name="Normal 6 2 8 6" xfId="0"/>
    <cellStyle name="Normal 6 2 8 6 2" xfId="0"/>
    <cellStyle name="Normal 6 2 8 6 2 2" xfId="0"/>
    <cellStyle name="Normal 6 2 8 6 3" xfId="0"/>
    <cellStyle name="Normal 6 2 8 7" xfId="0"/>
    <cellStyle name="Normal 6 2 8 7 2" xfId="0"/>
    <cellStyle name="Normal 6 2 8 8" xfId="0"/>
    <cellStyle name="Normal 6 2 9" xfId="0"/>
    <cellStyle name="Normal 6 2 9 2" xfId="0"/>
    <cellStyle name="Normal 6 2 9 2 2" xfId="0"/>
    <cellStyle name="Normal 6 2 9 2 2 2" xfId="0"/>
    <cellStyle name="Normal 6 2 9 2 2 2 2" xfId="0"/>
    <cellStyle name="Normal 6 2 9 2 2 2 2 2" xfId="0"/>
    <cellStyle name="Normal 6 2 9 2 2 2 2 2 2" xfId="0"/>
    <cellStyle name="Normal 6 2 9 2 2 2 2 3" xfId="0"/>
    <cellStyle name="Normal 6 2 9 2 2 2 3" xfId="0"/>
    <cellStyle name="Normal 6 2 9 2 2 2 3 2" xfId="0"/>
    <cellStyle name="Normal 6 2 9 2 2 2 4" xfId="0"/>
    <cellStyle name="Normal 6 2 9 2 2 3" xfId="0"/>
    <cellStyle name="Normal 6 2 9 2 2 3 2" xfId="0"/>
    <cellStyle name="Normal 6 2 9 2 2 3 2 2" xfId="0"/>
    <cellStyle name="Normal 6 2 9 2 2 3 3" xfId="0"/>
    <cellStyle name="Normal 6 2 9 2 2 4" xfId="0"/>
    <cellStyle name="Normal 6 2 9 2 2 4 2" xfId="0"/>
    <cellStyle name="Normal 6 2 9 2 2 5" xfId="0"/>
    <cellStyle name="Normal 6 2 9 2 3" xfId="0"/>
    <cellStyle name="Normal 6 2 9 2 3 2" xfId="0"/>
    <cellStyle name="Normal 6 2 9 2 3 2 2" xfId="0"/>
    <cellStyle name="Normal 6 2 9 2 3 2 2 2" xfId="0"/>
    <cellStyle name="Normal 6 2 9 2 3 2 3" xfId="0"/>
    <cellStyle name="Normal 6 2 9 2 3 3" xfId="0"/>
    <cellStyle name="Normal 6 2 9 2 3 3 2" xfId="0"/>
    <cellStyle name="Normal 6 2 9 2 3 4" xfId="0"/>
    <cellStyle name="Normal 6 2 9 2 4" xfId="0"/>
    <cellStyle name="Normal 6 2 9 2 4 2" xfId="0"/>
    <cellStyle name="Normal 6 2 9 2 4 2 2" xfId="0"/>
    <cellStyle name="Normal 6 2 9 2 4 3" xfId="0"/>
    <cellStyle name="Normal 6 2 9 2 5" xfId="0"/>
    <cellStyle name="Normal 6 2 9 2 5 2" xfId="0"/>
    <cellStyle name="Normal 6 2 9 2 6" xfId="0"/>
    <cellStyle name="Normal 6 2 9 3" xfId="0"/>
    <cellStyle name="Normal 6 2 9 3 2" xfId="0"/>
    <cellStyle name="Normal 6 2 9 3 2 2" xfId="0"/>
    <cellStyle name="Normal 6 2 9 3 2 2 2" xfId="0"/>
    <cellStyle name="Normal 6 2 9 3 2 2 2 2" xfId="0"/>
    <cellStyle name="Normal 6 2 9 3 2 2 3" xfId="0"/>
    <cellStyle name="Normal 6 2 9 3 2 3" xfId="0"/>
    <cellStyle name="Normal 6 2 9 3 2 3 2" xfId="0"/>
    <cellStyle name="Normal 6 2 9 3 2 4" xfId="0"/>
    <cellStyle name="Normal 6 2 9 3 3" xfId="0"/>
    <cellStyle name="Normal 6 2 9 3 3 2" xfId="0"/>
    <cellStyle name="Normal 6 2 9 3 3 2 2" xfId="0"/>
    <cellStyle name="Normal 6 2 9 3 3 3" xfId="0"/>
    <cellStyle name="Normal 6 2 9 3 4" xfId="0"/>
    <cellStyle name="Normal 6 2 9 3 4 2" xfId="0"/>
    <cellStyle name="Normal 6 2 9 3 5" xfId="0"/>
    <cellStyle name="Normal 6 2 9 4" xfId="0"/>
    <cellStyle name="Normal 6 2 9 4 2" xfId="0"/>
    <cellStyle name="Normal 6 2 9 4 2 2" xfId="0"/>
    <cellStyle name="Normal 6 2 9 4 2 2 2" xfId="0"/>
    <cellStyle name="Normal 6 2 9 4 2 3" xfId="0"/>
    <cellStyle name="Normal 6 2 9 4 3" xfId="0"/>
    <cellStyle name="Normal 6 2 9 4 3 2" xfId="0"/>
    <cellStyle name="Normal 6 2 9 4 4" xfId="0"/>
    <cellStyle name="Normal 6 2 9 5" xfId="0"/>
    <cellStyle name="Normal 6 2 9 5 2" xfId="0"/>
    <cellStyle name="Normal 6 2 9 5 2 2" xfId="0"/>
    <cellStyle name="Normal 6 2 9 5 3" xfId="0"/>
    <cellStyle name="Normal 6 2 9 6" xfId="0"/>
    <cellStyle name="Normal 6 2 9 6 2" xfId="0"/>
    <cellStyle name="Normal 6 2 9 7" xfId="0"/>
    <cellStyle name="Normal 6 20" xfId="0"/>
    <cellStyle name="Normal 6 21" xfId="0"/>
    <cellStyle name="Normal 6 22" xfId="0"/>
    <cellStyle name="Normal 6 23" xfId="0"/>
    <cellStyle name="Normal 6 24" xfId="0"/>
    <cellStyle name="Normal 6 25" xfId="0"/>
    <cellStyle name="Normal 6 26" xfId="0"/>
    <cellStyle name="Normal 6 27" xfId="0"/>
    <cellStyle name="Normal 6 28" xfId="0"/>
    <cellStyle name="Normal 6 29" xfId="0"/>
    <cellStyle name="Normal 6 3" xfId="0"/>
    <cellStyle name="Normal 6 3 2" xfId="0"/>
    <cellStyle name="Normal 6 3 2 2" xfId="0"/>
    <cellStyle name="Normal 6 3 3" xfId="0"/>
    <cellStyle name="Normal 6 30" xfId="0"/>
    <cellStyle name="Normal 6 31" xfId="0"/>
    <cellStyle name="Normal 6 32" xfId="0"/>
    <cellStyle name="Normal 6 33" xfId="0"/>
    <cellStyle name="Normal 6 34" xfId="0"/>
    <cellStyle name="Normal 6 35" xfId="0"/>
    <cellStyle name="Normal 6 36" xfId="0"/>
    <cellStyle name="Normal 6 37" xfId="0"/>
    <cellStyle name="Normal 6 38" xfId="0"/>
    <cellStyle name="Normal 6 39" xfId="0"/>
    <cellStyle name="Normal 6 4" xfId="0"/>
    <cellStyle name="Normal 6 4 10" xfId="0"/>
    <cellStyle name="Normal 6 4 10 2" xfId="0"/>
    <cellStyle name="Normal 6 4 10 2 2" xfId="0"/>
    <cellStyle name="Normal 6 4 10 2 2 2" xfId="0"/>
    <cellStyle name="Normal 6 4 10 2 2 2 2" xfId="0"/>
    <cellStyle name="Normal 6 4 10 2 2 2 2 2" xfId="0"/>
    <cellStyle name="Normal 6 4 10 2 2 2 3" xfId="0"/>
    <cellStyle name="Normal 6 4 10 2 2 3" xfId="0"/>
    <cellStyle name="Normal 6 4 10 2 2 3 2" xfId="0"/>
    <cellStyle name="Normal 6 4 10 2 2 4" xfId="0"/>
    <cellStyle name="Normal 6 4 10 2 3" xfId="0"/>
    <cellStyle name="Normal 6 4 10 2 3 2" xfId="0"/>
    <cellStyle name="Normal 6 4 10 2 3 2 2" xfId="0"/>
    <cellStyle name="Normal 6 4 10 2 3 3" xfId="0"/>
    <cellStyle name="Normal 6 4 10 2 4" xfId="0"/>
    <cellStyle name="Normal 6 4 10 2 4 2" xfId="0"/>
    <cellStyle name="Normal 6 4 10 2 5" xfId="0"/>
    <cellStyle name="Normal 6 4 10 3" xfId="0"/>
    <cellStyle name="Normal 6 4 10 3 2" xfId="0"/>
    <cellStyle name="Normal 6 4 10 3 2 2" xfId="0"/>
    <cellStyle name="Normal 6 4 10 3 2 2 2" xfId="0"/>
    <cellStyle name="Normal 6 4 10 3 2 3" xfId="0"/>
    <cellStyle name="Normal 6 4 10 3 3" xfId="0"/>
    <cellStyle name="Normal 6 4 10 3 3 2" xfId="0"/>
    <cellStyle name="Normal 6 4 10 3 4" xfId="0"/>
    <cellStyle name="Normal 6 4 10 4" xfId="0"/>
    <cellStyle name="Normal 6 4 10 4 2" xfId="0"/>
    <cellStyle name="Normal 6 4 10 4 2 2" xfId="0"/>
    <cellStyle name="Normal 6 4 10 4 3" xfId="0"/>
    <cellStyle name="Normal 6 4 10 5" xfId="0"/>
    <cellStyle name="Normal 6 4 10 5 2" xfId="0"/>
    <cellStyle name="Normal 6 4 10 6" xfId="0"/>
    <cellStyle name="Normal 6 4 11" xfId="0"/>
    <cellStyle name="Normal 6 4 11 2" xfId="0"/>
    <cellStyle name="Normal 6 4 11 2 2" xfId="0"/>
    <cellStyle name="Normal 6 4 11 2 2 2" xfId="0"/>
    <cellStyle name="Normal 6 4 11 2 2 2 2" xfId="0"/>
    <cellStyle name="Normal 6 4 11 2 2 3" xfId="0"/>
    <cellStyle name="Normal 6 4 11 2 3" xfId="0"/>
    <cellStyle name="Normal 6 4 11 2 3 2" xfId="0"/>
    <cellStyle name="Normal 6 4 11 2 4" xfId="0"/>
    <cellStyle name="Normal 6 4 11 3" xfId="0"/>
    <cellStyle name="Normal 6 4 11 3 2" xfId="0"/>
    <cellStyle name="Normal 6 4 11 3 2 2" xfId="0"/>
    <cellStyle name="Normal 6 4 11 3 3" xfId="0"/>
    <cellStyle name="Normal 6 4 11 4" xfId="0"/>
    <cellStyle name="Normal 6 4 11 4 2" xfId="0"/>
    <cellStyle name="Normal 6 4 11 5" xfId="0"/>
    <cellStyle name="Normal 6 4 12" xfId="0"/>
    <cellStyle name="Normal 6 4 12 2" xfId="0"/>
    <cellStyle name="Normal 6 4 12 2 2" xfId="0"/>
    <cellStyle name="Normal 6 4 12 2 2 2" xfId="0"/>
    <cellStyle name="Normal 6 4 12 2 3" xfId="0"/>
    <cellStyle name="Normal 6 4 12 3" xfId="0"/>
    <cellStyle name="Normal 6 4 12 3 2" xfId="0"/>
    <cellStyle name="Normal 6 4 12 4" xfId="0"/>
    <cellStyle name="Normal 6 4 13" xfId="0"/>
    <cellStyle name="Normal 6 4 13 2" xfId="0"/>
    <cellStyle name="Normal 6 4 13 2 2" xfId="0"/>
    <cellStyle name="Normal 6 4 13 3" xfId="0"/>
    <cellStyle name="Normal 6 4 14" xfId="0"/>
    <cellStyle name="Normal 6 4 14 2" xfId="0"/>
    <cellStyle name="Normal 6 4 15" xfId="0"/>
    <cellStyle name="Normal 6 4 16" xfId="0"/>
    <cellStyle name="Normal 6 4 2" xfId="0"/>
    <cellStyle name="Normal 6 4 2 2" xfId="0"/>
    <cellStyle name="Normal 6 4 3" xfId="0"/>
    <cellStyle name="Normal 6 4 3 10" xfId="0"/>
    <cellStyle name="Normal 6 4 3 10 2" xfId="0"/>
    <cellStyle name="Normal 6 4 3 10 2 2" xfId="0"/>
    <cellStyle name="Normal 6 4 3 10 3" xfId="0"/>
    <cellStyle name="Normal 6 4 3 11" xfId="0"/>
    <cellStyle name="Normal 6 4 3 11 2" xfId="0"/>
    <cellStyle name="Normal 6 4 3 12" xfId="0"/>
    <cellStyle name="Normal 6 4 3 2" xfId="0"/>
    <cellStyle name="Normal 6 4 3 2 10" xfId="0"/>
    <cellStyle name="Normal 6 4 3 2 10 2" xfId="0"/>
    <cellStyle name="Normal 6 4 3 2 11" xfId="0"/>
    <cellStyle name="Normal 6 4 3 2 2" xfId="0"/>
    <cellStyle name="Normal 6 4 3 2 2 2" xfId="0"/>
    <cellStyle name="Normal 6 4 3 2 2 2 2" xfId="0"/>
    <cellStyle name="Normal 6 4 3 2 2 2 2 2" xfId="0"/>
    <cellStyle name="Normal 6 4 3 2 2 2 2 2 2" xfId="0"/>
    <cellStyle name="Normal 6 4 3 2 2 2 2 2 2 2" xfId="0"/>
    <cellStyle name="Normal 6 4 3 2 2 2 2 2 2 2 2" xfId="0"/>
    <cellStyle name="Normal 6 4 3 2 2 2 2 2 2 2 2 2" xfId="0"/>
    <cellStyle name="Normal 6 4 3 2 2 2 2 2 2 2 3" xfId="0"/>
    <cellStyle name="Normal 6 4 3 2 2 2 2 2 2 3" xfId="0"/>
    <cellStyle name="Normal 6 4 3 2 2 2 2 2 2 3 2" xfId="0"/>
    <cellStyle name="Normal 6 4 3 2 2 2 2 2 2 4" xfId="0"/>
    <cellStyle name="Normal 6 4 3 2 2 2 2 2 3" xfId="0"/>
    <cellStyle name="Normal 6 4 3 2 2 2 2 2 3 2" xfId="0"/>
    <cellStyle name="Normal 6 4 3 2 2 2 2 2 3 2 2" xfId="0"/>
    <cellStyle name="Normal 6 4 3 2 2 2 2 2 3 3" xfId="0"/>
    <cellStyle name="Normal 6 4 3 2 2 2 2 2 4" xfId="0"/>
    <cellStyle name="Normal 6 4 3 2 2 2 2 2 4 2" xfId="0"/>
    <cellStyle name="Normal 6 4 3 2 2 2 2 2 5" xfId="0"/>
    <cellStyle name="Normal 6 4 3 2 2 2 2 3" xfId="0"/>
    <cellStyle name="Normal 6 4 3 2 2 2 2 3 2" xfId="0"/>
    <cellStyle name="Normal 6 4 3 2 2 2 2 3 2 2" xfId="0"/>
    <cellStyle name="Normal 6 4 3 2 2 2 2 3 2 2 2" xfId="0"/>
    <cellStyle name="Normal 6 4 3 2 2 2 2 3 2 3" xfId="0"/>
    <cellStyle name="Normal 6 4 3 2 2 2 2 3 3" xfId="0"/>
    <cellStyle name="Normal 6 4 3 2 2 2 2 3 3 2" xfId="0"/>
    <cellStyle name="Normal 6 4 3 2 2 2 2 3 4" xfId="0"/>
    <cellStyle name="Normal 6 4 3 2 2 2 2 4" xfId="0"/>
    <cellStyle name="Normal 6 4 3 2 2 2 2 4 2" xfId="0"/>
    <cellStyle name="Normal 6 4 3 2 2 2 2 4 2 2" xfId="0"/>
    <cellStyle name="Normal 6 4 3 2 2 2 2 4 3" xfId="0"/>
    <cellStyle name="Normal 6 4 3 2 2 2 2 5" xfId="0"/>
    <cellStyle name="Normal 6 4 3 2 2 2 2 5 2" xfId="0"/>
    <cellStyle name="Normal 6 4 3 2 2 2 2 6" xfId="0"/>
    <cellStyle name="Normal 6 4 3 2 2 2 3" xfId="0"/>
    <cellStyle name="Normal 6 4 3 2 2 2 3 2" xfId="0"/>
    <cellStyle name="Normal 6 4 3 2 2 2 3 2 2" xfId="0"/>
    <cellStyle name="Normal 6 4 3 2 2 2 3 2 2 2" xfId="0"/>
    <cellStyle name="Normal 6 4 3 2 2 2 3 2 2 2 2" xfId="0"/>
    <cellStyle name="Normal 6 4 3 2 2 2 3 2 2 3" xfId="0"/>
    <cellStyle name="Normal 6 4 3 2 2 2 3 2 3" xfId="0"/>
    <cellStyle name="Normal 6 4 3 2 2 2 3 2 3 2" xfId="0"/>
    <cellStyle name="Normal 6 4 3 2 2 2 3 2 4" xfId="0"/>
    <cellStyle name="Normal 6 4 3 2 2 2 3 3" xfId="0"/>
    <cellStyle name="Normal 6 4 3 2 2 2 3 3 2" xfId="0"/>
    <cellStyle name="Normal 6 4 3 2 2 2 3 3 2 2" xfId="0"/>
    <cellStyle name="Normal 6 4 3 2 2 2 3 3 3" xfId="0"/>
    <cellStyle name="Normal 6 4 3 2 2 2 3 4" xfId="0"/>
    <cellStyle name="Normal 6 4 3 2 2 2 3 4 2" xfId="0"/>
    <cellStyle name="Normal 6 4 3 2 2 2 3 5" xfId="0"/>
    <cellStyle name="Normal 6 4 3 2 2 2 4" xfId="0"/>
    <cellStyle name="Normal 6 4 3 2 2 2 4 2" xfId="0"/>
    <cellStyle name="Normal 6 4 3 2 2 2 4 2 2" xfId="0"/>
    <cellStyle name="Normal 6 4 3 2 2 2 4 2 2 2" xfId="0"/>
    <cellStyle name="Normal 6 4 3 2 2 2 4 2 3" xfId="0"/>
    <cellStyle name="Normal 6 4 3 2 2 2 4 3" xfId="0"/>
    <cellStyle name="Normal 6 4 3 2 2 2 4 3 2" xfId="0"/>
    <cellStyle name="Normal 6 4 3 2 2 2 4 4" xfId="0"/>
    <cellStyle name="Normal 6 4 3 2 2 2 5" xfId="0"/>
    <cellStyle name="Normal 6 4 3 2 2 2 5 2" xfId="0"/>
    <cellStyle name="Normal 6 4 3 2 2 2 5 2 2" xfId="0"/>
    <cellStyle name="Normal 6 4 3 2 2 2 5 3" xfId="0"/>
    <cellStyle name="Normal 6 4 3 2 2 2 6" xfId="0"/>
    <cellStyle name="Normal 6 4 3 2 2 2 6 2" xfId="0"/>
    <cellStyle name="Normal 6 4 3 2 2 2 7" xfId="0"/>
    <cellStyle name="Normal 6 4 3 2 2 3" xfId="0"/>
    <cellStyle name="Normal 6 4 3 2 2 3 2" xfId="0"/>
    <cellStyle name="Normal 6 4 3 2 2 3 2 2" xfId="0"/>
    <cellStyle name="Normal 6 4 3 2 2 3 2 2 2" xfId="0"/>
    <cellStyle name="Normal 6 4 3 2 2 3 2 2 2 2" xfId="0"/>
    <cellStyle name="Normal 6 4 3 2 2 3 2 2 2 2 2" xfId="0"/>
    <cellStyle name="Normal 6 4 3 2 2 3 2 2 2 3" xfId="0"/>
    <cellStyle name="Normal 6 4 3 2 2 3 2 2 3" xfId="0"/>
    <cellStyle name="Normal 6 4 3 2 2 3 2 2 3 2" xfId="0"/>
    <cellStyle name="Normal 6 4 3 2 2 3 2 2 4" xfId="0"/>
    <cellStyle name="Normal 6 4 3 2 2 3 2 3" xfId="0"/>
    <cellStyle name="Normal 6 4 3 2 2 3 2 3 2" xfId="0"/>
    <cellStyle name="Normal 6 4 3 2 2 3 2 3 2 2" xfId="0"/>
    <cellStyle name="Normal 6 4 3 2 2 3 2 3 3" xfId="0"/>
    <cellStyle name="Normal 6 4 3 2 2 3 2 4" xfId="0"/>
    <cellStyle name="Normal 6 4 3 2 2 3 2 4 2" xfId="0"/>
    <cellStyle name="Normal 6 4 3 2 2 3 2 5" xfId="0"/>
    <cellStyle name="Normal 6 4 3 2 2 3 3" xfId="0"/>
    <cellStyle name="Normal 6 4 3 2 2 3 3 2" xfId="0"/>
    <cellStyle name="Normal 6 4 3 2 2 3 3 2 2" xfId="0"/>
    <cellStyle name="Normal 6 4 3 2 2 3 3 2 2 2" xfId="0"/>
    <cellStyle name="Normal 6 4 3 2 2 3 3 2 3" xfId="0"/>
    <cellStyle name="Normal 6 4 3 2 2 3 3 3" xfId="0"/>
    <cellStyle name="Normal 6 4 3 2 2 3 3 3 2" xfId="0"/>
    <cellStyle name="Normal 6 4 3 2 2 3 3 4" xfId="0"/>
    <cellStyle name="Normal 6 4 3 2 2 3 4" xfId="0"/>
    <cellStyle name="Normal 6 4 3 2 2 3 4 2" xfId="0"/>
    <cellStyle name="Normal 6 4 3 2 2 3 4 2 2" xfId="0"/>
    <cellStyle name="Normal 6 4 3 2 2 3 4 3" xfId="0"/>
    <cellStyle name="Normal 6 4 3 2 2 3 5" xfId="0"/>
    <cellStyle name="Normal 6 4 3 2 2 3 5 2" xfId="0"/>
    <cellStyle name="Normal 6 4 3 2 2 3 6" xfId="0"/>
    <cellStyle name="Normal 6 4 3 2 2 4" xfId="0"/>
    <cellStyle name="Normal 6 4 3 2 2 4 2" xfId="0"/>
    <cellStyle name="Normal 6 4 3 2 2 4 2 2" xfId="0"/>
    <cellStyle name="Normal 6 4 3 2 2 4 2 2 2" xfId="0"/>
    <cellStyle name="Normal 6 4 3 2 2 4 2 2 2 2" xfId="0"/>
    <cellStyle name="Normal 6 4 3 2 2 4 2 2 3" xfId="0"/>
    <cellStyle name="Normal 6 4 3 2 2 4 2 3" xfId="0"/>
    <cellStyle name="Normal 6 4 3 2 2 4 2 3 2" xfId="0"/>
    <cellStyle name="Normal 6 4 3 2 2 4 2 4" xfId="0"/>
    <cellStyle name="Normal 6 4 3 2 2 4 3" xfId="0"/>
    <cellStyle name="Normal 6 4 3 2 2 4 3 2" xfId="0"/>
    <cellStyle name="Normal 6 4 3 2 2 4 3 2 2" xfId="0"/>
    <cellStyle name="Normal 6 4 3 2 2 4 3 3" xfId="0"/>
    <cellStyle name="Normal 6 4 3 2 2 4 4" xfId="0"/>
    <cellStyle name="Normal 6 4 3 2 2 4 4 2" xfId="0"/>
    <cellStyle name="Normal 6 4 3 2 2 4 5" xfId="0"/>
    <cellStyle name="Normal 6 4 3 2 2 5" xfId="0"/>
    <cellStyle name="Normal 6 4 3 2 2 5 2" xfId="0"/>
    <cellStyle name="Normal 6 4 3 2 2 5 2 2" xfId="0"/>
    <cellStyle name="Normal 6 4 3 2 2 5 2 2 2" xfId="0"/>
    <cellStyle name="Normal 6 4 3 2 2 5 2 3" xfId="0"/>
    <cellStyle name="Normal 6 4 3 2 2 5 3" xfId="0"/>
    <cellStyle name="Normal 6 4 3 2 2 5 3 2" xfId="0"/>
    <cellStyle name="Normal 6 4 3 2 2 5 4" xfId="0"/>
    <cellStyle name="Normal 6 4 3 2 2 6" xfId="0"/>
    <cellStyle name="Normal 6 4 3 2 2 6 2" xfId="0"/>
    <cellStyle name="Normal 6 4 3 2 2 6 2 2" xfId="0"/>
    <cellStyle name="Normal 6 4 3 2 2 6 3" xfId="0"/>
    <cellStyle name="Normal 6 4 3 2 2 7" xfId="0"/>
    <cellStyle name="Normal 6 4 3 2 2 7 2" xfId="0"/>
    <cellStyle name="Normal 6 4 3 2 2 8" xfId="0"/>
    <cellStyle name="Normal 6 4 3 2 3" xfId="0"/>
    <cellStyle name="Normal 6 4 3 2 3 2" xfId="0"/>
    <cellStyle name="Normal 6 4 3 2 3 2 2" xfId="0"/>
    <cellStyle name="Normal 6 4 3 2 3 2 2 2" xfId="0"/>
    <cellStyle name="Normal 6 4 3 2 3 2 2 2 2" xfId="0"/>
    <cellStyle name="Normal 6 4 3 2 3 2 2 2 2 2" xfId="0"/>
    <cellStyle name="Normal 6 4 3 2 3 2 2 2 2 2 2" xfId="0"/>
    <cellStyle name="Normal 6 4 3 2 3 2 2 2 2 2 2 2" xfId="0"/>
    <cellStyle name="Normal 6 4 3 2 3 2 2 2 2 2 3" xfId="0"/>
    <cellStyle name="Normal 6 4 3 2 3 2 2 2 2 3" xfId="0"/>
    <cellStyle name="Normal 6 4 3 2 3 2 2 2 2 3 2" xfId="0"/>
    <cellStyle name="Normal 6 4 3 2 3 2 2 2 2 4" xfId="0"/>
    <cellStyle name="Normal 6 4 3 2 3 2 2 2 3" xfId="0"/>
    <cellStyle name="Normal 6 4 3 2 3 2 2 2 3 2" xfId="0"/>
    <cellStyle name="Normal 6 4 3 2 3 2 2 2 3 2 2" xfId="0"/>
    <cellStyle name="Normal 6 4 3 2 3 2 2 2 3 3" xfId="0"/>
    <cellStyle name="Normal 6 4 3 2 3 2 2 2 4" xfId="0"/>
    <cellStyle name="Normal 6 4 3 2 3 2 2 2 4 2" xfId="0"/>
    <cellStyle name="Normal 6 4 3 2 3 2 2 2 5" xfId="0"/>
    <cellStyle name="Normal 6 4 3 2 3 2 2 3" xfId="0"/>
    <cellStyle name="Normal 6 4 3 2 3 2 2 3 2" xfId="0"/>
    <cellStyle name="Normal 6 4 3 2 3 2 2 3 2 2" xfId="0"/>
    <cellStyle name="Normal 6 4 3 2 3 2 2 3 2 2 2" xfId="0"/>
    <cellStyle name="Normal 6 4 3 2 3 2 2 3 2 3" xfId="0"/>
    <cellStyle name="Normal 6 4 3 2 3 2 2 3 3" xfId="0"/>
    <cellStyle name="Normal 6 4 3 2 3 2 2 3 3 2" xfId="0"/>
    <cellStyle name="Normal 6 4 3 2 3 2 2 3 4" xfId="0"/>
    <cellStyle name="Normal 6 4 3 2 3 2 2 4" xfId="0"/>
    <cellStyle name="Normal 6 4 3 2 3 2 2 4 2" xfId="0"/>
    <cellStyle name="Normal 6 4 3 2 3 2 2 4 2 2" xfId="0"/>
    <cellStyle name="Normal 6 4 3 2 3 2 2 4 3" xfId="0"/>
    <cellStyle name="Normal 6 4 3 2 3 2 2 5" xfId="0"/>
    <cellStyle name="Normal 6 4 3 2 3 2 2 5 2" xfId="0"/>
    <cellStyle name="Normal 6 4 3 2 3 2 2 6" xfId="0"/>
    <cellStyle name="Normal 6 4 3 2 3 2 3" xfId="0"/>
    <cellStyle name="Normal 6 4 3 2 3 2 3 2" xfId="0"/>
    <cellStyle name="Normal 6 4 3 2 3 2 3 2 2" xfId="0"/>
    <cellStyle name="Normal 6 4 3 2 3 2 3 2 2 2" xfId="0"/>
    <cellStyle name="Normal 6 4 3 2 3 2 3 2 2 2 2" xfId="0"/>
    <cellStyle name="Normal 6 4 3 2 3 2 3 2 2 3" xfId="0"/>
    <cellStyle name="Normal 6 4 3 2 3 2 3 2 3" xfId="0"/>
    <cellStyle name="Normal 6 4 3 2 3 2 3 2 3 2" xfId="0"/>
    <cellStyle name="Normal 6 4 3 2 3 2 3 2 4" xfId="0"/>
    <cellStyle name="Normal 6 4 3 2 3 2 3 3" xfId="0"/>
    <cellStyle name="Normal 6 4 3 2 3 2 3 3 2" xfId="0"/>
    <cellStyle name="Normal 6 4 3 2 3 2 3 3 2 2" xfId="0"/>
    <cellStyle name="Normal 6 4 3 2 3 2 3 3 3" xfId="0"/>
    <cellStyle name="Normal 6 4 3 2 3 2 3 4" xfId="0"/>
    <cellStyle name="Normal 6 4 3 2 3 2 3 4 2" xfId="0"/>
    <cellStyle name="Normal 6 4 3 2 3 2 3 5" xfId="0"/>
    <cellStyle name="Normal 6 4 3 2 3 2 4" xfId="0"/>
    <cellStyle name="Normal 6 4 3 2 3 2 4 2" xfId="0"/>
    <cellStyle name="Normal 6 4 3 2 3 2 4 2 2" xfId="0"/>
    <cellStyle name="Normal 6 4 3 2 3 2 4 2 2 2" xfId="0"/>
    <cellStyle name="Normal 6 4 3 2 3 2 4 2 3" xfId="0"/>
    <cellStyle name="Normal 6 4 3 2 3 2 4 3" xfId="0"/>
    <cellStyle name="Normal 6 4 3 2 3 2 4 3 2" xfId="0"/>
    <cellStyle name="Normal 6 4 3 2 3 2 4 4" xfId="0"/>
    <cellStyle name="Normal 6 4 3 2 3 2 5" xfId="0"/>
    <cellStyle name="Normal 6 4 3 2 3 2 5 2" xfId="0"/>
    <cellStyle name="Normal 6 4 3 2 3 2 5 2 2" xfId="0"/>
    <cellStyle name="Normal 6 4 3 2 3 2 5 3" xfId="0"/>
    <cellStyle name="Normal 6 4 3 2 3 2 6" xfId="0"/>
    <cellStyle name="Normal 6 4 3 2 3 2 6 2" xfId="0"/>
    <cellStyle name="Normal 6 4 3 2 3 2 7" xfId="0"/>
    <cellStyle name="Normal 6 4 3 2 3 3" xfId="0"/>
    <cellStyle name="Normal 6 4 3 2 3 3 2" xfId="0"/>
    <cellStyle name="Normal 6 4 3 2 3 3 2 2" xfId="0"/>
    <cellStyle name="Normal 6 4 3 2 3 3 2 2 2" xfId="0"/>
    <cellStyle name="Normal 6 4 3 2 3 3 2 2 2 2" xfId="0"/>
    <cellStyle name="Normal 6 4 3 2 3 3 2 2 2 2 2" xfId="0"/>
    <cellStyle name="Normal 6 4 3 2 3 3 2 2 2 3" xfId="0"/>
    <cellStyle name="Normal 6 4 3 2 3 3 2 2 3" xfId="0"/>
    <cellStyle name="Normal 6 4 3 2 3 3 2 2 3 2" xfId="0"/>
    <cellStyle name="Normal 6 4 3 2 3 3 2 2 4" xfId="0"/>
    <cellStyle name="Normal 6 4 3 2 3 3 2 3" xfId="0"/>
    <cellStyle name="Normal 6 4 3 2 3 3 2 3 2" xfId="0"/>
    <cellStyle name="Normal 6 4 3 2 3 3 2 3 2 2" xfId="0"/>
    <cellStyle name="Normal 6 4 3 2 3 3 2 3 3" xfId="0"/>
    <cellStyle name="Normal 6 4 3 2 3 3 2 4" xfId="0"/>
    <cellStyle name="Normal 6 4 3 2 3 3 2 4 2" xfId="0"/>
    <cellStyle name="Normal 6 4 3 2 3 3 2 5" xfId="0"/>
    <cellStyle name="Normal 6 4 3 2 3 3 3" xfId="0"/>
    <cellStyle name="Normal 6 4 3 2 3 3 3 2" xfId="0"/>
    <cellStyle name="Normal 6 4 3 2 3 3 3 2 2" xfId="0"/>
    <cellStyle name="Normal 6 4 3 2 3 3 3 2 2 2" xfId="0"/>
    <cellStyle name="Normal 6 4 3 2 3 3 3 2 3" xfId="0"/>
    <cellStyle name="Normal 6 4 3 2 3 3 3 3" xfId="0"/>
    <cellStyle name="Normal 6 4 3 2 3 3 3 3 2" xfId="0"/>
    <cellStyle name="Normal 6 4 3 2 3 3 3 4" xfId="0"/>
    <cellStyle name="Normal 6 4 3 2 3 3 4" xfId="0"/>
    <cellStyle name="Normal 6 4 3 2 3 3 4 2" xfId="0"/>
    <cellStyle name="Normal 6 4 3 2 3 3 4 2 2" xfId="0"/>
    <cellStyle name="Normal 6 4 3 2 3 3 4 3" xfId="0"/>
    <cellStyle name="Normal 6 4 3 2 3 3 5" xfId="0"/>
    <cellStyle name="Normal 6 4 3 2 3 3 5 2" xfId="0"/>
    <cellStyle name="Normal 6 4 3 2 3 3 6" xfId="0"/>
    <cellStyle name="Normal 6 4 3 2 3 4" xfId="0"/>
    <cellStyle name="Normal 6 4 3 2 3 4 2" xfId="0"/>
    <cellStyle name="Normal 6 4 3 2 3 4 2 2" xfId="0"/>
    <cellStyle name="Normal 6 4 3 2 3 4 2 2 2" xfId="0"/>
    <cellStyle name="Normal 6 4 3 2 3 4 2 2 2 2" xfId="0"/>
    <cellStyle name="Normal 6 4 3 2 3 4 2 2 3" xfId="0"/>
    <cellStyle name="Normal 6 4 3 2 3 4 2 3" xfId="0"/>
    <cellStyle name="Normal 6 4 3 2 3 4 2 3 2" xfId="0"/>
    <cellStyle name="Normal 6 4 3 2 3 4 2 4" xfId="0"/>
    <cellStyle name="Normal 6 4 3 2 3 4 3" xfId="0"/>
    <cellStyle name="Normal 6 4 3 2 3 4 3 2" xfId="0"/>
    <cellStyle name="Normal 6 4 3 2 3 4 3 2 2" xfId="0"/>
    <cellStyle name="Normal 6 4 3 2 3 4 3 3" xfId="0"/>
    <cellStyle name="Normal 6 4 3 2 3 4 4" xfId="0"/>
    <cellStyle name="Normal 6 4 3 2 3 4 4 2" xfId="0"/>
    <cellStyle name="Normal 6 4 3 2 3 4 5" xfId="0"/>
    <cellStyle name="Normal 6 4 3 2 3 5" xfId="0"/>
    <cellStyle name="Normal 6 4 3 2 3 5 2" xfId="0"/>
    <cellStyle name="Normal 6 4 3 2 3 5 2 2" xfId="0"/>
    <cellStyle name="Normal 6 4 3 2 3 5 2 2 2" xfId="0"/>
    <cellStyle name="Normal 6 4 3 2 3 5 2 3" xfId="0"/>
    <cellStyle name="Normal 6 4 3 2 3 5 3" xfId="0"/>
    <cellStyle name="Normal 6 4 3 2 3 5 3 2" xfId="0"/>
    <cellStyle name="Normal 6 4 3 2 3 5 4" xfId="0"/>
    <cellStyle name="Normal 6 4 3 2 3 6" xfId="0"/>
    <cellStyle name="Normal 6 4 3 2 3 6 2" xfId="0"/>
    <cellStyle name="Normal 6 4 3 2 3 6 2 2" xfId="0"/>
    <cellStyle name="Normal 6 4 3 2 3 6 3" xfId="0"/>
    <cellStyle name="Normal 6 4 3 2 3 7" xfId="0"/>
    <cellStyle name="Normal 6 4 3 2 3 7 2" xfId="0"/>
    <cellStyle name="Normal 6 4 3 2 3 8" xfId="0"/>
    <cellStyle name="Normal 6 4 3 2 4" xfId="0"/>
    <cellStyle name="Normal 6 4 3 2 4 2" xfId="0"/>
    <cellStyle name="Normal 6 4 3 2 4 2 2" xfId="0"/>
    <cellStyle name="Normal 6 4 3 2 4 2 2 2" xfId="0"/>
    <cellStyle name="Normal 6 4 3 2 4 2 2 2 2" xfId="0"/>
    <cellStyle name="Normal 6 4 3 2 4 2 2 2 2 2" xfId="0"/>
    <cellStyle name="Normal 6 4 3 2 4 2 2 2 2 2 2" xfId="0"/>
    <cellStyle name="Normal 6 4 3 2 4 2 2 2 2 3" xfId="0"/>
    <cellStyle name="Normal 6 4 3 2 4 2 2 2 3" xfId="0"/>
    <cellStyle name="Normal 6 4 3 2 4 2 2 2 3 2" xfId="0"/>
    <cellStyle name="Normal 6 4 3 2 4 2 2 2 4" xfId="0"/>
    <cellStyle name="Normal 6 4 3 2 4 2 2 3" xfId="0"/>
    <cellStyle name="Normal 6 4 3 2 4 2 2 3 2" xfId="0"/>
    <cellStyle name="Normal 6 4 3 2 4 2 2 3 2 2" xfId="0"/>
    <cellStyle name="Normal 6 4 3 2 4 2 2 3 3" xfId="0"/>
    <cellStyle name="Normal 6 4 3 2 4 2 2 4" xfId="0"/>
    <cellStyle name="Normal 6 4 3 2 4 2 2 4 2" xfId="0"/>
    <cellStyle name="Normal 6 4 3 2 4 2 2 5" xfId="0"/>
    <cellStyle name="Normal 6 4 3 2 4 2 3" xfId="0"/>
    <cellStyle name="Normal 6 4 3 2 4 2 3 2" xfId="0"/>
    <cellStyle name="Normal 6 4 3 2 4 2 3 2 2" xfId="0"/>
    <cellStyle name="Normal 6 4 3 2 4 2 3 2 2 2" xfId="0"/>
    <cellStyle name="Normal 6 4 3 2 4 2 3 2 3" xfId="0"/>
    <cellStyle name="Normal 6 4 3 2 4 2 3 3" xfId="0"/>
    <cellStyle name="Normal 6 4 3 2 4 2 3 3 2" xfId="0"/>
    <cellStyle name="Normal 6 4 3 2 4 2 3 4" xfId="0"/>
    <cellStyle name="Normal 6 4 3 2 4 2 4" xfId="0"/>
    <cellStyle name="Normal 6 4 3 2 4 2 4 2" xfId="0"/>
    <cellStyle name="Normal 6 4 3 2 4 2 4 2 2" xfId="0"/>
    <cellStyle name="Normal 6 4 3 2 4 2 4 3" xfId="0"/>
    <cellStyle name="Normal 6 4 3 2 4 2 5" xfId="0"/>
    <cellStyle name="Normal 6 4 3 2 4 2 5 2" xfId="0"/>
    <cellStyle name="Normal 6 4 3 2 4 2 6" xfId="0"/>
    <cellStyle name="Normal 6 4 3 2 4 3" xfId="0"/>
    <cellStyle name="Normal 6 4 3 2 4 3 2" xfId="0"/>
    <cellStyle name="Normal 6 4 3 2 4 3 2 2" xfId="0"/>
    <cellStyle name="Normal 6 4 3 2 4 3 2 2 2" xfId="0"/>
    <cellStyle name="Normal 6 4 3 2 4 3 2 2 2 2" xfId="0"/>
    <cellStyle name="Normal 6 4 3 2 4 3 2 2 3" xfId="0"/>
    <cellStyle name="Normal 6 4 3 2 4 3 2 3" xfId="0"/>
    <cellStyle name="Normal 6 4 3 2 4 3 2 3 2" xfId="0"/>
    <cellStyle name="Normal 6 4 3 2 4 3 2 4" xfId="0"/>
    <cellStyle name="Normal 6 4 3 2 4 3 3" xfId="0"/>
    <cellStyle name="Normal 6 4 3 2 4 3 3 2" xfId="0"/>
    <cellStyle name="Normal 6 4 3 2 4 3 3 2 2" xfId="0"/>
    <cellStyle name="Normal 6 4 3 2 4 3 3 3" xfId="0"/>
    <cellStyle name="Normal 6 4 3 2 4 3 4" xfId="0"/>
    <cellStyle name="Normal 6 4 3 2 4 3 4 2" xfId="0"/>
    <cellStyle name="Normal 6 4 3 2 4 3 5" xfId="0"/>
    <cellStyle name="Normal 6 4 3 2 4 4" xfId="0"/>
    <cellStyle name="Normal 6 4 3 2 4 4 2" xfId="0"/>
    <cellStyle name="Normal 6 4 3 2 4 4 2 2" xfId="0"/>
    <cellStyle name="Normal 6 4 3 2 4 4 2 2 2" xfId="0"/>
    <cellStyle name="Normal 6 4 3 2 4 4 2 3" xfId="0"/>
    <cellStyle name="Normal 6 4 3 2 4 4 3" xfId="0"/>
    <cellStyle name="Normal 6 4 3 2 4 4 3 2" xfId="0"/>
    <cellStyle name="Normal 6 4 3 2 4 4 4" xfId="0"/>
    <cellStyle name="Normal 6 4 3 2 4 5" xfId="0"/>
    <cellStyle name="Normal 6 4 3 2 4 5 2" xfId="0"/>
    <cellStyle name="Normal 6 4 3 2 4 5 2 2" xfId="0"/>
    <cellStyle name="Normal 6 4 3 2 4 5 3" xfId="0"/>
    <cellStyle name="Normal 6 4 3 2 4 6" xfId="0"/>
    <cellStyle name="Normal 6 4 3 2 4 6 2" xfId="0"/>
    <cellStyle name="Normal 6 4 3 2 4 7" xfId="0"/>
    <cellStyle name="Normal 6 4 3 2 5" xfId="0"/>
    <cellStyle name="Normal 6 4 3 2 5 2" xfId="0"/>
    <cellStyle name="Normal 6 4 3 2 5 2 2" xfId="0"/>
    <cellStyle name="Normal 6 4 3 2 5 2 2 2" xfId="0"/>
    <cellStyle name="Normal 6 4 3 2 5 2 2 2 2" xfId="0"/>
    <cellStyle name="Normal 6 4 3 2 5 2 2 2 2 2" xfId="0"/>
    <cellStyle name="Normal 6 4 3 2 5 2 2 2 2 2 2" xfId="0"/>
    <cellStyle name="Normal 6 4 3 2 5 2 2 2 2 3" xfId="0"/>
    <cellStyle name="Normal 6 4 3 2 5 2 2 2 3" xfId="0"/>
    <cellStyle name="Normal 6 4 3 2 5 2 2 2 3 2" xfId="0"/>
    <cellStyle name="Normal 6 4 3 2 5 2 2 2 4" xfId="0"/>
    <cellStyle name="Normal 6 4 3 2 5 2 2 3" xfId="0"/>
    <cellStyle name="Normal 6 4 3 2 5 2 2 3 2" xfId="0"/>
    <cellStyle name="Normal 6 4 3 2 5 2 2 3 2 2" xfId="0"/>
    <cellStyle name="Normal 6 4 3 2 5 2 2 3 3" xfId="0"/>
    <cellStyle name="Normal 6 4 3 2 5 2 2 4" xfId="0"/>
    <cellStyle name="Normal 6 4 3 2 5 2 2 4 2" xfId="0"/>
    <cellStyle name="Normal 6 4 3 2 5 2 2 5" xfId="0"/>
    <cellStyle name="Normal 6 4 3 2 5 2 3" xfId="0"/>
    <cellStyle name="Normal 6 4 3 2 5 2 3 2" xfId="0"/>
    <cellStyle name="Normal 6 4 3 2 5 2 3 2 2" xfId="0"/>
    <cellStyle name="Normal 6 4 3 2 5 2 3 2 2 2" xfId="0"/>
    <cellStyle name="Normal 6 4 3 2 5 2 3 2 3" xfId="0"/>
    <cellStyle name="Normal 6 4 3 2 5 2 3 3" xfId="0"/>
    <cellStyle name="Normal 6 4 3 2 5 2 3 3 2" xfId="0"/>
    <cellStyle name="Normal 6 4 3 2 5 2 3 4" xfId="0"/>
    <cellStyle name="Normal 6 4 3 2 5 2 4" xfId="0"/>
    <cellStyle name="Normal 6 4 3 2 5 2 4 2" xfId="0"/>
    <cellStyle name="Normal 6 4 3 2 5 2 4 2 2" xfId="0"/>
    <cellStyle name="Normal 6 4 3 2 5 2 4 3" xfId="0"/>
    <cellStyle name="Normal 6 4 3 2 5 2 5" xfId="0"/>
    <cellStyle name="Normal 6 4 3 2 5 2 5 2" xfId="0"/>
    <cellStyle name="Normal 6 4 3 2 5 2 6" xfId="0"/>
    <cellStyle name="Normal 6 4 3 2 5 3" xfId="0"/>
    <cellStyle name="Normal 6 4 3 2 5 3 2" xfId="0"/>
    <cellStyle name="Normal 6 4 3 2 5 3 2 2" xfId="0"/>
    <cellStyle name="Normal 6 4 3 2 5 3 2 2 2" xfId="0"/>
    <cellStyle name="Normal 6 4 3 2 5 3 2 2 2 2" xfId="0"/>
    <cellStyle name="Normal 6 4 3 2 5 3 2 2 3" xfId="0"/>
    <cellStyle name="Normal 6 4 3 2 5 3 2 3" xfId="0"/>
    <cellStyle name="Normal 6 4 3 2 5 3 2 3 2" xfId="0"/>
    <cellStyle name="Normal 6 4 3 2 5 3 2 4" xfId="0"/>
    <cellStyle name="Normal 6 4 3 2 5 3 3" xfId="0"/>
    <cellStyle name="Normal 6 4 3 2 5 3 3 2" xfId="0"/>
    <cellStyle name="Normal 6 4 3 2 5 3 3 2 2" xfId="0"/>
    <cellStyle name="Normal 6 4 3 2 5 3 3 3" xfId="0"/>
    <cellStyle name="Normal 6 4 3 2 5 3 4" xfId="0"/>
    <cellStyle name="Normal 6 4 3 2 5 3 4 2" xfId="0"/>
    <cellStyle name="Normal 6 4 3 2 5 3 5" xfId="0"/>
    <cellStyle name="Normal 6 4 3 2 5 4" xfId="0"/>
    <cellStyle name="Normal 6 4 3 2 5 4 2" xfId="0"/>
    <cellStyle name="Normal 6 4 3 2 5 4 2 2" xfId="0"/>
    <cellStyle name="Normal 6 4 3 2 5 4 2 2 2" xfId="0"/>
    <cellStyle name="Normal 6 4 3 2 5 4 2 3" xfId="0"/>
    <cellStyle name="Normal 6 4 3 2 5 4 3" xfId="0"/>
    <cellStyle name="Normal 6 4 3 2 5 4 3 2" xfId="0"/>
    <cellStyle name="Normal 6 4 3 2 5 4 4" xfId="0"/>
    <cellStyle name="Normal 6 4 3 2 5 5" xfId="0"/>
    <cellStyle name="Normal 6 4 3 2 5 5 2" xfId="0"/>
    <cellStyle name="Normal 6 4 3 2 5 5 2 2" xfId="0"/>
    <cellStyle name="Normal 6 4 3 2 5 5 3" xfId="0"/>
    <cellStyle name="Normal 6 4 3 2 5 6" xfId="0"/>
    <cellStyle name="Normal 6 4 3 2 5 6 2" xfId="0"/>
    <cellStyle name="Normal 6 4 3 2 5 7" xfId="0"/>
    <cellStyle name="Normal 6 4 3 2 6" xfId="0"/>
    <cellStyle name="Normal 6 4 3 2 6 2" xfId="0"/>
    <cellStyle name="Normal 6 4 3 2 6 2 2" xfId="0"/>
    <cellStyle name="Normal 6 4 3 2 6 2 2 2" xfId="0"/>
    <cellStyle name="Normal 6 4 3 2 6 2 2 2 2" xfId="0"/>
    <cellStyle name="Normal 6 4 3 2 6 2 2 2 2 2" xfId="0"/>
    <cellStyle name="Normal 6 4 3 2 6 2 2 2 3" xfId="0"/>
    <cellStyle name="Normal 6 4 3 2 6 2 2 3" xfId="0"/>
    <cellStyle name="Normal 6 4 3 2 6 2 2 3 2" xfId="0"/>
    <cellStyle name="Normal 6 4 3 2 6 2 2 4" xfId="0"/>
    <cellStyle name="Normal 6 4 3 2 6 2 3" xfId="0"/>
    <cellStyle name="Normal 6 4 3 2 6 2 3 2" xfId="0"/>
    <cellStyle name="Normal 6 4 3 2 6 2 3 2 2" xfId="0"/>
    <cellStyle name="Normal 6 4 3 2 6 2 3 3" xfId="0"/>
    <cellStyle name="Normal 6 4 3 2 6 2 4" xfId="0"/>
    <cellStyle name="Normal 6 4 3 2 6 2 4 2" xfId="0"/>
    <cellStyle name="Normal 6 4 3 2 6 2 5" xfId="0"/>
    <cellStyle name="Normal 6 4 3 2 6 3" xfId="0"/>
    <cellStyle name="Normal 6 4 3 2 6 3 2" xfId="0"/>
    <cellStyle name="Normal 6 4 3 2 6 3 2 2" xfId="0"/>
    <cellStyle name="Normal 6 4 3 2 6 3 2 2 2" xfId="0"/>
    <cellStyle name="Normal 6 4 3 2 6 3 2 3" xfId="0"/>
    <cellStyle name="Normal 6 4 3 2 6 3 3" xfId="0"/>
    <cellStyle name="Normal 6 4 3 2 6 3 3 2" xfId="0"/>
    <cellStyle name="Normal 6 4 3 2 6 3 4" xfId="0"/>
    <cellStyle name="Normal 6 4 3 2 6 4" xfId="0"/>
    <cellStyle name="Normal 6 4 3 2 6 4 2" xfId="0"/>
    <cellStyle name="Normal 6 4 3 2 6 4 2 2" xfId="0"/>
    <cellStyle name="Normal 6 4 3 2 6 4 3" xfId="0"/>
    <cellStyle name="Normal 6 4 3 2 6 5" xfId="0"/>
    <cellStyle name="Normal 6 4 3 2 6 5 2" xfId="0"/>
    <cellStyle name="Normal 6 4 3 2 6 6" xfId="0"/>
    <cellStyle name="Normal 6 4 3 2 7" xfId="0"/>
    <cellStyle name="Normal 6 4 3 2 7 2" xfId="0"/>
    <cellStyle name="Normal 6 4 3 2 7 2 2" xfId="0"/>
    <cellStyle name="Normal 6 4 3 2 7 2 2 2" xfId="0"/>
    <cellStyle name="Normal 6 4 3 2 7 2 2 2 2" xfId="0"/>
    <cellStyle name="Normal 6 4 3 2 7 2 2 3" xfId="0"/>
    <cellStyle name="Normal 6 4 3 2 7 2 3" xfId="0"/>
    <cellStyle name="Normal 6 4 3 2 7 2 3 2" xfId="0"/>
    <cellStyle name="Normal 6 4 3 2 7 2 4" xfId="0"/>
    <cellStyle name="Normal 6 4 3 2 7 3" xfId="0"/>
    <cellStyle name="Normal 6 4 3 2 7 3 2" xfId="0"/>
    <cellStyle name="Normal 6 4 3 2 7 3 2 2" xfId="0"/>
    <cellStyle name="Normal 6 4 3 2 7 3 3" xfId="0"/>
    <cellStyle name="Normal 6 4 3 2 7 4" xfId="0"/>
    <cellStyle name="Normal 6 4 3 2 7 4 2" xfId="0"/>
    <cellStyle name="Normal 6 4 3 2 7 5" xfId="0"/>
    <cellStyle name="Normal 6 4 3 2 8" xfId="0"/>
    <cellStyle name="Normal 6 4 3 2 8 2" xfId="0"/>
    <cellStyle name="Normal 6 4 3 2 8 2 2" xfId="0"/>
    <cellStyle name="Normal 6 4 3 2 8 2 2 2" xfId="0"/>
    <cellStyle name="Normal 6 4 3 2 8 2 3" xfId="0"/>
    <cellStyle name="Normal 6 4 3 2 8 3" xfId="0"/>
    <cellStyle name="Normal 6 4 3 2 8 3 2" xfId="0"/>
    <cellStyle name="Normal 6 4 3 2 8 4" xfId="0"/>
    <cellStyle name="Normal 6 4 3 2 9" xfId="0"/>
    <cellStyle name="Normal 6 4 3 2 9 2" xfId="0"/>
    <cellStyle name="Normal 6 4 3 2 9 2 2" xfId="0"/>
    <cellStyle name="Normal 6 4 3 2 9 3" xfId="0"/>
    <cellStyle name="Normal 6 4 3 3" xfId="0"/>
    <cellStyle name="Normal 6 4 3 3 2" xfId="0"/>
    <cellStyle name="Normal 6 4 3 3 2 2" xfId="0"/>
    <cellStyle name="Normal 6 4 3 3 2 2 2" xfId="0"/>
    <cellStyle name="Normal 6 4 3 3 2 2 2 2" xfId="0"/>
    <cellStyle name="Normal 6 4 3 3 2 2 2 2 2" xfId="0"/>
    <cellStyle name="Normal 6 4 3 3 2 2 2 2 2 2" xfId="0"/>
    <cellStyle name="Normal 6 4 3 3 2 2 2 2 2 2 2" xfId="0"/>
    <cellStyle name="Normal 6 4 3 3 2 2 2 2 2 3" xfId="0"/>
    <cellStyle name="Normal 6 4 3 3 2 2 2 2 3" xfId="0"/>
    <cellStyle name="Normal 6 4 3 3 2 2 2 2 3 2" xfId="0"/>
    <cellStyle name="Normal 6 4 3 3 2 2 2 2 4" xfId="0"/>
    <cellStyle name="Normal 6 4 3 3 2 2 2 3" xfId="0"/>
    <cellStyle name="Normal 6 4 3 3 2 2 2 3 2" xfId="0"/>
    <cellStyle name="Normal 6 4 3 3 2 2 2 3 2 2" xfId="0"/>
    <cellStyle name="Normal 6 4 3 3 2 2 2 3 3" xfId="0"/>
    <cellStyle name="Normal 6 4 3 3 2 2 2 4" xfId="0"/>
    <cellStyle name="Normal 6 4 3 3 2 2 2 4 2" xfId="0"/>
    <cellStyle name="Normal 6 4 3 3 2 2 2 5" xfId="0"/>
    <cellStyle name="Normal 6 4 3 3 2 2 3" xfId="0"/>
    <cellStyle name="Normal 6 4 3 3 2 2 3 2" xfId="0"/>
    <cellStyle name="Normal 6 4 3 3 2 2 3 2 2" xfId="0"/>
    <cellStyle name="Normal 6 4 3 3 2 2 3 2 2 2" xfId="0"/>
    <cellStyle name="Normal 6 4 3 3 2 2 3 2 3" xfId="0"/>
    <cellStyle name="Normal 6 4 3 3 2 2 3 3" xfId="0"/>
    <cellStyle name="Normal 6 4 3 3 2 2 3 3 2" xfId="0"/>
    <cellStyle name="Normal 6 4 3 3 2 2 3 4" xfId="0"/>
    <cellStyle name="Normal 6 4 3 3 2 2 4" xfId="0"/>
    <cellStyle name="Normal 6 4 3 3 2 2 4 2" xfId="0"/>
    <cellStyle name="Normal 6 4 3 3 2 2 4 2 2" xfId="0"/>
    <cellStyle name="Normal 6 4 3 3 2 2 4 3" xfId="0"/>
    <cellStyle name="Normal 6 4 3 3 2 2 5" xfId="0"/>
    <cellStyle name="Normal 6 4 3 3 2 2 5 2" xfId="0"/>
    <cellStyle name="Normal 6 4 3 3 2 2 6" xfId="0"/>
    <cellStyle name="Normal 6 4 3 3 2 3" xfId="0"/>
    <cellStyle name="Normal 6 4 3 3 2 3 2" xfId="0"/>
    <cellStyle name="Normal 6 4 3 3 2 3 2 2" xfId="0"/>
    <cellStyle name="Normal 6 4 3 3 2 3 2 2 2" xfId="0"/>
    <cellStyle name="Normal 6 4 3 3 2 3 2 2 2 2" xfId="0"/>
    <cellStyle name="Normal 6 4 3 3 2 3 2 2 3" xfId="0"/>
    <cellStyle name="Normal 6 4 3 3 2 3 2 3" xfId="0"/>
    <cellStyle name="Normal 6 4 3 3 2 3 2 3 2" xfId="0"/>
    <cellStyle name="Normal 6 4 3 3 2 3 2 4" xfId="0"/>
    <cellStyle name="Normal 6 4 3 3 2 3 3" xfId="0"/>
    <cellStyle name="Normal 6 4 3 3 2 3 3 2" xfId="0"/>
    <cellStyle name="Normal 6 4 3 3 2 3 3 2 2" xfId="0"/>
    <cellStyle name="Normal 6 4 3 3 2 3 3 3" xfId="0"/>
    <cellStyle name="Normal 6 4 3 3 2 3 4" xfId="0"/>
    <cellStyle name="Normal 6 4 3 3 2 3 4 2" xfId="0"/>
    <cellStyle name="Normal 6 4 3 3 2 3 5" xfId="0"/>
    <cellStyle name="Normal 6 4 3 3 2 4" xfId="0"/>
    <cellStyle name="Normal 6 4 3 3 2 4 2" xfId="0"/>
    <cellStyle name="Normal 6 4 3 3 2 4 2 2" xfId="0"/>
    <cellStyle name="Normal 6 4 3 3 2 4 2 2 2" xfId="0"/>
    <cellStyle name="Normal 6 4 3 3 2 4 2 3" xfId="0"/>
    <cellStyle name="Normal 6 4 3 3 2 4 3" xfId="0"/>
    <cellStyle name="Normal 6 4 3 3 2 4 3 2" xfId="0"/>
    <cellStyle name="Normal 6 4 3 3 2 4 4" xfId="0"/>
    <cellStyle name="Normal 6 4 3 3 2 5" xfId="0"/>
    <cellStyle name="Normal 6 4 3 3 2 5 2" xfId="0"/>
    <cellStyle name="Normal 6 4 3 3 2 5 2 2" xfId="0"/>
    <cellStyle name="Normal 6 4 3 3 2 5 3" xfId="0"/>
    <cellStyle name="Normal 6 4 3 3 2 6" xfId="0"/>
    <cellStyle name="Normal 6 4 3 3 2 6 2" xfId="0"/>
    <cellStyle name="Normal 6 4 3 3 2 7" xfId="0"/>
    <cellStyle name="Normal 6 4 3 3 3" xfId="0"/>
    <cellStyle name="Normal 6 4 3 3 3 2" xfId="0"/>
    <cellStyle name="Normal 6 4 3 3 3 2 2" xfId="0"/>
    <cellStyle name="Normal 6 4 3 3 3 2 2 2" xfId="0"/>
    <cellStyle name="Normal 6 4 3 3 3 2 2 2 2" xfId="0"/>
    <cellStyle name="Normal 6 4 3 3 3 2 2 2 2 2" xfId="0"/>
    <cellStyle name="Normal 6 4 3 3 3 2 2 2 3" xfId="0"/>
    <cellStyle name="Normal 6 4 3 3 3 2 2 3" xfId="0"/>
    <cellStyle name="Normal 6 4 3 3 3 2 2 3 2" xfId="0"/>
    <cellStyle name="Normal 6 4 3 3 3 2 2 4" xfId="0"/>
    <cellStyle name="Normal 6 4 3 3 3 2 3" xfId="0"/>
    <cellStyle name="Normal 6 4 3 3 3 2 3 2" xfId="0"/>
    <cellStyle name="Normal 6 4 3 3 3 2 3 2 2" xfId="0"/>
    <cellStyle name="Normal 6 4 3 3 3 2 3 3" xfId="0"/>
    <cellStyle name="Normal 6 4 3 3 3 2 4" xfId="0"/>
    <cellStyle name="Normal 6 4 3 3 3 2 4 2" xfId="0"/>
    <cellStyle name="Normal 6 4 3 3 3 2 5" xfId="0"/>
    <cellStyle name="Normal 6 4 3 3 3 3" xfId="0"/>
    <cellStyle name="Normal 6 4 3 3 3 3 2" xfId="0"/>
    <cellStyle name="Normal 6 4 3 3 3 3 2 2" xfId="0"/>
    <cellStyle name="Normal 6 4 3 3 3 3 2 2 2" xfId="0"/>
    <cellStyle name="Normal 6 4 3 3 3 3 2 3" xfId="0"/>
    <cellStyle name="Normal 6 4 3 3 3 3 3" xfId="0"/>
    <cellStyle name="Normal 6 4 3 3 3 3 3 2" xfId="0"/>
    <cellStyle name="Normal 6 4 3 3 3 3 4" xfId="0"/>
    <cellStyle name="Normal 6 4 3 3 3 4" xfId="0"/>
    <cellStyle name="Normal 6 4 3 3 3 4 2" xfId="0"/>
    <cellStyle name="Normal 6 4 3 3 3 4 2 2" xfId="0"/>
    <cellStyle name="Normal 6 4 3 3 3 4 3" xfId="0"/>
    <cellStyle name="Normal 6 4 3 3 3 5" xfId="0"/>
    <cellStyle name="Normal 6 4 3 3 3 5 2" xfId="0"/>
    <cellStyle name="Normal 6 4 3 3 3 6" xfId="0"/>
    <cellStyle name="Normal 6 4 3 3 4" xfId="0"/>
    <cellStyle name="Normal 6 4 3 3 4 2" xfId="0"/>
    <cellStyle name="Normal 6 4 3 3 4 2 2" xfId="0"/>
    <cellStyle name="Normal 6 4 3 3 4 2 2 2" xfId="0"/>
    <cellStyle name="Normal 6 4 3 3 4 2 2 2 2" xfId="0"/>
    <cellStyle name="Normal 6 4 3 3 4 2 2 3" xfId="0"/>
    <cellStyle name="Normal 6 4 3 3 4 2 3" xfId="0"/>
    <cellStyle name="Normal 6 4 3 3 4 2 3 2" xfId="0"/>
    <cellStyle name="Normal 6 4 3 3 4 2 4" xfId="0"/>
    <cellStyle name="Normal 6 4 3 3 4 3" xfId="0"/>
    <cellStyle name="Normal 6 4 3 3 4 3 2" xfId="0"/>
    <cellStyle name="Normal 6 4 3 3 4 3 2 2" xfId="0"/>
    <cellStyle name="Normal 6 4 3 3 4 3 3" xfId="0"/>
    <cellStyle name="Normal 6 4 3 3 4 4" xfId="0"/>
    <cellStyle name="Normal 6 4 3 3 4 4 2" xfId="0"/>
    <cellStyle name="Normal 6 4 3 3 4 5" xfId="0"/>
    <cellStyle name="Normal 6 4 3 3 5" xfId="0"/>
    <cellStyle name="Normal 6 4 3 3 5 2" xfId="0"/>
    <cellStyle name="Normal 6 4 3 3 5 2 2" xfId="0"/>
    <cellStyle name="Normal 6 4 3 3 5 2 2 2" xfId="0"/>
    <cellStyle name="Normal 6 4 3 3 5 2 3" xfId="0"/>
    <cellStyle name="Normal 6 4 3 3 5 3" xfId="0"/>
    <cellStyle name="Normal 6 4 3 3 5 3 2" xfId="0"/>
    <cellStyle name="Normal 6 4 3 3 5 4" xfId="0"/>
    <cellStyle name="Normal 6 4 3 3 6" xfId="0"/>
    <cellStyle name="Normal 6 4 3 3 6 2" xfId="0"/>
    <cellStyle name="Normal 6 4 3 3 6 2 2" xfId="0"/>
    <cellStyle name="Normal 6 4 3 3 6 3" xfId="0"/>
    <cellStyle name="Normal 6 4 3 3 7" xfId="0"/>
    <cellStyle name="Normal 6 4 3 3 7 2" xfId="0"/>
    <cellStyle name="Normal 6 4 3 3 8" xfId="0"/>
    <cellStyle name="Normal 6 4 3 4" xfId="0"/>
    <cellStyle name="Normal 6 4 3 4 2" xfId="0"/>
    <cellStyle name="Normal 6 4 3 4 2 2" xfId="0"/>
    <cellStyle name="Normal 6 4 3 4 2 2 2" xfId="0"/>
    <cellStyle name="Normal 6 4 3 4 2 2 2 2" xfId="0"/>
    <cellStyle name="Normal 6 4 3 4 2 2 2 2 2" xfId="0"/>
    <cellStyle name="Normal 6 4 3 4 2 2 2 2 2 2" xfId="0"/>
    <cellStyle name="Normal 6 4 3 4 2 2 2 2 2 2 2" xfId="0"/>
    <cellStyle name="Normal 6 4 3 4 2 2 2 2 2 3" xfId="0"/>
    <cellStyle name="Normal 6 4 3 4 2 2 2 2 3" xfId="0"/>
    <cellStyle name="Normal 6 4 3 4 2 2 2 2 3 2" xfId="0"/>
    <cellStyle name="Normal 6 4 3 4 2 2 2 2 4" xfId="0"/>
    <cellStyle name="Normal 6 4 3 4 2 2 2 3" xfId="0"/>
    <cellStyle name="Normal 6 4 3 4 2 2 2 3 2" xfId="0"/>
    <cellStyle name="Normal 6 4 3 4 2 2 2 3 2 2" xfId="0"/>
    <cellStyle name="Normal 6 4 3 4 2 2 2 3 3" xfId="0"/>
    <cellStyle name="Normal 6 4 3 4 2 2 2 4" xfId="0"/>
    <cellStyle name="Normal 6 4 3 4 2 2 2 4 2" xfId="0"/>
    <cellStyle name="Normal 6 4 3 4 2 2 2 5" xfId="0"/>
    <cellStyle name="Normal 6 4 3 4 2 2 3" xfId="0"/>
    <cellStyle name="Normal 6 4 3 4 2 2 3 2" xfId="0"/>
    <cellStyle name="Normal 6 4 3 4 2 2 3 2 2" xfId="0"/>
    <cellStyle name="Normal 6 4 3 4 2 2 3 2 2 2" xfId="0"/>
    <cellStyle name="Normal 6 4 3 4 2 2 3 2 3" xfId="0"/>
    <cellStyle name="Normal 6 4 3 4 2 2 3 3" xfId="0"/>
    <cellStyle name="Normal 6 4 3 4 2 2 3 3 2" xfId="0"/>
    <cellStyle name="Normal 6 4 3 4 2 2 3 4" xfId="0"/>
    <cellStyle name="Normal 6 4 3 4 2 2 4" xfId="0"/>
    <cellStyle name="Normal 6 4 3 4 2 2 4 2" xfId="0"/>
    <cellStyle name="Normal 6 4 3 4 2 2 4 2 2" xfId="0"/>
    <cellStyle name="Normal 6 4 3 4 2 2 4 3" xfId="0"/>
    <cellStyle name="Normal 6 4 3 4 2 2 5" xfId="0"/>
    <cellStyle name="Normal 6 4 3 4 2 2 5 2" xfId="0"/>
    <cellStyle name="Normal 6 4 3 4 2 2 6" xfId="0"/>
    <cellStyle name="Normal 6 4 3 4 2 3" xfId="0"/>
    <cellStyle name="Normal 6 4 3 4 2 3 2" xfId="0"/>
    <cellStyle name="Normal 6 4 3 4 2 3 2 2" xfId="0"/>
    <cellStyle name="Normal 6 4 3 4 2 3 2 2 2" xfId="0"/>
    <cellStyle name="Normal 6 4 3 4 2 3 2 2 2 2" xfId="0"/>
    <cellStyle name="Normal 6 4 3 4 2 3 2 2 3" xfId="0"/>
    <cellStyle name="Normal 6 4 3 4 2 3 2 3" xfId="0"/>
    <cellStyle name="Normal 6 4 3 4 2 3 2 3 2" xfId="0"/>
    <cellStyle name="Normal 6 4 3 4 2 3 2 4" xfId="0"/>
    <cellStyle name="Normal 6 4 3 4 2 3 3" xfId="0"/>
    <cellStyle name="Normal 6 4 3 4 2 3 3 2" xfId="0"/>
    <cellStyle name="Normal 6 4 3 4 2 3 3 2 2" xfId="0"/>
    <cellStyle name="Normal 6 4 3 4 2 3 3 3" xfId="0"/>
    <cellStyle name="Normal 6 4 3 4 2 3 4" xfId="0"/>
    <cellStyle name="Normal 6 4 3 4 2 3 4 2" xfId="0"/>
    <cellStyle name="Normal 6 4 3 4 2 3 5" xfId="0"/>
    <cellStyle name="Normal 6 4 3 4 2 4" xfId="0"/>
    <cellStyle name="Normal 6 4 3 4 2 4 2" xfId="0"/>
    <cellStyle name="Normal 6 4 3 4 2 4 2 2" xfId="0"/>
    <cellStyle name="Normal 6 4 3 4 2 4 2 2 2" xfId="0"/>
    <cellStyle name="Normal 6 4 3 4 2 4 2 3" xfId="0"/>
    <cellStyle name="Normal 6 4 3 4 2 4 3" xfId="0"/>
    <cellStyle name="Normal 6 4 3 4 2 4 3 2" xfId="0"/>
    <cellStyle name="Normal 6 4 3 4 2 4 4" xfId="0"/>
    <cellStyle name="Normal 6 4 3 4 2 5" xfId="0"/>
    <cellStyle name="Normal 6 4 3 4 2 5 2" xfId="0"/>
    <cellStyle name="Normal 6 4 3 4 2 5 2 2" xfId="0"/>
    <cellStyle name="Normal 6 4 3 4 2 5 3" xfId="0"/>
    <cellStyle name="Normal 6 4 3 4 2 6" xfId="0"/>
    <cellStyle name="Normal 6 4 3 4 2 6 2" xfId="0"/>
    <cellStyle name="Normal 6 4 3 4 2 7" xfId="0"/>
    <cellStyle name="Normal 6 4 3 4 3" xfId="0"/>
    <cellStyle name="Normal 6 4 3 4 3 2" xfId="0"/>
    <cellStyle name="Normal 6 4 3 4 3 2 2" xfId="0"/>
    <cellStyle name="Normal 6 4 3 4 3 2 2 2" xfId="0"/>
    <cellStyle name="Normal 6 4 3 4 3 2 2 2 2" xfId="0"/>
    <cellStyle name="Normal 6 4 3 4 3 2 2 2 2 2" xfId="0"/>
    <cellStyle name="Normal 6 4 3 4 3 2 2 2 3" xfId="0"/>
    <cellStyle name="Normal 6 4 3 4 3 2 2 3" xfId="0"/>
    <cellStyle name="Normal 6 4 3 4 3 2 2 3 2" xfId="0"/>
    <cellStyle name="Normal 6 4 3 4 3 2 2 4" xfId="0"/>
    <cellStyle name="Normal 6 4 3 4 3 2 3" xfId="0"/>
    <cellStyle name="Normal 6 4 3 4 3 2 3 2" xfId="0"/>
    <cellStyle name="Normal 6 4 3 4 3 2 3 2 2" xfId="0"/>
    <cellStyle name="Normal 6 4 3 4 3 2 3 3" xfId="0"/>
    <cellStyle name="Normal 6 4 3 4 3 2 4" xfId="0"/>
    <cellStyle name="Normal 6 4 3 4 3 2 4 2" xfId="0"/>
    <cellStyle name="Normal 6 4 3 4 3 2 5" xfId="0"/>
    <cellStyle name="Normal 6 4 3 4 3 3" xfId="0"/>
    <cellStyle name="Normal 6 4 3 4 3 3 2" xfId="0"/>
    <cellStyle name="Normal 6 4 3 4 3 3 2 2" xfId="0"/>
    <cellStyle name="Normal 6 4 3 4 3 3 2 2 2" xfId="0"/>
    <cellStyle name="Normal 6 4 3 4 3 3 2 3" xfId="0"/>
    <cellStyle name="Normal 6 4 3 4 3 3 3" xfId="0"/>
    <cellStyle name="Normal 6 4 3 4 3 3 3 2" xfId="0"/>
    <cellStyle name="Normal 6 4 3 4 3 3 4" xfId="0"/>
    <cellStyle name="Normal 6 4 3 4 3 4" xfId="0"/>
    <cellStyle name="Normal 6 4 3 4 3 4 2" xfId="0"/>
    <cellStyle name="Normal 6 4 3 4 3 4 2 2" xfId="0"/>
    <cellStyle name="Normal 6 4 3 4 3 4 3" xfId="0"/>
    <cellStyle name="Normal 6 4 3 4 3 5" xfId="0"/>
    <cellStyle name="Normal 6 4 3 4 3 5 2" xfId="0"/>
    <cellStyle name="Normal 6 4 3 4 3 6" xfId="0"/>
    <cellStyle name="Normal 6 4 3 4 4" xfId="0"/>
    <cellStyle name="Normal 6 4 3 4 4 2" xfId="0"/>
    <cellStyle name="Normal 6 4 3 4 4 2 2" xfId="0"/>
    <cellStyle name="Normal 6 4 3 4 4 2 2 2" xfId="0"/>
    <cellStyle name="Normal 6 4 3 4 4 2 2 2 2" xfId="0"/>
    <cellStyle name="Normal 6 4 3 4 4 2 2 3" xfId="0"/>
    <cellStyle name="Normal 6 4 3 4 4 2 3" xfId="0"/>
    <cellStyle name="Normal 6 4 3 4 4 2 3 2" xfId="0"/>
    <cellStyle name="Normal 6 4 3 4 4 2 4" xfId="0"/>
    <cellStyle name="Normal 6 4 3 4 4 3" xfId="0"/>
    <cellStyle name="Normal 6 4 3 4 4 3 2" xfId="0"/>
    <cellStyle name="Normal 6 4 3 4 4 3 2 2" xfId="0"/>
    <cellStyle name="Normal 6 4 3 4 4 3 3" xfId="0"/>
    <cellStyle name="Normal 6 4 3 4 4 4" xfId="0"/>
    <cellStyle name="Normal 6 4 3 4 4 4 2" xfId="0"/>
    <cellStyle name="Normal 6 4 3 4 4 5" xfId="0"/>
    <cellStyle name="Normal 6 4 3 4 5" xfId="0"/>
    <cellStyle name="Normal 6 4 3 4 5 2" xfId="0"/>
    <cellStyle name="Normal 6 4 3 4 5 2 2" xfId="0"/>
    <cellStyle name="Normal 6 4 3 4 5 2 2 2" xfId="0"/>
    <cellStyle name="Normal 6 4 3 4 5 2 3" xfId="0"/>
    <cellStyle name="Normal 6 4 3 4 5 3" xfId="0"/>
    <cellStyle name="Normal 6 4 3 4 5 3 2" xfId="0"/>
    <cellStyle name="Normal 6 4 3 4 5 4" xfId="0"/>
    <cellStyle name="Normal 6 4 3 4 6" xfId="0"/>
    <cellStyle name="Normal 6 4 3 4 6 2" xfId="0"/>
    <cellStyle name="Normal 6 4 3 4 6 2 2" xfId="0"/>
    <cellStyle name="Normal 6 4 3 4 6 3" xfId="0"/>
    <cellStyle name="Normal 6 4 3 4 7" xfId="0"/>
    <cellStyle name="Normal 6 4 3 4 7 2" xfId="0"/>
    <cellStyle name="Normal 6 4 3 4 8" xfId="0"/>
    <cellStyle name="Normal 6 4 3 5" xfId="0"/>
    <cellStyle name="Normal 6 4 3 5 2" xfId="0"/>
    <cellStyle name="Normal 6 4 3 5 2 2" xfId="0"/>
    <cellStyle name="Normal 6 4 3 5 2 2 2" xfId="0"/>
    <cellStyle name="Normal 6 4 3 5 2 2 2 2" xfId="0"/>
    <cellStyle name="Normal 6 4 3 5 2 2 2 2 2" xfId="0"/>
    <cellStyle name="Normal 6 4 3 5 2 2 2 2 2 2" xfId="0"/>
    <cellStyle name="Normal 6 4 3 5 2 2 2 2 3" xfId="0"/>
    <cellStyle name="Normal 6 4 3 5 2 2 2 3" xfId="0"/>
    <cellStyle name="Normal 6 4 3 5 2 2 2 3 2" xfId="0"/>
    <cellStyle name="Normal 6 4 3 5 2 2 2 4" xfId="0"/>
    <cellStyle name="Normal 6 4 3 5 2 2 3" xfId="0"/>
    <cellStyle name="Normal 6 4 3 5 2 2 3 2" xfId="0"/>
    <cellStyle name="Normal 6 4 3 5 2 2 3 2 2" xfId="0"/>
    <cellStyle name="Normal 6 4 3 5 2 2 3 3" xfId="0"/>
    <cellStyle name="Normal 6 4 3 5 2 2 4" xfId="0"/>
    <cellStyle name="Normal 6 4 3 5 2 2 4 2" xfId="0"/>
    <cellStyle name="Normal 6 4 3 5 2 2 5" xfId="0"/>
    <cellStyle name="Normal 6 4 3 5 2 3" xfId="0"/>
    <cellStyle name="Normal 6 4 3 5 2 3 2" xfId="0"/>
    <cellStyle name="Normal 6 4 3 5 2 3 2 2" xfId="0"/>
    <cellStyle name="Normal 6 4 3 5 2 3 2 2 2" xfId="0"/>
    <cellStyle name="Normal 6 4 3 5 2 3 2 3" xfId="0"/>
    <cellStyle name="Normal 6 4 3 5 2 3 3" xfId="0"/>
    <cellStyle name="Normal 6 4 3 5 2 3 3 2" xfId="0"/>
    <cellStyle name="Normal 6 4 3 5 2 3 4" xfId="0"/>
    <cellStyle name="Normal 6 4 3 5 2 4" xfId="0"/>
    <cellStyle name="Normal 6 4 3 5 2 4 2" xfId="0"/>
    <cellStyle name="Normal 6 4 3 5 2 4 2 2" xfId="0"/>
    <cellStyle name="Normal 6 4 3 5 2 4 3" xfId="0"/>
    <cellStyle name="Normal 6 4 3 5 2 5" xfId="0"/>
    <cellStyle name="Normal 6 4 3 5 2 5 2" xfId="0"/>
    <cellStyle name="Normal 6 4 3 5 2 6" xfId="0"/>
    <cellStyle name="Normal 6 4 3 5 3" xfId="0"/>
    <cellStyle name="Normal 6 4 3 5 3 2" xfId="0"/>
    <cellStyle name="Normal 6 4 3 5 3 2 2" xfId="0"/>
    <cellStyle name="Normal 6 4 3 5 3 2 2 2" xfId="0"/>
    <cellStyle name="Normal 6 4 3 5 3 2 2 2 2" xfId="0"/>
    <cellStyle name="Normal 6 4 3 5 3 2 2 3" xfId="0"/>
    <cellStyle name="Normal 6 4 3 5 3 2 3" xfId="0"/>
    <cellStyle name="Normal 6 4 3 5 3 2 3 2" xfId="0"/>
    <cellStyle name="Normal 6 4 3 5 3 2 4" xfId="0"/>
    <cellStyle name="Normal 6 4 3 5 3 3" xfId="0"/>
    <cellStyle name="Normal 6 4 3 5 3 3 2" xfId="0"/>
    <cellStyle name="Normal 6 4 3 5 3 3 2 2" xfId="0"/>
    <cellStyle name="Normal 6 4 3 5 3 3 3" xfId="0"/>
    <cellStyle name="Normal 6 4 3 5 3 4" xfId="0"/>
    <cellStyle name="Normal 6 4 3 5 3 4 2" xfId="0"/>
    <cellStyle name="Normal 6 4 3 5 3 5" xfId="0"/>
    <cellStyle name="Normal 6 4 3 5 4" xfId="0"/>
    <cellStyle name="Normal 6 4 3 5 4 2" xfId="0"/>
    <cellStyle name="Normal 6 4 3 5 4 2 2" xfId="0"/>
    <cellStyle name="Normal 6 4 3 5 4 2 2 2" xfId="0"/>
    <cellStyle name="Normal 6 4 3 5 4 2 3" xfId="0"/>
    <cellStyle name="Normal 6 4 3 5 4 3" xfId="0"/>
    <cellStyle name="Normal 6 4 3 5 4 3 2" xfId="0"/>
    <cellStyle name="Normal 6 4 3 5 4 4" xfId="0"/>
    <cellStyle name="Normal 6 4 3 5 5" xfId="0"/>
    <cellStyle name="Normal 6 4 3 5 5 2" xfId="0"/>
    <cellStyle name="Normal 6 4 3 5 5 2 2" xfId="0"/>
    <cellStyle name="Normal 6 4 3 5 5 3" xfId="0"/>
    <cellStyle name="Normal 6 4 3 5 6" xfId="0"/>
    <cellStyle name="Normal 6 4 3 5 6 2" xfId="0"/>
    <cellStyle name="Normal 6 4 3 5 7" xfId="0"/>
    <cellStyle name="Normal 6 4 3 6" xfId="0"/>
    <cellStyle name="Normal 6 4 3 6 2" xfId="0"/>
    <cellStyle name="Normal 6 4 3 6 2 2" xfId="0"/>
    <cellStyle name="Normal 6 4 3 6 2 2 2" xfId="0"/>
    <cellStyle name="Normal 6 4 3 6 2 2 2 2" xfId="0"/>
    <cellStyle name="Normal 6 4 3 6 2 2 2 2 2" xfId="0"/>
    <cellStyle name="Normal 6 4 3 6 2 2 2 2 2 2" xfId="0"/>
    <cellStyle name="Normal 6 4 3 6 2 2 2 2 3" xfId="0"/>
    <cellStyle name="Normal 6 4 3 6 2 2 2 3" xfId="0"/>
    <cellStyle name="Normal 6 4 3 6 2 2 2 3 2" xfId="0"/>
    <cellStyle name="Normal 6 4 3 6 2 2 2 4" xfId="0"/>
    <cellStyle name="Normal 6 4 3 6 2 2 3" xfId="0"/>
    <cellStyle name="Normal 6 4 3 6 2 2 3 2" xfId="0"/>
    <cellStyle name="Normal 6 4 3 6 2 2 3 2 2" xfId="0"/>
    <cellStyle name="Normal 6 4 3 6 2 2 3 3" xfId="0"/>
    <cellStyle name="Normal 6 4 3 6 2 2 4" xfId="0"/>
    <cellStyle name="Normal 6 4 3 6 2 2 4 2" xfId="0"/>
    <cellStyle name="Normal 6 4 3 6 2 2 5" xfId="0"/>
    <cellStyle name="Normal 6 4 3 6 2 3" xfId="0"/>
    <cellStyle name="Normal 6 4 3 6 2 3 2" xfId="0"/>
    <cellStyle name="Normal 6 4 3 6 2 3 2 2" xfId="0"/>
    <cellStyle name="Normal 6 4 3 6 2 3 2 2 2" xfId="0"/>
    <cellStyle name="Normal 6 4 3 6 2 3 2 3" xfId="0"/>
    <cellStyle name="Normal 6 4 3 6 2 3 3" xfId="0"/>
    <cellStyle name="Normal 6 4 3 6 2 3 3 2" xfId="0"/>
    <cellStyle name="Normal 6 4 3 6 2 3 4" xfId="0"/>
    <cellStyle name="Normal 6 4 3 6 2 4" xfId="0"/>
    <cellStyle name="Normal 6 4 3 6 2 4 2" xfId="0"/>
    <cellStyle name="Normal 6 4 3 6 2 4 2 2" xfId="0"/>
    <cellStyle name="Normal 6 4 3 6 2 4 3" xfId="0"/>
    <cellStyle name="Normal 6 4 3 6 2 5" xfId="0"/>
    <cellStyle name="Normal 6 4 3 6 2 5 2" xfId="0"/>
    <cellStyle name="Normal 6 4 3 6 2 6" xfId="0"/>
    <cellStyle name="Normal 6 4 3 6 3" xfId="0"/>
    <cellStyle name="Normal 6 4 3 6 3 2" xfId="0"/>
    <cellStyle name="Normal 6 4 3 6 3 2 2" xfId="0"/>
    <cellStyle name="Normal 6 4 3 6 3 2 2 2" xfId="0"/>
    <cellStyle name="Normal 6 4 3 6 3 2 2 2 2" xfId="0"/>
    <cellStyle name="Normal 6 4 3 6 3 2 2 3" xfId="0"/>
    <cellStyle name="Normal 6 4 3 6 3 2 3" xfId="0"/>
    <cellStyle name="Normal 6 4 3 6 3 2 3 2" xfId="0"/>
    <cellStyle name="Normal 6 4 3 6 3 2 4" xfId="0"/>
    <cellStyle name="Normal 6 4 3 6 3 3" xfId="0"/>
    <cellStyle name="Normal 6 4 3 6 3 3 2" xfId="0"/>
    <cellStyle name="Normal 6 4 3 6 3 3 2 2" xfId="0"/>
    <cellStyle name="Normal 6 4 3 6 3 3 3" xfId="0"/>
    <cellStyle name="Normal 6 4 3 6 3 4" xfId="0"/>
    <cellStyle name="Normal 6 4 3 6 3 4 2" xfId="0"/>
    <cellStyle name="Normal 6 4 3 6 3 5" xfId="0"/>
    <cellStyle name="Normal 6 4 3 6 4" xfId="0"/>
    <cellStyle name="Normal 6 4 3 6 4 2" xfId="0"/>
    <cellStyle name="Normal 6 4 3 6 4 2 2" xfId="0"/>
    <cellStyle name="Normal 6 4 3 6 4 2 2 2" xfId="0"/>
    <cellStyle name="Normal 6 4 3 6 4 2 3" xfId="0"/>
    <cellStyle name="Normal 6 4 3 6 4 3" xfId="0"/>
    <cellStyle name="Normal 6 4 3 6 4 3 2" xfId="0"/>
    <cellStyle name="Normal 6 4 3 6 4 4" xfId="0"/>
    <cellStyle name="Normal 6 4 3 6 5" xfId="0"/>
    <cellStyle name="Normal 6 4 3 6 5 2" xfId="0"/>
    <cellStyle name="Normal 6 4 3 6 5 2 2" xfId="0"/>
    <cellStyle name="Normal 6 4 3 6 5 3" xfId="0"/>
    <cellStyle name="Normal 6 4 3 6 6" xfId="0"/>
    <cellStyle name="Normal 6 4 3 6 6 2" xfId="0"/>
    <cellStyle name="Normal 6 4 3 6 7" xfId="0"/>
    <cellStyle name="Normal 6 4 3 7" xfId="0"/>
    <cellStyle name="Normal 6 4 3 7 2" xfId="0"/>
    <cellStyle name="Normal 6 4 3 7 2 2" xfId="0"/>
    <cellStyle name="Normal 6 4 3 7 2 2 2" xfId="0"/>
    <cellStyle name="Normal 6 4 3 7 2 2 2 2" xfId="0"/>
    <cellStyle name="Normal 6 4 3 7 2 2 2 2 2" xfId="0"/>
    <cellStyle name="Normal 6 4 3 7 2 2 2 3" xfId="0"/>
    <cellStyle name="Normal 6 4 3 7 2 2 3" xfId="0"/>
    <cellStyle name="Normal 6 4 3 7 2 2 3 2" xfId="0"/>
    <cellStyle name="Normal 6 4 3 7 2 2 4" xfId="0"/>
    <cellStyle name="Normal 6 4 3 7 2 3" xfId="0"/>
    <cellStyle name="Normal 6 4 3 7 2 3 2" xfId="0"/>
    <cellStyle name="Normal 6 4 3 7 2 3 2 2" xfId="0"/>
    <cellStyle name="Normal 6 4 3 7 2 3 3" xfId="0"/>
    <cellStyle name="Normal 6 4 3 7 2 4" xfId="0"/>
    <cellStyle name="Normal 6 4 3 7 2 4 2" xfId="0"/>
    <cellStyle name="Normal 6 4 3 7 2 5" xfId="0"/>
    <cellStyle name="Normal 6 4 3 7 3" xfId="0"/>
    <cellStyle name="Normal 6 4 3 7 3 2" xfId="0"/>
    <cellStyle name="Normal 6 4 3 7 3 2 2" xfId="0"/>
    <cellStyle name="Normal 6 4 3 7 3 2 2 2" xfId="0"/>
    <cellStyle name="Normal 6 4 3 7 3 2 3" xfId="0"/>
    <cellStyle name="Normal 6 4 3 7 3 3" xfId="0"/>
    <cellStyle name="Normal 6 4 3 7 3 3 2" xfId="0"/>
    <cellStyle name="Normal 6 4 3 7 3 4" xfId="0"/>
    <cellStyle name="Normal 6 4 3 7 4" xfId="0"/>
    <cellStyle name="Normal 6 4 3 7 4 2" xfId="0"/>
    <cellStyle name="Normal 6 4 3 7 4 2 2" xfId="0"/>
    <cellStyle name="Normal 6 4 3 7 4 3" xfId="0"/>
    <cellStyle name="Normal 6 4 3 7 5" xfId="0"/>
    <cellStyle name="Normal 6 4 3 7 5 2" xfId="0"/>
    <cellStyle name="Normal 6 4 3 7 6" xfId="0"/>
    <cellStyle name="Normal 6 4 3 8" xfId="0"/>
    <cellStyle name="Normal 6 4 3 8 2" xfId="0"/>
    <cellStyle name="Normal 6 4 3 8 2 2" xfId="0"/>
    <cellStyle name="Normal 6 4 3 8 2 2 2" xfId="0"/>
    <cellStyle name="Normal 6 4 3 8 2 2 2 2" xfId="0"/>
    <cellStyle name="Normal 6 4 3 8 2 2 3" xfId="0"/>
    <cellStyle name="Normal 6 4 3 8 2 3" xfId="0"/>
    <cellStyle name="Normal 6 4 3 8 2 3 2" xfId="0"/>
    <cellStyle name="Normal 6 4 3 8 2 4" xfId="0"/>
    <cellStyle name="Normal 6 4 3 8 3" xfId="0"/>
    <cellStyle name="Normal 6 4 3 8 3 2" xfId="0"/>
    <cellStyle name="Normal 6 4 3 8 3 2 2" xfId="0"/>
    <cellStyle name="Normal 6 4 3 8 3 3" xfId="0"/>
    <cellStyle name="Normal 6 4 3 8 4" xfId="0"/>
    <cellStyle name="Normal 6 4 3 8 4 2" xfId="0"/>
    <cellStyle name="Normal 6 4 3 8 5" xfId="0"/>
    <cellStyle name="Normal 6 4 3 9" xfId="0"/>
    <cellStyle name="Normal 6 4 3 9 2" xfId="0"/>
    <cellStyle name="Normal 6 4 3 9 2 2" xfId="0"/>
    <cellStyle name="Normal 6 4 3 9 2 2 2" xfId="0"/>
    <cellStyle name="Normal 6 4 3 9 2 3" xfId="0"/>
    <cellStyle name="Normal 6 4 3 9 3" xfId="0"/>
    <cellStyle name="Normal 6 4 3 9 3 2" xfId="0"/>
    <cellStyle name="Normal 6 4 3 9 4" xfId="0"/>
    <cellStyle name="Normal 6 4 4" xfId="0"/>
    <cellStyle name="Normal 6 4 4 10" xfId="0"/>
    <cellStyle name="Normal 6 4 4 10 2" xfId="0"/>
    <cellStyle name="Normal 6 4 4 10 2 2" xfId="0"/>
    <cellStyle name="Normal 6 4 4 10 3" xfId="0"/>
    <cellStyle name="Normal 6 4 4 11" xfId="0"/>
    <cellStyle name="Normal 6 4 4 11 2" xfId="0"/>
    <cellStyle name="Normal 6 4 4 12" xfId="0"/>
    <cellStyle name="Normal 6 4 4 2" xfId="0"/>
    <cellStyle name="Normal 6 4 4 2 10" xfId="0"/>
    <cellStyle name="Normal 6 4 4 2 10 2" xfId="0"/>
    <cellStyle name="Normal 6 4 4 2 11" xfId="0"/>
    <cellStyle name="Normal 6 4 4 2 2" xfId="0"/>
    <cellStyle name="Normal 6 4 4 2 2 2" xfId="0"/>
    <cellStyle name="Normal 6 4 4 2 2 2 2" xfId="0"/>
    <cellStyle name="Normal 6 4 4 2 2 2 2 2" xfId="0"/>
    <cellStyle name="Normal 6 4 4 2 2 2 2 2 2" xfId="0"/>
    <cellStyle name="Normal 6 4 4 2 2 2 2 2 2 2" xfId="0"/>
    <cellStyle name="Normal 6 4 4 2 2 2 2 2 2 2 2" xfId="0"/>
    <cellStyle name="Normal 6 4 4 2 2 2 2 2 2 2 2 2" xfId="0"/>
    <cellStyle name="Normal 6 4 4 2 2 2 2 2 2 2 3" xfId="0"/>
    <cellStyle name="Normal 6 4 4 2 2 2 2 2 2 3" xfId="0"/>
    <cellStyle name="Normal 6 4 4 2 2 2 2 2 2 3 2" xfId="0"/>
    <cellStyle name="Normal 6 4 4 2 2 2 2 2 2 4" xfId="0"/>
    <cellStyle name="Normal 6 4 4 2 2 2 2 2 3" xfId="0"/>
    <cellStyle name="Normal 6 4 4 2 2 2 2 2 3 2" xfId="0"/>
    <cellStyle name="Normal 6 4 4 2 2 2 2 2 3 2 2" xfId="0"/>
    <cellStyle name="Normal 6 4 4 2 2 2 2 2 3 3" xfId="0"/>
    <cellStyle name="Normal 6 4 4 2 2 2 2 2 4" xfId="0"/>
    <cellStyle name="Normal 6 4 4 2 2 2 2 2 4 2" xfId="0"/>
    <cellStyle name="Normal 6 4 4 2 2 2 2 2 5" xfId="0"/>
    <cellStyle name="Normal 6 4 4 2 2 2 2 3" xfId="0"/>
    <cellStyle name="Normal 6 4 4 2 2 2 2 3 2" xfId="0"/>
    <cellStyle name="Normal 6 4 4 2 2 2 2 3 2 2" xfId="0"/>
    <cellStyle name="Normal 6 4 4 2 2 2 2 3 2 2 2" xfId="0"/>
    <cellStyle name="Normal 6 4 4 2 2 2 2 3 2 3" xfId="0"/>
    <cellStyle name="Normal 6 4 4 2 2 2 2 3 3" xfId="0"/>
    <cellStyle name="Normal 6 4 4 2 2 2 2 3 3 2" xfId="0"/>
    <cellStyle name="Normal 6 4 4 2 2 2 2 3 4" xfId="0"/>
    <cellStyle name="Normal 6 4 4 2 2 2 2 4" xfId="0"/>
    <cellStyle name="Normal 6 4 4 2 2 2 2 4 2" xfId="0"/>
    <cellStyle name="Normal 6 4 4 2 2 2 2 4 2 2" xfId="0"/>
    <cellStyle name="Normal 6 4 4 2 2 2 2 4 3" xfId="0"/>
    <cellStyle name="Normal 6 4 4 2 2 2 2 5" xfId="0"/>
    <cellStyle name="Normal 6 4 4 2 2 2 2 5 2" xfId="0"/>
    <cellStyle name="Normal 6 4 4 2 2 2 2 6" xfId="0"/>
    <cellStyle name="Normal 6 4 4 2 2 2 3" xfId="0"/>
    <cellStyle name="Normal 6 4 4 2 2 2 3 2" xfId="0"/>
    <cellStyle name="Normal 6 4 4 2 2 2 3 2 2" xfId="0"/>
    <cellStyle name="Normal 6 4 4 2 2 2 3 2 2 2" xfId="0"/>
    <cellStyle name="Normal 6 4 4 2 2 2 3 2 2 2 2" xfId="0"/>
    <cellStyle name="Normal 6 4 4 2 2 2 3 2 2 3" xfId="0"/>
    <cellStyle name="Normal 6 4 4 2 2 2 3 2 3" xfId="0"/>
    <cellStyle name="Normal 6 4 4 2 2 2 3 2 3 2" xfId="0"/>
    <cellStyle name="Normal 6 4 4 2 2 2 3 2 4" xfId="0"/>
    <cellStyle name="Normal 6 4 4 2 2 2 3 3" xfId="0"/>
    <cellStyle name="Normal 6 4 4 2 2 2 3 3 2" xfId="0"/>
    <cellStyle name="Normal 6 4 4 2 2 2 3 3 2 2" xfId="0"/>
    <cellStyle name="Normal 6 4 4 2 2 2 3 3 3" xfId="0"/>
    <cellStyle name="Normal 6 4 4 2 2 2 3 4" xfId="0"/>
    <cellStyle name="Normal 6 4 4 2 2 2 3 4 2" xfId="0"/>
    <cellStyle name="Normal 6 4 4 2 2 2 3 5" xfId="0"/>
    <cellStyle name="Normal 6 4 4 2 2 2 4" xfId="0"/>
    <cellStyle name="Normal 6 4 4 2 2 2 4 2" xfId="0"/>
    <cellStyle name="Normal 6 4 4 2 2 2 4 2 2" xfId="0"/>
    <cellStyle name="Normal 6 4 4 2 2 2 4 2 2 2" xfId="0"/>
    <cellStyle name="Normal 6 4 4 2 2 2 4 2 3" xfId="0"/>
    <cellStyle name="Normal 6 4 4 2 2 2 4 3" xfId="0"/>
    <cellStyle name="Normal 6 4 4 2 2 2 4 3 2" xfId="0"/>
    <cellStyle name="Normal 6 4 4 2 2 2 4 4" xfId="0"/>
    <cellStyle name="Normal 6 4 4 2 2 2 5" xfId="0"/>
    <cellStyle name="Normal 6 4 4 2 2 2 5 2" xfId="0"/>
    <cellStyle name="Normal 6 4 4 2 2 2 5 2 2" xfId="0"/>
    <cellStyle name="Normal 6 4 4 2 2 2 5 3" xfId="0"/>
    <cellStyle name="Normal 6 4 4 2 2 2 6" xfId="0"/>
    <cellStyle name="Normal 6 4 4 2 2 2 6 2" xfId="0"/>
    <cellStyle name="Normal 6 4 4 2 2 2 7" xfId="0"/>
    <cellStyle name="Normal 6 4 4 2 2 3" xfId="0"/>
    <cellStyle name="Normal 6 4 4 2 2 3 2" xfId="0"/>
    <cellStyle name="Normal 6 4 4 2 2 3 2 2" xfId="0"/>
    <cellStyle name="Normal 6 4 4 2 2 3 2 2 2" xfId="0"/>
    <cellStyle name="Normal 6 4 4 2 2 3 2 2 2 2" xfId="0"/>
    <cellStyle name="Normal 6 4 4 2 2 3 2 2 2 2 2" xfId="0"/>
    <cellStyle name="Normal 6 4 4 2 2 3 2 2 2 3" xfId="0"/>
    <cellStyle name="Normal 6 4 4 2 2 3 2 2 3" xfId="0"/>
    <cellStyle name="Normal 6 4 4 2 2 3 2 2 3 2" xfId="0"/>
    <cellStyle name="Normal 6 4 4 2 2 3 2 2 4" xfId="0"/>
    <cellStyle name="Normal 6 4 4 2 2 3 2 3" xfId="0"/>
    <cellStyle name="Normal 6 4 4 2 2 3 2 3 2" xfId="0"/>
    <cellStyle name="Normal 6 4 4 2 2 3 2 3 2 2" xfId="0"/>
    <cellStyle name="Normal 6 4 4 2 2 3 2 3 3" xfId="0"/>
    <cellStyle name="Normal 6 4 4 2 2 3 2 4" xfId="0"/>
    <cellStyle name="Normal 6 4 4 2 2 3 2 4 2" xfId="0"/>
    <cellStyle name="Normal 6 4 4 2 2 3 2 5" xfId="0"/>
    <cellStyle name="Normal 6 4 4 2 2 3 3" xfId="0"/>
    <cellStyle name="Normal 6 4 4 2 2 3 3 2" xfId="0"/>
    <cellStyle name="Normal 6 4 4 2 2 3 3 2 2" xfId="0"/>
    <cellStyle name="Normal 6 4 4 2 2 3 3 2 2 2" xfId="0"/>
    <cellStyle name="Normal 6 4 4 2 2 3 3 2 3" xfId="0"/>
    <cellStyle name="Normal 6 4 4 2 2 3 3 3" xfId="0"/>
    <cellStyle name="Normal 6 4 4 2 2 3 3 3 2" xfId="0"/>
    <cellStyle name="Normal 6 4 4 2 2 3 3 4" xfId="0"/>
    <cellStyle name="Normal 6 4 4 2 2 3 4" xfId="0"/>
    <cellStyle name="Normal 6 4 4 2 2 3 4 2" xfId="0"/>
    <cellStyle name="Normal 6 4 4 2 2 3 4 2 2" xfId="0"/>
    <cellStyle name="Normal 6 4 4 2 2 3 4 3" xfId="0"/>
    <cellStyle name="Normal 6 4 4 2 2 3 5" xfId="0"/>
    <cellStyle name="Normal 6 4 4 2 2 3 5 2" xfId="0"/>
    <cellStyle name="Normal 6 4 4 2 2 3 6" xfId="0"/>
    <cellStyle name="Normal 6 4 4 2 2 4" xfId="0"/>
    <cellStyle name="Normal 6 4 4 2 2 4 2" xfId="0"/>
    <cellStyle name="Normal 6 4 4 2 2 4 2 2" xfId="0"/>
    <cellStyle name="Normal 6 4 4 2 2 4 2 2 2" xfId="0"/>
    <cellStyle name="Normal 6 4 4 2 2 4 2 2 2 2" xfId="0"/>
    <cellStyle name="Normal 6 4 4 2 2 4 2 2 3" xfId="0"/>
    <cellStyle name="Normal 6 4 4 2 2 4 2 3" xfId="0"/>
    <cellStyle name="Normal 6 4 4 2 2 4 2 3 2" xfId="0"/>
    <cellStyle name="Normal 6 4 4 2 2 4 2 4" xfId="0"/>
    <cellStyle name="Normal 6 4 4 2 2 4 3" xfId="0"/>
    <cellStyle name="Normal 6 4 4 2 2 4 3 2" xfId="0"/>
    <cellStyle name="Normal 6 4 4 2 2 4 3 2 2" xfId="0"/>
    <cellStyle name="Normal 6 4 4 2 2 4 3 3" xfId="0"/>
    <cellStyle name="Normal 6 4 4 2 2 4 4" xfId="0"/>
    <cellStyle name="Normal 6 4 4 2 2 4 4 2" xfId="0"/>
    <cellStyle name="Normal 6 4 4 2 2 4 5" xfId="0"/>
    <cellStyle name="Normal 6 4 4 2 2 5" xfId="0"/>
    <cellStyle name="Normal 6 4 4 2 2 5 2" xfId="0"/>
    <cellStyle name="Normal 6 4 4 2 2 5 2 2" xfId="0"/>
    <cellStyle name="Normal 6 4 4 2 2 5 2 2 2" xfId="0"/>
    <cellStyle name="Normal 6 4 4 2 2 5 2 3" xfId="0"/>
    <cellStyle name="Normal 6 4 4 2 2 5 3" xfId="0"/>
    <cellStyle name="Normal 6 4 4 2 2 5 3 2" xfId="0"/>
    <cellStyle name="Normal 6 4 4 2 2 5 4" xfId="0"/>
    <cellStyle name="Normal 6 4 4 2 2 6" xfId="0"/>
    <cellStyle name="Normal 6 4 4 2 2 6 2" xfId="0"/>
    <cellStyle name="Normal 6 4 4 2 2 6 2 2" xfId="0"/>
    <cellStyle name="Normal 6 4 4 2 2 6 3" xfId="0"/>
    <cellStyle name="Normal 6 4 4 2 2 7" xfId="0"/>
    <cellStyle name="Normal 6 4 4 2 2 7 2" xfId="0"/>
    <cellStyle name="Normal 6 4 4 2 2 8" xfId="0"/>
    <cellStyle name="Normal 6 4 4 2 3" xfId="0"/>
    <cellStyle name="Normal 6 4 4 2 3 2" xfId="0"/>
    <cellStyle name="Normal 6 4 4 2 3 2 2" xfId="0"/>
    <cellStyle name="Normal 6 4 4 2 3 2 2 2" xfId="0"/>
    <cellStyle name="Normal 6 4 4 2 3 2 2 2 2" xfId="0"/>
    <cellStyle name="Normal 6 4 4 2 3 2 2 2 2 2" xfId="0"/>
    <cellStyle name="Normal 6 4 4 2 3 2 2 2 2 2 2" xfId="0"/>
    <cellStyle name="Normal 6 4 4 2 3 2 2 2 2 2 2 2" xfId="0"/>
    <cellStyle name="Normal 6 4 4 2 3 2 2 2 2 2 3" xfId="0"/>
    <cellStyle name="Normal 6 4 4 2 3 2 2 2 2 3" xfId="0"/>
    <cellStyle name="Normal 6 4 4 2 3 2 2 2 2 3 2" xfId="0"/>
    <cellStyle name="Normal 6 4 4 2 3 2 2 2 2 4" xfId="0"/>
    <cellStyle name="Normal 6 4 4 2 3 2 2 2 3" xfId="0"/>
    <cellStyle name="Normal 6 4 4 2 3 2 2 2 3 2" xfId="0"/>
    <cellStyle name="Normal 6 4 4 2 3 2 2 2 3 2 2" xfId="0"/>
    <cellStyle name="Normal 6 4 4 2 3 2 2 2 3 3" xfId="0"/>
    <cellStyle name="Normal 6 4 4 2 3 2 2 2 4" xfId="0"/>
    <cellStyle name="Normal 6 4 4 2 3 2 2 2 4 2" xfId="0"/>
    <cellStyle name="Normal 6 4 4 2 3 2 2 2 5" xfId="0"/>
    <cellStyle name="Normal 6 4 4 2 3 2 2 3" xfId="0"/>
    <cellStyle name="Normal 6 4 4 2 3 2 2 3 2" xfId="0"/>
    <cellStyle name="Normal 6 4 4 2 3 2 2 3 2 2" xfId="0"/>
    <cellStyle name="Normal 6 4 4 2 3 2 2 3 2 2 2" xfId="0"/>
    <cellStyle name="Normal 6 4 4 2 3 2 2 3 2 3" xfId="0"/>
    <cellStyle name="Normal 6 4 4 2 3 2 2 3 3" xfId="0"/>
    <cellStyle name="Normal 6 4 4 2 3 2 2 3 3 2" xfId="0"/>
    <cellStyle name="Normal 6 4 4 2 3 2 2 3 4" xfId="0"/>
    <cellStyle name="Normal 6 4 4 2 3 2 2 4" xfId="0"/>
    <cellStyle name="Normal 6 4 4 2 3 2 2 4 2" xfId="0"/>
    <cellStyle name="Normal 6 4 4 2 3 2 2 4 2 2" xfId="0"/>
    <cellStyle name="Normal 6 4 4 2 3 2 2 4 3" xfId="0"/>
    <cellStyle name="Normal 6 4 4 2 3 2 2 5" xfId="0"/>
    <cellStyle name="Normal 6 4 4 2 3 2 2 5 2" xfId="0"/>
    <cellStyle name="Normal 6 4 4 2 3 2 2 6" xfId="0"/>
    <cellStyle name="Normal 6 4 4 2 3 2 3" xfId="0"/>
    <cellStyle name="Normal 6 4 4 2 3 2 3 2" xfId="0"/>
    <cellStyle name="Normal 6 4 4 2 3 2 3 2 2" xfId="0"/>
    <cellStyle name="Normal 6 4 4 2 3 2 3 2 2 2" xfId="0"/>
    <cellStyle name="Normal 6 4 4 2 3 2 3 2 2 2 2" xfId="0"/>
    <cellStyle name="Normal 6 4 4 2 3 2 3 2 2 3" xfId="0"/>
    <cellStyle name="Normal 6 4 4 2 3 2 3 2 3" xfId="0"/>
    <cellStyle name="Normal 6 4 4 2 3 2 3 2 3 2" xfId="0"/>
    <cellStyle name="Normal 6 4 4 2 3 2 3 2 4" xfId="0"/>
    <cellStyle name="Normal 6 4 4 2 3 2 3 3" xfId="0"/>
    <cellStyle name="Normal 6 4 4 2 3 2 3 3 2" xfId="0"/>
    <cellStyle name="Normal 6 4 4 2 3 2 3 3 2 2" xfId="0"/>
    <cellStyle name="Normal 6 4 4 2 3 2 3 3 3" xfId="0"/>
    <cellStyle name="Normal 6 4 4 2 3 2 3 4" xfId="0"/>
    <cellStyle name="Normal 6 4 4 2 3 2 3 4 2" xfId="0"/>
    <cellStyle name="Normal 6 4 4 2 3 2 3 5" xfId="0"/>
    <cellStyle name="Normal 6 4 4 2 3 2 4" xfId="0"/>
    <cellStyle name="Normal 6 4 4 2 3 2 4 2" xfId="0"/>
    <cellStyle name="Normal 6 4 4 2 3 2 4 2 2" xfId="0"/>
    <cellStyle name="Normal 6 4 4 2 3 2 4 2 2 2" xfId="0"/>
    <cellStyle name="Normal 6 4 4 2 3 2 4 2 3" xfId="0"/>
    <cellStyle name="Normal 6 4 4 2 3 2 4 3" xfId="0"/>
    <cellStyle name="Normal 6 4 4 2 3 2 4 3 2" xfId="0"/>
    <cellStyle name="Normal 6 4 4 2 3 2 4 4" xfId="0"/>
    <cellStyle name="Normal 6 4 4 2 3 2 5" xfId="0"/>
    <cellStyle name="Normal 6 4 4 2 3 2 5 2" xfId="0"/>
    <cellStyle name="Normal 6 4 4 2 3 2 5 2 2" xfId="0"/>
    <cellStyle name="Normal 6 4 4 2 3 2 5 3" xfId="0"/>
    <cellStyle name="Normal 6 4 4 2 3 2 6" xfId="0"/>
    <cellStyle name="Normal 6 4 4 2 3 2 6 2" xfId="0"/>
    <cellStyle name="Normal 6 4 4 2 3 2 7" xfId="0"/>
    <cellStyle name="Normal 6 4 4 2 3 3" xfId="0"/>
    <cellStyle name="Normal 6 4 4 2 3 3 2" xfId="0"/>
    <cellStyle name="Normal 6 4 4 2 3 3 2 2" xfId="0"/>
    <cellStyle name="Normal 6 4 4 2 3 3 2 2 2" xfId="0"/>
    <cellStyle name="Normal 6 4 4 2 3 3 2 2 2 2" xfId="0"/>
    <cellStyle name="Normal 6 4 4 2 3 3 2 2 2 2 2" xfId="0"/>
    <cellStyle name="Normal 6 4 4 2 3 3 2 2 2 3" xfId="0"/>
    <cellStyle name="Normal 6 4 4 2 3 3 2 2 3" xfId="0"/>
    <cellStyle name="Normal 6 4 4 2 3 3 2 2 3 2" xfId="0"/>
    <cellStyle name="Normal 6 4 4 2 3 3 2 2 4" xfId="0"/>
    <cellStyle name="Normal 6 4 4 2 3 3 2 3" xfId="0"/>
    <cellStyle name="Normal 6 4 4 2 3 3 2 3 2" xfId="0"/>
    <cellStyle name="Normal 6 4 4 2 3 3 2 3 2 2" xfId="0"/>
    <cellStyle name="Normal 6 4 4 2 3 3 2 3 3" xfId="0"/>
    <cellStyle name="Normal 6 4 4 2 3 3 2 4" xfId="0"/>
    <cellStyle name="Normal 6 4 4 2 3 3 2 4 2" xfId="0"/>
    <cellStyle name="Normal 6 4 4 2 3 3 2 5" xfId="0"/>
    <cellStyle name="Normal 6 4 4 2 3 3 3" xfId="0"/>
    <cellStyle name="Normal 6 4 4 2 3 3 3 2" xfId="0"/>
    <cellStyle name="Normal 6 4 4 2 3 3 3 2 2" xfId="0"/>
    <cellStyle name="Normal 6 4 4 2 3 3 3 2 2 2" xfId="0"/>
    <cellStyle name="Normal 6 4 4 2 3 3 3 2 3" xfId="0"/>
    <cellStyle name="Normal 6 4 4 2 3 3 3 3" xfId="0"/>
    <cellStyle name="Normal 6 4 4 2 3 3 3 3 2" xfId="0"/>
    <cellStyle name="Normal 6 4 4 2 3 3 3 4" xfId="0"/>
    <cellStyle name="Normal 6 4 4 2 3 3 4" xfId="0"/>
    <cellStyle name="Normal 6 4 4 2 3 3 4 2" xfId="0"/>
    <cellStyle name="Normal 6 4 4 2 3 3 4 2 2" xfId="0"/>
    <cellStyle name="Normal 6 4 4 2 3 3 4 3" xfId="0"/>
    <cellStyle name="Normal 6 4 4 2 3 3 5" xfId="0"/>
    <cellStyle name="Normal 6 4 4 2 3 3 5 2" xfId="0"/>
    <cellStyle name="Normal 6 4 4 2 3 3 6" xfId="0"/>
    <cellStyle name="Normal 6 4 4 2 3 4" xfId="0"/>
    <cellStyle name="Normal 6 4 4 2 3 4 2" xfId="0"/>
    <cellStyle name="Normal 6 4 4 2 3 4 2 2" xfId="0"/>
    <cellStyle name="Normal 6 4 4 2 3 4 2 2 2" xfId="0"/>
    <cellStyle name="Normal 6 4 4 2 3 4 2 2 2 2" xfId="0"/>
    <cellStyle name="Normal 6 4 4 2 3 4 2 2 3" xfId="0"/>
    <cellStyle name="Normal 6 4 4 2 3 4 2 3" xfId="0"/>
    <cellStyle name="Normal 6 4 4 2 3 4 2 3 2" xfId="0"/>
    <cellStyle name="Normal 6 4 4 2 3 4 2 4" xfId="0"/>
    <cellStyle name="Normal 6 4 4 2 3 4 3" xfId="0"/>
    <cellStyle name="Normal 6 4 4 2 3 4 3 2" xfId="0"/>
    <cellStyle name="Normal 6 4 4 2 3 4 3 2 2" xfId="0"/>
    <cellStyle name="Normal 6 4 4 2 3 4 3 3" xfId="0"/>
    <cellStyle name="Normal 6 4 4 2 3 4 4" xfId="0"/>
    <cellStyle name="Normal 6 4 4 2 3 4 4 2" xfId="0"/>
    <cellStyle name="Normal 6 4 4 2 3 4 5" xfId="0"/>
    <cellStyle name="Normal 6 4 4 2 3 5" xfId="0"/>
    <cellStyle name="Normal 6 4 4 2 3 5 2" xfId="0"/>
    <cellStyle name="Normal 6 4 4 2 3 5 2 2" xfId="0"/>
    <cellStyle name="Normal 6 4 4 2 3 5 2 2 2" xfId="0"/>
    <cellStyle name="Normal 6 4 4 2 3 5 2 3" xfId="0"/>
    <cellStyle name="Normal 6 4 4 2 3 5 3" xfId="0"/>
    <cellStyle name="Normal 6 4 4 2 3 5 3 2" xfId="0"/>
    <cellStyle name="Normal 6 4 4 2 3 5 4" xfId="0"/>
    <cellStyle name="Normal 6 4 4 2 3 6" xfId="0"/>
    <cellStyle name="Normal 6 4 4 2 3 6 2" xfId="0"/>
    <cellStyle name="Normal 6 4 4 2 3 6 2 2" xfId="0"/>
    <cellStyle name="Normal 6 4 4 2 3 6 3" xfId="0"/>
    <cellStyle name="Normal 6 4 4 2 3 7" xfId="0"/>
    <cellStyle name="Normal 6 4 4 2 3 7 2" xfId="0"/>
    <cellStyle name="Normal 6 4 4 2 3 8" xfId="0"/>
    <cellStyle name="Normal 6 4 4 2 4" xfId="0"/>
    <cellStyle name="Normal 6 4 4 2 4 2" xfId="0"/>
    <cellStyle name="Normal 6 4 4 2 4 2 2" xfId="0"/>
    <cellStyle name="Normal 6 4 4 2 4 2 2 2" xfId="0"/>
    <cellStyle name="Normal 6 4 4 2 4 2 2 2 2" xfId="0"/>
    <cellStyle name="Normal 6 4 4 2 4 2 2 2 2 2" xfId="0"/>
    <cellStyle name="Normal 6 4 4 2 4 2 2 2 2 2 2" xfId="0"/>
    <cellStyle name="Normal 6 4 4 2 4 2 2 2 2 3" xfId="0"/>
    <cellStyle name="Normal 6 4 4 2 4 2 2 2 3" xfId="0"/>
    <cellStyle name="Normal 6 4 4 2 4 2 2 2 3 2" xfId="0"/>
    <cellStyle name="Normal 6 4 4 2 4 2 2 2 4" xfId="0"/>
    <cellStyle name="Normal 6 4 4 2 4 2 2 3" xfId="0"/>
    <cellStyle name="Normal 6 4 4 2 4 2 2 3 2" xfId="0"/>
    <cellStyle name="Normal 6 4 4 2 4 2 2 3 2 2" xfId="0"/>
    <cellStyle name="Normal 6 4 4 2 4 2 2 3 3" xfId="0"/>
    <cellStyle name="Normal 6 4 4 2 4 2 2 4" xfId="0"/>
    <cellStyle name="Normal 6 4 4 2 4 2 2 4 2" xfId="0"/>
    <cellStyle name="Normal 6 4 4 2 4 2 2 5" xfId="0"/>
    <cellStyle name="Normal 6 4 4 2 4 2 3" xfId="0"/>
    <cellStyle name="Normal 6 4 4 2 4 2 3 2" xfId="0"/>
    <cellStyle name="Normal 6 4 4 2 4 2 3 2 2" xfId="0"/>
    <cellStyle name="Normal 6 4 4 2 4 2 3 2 2 2" xfId="0"/>
    <cellStyle name="Normal 6 4 4 2 4 2 3 2 3" xfId="0"/>
    <cellStyle name="Normal 6 4 4 2 4 2 3 3" xfId="0"/>
    <cellStyle name="Normal 6 4 4 2 4 2 3 3 2" xfId="0"/>
    <cellStyle name="Normal 6 4 4 2 4 2 3 4" xfId="0"/>
    <cellStyle name="Normal 6 4 4 2 4 2 4" xfId="0"/>
    <cellStyle name="Normal 6 4 4 2 4 2 4 2" xfId="0"/>
    <cellStyle name="Normal 6 4 4 2 4 2 4 2 2" xfId="0"/>
    <cellStyle name="Normal 6 4 4 2 4 2 4 3" xfId="0"/>
    <cellStyle name="Normal 6 4 4 2 4 2 5" xfId="0"/>
    <cellStyle name="Normal 6 4 4 2 4 2 5 2" xfId="0"/>
    <cellStyle name="Normal 6 4 4 2 4 2 6" xfId="0"/>
    <cellStyle name="Normal 6 4 4 2 4 3" xfId="0"/>
    <cellStyle name="Normal 6 4 4 2 4 3 2" xfId="0"/>
    <cellStyle name="Normal 6 4 4 2 4 3 2 2" xfId="0"/>
    <cellStyle name="Normal 6 4 4 2 4 3 2 2 2" xfId="0"/>
    <cellStyle name="Normal 6 4 4 2 4 3 2 2 2 2" xfId="0"/>
    <cellStyle name="Normal 6 4 4 2 4 3 2 2 3" xfId="0"/>
    <cellStyle name="Normal 6 4 4 2 4 3 2 3" xfId="0"/>
    <cellStyle name="Normal 6 4 4 2 4 3 2 3 2" xfId="0"/>
    <cellStyle name="Normal 6 4 4 2 4 3 2 4" xfId="0"/>
    <cellStyle name="Normal 6 4 4 2 4 3 3" xfId="0"/>
    <cellStyle name="Normal 6 4 4 2 4 3 3 2" xfId="0"/>
    <cellStyle name="Normal 6 4 4 2 4 3 3 2 2" xfId="0"/>
    <cellStyle name="Normal 6 4 4 2 4 3 3 3" xfId="0"/>
    <cellStyle name="Normal 6 4 4 2 4 3 4" xfId="0"/>
    <cellStyle name="Normal 6 4 4 2 4 3 4 2" xfId="0"/>
    <cellStyle name="Normal 6 4 4 2 4 3 5" xfId="0"/>
    <cellStyle name="Normal 6 4 4 2 4 4" xfId="0"/>
    <cellStyle name="Normal 6 4 4 2 4 4 2" xfId="0"/>
    <cellStyle name="Normal 6 4 4 2 4 4 2 2" xfId="0"/>
    <cellStyle name="Normal 6 4 4 2 4 4 2 2 2" xfId="0"/>
    <cellStyle name="Normal 6 4 4 2 4 4 2 3" xfId="0"/>
    <cellStyle name="Normal 6 4 4 2 4 4 3" xfId="0"/>
    <cellStyle name="Normal 6 4 4 2 4 4 3 2" xfId="0"/>
    <cellStyle name="Normal 6 4 4 2 4 4 4" xfId="0"/>
    <cellStyle name="Normal 6 4 4 2 4 5" xfId="0"/>
    <cellStyle name="Normal 6 4 4 2 4 5 2" xfId="0"/>
    <cellStyle name="Normal 6 4 4 2 4 5 2 2" xfId="0"/>
    <cellStyle name="Normal 6 4 4 2 4 5 3" xfId="0"/>
    <cellStyle name="Normal 6 4 4 2 4 6" xfId="0"/>
    <cellStyle name="Normal 6 4 4 2 4 6 2" xfId="0"/>
    <cellStyle name="Normal 6 4 4 2 4 7" xfId="0"/>
    <cellStyle name="Normal 6 4 4 2 5" xfId="0"/>
    <cellStyle name="Normal 6 4 4 2 5 2" xfId="0"/>
    <cellStyle name="Normal 6 4 4 2 5 2 2" xfId="0"/>
    <cellStyle name="Normal 6 4 4 2 5 2 2 2" xfId="0"/>
    <cellStyle name="Normal 6 4 4 2 5 2 2 2 2" xfId="0"/>
    <cellStyle name="Normal 6 4 4 2 5 2 2 2 2 2" xfId="0"/>
    <cellStyle name="Normal 6 4 4 2 5 2 2 2 2 2 2" xfId="0"/>
    <cellStyle name="Normal 6 4 4 2 5 2 2 2 2 3" xfId="0"/>
    <cellStyle name="Normal 6 4 4 2 5 2 2 2 3" xfId="0"/>
    <cellStyle name="Normal 6 4 4 2 5 2 2 2 3 2" xfId="0"/>
    <cellStyle name="Normal 6 4 4 2 5 2 2 2 4" xfId="0"/>
    <cellStyle name="Normal 6 4 4 2 5 2 2 3" xfId="0"/>
    <cellStyle name="Normal 6 4 4 2 5 2 2 3 2" xfId="0"/>
    <cellStyle name="Normal 6 4 4 2 5 2 2 3 2 2" xfId="0"/>
    <cellStyle name="Normal 6 4 4 2 5 2 2 3 3" xfId="0"/>
    <cellStyle name="Normal 6 4 4 2 5 2 2 4" xfId="0"/>
    <cellStyle name="Normal 6 4 4 2 5 2 2 4 2" xfId="0"/>
    <cellStyle name="Normal 6 4 4 2 5 2 2 5" xfId="0"/>
    <cellStyle name="Normal 6 4 4 2 5 2 3" xfId="0"/>
    <cellStyle name="Normal 6 4 4 2 5 2 3 2" xfId="0"/>
    <cellStyle name="Normal 6 4 4 2 5 2 3 2 2" xfId="0"/>
    <cellStyle name="Normal 6 4 4 2 5 2 3 2 2 2" xfId="0"/>
    <cellStyle name="Normal 6 4 4 2 5 2 3 2 3" xfId="0"/>
    <cellStyle name="Normal 6 4 4 2 5 2 3 3" xfId="0"/>
    <cellStyle name="Normal 6 4 4 2 5 2 3 3 2" xfId="0"/>
    <cellStyle name="Normal 6 4 4 2 5 2 3 4" xfId="0"/>
    <cellStyle name="Normal 6 4 4 2 5 2 4" xfId="0"/>
    <cellStyle name="Normal 6 4 4 2 5 2 4 2" xfId="0"/>
    <cellStyle name="Normal 6 4 4 2 5 2 4 2 2" xfId="0"/>
    <cellStyle name="Normal 6 4 4 2 5 2 4 3" xfId="0"/>
    <cellStyle name="Normal 6 4 4 2 5 2 5" xfId="0"/>
    <cellStyle name="Normal 6 4 4 2 5 2 5 2" xfId="0"/>
    <cellStyle name="Normal 6 4 4 2 5 2 6" xfId="0"/>
    <cellStyle name="Normal 6 4 4 2 5 3" xfId="0"/>
    <cellStyle name="Normal 6 4 4 2 5 3 2" xfId="0"/>
    <cellStyle name="Normal 6 4 4 2 5 3 2 2" xfId="0"/>
    <cellStyle name="Normal 6 4 4 2 5 3 2 2 2" xfId="0"/>
    <cellStyle name="Normal 6 4 4 2 5 3 2 2 2 2" xfId="0"/>
    <cellStyle name="Normal 6 4 4 2 5 3 2 2 3" xfId="0"/>
    <cellStyle name="Normal 6 4 4 2 5 3 2 3" xfId="0"/>
    <cellStyle name="Normal 6 4 4 2 5 3 2 3 2" xfId="0"/>
    <cellStyle name="Normal 6 4 4 2 5 3 2 4" xfId="0"/>
    <cellStyle name="Normal 6 4 4 2 5 3 3" xfId="0"/>
    <cellStyle name="Normal 6 4 4 2 5 3 3 2" xfId="0"/>
    <cellStyle name="Normal 6 4 4 2 5 3 3 2 2" xfId="0"/>
    <cellStyle name="Normal 6 4 4 2 5 3 3 3" xfId="0"/>
    <cellStyle name="Normal 6 4 4 2 5 3 4" xfId="0"/>
    <cellStyle name="Normal 6 4 4 2 5 3 4 2" xfId="0"/>
    <cellStyle name="Normal 6 4 4 2 5 3 5" xfId="0"/>
    <cellStyle name="Normal 6 4 4 2 5 4" xfId="0"/>
    <cellStyle name="Normal 6 4 4 2 5 4 2" xfId="0"/>
    <cellStyle name="Normal 6 4 4 2 5 4 2 2" xfId="0"/>
    <cellStyle name="Normal 6 4 4 2 5 4 2 2 2" xfId="0"/>
    <cellStyle name="Normal 6 4 4 2 5 4 2 3" xfId="0"/>
    <cellStyle name="Normal 6 4 4 2 5 4 3" xfId="0"/>
    <cellStyle name="Normal 6 4 4 2 5 4 3 2" xfId="0"/>
    <cellStyle name="Normal 6 4 4 2 5 4 4" xfId="0"/>
    <cellStyle name="Normal 6 4 4 2 5 5" xfId="0"/>
    <cellStyle name="Normal 6 4 4 2 5 5 2" xfId="0"/>
    <cellStyle name="Normal 6 4 4 2 5 5 2 2" xfId="0"/>
    <cellStyle name="Normal 6 4 4 2 5 5 3" xfId="0"/>
    <cellStyle name="Normal 6 4 4 2 5 6" xfId="0"/>
    <cellStyle name="Normal 6 4 4 2 5 6 2" xfId="0"/>
    <cellStyle name="Normal 6 4 4 2 5 7" xfId="0"/>
    <cellStyle name="Normal 6 4 4 2 6" xfId="0"/>
    <cellStyle name="Normal 6 4 4 2 6 2" xfId="0"/>
    <cellStyle name="Normal 6 4 4 2 6 2 2" xfId="0"/>
    <cellStyle name="Normal 6 4 4 2 6 2 2 2" xfId="0"/>
    <cellStyle name="Normal 6 4 4 2 6 2 2 2 2" xfId="0"/>
    <cellStyle name="Normal 6 4 4 2 6 2 2 2 2 2" xfId="0"/>
    <cellStyle name="Normal 6 4 4 2 6 2 2 2 3" xfId="0"/>
    <cellStyle name="Normal 6 4 4 2 6 2 2 3" xfId="0"/>
    <cellStyle name="Normal 6 4 4 2 6 2 2 3 2" xfId="0"/>
    <cellStyle name="Normal 6 4 4 2 6 2 2 4" xfId="0"/>
    <cellStyle name="Normal 6 4 4 2 6 2 3" xfId="0"/>
    <cellStyle name="Normal 6 4 4 2 6 2 3 2" xfId="0"/>
    <cellStyle name="Normal 6 4 4 2 6 2 3 2 2" xfId="0"/>
    <cellStyle name="Normal 6 4 4 2 6 2 3 3" xfId="0"/>
    <cellStyle name="Normal 6 4 4 2 6 2 4" xfId="0"/>
    <cellStyle name="Normal 6 4 4 2 6 2 4 2" xfId="0"/>
    <cellStyle name="Normal 6 4 4 2 6 2 5" xfId="0"/>
    <cellStyle name="Normal 6 4 4 2 6 3" xfId="0"/>
    <cellStyle name="Normal 6 4 4 2 6 3 2" xfId="0"/>
    <cellStyle name="Normal 6 4 4 2 6 3 2 2" xfId="0"/>
    <cellStyle name="Normal 6 4 4 2 6 3 2 2 2" xfId="0"/>
    <cellStyle name="Normal 6 4 4 2 6 3 2 3" xfId="0"/>
    <cellStyle name="Normal 6 4 4 2 6 3 3" xfId="0"/>
    <cellStyle name="Normal 6 4 4 2 6 3 3 2" xfId="0"/>
    <cellStyle name="Normal 6 4 4 2 6 3 4" xfId="0"/>
    <cellStyle name="Normal 6 4 4 2 6 4" xfId="0"/>
    <cellStyle name="Normal 6 4 4 2 6 4 2" xfId="0"/>
    <cellStyle name="Normal 6 4 4 2 6 4 2 2" xfId="0"/>
    <cellStyle name="Normal 6 4 4 2 6 4 3" xfId="0"/>
    <cellStyle name="Normal 6 4 4 2 6 5" xfId="0"/>
    <cellStyle name="Normal 6 4 4 2 6 5 2" xfId="0"/>
    <cellStyle name="Normal 6 4 4 2 6 6" xfId="0"/>
    <cellStyle name="Normal 6 4 4 2 7" xfId="0"/>
    <cellStyle name="Normal 6 4 4 2 7 2" xfId="0"/>
    <cellStyle name="Normal 6 4 4 2 7 2 2" xfId="0"/>
    <cellStyle name="Normal 6 4 4 2 7 2 2 2" xfId="0"/>
    <cellStyle name="Normal 6 4 4 2 7 2 2 2 2" xfId="0"/>
    <cellStyle name="Normal 6 4 4 2 7 2 2 3" xfId="0"/>
    <cellStyle name="Normal 6 4 4 2 7 2 3" xfId="0"/>
    <cellStyle name="Normal 6 4 4 2 7 2 3 2" xfId="0"/>
    <cellStyle name="Normal 6 4 4 2 7 2 4" xfId="0"/>
    <cellStyle name="Normal 6 4 4 2 7 3" xfId="0"/>
    <cellStyle name="Normal 6 4 4 2 7 3 2" xfId="0"/>
    <cellStyle name="Normal 6 4 4 2 7 3 2 2" xfId="0"/>
    <cellStyle name="Normal 6 4 4 2 7 3 3" xfId="0"/>
    <cellStyle name="Normal 6 4 4 2 7 4" xfId="0"/>
    <cellStyle name="Normal 6 4 4 2 7 4 2" xfId="0"/>
    <cellStyle name="Normal 6 4 4 2 7 5" xfId="0"/>
    <cellStyle name="Normal 6 4 4 2 8" xfId="0"/>
    <cellStyle name="Normal 6 4 4 2 8 2" xfId="0"/>
    <cellStyle name="Normal 6 4 4 2 8 2 2" xfId="0"/>
    <cellStyle name="Normal 6 4 4 2 8 2 2 2" xfId="0"/>
    <cellStyle name="Normal 6 4 4 2 8 2 3" xfId="0"/>
    <cellStyle name="Normal 6 4 4 2 8 3" xfId="0"/>
    <cellStyle name="Normal 6 4 4 2 8 3 2" xfId="0"/>
    <cellStyle name="Normal 6 4 4 2 8 4" xfId="0"/>
    <cellStyle name="Normal 6 4 4 2 9" xfId="0"/>
    <cellStyle name="Normal 6 4 4 2 9 2" xfId="0"/>
    <cellStyle name="Normal 6 4 4 2 9 2 2" xfId="0"/>
    <cellStyle name="Normal 6 4 4 2 9 3" xfId="0"/>
    <cellStyle name="Normal 6 4 4 3" xfId="0"/>
    <cellStyle name="Normal 6 4 4 3 2" xfId="0"/>
    <cellStyle name="Normal 6 4 4 3 2 2" xfId="0"/>
    <cellStyle name="Normal 6 4 4 3 2 2 2" xfId="0"/>
    <cellStyle name="Normal 6 4 4 3 2 2 2 2" xfId="0"/>
    <cellStyle name="Normal 6 4 4 3 2 2 2 2 2" xfId="0"/>
    <cellStyle name="Normal 6 4 4 3 2 2 2 2 2 2" xfId="0"/>
    <cellStyle name="Normal 6 4 4 3 2 2 2 2 2 2 2" xfId="0"/>
    <cellStyle name="Normal 6 4 4 3 2 2 2 2 2 3" xfId="0"/>
    <cellStyle name="Normal 6 4 4 3 2 2 2 2 3" xfId="0"/>
    <cellStyle name="Normal 6 4 4 3 2 2 2 2 3 2" xfId="0"/>
    <cellStyle name="Normal 6 4 4 3 2 2 2 2 4" xfId="0"/>
    <cellStyle name="Normal 6 4 4 3 2 2 2 3" xfId="0"/>
    <cellStyle name="Normal 6 4 4 3 2 2 2 3 2" xfId="0"/>
    <cellStyle name="Normal 6 4 4 3 2 2 2 3 2 2" xfId="0"/>
    <cellStyle name="Normal 6 4 4 3 2 2 2 3 3" xfId="0"/>
    <cellStyle name="Normal 6 4 4 3 2 2 2 4" xfId="0"/>
    <cellStyle name="Normal 6 4 4 3 2 2 2 4 2" xfId="0"/>
    <cellStyle name="Normal 6 4 4 3 2 2 2 5" xfId="0"/>
    <cellStyle name="Normal 6 4 4 3 2 2 3" xfId="0"/>
    <cellStyle name="Normal 6 4 4 3 2 2 3 2" xfId="0"/>
    <cellStyle name="Normal 6 4 4 3 2 2 3 2 2" xfId="0"/>
    <cellStyle name="Normal 6 4 4 3 2 2 3 2 2 2" xfId="0"/>
    <cellStyle name="Normal 6 4 4 3 2 2 3 2 3" xfId="0"/>
    <cellStyle name="Normal 6 4 4 3 2 2 3 3" xfId="0"/>
    <cellStyle name="Normal 6 4 4 3 2 2 3 3 2" xfId="0"/>
    <cellStyle name="Normal 6 4 4 3 2 2 3 4" xfId="0"/>
    <cellStyle name="Normal 6 4 4 3 2 2 4" xfId="0"/>
    <cellStyle name="Normal 6 4 4 3 2 2 4 2" xfId="0"/>
    <cellStyle name="Normal 6 4 4 3 2 2 4 2 2" xfId="0"/>
    <cellStyle name="Normal 6 4 4 3 2 2 4 3" xfId="0"/>
    <cellStyle name="Normal 6 4 4 3 2 2 5" xfId="0"/>
    <cellStyle name="Normal 6 4 4 3 2 2 5 2" xfId="0"/>
    <cellStyle name="Normal 6 4 4 3 2 2 6" xfId="0"/>
    <cellStyle name="Normal 6 4 4 3 2 3" xfId="0"/>
    <cellStyle name="Normal 6 4 4 3 2 3 2" xfId="0"/>
    <cellStyle name="Normal 6 4 4 3 2 3 2 2" xfId="0"/>
    <cellStyle name="Normal 6 4 4 3 2 3 2 2 2" xfId="0"/>
    <cellStyle name="Normal 6 4 4 3 2 3 2 2 2 2" xfId="0"/>
    <cellStyle name="Normal 6 4 4 3 2 3 2 2 3" xfId="0"/>
    <cellStyle name="Normal 6 4 4 3 2 3 2 3" xfId="0"/>
    <cellStyle name="Normal 6 4 4 3 2 3 2 3 2" xfId="0"/>
    <cellStyle name="Normal 6 4 4 3 2 3 2 4" xfId="0"/>
    <cellStyle name="Normal 6 4 4 3 2 3 3" xfId="0"/>
    <cellStyle name="Normal 6 4 4 3 2 3 3 2" xfId="0"/>
    <cellStyle name="Normal 6 4 4 3 2 3 3 2 2" xfId="0"/>
    <cellStyle name="Normal 6 4 4 3 2 3 3 3" xfId="0"/>
    <cellStyle name="Normal 6 4 4 3 2 3 4" xfId="0"/>
    <cellStyle name="Normal 6 4 4 3 2 3 4 2" xfId="0"/>
    <cellStyle name="Normal 6 4 4 3 2 3 5" xfId="0"/>
    <cellStyle name="Normal 6 4 4 3 2 4" xfId="0"/>
    <cellStyle name="Normal 6 4 4 3 2 4 2" xfId="0"/>
    <cellStyle name="Normal 6 4 4 3 2 4 2 2" xfId="0"/>
    <cellStyle name="Normal 6 4 4 3 2 4 2 2 2" xfId="0"/>
    <cellStyle name="Normal 6 4 4 3 2 4 2 3" xfId="0"/>
    <cellStyle name="Normal 6 4 4 3 2 4 3" xfId="0"/>
    <cellStyle name="Normal 6 4 4 3 2 4 3 2" xfId="0"/>
    <cellStyle name="Normal 6 4 4 3 2 4 4" xfId="0"/>
    <cellStyle name="Normal 6 4 4 3 2 5" xfId="0"/>
    <cellStyle name="Normal 6 4 4 3 2 5 2" xfId="0"/>
    <cellStyle name="Normal 6 4 4 3 2 5 2 2" xfId="0"/>
    <cellStyle name="Normal 6 4 4 3 2 5 3" xfId="0"/>
    <cellStyle name="Normal 6 4 4 3 2 6" xfId="0"/>
    <cellStyle name="Normal 6 4 4 3 2 6 2" xfId="0"/>
    <cellStyle name="Normal 6 4 4 3 2 7" xfId="0"/>
    <cellStyle name="Normal 6 4 4 3 3" xfId="0"/>
    <cellStyle name="Normal 6 4 4 3 3 2" xfId="0"/>
    <cellStyle name="Normal 6 4 4 3 3 2 2" xfId="0"/>
    <cellStyle name="Normal 6 4 4 3 3 2 2 2" xfId="0"/>
    <cellStyle name="Normal 6 4 4 3 3 2 2 2 2" xfId="0"/>
    <cellStyle name="Normal 6 4 4 3 3 2 2 2 2 2" xfId="0"/>
    <cellStyle name="Normal 6 4 4 3 3 2 2 2 3" xfId="0"/>
    <cellStyle name="Normal 6 4 4 3 3 2 2 3" xfId="0"/>
    <cellStyle name="Normal 6 4 4 3 3 2 2 3 2" xfId="0"/>
    <cellStyle name="Normal 6 4 4 3 3 2 2 4" xfId="0"/>
    <cellStyle name="Normal 6 4 4 3 3 2 3" xfId="0"/>
    <cellStyle name="Normal 6 4 4 3 3 2 3 2" xfId="0"/>
    <cellStyle name="Normal 6 4 4 3 3 2 3 2 2" xfId="0"/>
    <cellStyle name="Normal 6 4 4 3 3 2 3 3" xfId="0"/>
    <cellStyle name="Normal 6 4 4 3 3 2 4" xfId="0"/>
    <cellStyle name="Normal 6 4 4 3 3 2 4 2" xfId="0"/>
    <cellStyle name="Normal 6 4 4 3 3 2 5" xfId="0"/>
    <cellStyle name="Normal 6 4 4 3 3 3" xfId="0"/>
    <cellStyle name="Normal 6 4 4 3 3 3 2" xfId="0"/>
    <cellStyle name="Normal 6 4 4 3 3 3 2 2" xfId="0"/>
    <cellStyle name="Normal 6 4 4 3 3 3 2 2 2" xfId="0"/>
    <cellStyle name="Normal 6 4 4 3 3 3 2 3" xfId="0"/>
    <cellStyle name="Normal 6 4 4 3 3 3 3" xfId="0"/>
    <cellStyle name="Normal 6 4 4 3 3 3 3 2" xfId="0"/>
    <cellStyle name="Normal 6 4 4 3 3 3 4" xfId="0"/>
    <cellStyle name="Normal 6 4 4 3 3 4" xfId="0"/>
    <cellStyle name="Normal 6 4 4 3 3 4 2" xfId="0"/>
    <cellStyle name="Normal 6 4 4 3 3 4 2 2" xfId="0"/>
    <cellStyle name="Normal 6 4 4 3 3 4 3" xfId="0"/>
    <cellStyle name="Normal 6 4 4 3 3 5" xfId="0"/>
    <cellStyle name="Normal 6 4 4 3 3 5 2" xfId="0"/>
    <cellStyle name="Normal 6 4 4 3 3 6" xfId="0"/>
    <cellStyle name="Normal 6 4 4 3 4" xfId="0"/>
    <cellStyle name="Normal 6 4 4 3 4 2" xfId="0"/>
    <cellStyle name="Normal 6 4 4 3 4 2 2" xfId="0"/>
    <cellStyle name="Normal 6 4 4 3 4 2 2 2" xfId="0"/>
    <cellStyle name="Normal 6 4 4 3 4 2 2 2 2" xfId="0"/>
    <cellStyle name="Normal 6 4 4 3 4 2 2 3" xfId="0"/>
    <cellStyle name="Normal 6 4 4 3 4 2 3" xfId="0"/>
    <cellStyle name="Normal 6 4 4 3 4 2 3 2" xfId="0"/>
    <cellStyle name="Normal 6 4 4 3 4 2 4" xfId="0"/>
    <cellStyle name="Normal 6 4 4 3 4 3" xfId="0"/>
    <cellStyle name="Normal 6 4 4 3 4 3 2" xfId="0"/>
    <cellStyle name="Normal 6 4 4 3 4 3 2 2" xfId="0"/>
    <cellStyle name="Normal 6 4 4 3 4 3 3" xfId="0"/>
    <cellStyle name="Normal 6 4 4 3 4 4" xfId="0"/>
    <cellStyle name="Normal 6 4 4 3 4 4 2" xfId="0"/>
    <cellStyle name="Normal 6 4 4 3 4 5" xfId="0"/>
    <cellStyle name="Normal 6 4 4 3 5" xfId="0"/>
    <cellStyle name="Normal 6 4 4 3 5 2" xfId="0"/>
    <cellStyle name="Normal 6 4 4 3 5 2 2" xfId="0"/>
    <cellStyle name="Normal 6 4 4 3 5 2 2 2" xfId="0"/>
    <cellStyle name="Normal 6 4 4 3 5 2 3" xfId="0"/>
    <cellStyle name="Normal 6 4 4 3 5 3" xfId="0"/>
    <cellStyle name="Normal 6 4 4 3 5 3 2" xfId="0"/>
    <cellStyle name="Normal 6 4 4 3 5 4" xfId="0"/>
    <cellStyle name="Normal 6 4 4 3 6" xfId="0"/>
    <cellStyle name="Normal 6 4 4 3 6 2" xfId="0"/>
    <cellStyle name="Normal 6 4 4 3 6 2 2" xfId="0"/>
    <cellStyle name="Normal 6 4 4 3 6 3" xfId="0"/>
    <cellStyle name="Normal 6 4 4 3 7" xfId="0"/>
    <cellStyle name="Normal 6 4 4 3 7 2" xfId="0"/>
    <cellStyle name="Normal 6 4 4 3 8" xfId="0"/>
    <cellStyle name="Normal 6 4 4 4" xfId="0"/>
    <cellStyle name="Normal 6 4 4 4 2" xfId="0"/>
    <cellStyle name="Normal 6 4 4 4 2 2" xfId="0"/>
    <cellStyle name="Normal 6 4 4 4 2 2 2" xfId="0"/>
    <cellStyle name="Normal 6 4 4 4 2 2 2 2" xfId="0"/>
    <cellStyle name="Normal 6 4 4 4 2 2 2 2 2" xfId="0"/>
    <cellStyle name="Normal 6 4 4 4 2 2 2 2 2 2" xfId="0"/>
    <cellStyle name="Normal 6 4 4 4 2 2 2 2 2 2 2" xfId="0"/>
    <cellStyle name="Normal 6 4 4 4 2 2 2 2 2 3" xfId="0"/>
    <cellStyle name="Normal 6 4 4 4 2 2 2 2 3" xfId="0"/>
    <cellStyle name="Normal 6 4 4 4 2 2 2 2 3 2" xfId="0"/>
    <cellStyle name="Normal 6 4 4 4 2 2 2 2 4" xfId="0"/>
    <cellStyle name="Normal 6 4 4 4 2 2 2 3" xfId="0"/>
    <cellStyle name="Normal 6 4 4 4 2 2 2 3 2" xfId="0"/>
    <cellStyle name="Normal 6 4 4 4 2 2 2 3 2 2" xfId="0"/>
    <cellStyle name="Normal 6 4 4 4 2 2 2 3 3" xfId="0"/>
    <cellStyle name="Normal 6 4 4 4 2 2 2 4" xfId="0"/>
    <cellStyle name="Normal 6 4 4 4 2 2 2 4 2" xfId="0"/>
    <cellStyle name="Normal 6 4 4 4 2 2 2 5" xfId="0"/>
    <cellStyle name="Normal 6 4 4 4 2 2 3" xfId="0"/>
    <cellStyle name="Normal 6 4 4 4 2 2 3 2" xfId="0"/>
    <cellStyle name="Normal 6 4 4 4 2 2 3 2 2" xfId="0"/>
    <cellStyle name="Normal 6 4 4 4 2 2 3 2 2 2" xfId="0"/>
    <cellStyle name="Normal 6 4 4 4 2 2 3 2 3" xfId="0"/>
    <cellStyle name="Normal 6 4 4 4 2 2 3 3" xfId="0"/>
    <cellStyle name="Normal 6 4 4 4 2 2 3 3 2" xfId="0"/>
    <cellStyle name="Normal 6 4 4 4 2 2 3 4" xfId="0"/>
    <cellStyle name="Normal 6 4 4 4 2 2 4" xfId="0"/>
    <cellStyle name="Normal 6 4 4 4 2 2 4 2" xfId="0"/>
    <cellStyle name="Normal 6 4 4 4 2 2 4 2 2" xfId="0"/>
    <cellStyle name="Normal 6 4 4 4 2 2 4 3" xfId="0"/>
    <cellStyle name="Normal 6 4 4 4 2 2 5" xfId="0"/>
    <cellStyle name="Normal 6 4 4 4 2 2 5 2" xfId="0"/>
    <cellStyle name="Normal 6 4 4 4 2 2 6" xfId="0"/>
    <cellStyle name="Normal 6 4 4 4 2 3" xfId="0"/>
    <cellStyle name="Normal 6 4 4 4 2 3 2" xfId="0"/>
    <cellStyle name="Normal 6 4 4 4 2 3 2 2" xfId="0"/>
    <cellStyle name="Normal 6 4 4 4 2 3 2 2 2" xfId="0"/>
    <cellStyle name="Normal 6 4 4 4 2 3 2 2 2 2" xfId="0"/>
    <cellStyle name="Normal 6 4 4 4 2 3 2 2 3" xfId="0"/>
    <cellStyle name="Normal 6 4 4 4 2 3 2 3" xfId="0"/>
    <cellStyle name="Normal 6 4 4 4 2 3 2 3 2" xfId="0"/>
    <cellStyle name="Normal 6 4 4 4 2 3 2 4" xfId="0"/>
    <cellStyle name="Normal 6 4 4 4 2 3 3" xfId="0"/>
    <cellStyle name="Normal 6 4 4 4 2 3 3 2" xfId="0"/>
    <cellStyle name="Normal 6 4 4 4 2 3 3 2 2" xfId="0"/>
    <cellStyle name="Normal 6 4 4 4 2 3 3 3" xfId="0"/>
    <cellStyle name="Normal 6 4 4 4 2 3 4" xfId="0"/>
    <cellStyle name="Normal 6 4 4 4 2 3 4 2" xfId="0"/>
    <cellStyle name="Normal 6 4 4 4 2 3 5" xfId="0"/>
    <cellStyle name="Normal 6 4 4 4 2 4" xfId="0"/>
    <cellStyle name="Normal 6 4 4 4 2 4 2" xfId="0"/>
    <cellStyle name="Normal 6 4 4 4 2 4 2 2" xfId="0"/>
    <cellStyle name="Normal 6 4 4 4 2 4 2 2 2" xfId="0"/>
    <cellStyle name="Normal 6 4 4 4 2 4 2 3" xfId="0"/>
    <cellStyle name="Normal 6 4 4 4 2 4 3" xfId="0"/>
    <cellStyle name="Normal 6 4 4 4 2 4 3 2" xfId="0"/>
    <cellStyle name="Normal 6 4 4 4 2 4 4" xfId="0"/>
    <cellStyle name="Normal 6 4 4 4 2 5" xfId="0"/>
    <cellStyle name="Normal 6 4 4 4 2 5 2" xfId="0"/>
    <cellStyle name="Normal 6 4 4 4 2 5 2 2" xfId="0"/>
    <cellStyle name="Normal 6 4 4 4 2 5 3" xfId="0"/>
    <cellStyle name="Normal 6 4 4 4 2 6" xfId="0"/>
    <cellStyle name="Normal 6 4 4 4 2 6 2" xfId="0"/>
    <cellStyle name="Normal 6 4 4 4 2 7" xfId="0"/>
    <cellStyle name="Normal 6 4 4 4 3" xfId="0"/>
    <cellStyle name="Normal 6 4 4 4 3 2" xfId="0"/>
    <cellStyle name="Normal 6 4 4 4 3 2 2" xfId="0"/>
    <cellStyle name="Normal 6 4 4 4 3 2 2 2" xfId="0"/>
    <cellStyle name="Normal 6 4 4 4 3 2 2 2 2" xfId="0"/>
    <cellStyle name="Normal 6 4 4 4 3 2 2 2 2 2" xfId="0"/>
    <cellStyle name="Normal 6 4 4 4 3 2 2 2 3" xfId="0"/>
    <cellStyle name="Normal 6 4 4 4 3 2 2 3" xfId="0"/>
    <cellStyle name="Normal 6 4 4 4 3 2 2 3 2" xfId="0"/>
    <cellStyle name="Normal 6 4 4 4 3 2 2 4" xfId="0"/>
    <cellStyle name="Normal 6 4 4 4 3 2 3" xfId="0"/>
    <cellStyle name="Normal 6 4 4 4 3 2 3 2" xfId="0"/>
    <cellStyle name="Normal 6 4 4 4 3 2 3 2 2" xfId="0"/>
    <cellStyle name="Normal 6 4 4 4 3 2 3 3" xfId="0"/>
    <cellStyle name="Normal 6 4 4 4 3 2 4" xfId="0"/>
    <cellStyle name="Normal 6 4 4 4 3 2 4 2" xfId="0"/>
    <cellStyle name="Normal 6 4 4 4 3 2 5" xfId="0"/>
    <cellStyle name="Normal 6 4 4 4 3 3" xfId="0"/>
    <cellStyle name="Normal 6 4 4 4 3 3 2" xfId="0"/>
    <cellStyle name="Normal 6 4 4 4 3 3 2 2" xfId="0"/>
    <cellStyle name="Normal 6 4 4 4 3 3 2 2 2" xfId="0"/>
    <cellStyle name="Normal 6 4 4 4 3 3 2 3" xfId="0"/>
    <cellStyle name="Normal 6 4 4 4 3 3 3" xfId="0"/>
    <cellStyle name="Normal 6 4 4 4 3 3 3 2" xfId="0"/>
    <cellStyle name="Normal 6 4 4 4 3 3 4" xfId="0"/>
    <cellStyle name="Normal 6 4 4 4 3 4" xfId="0"/>
    <cellStyle name="Normal 6 4 4 4 3 4 2" xfId="0"/>
    <cellStyle name="Normal 6 4 4 4 3 4 2 2" xfId="0"/>
    <cellStyle name="Normal 6 4 4 4 3 4 3" xfId="0"/>
    <cellStyle name="Normal 6 4 4 4 3 5" xfId="0"/>
    <cellStyle name="Normal 6 4 4 4 3 5 2" xfId="0"/>
    <cellStyle name="Normal 6 4 4 4 3 6" xfId="0"/>
    <cellStyle name="Normal 6 4 4 4 4" xfId="0"/>
    <cellStyle name="Normal 6 4 4 4 4 2" xfId="0"/>
    <cellStyle name="Normal 6 4 4 4 4 2 2" xfId="0"/>
    <cellStyle name="Normal 6 4 4 4 4 2 2 2" xfId="0"/>
    <cellStyle name="Normal 6 4 4 4 4 2 2 2 2" xfId="0"/>
    <cellStyle name="Normal 6 4 4 4 4 2 2 3" xfId="0"/>
    <cellStyle name="Normal 6 4 4 4 4 2 3" xfId="0"/>
    <cellStyle name="Normal 6 4 4 4 4 2 3 2" xfId="0"/>
    <cellStyle name="Normal 6 4 4 4 4 2 4" xfId="0"/>
    <cellStyle name="Normal 6 4 4 4 4 3" xfId="0"/>
    <cellStyle name="Normal 6 4 4 4 4 3 2" xfId="0"/>
    <cellStyle name="Normal 6 4 4 4 4 3 2 2" xfId="0"/>
    <cellStyle name="Normal 6 4 4 4 4 3 3" xfId="0"/>
    <cellStyle name="Normal 6 4 4 4 4 4" xfId="0"/>
    <cellStyle name="Normal 6 4 4 4 4 4 2" xfId="0"/>
    <cellStyle name="Normal 6 4 4 4 4 5" xfId="0"/>
    <cellStyle name="Normal 6 4 4 4 5" xfId="0"/>
    <cellStyle name="Normal 6 4 4 4 5 2" xfId="0"/>
    <cellStyle name="Normal 6 4 4 4 5 2 2" xfId="0"/>
    <cellStyle name="Normal 6 4 4 4 5 2 2 2" xfId="0"/>
    <cellStyle name="Normal 6 4 4 4 5 2 3" xfId="0"/>
    <cellStyle name="Normal 6 4 4 4 5 3" xfId="0"/>
    <cellStyle name="Normal 6 4 4 4 5 3 2" xfId="0"/>
    <cellStyle name="Normal 6 4 4 4 5 4" xfId="0"/>
    <cellStyle name="Normal 6 4 4 4 6" xfId="0"/>
    <cellStyle name="Normal 6 4 4 4 6 2" xfId="0"/>
    <cellStyle name="Normal 6 4 4 4 6 2 2" xfId="0"/>
    <cellStyle name="Normal 6 4 4 4 6 3" xfId="0"/>
    <cellStyle name="Normal 6 4 4 4 7" xfId="0"/>
    <cellStyle name="Normal 6 4 4 4 7 2" xfId="0"/>
    <cellStyle name="Normal 6 4 4 4 8" xfId="0"/>
    <cellStyle name="Normal 6 4 4 5" xfId="0"/>
    <cellStyle name="Normal 6 4 4 5 2" xfId="0"/>
    <cellStyle name="Normal 6 4 4 5 2 2" xfId="0"/>
    <cellStyle name="Normal 6 4 4 5 2 2 2" xfId="0"/>
    <cellStyle name="Normal 6 4 4 5 2 2 2 2" xfId="0"/>
    <cellStyle name="Normal 6 4 4 5 2 2 2 2 2" xfId="0"/>
    <cellStyle name="Normal 6 4 4 5 2 2 2 2 2 2" xfId="0"/>
    <cellStyle name="Normal 6 4 4 5 2 2 2 2 3" xfId="0"/>
    <cellStyle name="Normal 6 4 4 5 2 2 2 3" xfId="0"/>
    <cellStyle name="Normal 6 4 4 5 2 2 2 3 2" xfId="0"/>
    <cellStyle name="Normal 6 4 4 5 2 2 2 4" xfId="0"/>
    <cellStyle name="Normal 6 4 4 5 2 2 3" xfId="0"/>
    <cellStyle name="Normal 6 4 4 5 2 2 3 2" xfId="0"/>
    <cellStyle name="Normal 6 4 4 5 2 2 3 2 2" xfId="0"/>
    <cellStyle name="Normal 6 4 4 5 2 2 3 3" xfId="0"/>
    <cellStyle name="Normal 6 4 4 5 2 2 4" xfId="0"/>
    <cellStyle name="Normal 6 4 4 5 2 2 4 2" xfId="0"/>
    <cellStyle name="Normal 6 4 4 5 2 2 5" xfId="0"/>
    <cellStyle name="Normal 6 4 4 5 2 3" xfId="0"/>
    <cellStyle name="Normal 6 4 4 5 2 3 2" xfId="0"/>
    <cellStyle name="Normal 6 4 4 5 2 3 2 2" xfId="0"/>
    <cellStyle name="Normal 6 4 4 5 2 3 2 2 2" xfId="0"/>
    <cellStyle name="Normal 6 4 4 5 2 3 2 3" xfId="0"/>
    <cellStyle name="Normal 6 4 4 5 2 3 3" xfId="0"/>
    <cellStyle name="Normal 6 4 4 5 2 3 3 2" xfId="0"/>
    <cellStyle name="Normal 6 4 4 5 2 3 4" xfId="0"/>
    <cellStyle name="Normal 6 4 4 5 2 4" xfId="0"/>
    <cellStyle name="Normal 6 4 4 5 2 4 2" xfId="0"/>
    <cellStyle name="Normal 6 4 4 5 2 4 2 2" xfId="0"/>
    <cellStyle name="Normal 6 4 4 5 2 4 3" xfId="0"/>
    <cellStyle name="Normal 6 4 4 5 2 5" xfId="0"/>
    <cellStyle name="Normal 6 4 4 5 2 5 2" xfId="0"/>
    <cellStyle name="Normal 6 4 4 5 2 6" xfId="0"/>
    <cellStyle name="Normal 6 4 4 5 3" xfId="0"/>
    <cellStyle name="Normal 6 4 4 5 3 2" xfId="0"/>
    <cellStyle name="Normal 6 4 4 5 3 2 2" xfId="0"/>
    <cellStyle name="Normal 6 4 4 5 3 2 2 2" xfId="0"/>
    <cellStyle name="Normal 6 4 4 5 3 2 2 2 2" xfId="0"/>
    <cellStyle name="Normal 6 4 4 5 3 2 2 3" xfId="0"/>
    <cellStyle name="Normal 6 4 4 5 3 2 3" xfId="0"/>
    <cellStyle name="Normal 6 4 4 5 3 2 3 2" xfId="0"/>
    <cellStyle name="Normal 6 4 4 5 3 2 4" xfId="0"/>
    <cellStyle name="Normal 6 4 4 5 3 3" xfId="0"/>
    <cellStyle name="Normal 6 4 4 5 3 3 2" xfId="0"/>
    <cellStyle name="Normal 6 4 4 5 3 3 2 2" xfId="0"/>
    <cellStyle name="Normal 6 4 4 5 3 3 3" xfId="0"/>
    <cellStyle name="Normal 6 4 4 5 3 4" xfId="0"/>
    <cellStyle name="Normal 6 4 4 5 3 4 2" xfId="0"/>
    <cellStyle name="Normal 6 4 4 5 3 5" xfId="0"/>
    <cellStyle name="Normal 6 4 4 5 4" xfId="0"/>
    <cellStyle name="Normal 6 4 4 5 4 2" xfId="0"/>
    <cellStyle name="Normal 6 4 4 5 4 2 2" xfId="0"/>
    <cellStyle name="Normal 6 4 4 5 4 2 2 2" xfId="0"/>
    <cellStyle name="Normal 6 4 4 5 4 2 3" xfId="0"/>
    <cellStyle name="Normal 6 4 4 5 4 3" xfId="0"/>
    <cellStyle name="Normal 6 4 4 5 4 3 2" xfId="0"/>
    <cellStyle name="Normal 6 4 4 5 4 4" xfId="0"/>
    <cellStyle name="Normal 6 4 4 5 5" xfId="0"/>
    <cellStyle name="Normal 6 4 4 5 5 2" xfId="0"/>
    <cellStyle name="Normal 6 4 4 5 5 2 2" xfId="0"/>
    <cellStyle name="Normal 6 4 4 5 5 3" xfId="0"/>
    <cellStyle name="Normal 6 4 4 5 6" xfId="0"/>
    <cellStyle name="Normal 6 4 4 5 6 2" xfId="0"/>
    <cellStyle name="Normal 6 4 4 5 7" xfId="0"/>
    <cellStyle name="Normal 6 4 4 6" xfId="0"/>
    <cellStyle name="Normal 6 4 4 6 2" xfId="0"/>
    <cellStyle name="Normal 6 4 4 6 2 2" xfId="0"/>
    <cellStyle name="Normal 6 4 4 6 2 2 2" xfId="0"/>
    <cellStyle name="Normal 6 4 4 6 2 2 2 2" xfId="0"/>
    <cellStyle name="Normal 6 4 4 6 2 2 2 2 2" xfId="0"/>
    <cellStyle name="Normal 6 4 4 6 2 2 2 2 2 2" xfId="0"/>
    <cellStyle name="Normal 6 4 4 6 2 2 2 2 3" xfId="0"/>
    <cellStyle name="Normal 6 4 4 6 2 2 2 3" xfId="0"/>
    <cellStyle name="Normal 6 4 4 6 2 2 2 3 2" xfId="0"/>
    <cellStyle name="Normal 6 4 4 6 2 2 2 4" xfId="0"/>
    <cellStyle name="Normal 6 4 4 6 2 2 3" xfId="0"/>
    <cellStyle name="Normal 6 4 4 6 2 2 3 2" xfId="0"/>
    <cellStyle name="Normal 6 4 4 6 2 2 3 2 2" xfId="0"/>
    <cellStyle name="Normal 6 4 4 6 2 2 3 3" xfId="0"/>
    <cellStyle name="Normal 6 4 4 6 2 2 4" xfId="0"/>
    <cellStyle name="Normal 6 4 4 6 2 2 4 2" xfId="0"/>
    <cellStyle name="Normal 6 4 4 6 2 2 5" xfId="0"/>
    <cellStyle name="Normal 6 4 4 6 2 3" xfId="0"/>
    <cellStyle name="Normal 6 4 4 6 2 3 2" xfId="0"/>
    <cellStyle name="Normal 6 4 4 6 2 3 2 2" xfId="0"/>
    <cellStyle name="Normal 6 4 4 6 2 3 2 2 2" xfId="0"/>
    <cellStyle name="Normal 6 4 4 6 2 3 2 3" xfId="0"/>
    <cellStyle name="Normal 6 4 4 6 2 3 3" xfId="0"/>
    <cellStyle name="Normal 6 4 4 6 2 3 3 2" xfId="0"/>
    <cellStyle name="Normal 6 4 4 6 2 3 4" xfId="0"/>
    <cellStyle name="Normal 6 4 4 6 2 4" xfId="0"/>
    <cellStyle name="Normal 6 4 4 6 2 4 2" xfId="0"/>
    <cellStyle name="Normal 6 4 4 6 2 4 2 2" xfId="0"/>
    <cellStyle name="Normal 6 4 4 6 2 4 3" xfId="0"/>
    <cellStyle name="Normal 6 4 4 6 2 5" xfId="0"/>
    <cellStyle name="Normal 6 4 4 6 2 5 2" xfId="0"/>
    <cellStyle name="Normal 6 4 4 6 2 6" xfId="0"/>
    <cellStyle name="Normal 6 4 4 6 3" xfId="0"/>
    <cellStyle name="Normal 6 4 4 6 3 2" xfId="0"/>
    <cellStyle name="Normal 6 4 4 6 3 2 2" xfId="0"/>
    <cellStyle name="Normal 6 4 4 6 3 2 2 2" xfId="0"/>
    <cellStyle name="Normal 6 4 4 6 3 2 2 2 2" xfId="0"/>
    <cellStyle name="Normal 6 4 4 6 3 2 2 3" xfId="0"/>
    <cellStyle name="Normal 6 4 4 6 3 2 3" xfId="0"/>
    <cellStyle name="Normal 6 4 4 6 3 2 3 2" xfId="0"/>
    <cellStyle name="Normal 6 4 4 6 3 2 4" xfId="0"/>
    <cellStyle name="Normal 6 4 4 6 3 3" xfId="0"/>
    <cellStyle name="Normal 6 4 4 6 3 3 2" xfId="0"/>
    <cellStyle name="Normal 6 4 4 6 3 3 2 2" xfId="0"/>
    <cellStyle name="Normal 6 4 4 6 3 3 3" xfId="0"/>
    <cellStyle name="Normal 6 4 4 6 3 4" xfId="0"/>
    <cellStyle name="Normal 6 4 4 6 3 4 2" xfId="0"/>
    <cellStyle name="Normal 6 4 4 6 3 5" xfId="0"/>
    <cellStyle name="Normal 6 4 4 6 4" xfId="0"/>
    <cellStyle name="Normal 6 4 4 6 4 2" xfId="0"/>
    <cellStyle name="Normal 6 4 4 6 4 2 2" xfId="0"/>
    <cellStyle name="Normal 6 4 4 6 4 2 2 2" xfId="0"/>
    <cellStyle name="Normal 6 4 4 6 4 2 3" xfId="0"/>
    <cellStyle name="Normal 6 4 4 6 4 3" xfId="0"/>
    <cellStyle name="Normal 6 4 4 6 4 3 2" xfId="0"/>
    <cellStyle name="Normal 6 4 4 6 4 4" xfId="0"/>
    <cellStyle name="Normal 6 4 4 6 5" xfId="0"/>
    <cellStyle name="Normal 6 4 4 6 5 2" xfId="0"/>
    <cellStyle name="Normal 6 4 4 6 5 2 2" xfId="0"/>
    <cellStyle name="Normal 6 4 4 6 5 3" xfId="0"/>
    <cellStyle name="Normal 6 4 4 6 6" xfId="0"/>
    <cellStyle name="Normal 6 4 4 6 6 2" xfId="0"/>
    <cellStyle name="Normal 6 4 4 6 7" xfId="0"/>
    <cellStyle name="Normal 6 4 4 7" xfId="0"/>
    <cellStyle name="Normal 6 4 4 7 2" xfId="0"/>
    <cellStyle name="Normal 6 4 4 7 2 2" xfId="0"/>
    <cellStyle name="Normal 6 4 4 7 2 2 2" xfId="0"/>
    <cellStyle name="Normal 6 4 4 7 2 2 2 2" xfId="0"/>
    <cellStyle name="Normal 6 4 4 7 2 2 2 2 2" xfId="0"/>
    <cellStyle name="Normal 6 4 4 7 2 2 2 3" xfId="0"/>
    <cellStyle name="Normal 6 4 4 7 2 2 3" xfId="0"/>
    <cellStyle name="Normal 6 4 4 7 2 2 3 2" xfId="0"/>
    <cellStyle name="Normal 6 4 4 7 2 2 4" xfId="0"/>
    <cellStyle name="Normal 6 4 4 7 2 3" xfId="0"/>
    <cellStyle name="Normal 6 4 4 7 2 3 2" xfId="0"/>
    <cellStyle name="Normal 6 4 4 7 2 3 2 2" xfId="0"/>
    <cellStyle name="Normal 6 4 4 7 2 3 3" xfId="0"/>
    <cellStyle name="Normal 6 4 4 7 2 4" xfId="0"/>
    <cellStyle name="Normal 6 4 4 7 2 4 2" xfId="0"/>
    <cellStyle name="Normal 6 4 4 7 2 5" xfId="0"/>
    <cellStyle name="Normal 6 4 4 7 3" xfId="0"/>
    <cellStyle name="Normal 6 4 4 7 3 2" xfId="0"/>
    <cellStyle name="Normal 6 4 4 7 3 2 2" xfId="0"/>
    <cellStyle name="Normal 6 4 4 7 3 2 2 2" xfId="0"/>
    <cellStyle name="Normal 6 4 4 7 3 2 3" xfId="0"/>
    <cellStyle name="Normal 6 4 4 7 3 3" xfId="0"/>
    <cellStyle name="Normal 6 4 4 7 3 3 2" xfId="0"/>
    <cellStyle name="Normal 6 4 4 7 3 4" xfId="0"/>
    <cellStyle name="Normal 6 4 4 7 4" xfId="0"/>
    <cellStyle name="Normal 6 4 4 7 4 2" xfId="0"/>
    <cellStyle name="Normal 6 4 4 7 4 2 2" xfId="0"/>
    <cellStyle name="Normal 6 4 4 7 4 3" xfId="0"/>
    <cellStyle name="Normal 6 4 4 7 5" xfId="0"/>
    <cellStyle name="Normal 6 4 4 7 5 2" xfId="0"/>
    <cellStyle name="Normal 6 4 4 7 6" xfId="0"/>
    <cellStyle name="Normal 6 4 4 8" xfId="0"/>
    <cellStyle name="Normal 6 4 4 8 2" xfId="0"/>
    <cellStyle name="Normal 6 4 4 8 2 2" xfId="0"/>
    <cellStyle name="Normal 6 4 4 8 2 2 2" xfId="0"/>
    <cellStyle name="Normal 6 4 4 8 2 2 2 2" xfId="0"/>
    <cellStyle name="Normal 6 4 4 8 2 2 3" xfId="0"/>
    <cellStyle name="Normal 6 4 4 8 2 3" xfId="0"/>
    <cellStyle name="Normal 6 4 4 8 2 3 2" xfId="0"/>
    <cellStyle name="Normal 6 4 4 8 2 4" xfId="0"/>
    <cellStyle name="Normal 6 4 4 8 3" xfId="0"/>
    <cellStyle name="Normal 6 4 4 8 3 2" xfId="0"/>
    <cellStyle name="Normal 6 4 4 8 3 2 2" xfId="0"/>
    <cellStyle name="Normal 6 4 4 8 3 3" xfId="0"/>
    <cellStyle name="Normal 6 4 4 8 4" xfId="0"/>
    <cellStyle name="Normal 6 4 4 8 4 2" xfId="0"/>
    <cellStyle name="Normal 6 4 4 8 5" xfId="0"/>
    <cellStyle name="Normal 6 4 4 9" xfId="0"/>
    <cellStyle name="Normal 6 4 4 9 2" xfId="0"/>
    <cellStyle name="Normal 6 4 4 9 2 2" xfId="0"/>
    <cellStyle name="Normal 6 4 4 9 2 2 2" xfId="0"/>
    <cellStyle name="Normal 6 4 4 9 2 3" xfId="0"/>
    <cellStyle name="Normal 6 4 4 9 3" xfId="0"/>
    <cellStyle name="Normal 6 4 4 9 3 2" xfId="0"/>
    <cellStyle name="Normal 6 4 4 9 4" xfId="0"/>
    <cellStyle name="Normal 6 4 5" xfId="0"/>
    <cellStyle name="Normal 6 4 5 10" xfId="0"/>
    <cellStyle name="Normal 6 4 5 10 2" xfId="0"/>
    <cellStyle name="Normal 6 4 5 11" xfId="0"/>
    <cellStyle name="Normal 6 4 5 2" xfId="0"/>
    <cellStyle name="Normal 6 4 5 2 2" xfId="0"/>
    <cellStyle name="Normal 6 4 5 2 2 2" xfId="0"/>
    <cellStyle name="Normal 6 4 5 2 2 2 2" xfId="0"/>
    <cellStyle name="Normal 6 4 5 2 2 2 2 2" xfId="0"/>
    <cellStyle name="Normal 6 4 5 2 2 2 2 2 2" xfId="0"/>
    <cellStyle name="Normal 6 4 5 2 2 2 2 2 2 2" xfId="0"/>
    <cellStyle name="Normal 6 4 5 2 2 2 2 2 2 2 2" xfId="0"/>
    <cellStyle name="Normal 6 4 5 2 2 2 2 2 2 3" xfId="0"/>
    <cellStyle name="Normal 6 4 5 2 2 2 2 2 3" xfId="0"/>
    <cellStyle name="Normal 6 4 5 2 2 2 2 2 3 2" xfId="0"/>
    <cellStyle name="Normal 6 4 5 2 2 2 2 2 4" xfId="0"/>
    <cellStyle name="Normal 6 4 5 2 2 2 2 3" xfId="0"/>
    <cellStyle name="Normal 6 4 5 2 2 2 2 3 2" xfId="0"/>
    <cellStyle name="Normal 6 4 5 2 2 2 2 3 2 2" xfId="0"/>
    <cellStyle name="Normal 6 4 5 2 2 2 2 3 3" xfId="0"/>
    <cellStyle name="Normal 6 4 5 2 2 2 2 4" xfId="0"/>
    <cellStyle name="Normal 6 4 5 2 2 2 2 4 2" xfId="0"/>
    <cellStyle name="Normal 6 4 5 2 2 2 2 5" xfId="0"/>
    <cellStyle name="Normal 6 4 5 2 2 2 3" xfId="0"/>
    <cellStyle name="Normal 6 4 5 2 2 2 3 2" xfId="0"/>
    <cellStyle name="Normal 6 4 5 2 2 2 3 2 2" xfId="0"/>
    <cellStyle name="Normal 6 4 5 2 2 2 3 2 2 2" xfId="0"/>
    <cellStyle name="Normal 6 4 5 2 2 2 3 2 3" xfId="0"/>
    <cellStyle name="Normal 6 4 5 2 2 2 3 3" xfId="0"/>
    <cellStyle name="Normal 6 4 5 2 2 2 3 3 2" xfId="0"/>
    <cellStyle name="Normal 6 4 5 2 2 2 3 4" xfId="0"/>
    <cellStyle name="Normal 6 4 5 2 2 2 4" xfId="0"/>
    <cellStyle name="Normal 6 4 5 2 2 2 4 2" xfId="0"/>
    <cellStyle name="Normal 6 4 5 2 2 2 4 2 2" xfId="0"/>
    <cellStyle name="Normal 6 4 5 2 2 2 4 3" xfId="0"/>
    <cellStyle name="Normal 6 4 5 2 2 2 5" xfId="0"/>
    <cellStyle name="Normal 6 4 5 2 2 2 5 2" xfId="0"/>
    <cellStyle name="Normal 6 4 5 2 2 2 6" xfId="0"/>
    <cellStyle name="Normal 6 4 5 2 2 3" xfId="0"/>
    <cellStyle name="Normal 6 4 5 2 2 3 2" xfId="0"/>
    <cellStyle name="Normal 6 4 5 2 2 3 2 2" xfId="0"/>
    <cellStyle name="Normal 6 4 5 2 2 3 2 2 2" xfId="0"/>
    <cellStyle name="Normal 6 4 5 2 2 3 2 2 2 2" xfId="0"/>
    <cellStyle name="Normal 6 4 5 2 2 3 2 2 3" xfId="0"/>
    <cellStyle name="Normal 6 4 5 2 2 3 2 3" xfId="0"/>
    <cellStyle name="Normal 6 4 5 2 2 3 2 3 2" xfId="0"/>
    <cellStyle name="Normal 6 4 5 2 2 3 2 4" xfId="0"/>
    <cellStyle name="Normal 6 4 5 2 2 3 3" xfId="0"/>
    <cellStyle name="Normal 6 4 5 2 2 3 3 2" xfId="0"/>
    <cellStyle name="Normal 6 4 5 2 2 3 3 2 2" xfId="0"/>
    <cellStyle name="Normal 6 4 5 2 2 3 3 3" xfId="0"/>
    <cellStyle name="Normal 6 4 5 2 2 3 4" xfId="0"/>
    <cellStyle name="Normal 6 4 5 2 2 3 4 2" xfId="0"/>
    <cellStyle name="Normal 6 4 5 2 2 3 5" xfId="0"/>
    <cellStyle name="Normal 6 4 5 2 2 4" xfId="0"/>
    <cellStyle name="Normal 6 4 5 2 2 4 2" xfId="0"/>
    <cellStyle name="Normal 6 4 5 2 2 4 2 2" xfId="0"/>
    <cellStyle name="Normal 6 4 5 2 2 4 2 2 2" xfId="0"/>
    <cellStyle name="Normal 6 4 5 2 2 4 2 3" xfId="0"/>
    <cellStyle name="Normal 6 4 5 2 2 4 3" xfId="0"/>
    <cellStyle name="Normal 6 4 5 2 2 4 3 2" xfId="0"/>
    <cellStyle name="Normal 6 4 5 2 2 4 4" xfId="0"/>
    <cellStyle name="Normal 6 4 5 2 2 5" xfId="0"/>
    <cellStyle name="Normal 6 4 5 2 2 5 2" xfId="0"/>
    <cellStyle name="Normal 6 4 5 2 2 5 2 2" xfId="0"/>
    <cellStyle name="Normal 6 4 5 2 2 5 3" xfId="0"/>
    <cellStyle name="Normal 6 4 5 2 2 6" xfId="0"/>
    <cellStyle name="Normal 6 4 5 2 2 6 2" xfId="0"/>
    <cellStyle name="Normal 6 4 5 2 2 7" xfId="0"/>
    <cellStyle name="Normal 6 4 5 2 3" xfId="0"/>
    <cellStyle name="Normal 6 4 5 2 3 2" xfId="0"/>
    <cellStyle name="Normal 6 4 5 2 3 2 2" xfId="0"/>
    <cellStyle name="Normal 6 4 5 2 3 2 2 2" xfId="0"/>
    <cellStyle name="Normal 6 4 5 2 3 2 2 2 2" xfId="0"/>
    <cellStyle name="Normal 6 4 5 2 3 2 2 2 2 2" xfId="0"/>
    <cellStyle name="Normal 6 4 5 2 3 2 2 2 3" xfId="0"/>
    <cellStyle name="Normal 6 4 5 2 3 2 2 3" xfId="0"/>
    <cellStyle name="Normal 6 4 5 2 3 2 2 3 2" xfId="0"/>
    <cellStyle name="Normal 6 4 5 2 3 2 2 4" xfId="0"/>
    <cellStyle name="Normal 6 4 5 2 3 2 3" xfId="0"/>
    <cellStyle name="Normal 6 4 5 2 3 2 3 2" xfId="0"/>
    <cellStyle name="Normal 6 4 5 2 3 2 3 2 2" xfId="0"/>
    <cellStyle name="Normal 6 4 5 2 3 2 3 3" xfId="0"/>
    <cellStyle name="Normal 6 4 5 2 3 2 4" xfId="0"/>
    <cellStyle name="Normal 6 4 5 2 3 2 4 2" xfId="0"/>
    <cellStyle name="Normal 6 4 5 2 3 2 5" xfId="0"/>
    <cellStyle name="Normal 6 4 5 2 3 3" xfId="0"/>
    <cellStyle name="Normal 6 4 5 2 3 3 2" xfId="0"/>
    <cellStyle name="Normal 6 4 5 2 3 3 2 2" xfId="0"/>
    <cellStyle name="Normal 6 4 5 2 3 3 2 2 2" xfId="0"/>
    <cellStyle name="Normal 6 4 5 2 3 3 2 3" xfId="0"/>
    <cellStyle name="Normal 6 4 5 2 3 3 3" xfId="0"/>
    <cellStyle name="Normal 6 4 5 2 3 3 3 2" xfId="0"/>
    <cellStyle name="Normal 6 4 5 2 3 3 4" xfId="0"/>
    <cellStyle name="Normal 6 4 5 2 3 4" xfId="0"/>
    <cellStyle name="Normal 6 4 5 2 3 4 2" xfId="0"/>
    <cellStyle name="Normal 6 4 5 2 3 4 2 2" xfId="0"/>
    <cellStyle name="Normal 6 4 5 2 3 4 3" xfId="0"/>
    <cellStyle name="Normal 6 4 5 2 3 5" xfId="0"/>
    <cellStyle name="Normal 6 4 5 2 3 5 2" xfId="0"/>
    <cellStyle name="Normal 6 4 5 2 3 6" xfId="0"/>
    <cellStyle name="Normal 6 4 5 2 4" xfId="0"/>
    <cellStyle name="Normal 6 4 5 2 4 2" xfId="0"/>
    <cellStyle name="Normal 6 4 5 2 4 2 2" xfId="0"/>
    <cellStyle name="Normal 6 4 5 2 4 2 2 2" xfId="0"/>
    <cellStyle name="Normal 6 4 5 2 4 2 2 2 2" xfId="0"/>
    <cellStyle name="Normal 6 4 5 2 4 2 2 3" xfId="0"/>
    <cellStyle name="Normal 6 4 5 2 4 2 3" xfId="0"/>
    <cellStyle name="Normal 6 4 5 2 4 2 3 2" xfId="0"/>
    <cellStyle name="Normal 6 4 5 2 4 2 4" xfId="0"/>
    <cellStyle name="Normal 6 4 5 2 4 3" xfId="0"/>
    <cellStyle name="Normal 6 4 5 2 4 3 2" xfId="0"/>
    <cellStyle name="Normal 6 4 5 2 4 3 2 2" xfId="0"/>
    <cellStyle name="Normal 6 4 5 2 4 3 3" xfId="0"/>
    <cellStyle name="Normal 6 4 5 2 4 4" xfId="0"/>
    <cellStyle name="Normal 6 4 5 2 4 4 2" xfId="0"/>
    <cellStyle name="Normal 6 4 5 2 4 5" xfId="0"/>
    <cellStyle name="Normal 6 4 5 2 5" xfId="0"/>
    <cellStyle name="Normal 6 4 5 2 5 2" xfId="0"/>
    <cellStyle name="Normal 6 4 5 2 5 2 2" xfId="0"/>
    <cellStyle name="Normal 6 4 5 2 5 2 2 2" xfId="0"/>
    <cellStyle name="Normal 6 4 5 2 5 2 3" xfId="0"/>
    <cellStyle name="Normal 6 4 5 2 5 3" xfId="0"/>
    <cellStyle name="Normal 6 4 5 2 5 3 2" xfId="0"/>
    <cellStyle name="Normal 6 4 5 2 5 4" xfId="0"/>
    <cellStyle name="Normal 6 4 5 2 6" xfId="0"/>
    <cellStyle name="Normal 6 4 5 2 6 2" xfId="0"/>
    <cellStyle name="Normal 6 4 5 2 6 2 2" xfId="0"/>
    <cellStyle name="Normal 6 4 5 2 6 3" xfId="0"/>
    <cellStyle name="Normal 6 4 5 2 7" xfId="0"/>
    <cellStyle name="Normal 6 4 5 2 7 2" xfId="0"/>
    <cellStyle name="Normal 6 4 5 2 8" xfId="0"/>
    <cellStyle name="Normal 6 4 5 3" xfId="0"/>
    <cellStyle name="Normal 6 4 5 3 2" xfId="0"/>
    <cellStyle name="Normal 6 4 5 3 2 2" xfId="0"/>
    <cellStyle name="Normal 6 4 5 3 2 2 2" xfId="0"/>
    <cellStyle name="Normal 6 4 5 3 2 2 2 2" xfId="0"/>
    <cellStyle name="Normal 6 4 5 3 2 2 2 2 2" xfId="0"/>
    <cellStyle name="Normal 6 4 5 3 2 2 2 2 2 2" xfId="0"/>
    <cellStyle name="Normal 6 4 5 3 2 2 2 2 2 2 2" xfId="0"/>
    <cellStyle name="Normal 6 4 5 3 2 2 2 2 2 3" xfId="0"/>
    <cellStyle name="Normal 6 4 5 3 2 2 2 2 3" xfId="0"/>
    <cellStyle name="Normal 6 4 5 3 2 2 2 2 3 2" xfId="0"/>
    <cellStyle name="Normal 6 4 5 3 2 2 2 2 4" xfId="0"/>
    <cellStyle name="Normal 6 4 5 3 2 2 2 3" xfId="0"/>
    <cellStyle name="Normal 6 4 5 3 2 2 2 3 2" xfId="0"/>
    <cellStyle name="Normal 6 4 5 3 2 2 2 3 2 2" xfId="0"/>
    <cellStyle name="Normal 6 4 5 3 2 2 2 3 3" xfId="0"/>
    <cellStyle name="Normal 6 4 5 3 2 2 2 4" xfId="0"/>
    <cellStyle name="Normal 6 4 5 3 2 2 2 4 2" xfId="0"/>
    <cellStyle name="Normal 6 4 5 3 2 2 2 5" xfId="0"/>
    <cellStyle name="Normal 6 4 5 3 2 2 3" xfId="0"/>
    <cellStyle name="Normal 6 4 5 3 2 2 3 2" xfId="0"/>
    <cellStyle name="Normal 6 4 5 3 2 2 3 2 2" xfId="0"/>
    <cellStyle name="Normal 6 4 5 3 2 2 3 2 2 2" xfId="0"/>
    <cellStyle name="Normal 6 4 5 3 2 2 3 2 3" xfId="0"/>
    <cellStyle name="Normal 6 4 5 3 2 2 3 3" xfId="0"/>
    <cellStyle name="Normal 6 4 5 3 2 2 3 3 2" xfId="0"/>
    <cellStyle name="Normal 6 4 5 3 2 2 3 4" xfId="0"/>
    <cellStyle name="Normal 6 4 5 3 2 2 4" xfId="0"/>
    <cellStyle name="Normal 6 4 5 3 2 2 4 2" xfId="0"/>
    <cellStyle name="Normal 6 4 5 3 2 2 4 2 2" xfId="0"/>
    <cellStyle name="Normal 6 4 5 3 2 2 4 3" xfId="0"/>
    <cellStyle name="Normal 6 4 5 3 2 2 5" xfId="0"/>
    <cellStyle name="Normal 6 4 5 3 2 2 5 2" xfId="0"/>
    <cellStyle name="Normal 6 4 5 3 2 2 6" xfId="0"/>
    <cellStyle name="Normal 6 4 5 3 2 3" xfId="0"/>
    <cellStyle name="Normal 6 4 5 3 2 3 2" xfId="0"/>
    <cellStyle name="Normal 6 4 5 3 2 3 2 2" xfId="0"/>
    <cellStyle name="Normal 6 4 5 3 2 3 2 2 2" xfId="0"/>
    <cellStyle name="Normal 6 4 5 3 2 3 2 2 2 2" xfId="0"/>
    <cellStyle name="Normal 6 4 5 3 2 3 2 2 3" xfId="0"/>
    <cellStyle name="Normal 6 4 5 3 2 3 2 3" xfId="0"/>
    <cellStyle name="Normal 6 4 5 3 2 3 2 3 2" xfId="0"/>
    <cellStyle name="Normal 6 4 5 3 2 3 2 4" xfId="0"/>
    <cellStyle name="Normal 6 4 5 3 2 3 3" xfId="0"/>
    <cellStyle name="Normal 6 4 5 3 2 3 3 2" xfId="0"/>
    <cellStyle name="Normal 6 4 5 3 2 3 3 2 2" xfId="0"/>
    <cellStyle name="Normal 6 4 5 3 2 3 3 3" xfId="0"/>
    <cellStyle name="Normal 6 4 5 3 2 3 4" xfId="0"/>
    <cellStyle name="Normal 6 4 5 3 2 3 4 2" xfId="0"/>
    <cellStyle name="Normal 6 4 5 3 2 3 5" xfId="0"/>
    <cellStyle name="Normal 6 4 5 3 2 4" xfId="0"/>
    <cellStyle name="Normal 6 4 5 3 2 4 2" xfId="0"/>
    <cellStyle name="Normal 6 4 5 3 2 4 2 2" xfId="0"/>
    <cellStyle name="Normal 6 4 5 3 2 4 2 2 2" xfId="0"/>
    <cellStyle name="Normal 6 4 5 3 2 4 2 3" xfId="0"/>
    <cellStyle name="Normal 6 4 5 3 2 4 3" xfId="0"/>
    <cellStyle name="Normal 6 4 5 3 2 4 3 2" xfId="0"/>
    <cellStyle name="Normal 6 4 5 3 2 4 4" xfId="0"/>
    <cellStyle name="Normal 6 4 5 3 2 5" xfId="0"/>
    <cellStyle name="Normal 6 4 5 3 2 5 2" xfId="0"/>
    <cellStyle name="Normal 6 4 5 3 2 5 2 2" xfId="0"/>
    <cellStyle name="Normal 6 4 5 3 2 5 3" xfId="0"/>
    <cellStyle name="Normal 6 4 5 3 2 6" xfId="0"/>
    <cellStyle name="Normal 6 4 5 3 2 6 2" xfId="0"/>
    <cellStyle name="Normal 6 4 5 3 2 7" xfId="0"/>
    <cellStyle name="Normal 6 4 5 3 3" xfId="0"/>
    <cellStyle name="Normal 6 4 5 3 3 2" xfId="0"/>
    <cellStyle name="Normal 6 4 5 3 3 2 2" xfId="0"/>
    <cellStyle name="Normal 6 4 5 3 3 2 2 2" xfId="0"/>
    <cellStyle name="Normal 6 4 5 3 3 2 2 2 2" xfId="0"/>
    <cellStyle name="Normal 6 4 5 3 3 2 2 2 2 2" xfId="0"/>
    <cellStyle name="Normal 6 4 5 3 3 2 2 2 3" xfId="0"/>
    <cellStyle name="Normal 6 4 5 3 3 2 2 3" xfId="0"/>
    <cellStyle name="Normal 6 4 5 3 3 2 2 3 2" xfId="0"/>
    <cellStyle name="Normal 6 4 5 3 3 2 2 4" xfId="0"/>
    <cellStyle name="Normal 6 4 5 3 3 2 3" xfId="0"/>
    <cellStyle name="Normal 6 4 5 3 3 2 3 2" xfId="0"/>
    <cellStyle name="Normal 6 4 5 3 3 2 3 2 2" xfId="0"/>
    <cellStyle name="Normal 6 4 5 3 3 2 3 3" xfId="0"/>
    <cellStyle name="Normal 6 4 5 3 3 2 4" xfId="0"/>
    <cellStyle name="Normal 6 4 5 3 3 2 4 2" xfId="0"/>
    <cellStyle name="Normal 6 4 5 3 3 2 5" xfId="0"/>
    <cellStyle name="Normal 6 4 5 3 3 3" xfId="0"/>
    <cellStyle name="Normal 6 4 5 3 3 3 2" xfId="0"/>
    <cellStyle name="Normal 6 4 5 3 3 3 2 2" xfId="0"/>
    <cellStyle name="Normal 6 4 5 3 3 3 2 2 2" xfId="0"/>
    <cellStyle name="Normal 6 4 5 3 3 3 2 3" xfId="0"/>
    <cellStyle name="Normal 6 4 5 3 3 3 3" xfId="0"/>
    <cellStyle name="Normal 6 4 5 3 3 3 3 2" xfId="0"/>
    <cellStyle name="Normal 6 4 5 3 3 3 4" xfId="0"/>
    <cellStyle name="Normal 6 4 5 3 3 4" xfId="0"/>
    <cellStyle name="Normal 6 4 5 3 3 4 2" xfId="0"/>
    <cellStyle name="Normal 6 4 5 3 3 4 2 2" xfId="0"/>
    <cellStyle name="Normal 6 4 5 3 3 4 3" xfId="0"/>
    <cellStyle name="Normal 6 4 5 3 3 5" xfId="0"/>
    <cellStyle name="Normal 6 4 5 3 3 5 2" xfId="0"/>
    <cellStyle name="Normal 6 4 5 3 3 6" xfId="0"/>
    <cellStyle name="Normal 6 4 5 3 4" xfId="0"/>
    <cellStyle name="Normal 6 4 5 3 4 2" xfId="0"/>
    <cellStyle name="Normal 6 4 5 3 4 2 2" xfId="0"/>
    <cellStyle name="Normal 6 4 5 3 4 2 2 2" xfId="0"/>
    <cellStyle name="Normal 6 4 5 3 4 2 2 2 2" xfId="0"/>
    <cellStyle name="Normal 6 4 5 3 4 2 2 3" xfId="0"/>
    <cellStyle name="Normal 6 4 5 3 4 2 3" xfId="0"/>
    <cellStyle name="Normal 6 4 5 3 4 2 3 2" xfId="0"/>
    <cellStyle name="Normal 6 4 5 3 4 2 4" xfId="0"/>
    <cellStyle name="Normal 6 4 5 3 4 3" xfId="0"/>
    <cellStyle name="Normal 6 4 5 3 4 3 2" xfId="0"/>
    <cellStyle name="Normal 6 4 5 3 4 3 2 2" xfId="0"/>
    <cellStyle name="Normal 6 4 5 3 4 3 3" xfId="0"/>
    <cellStyle name="Normal 6 4 5 3 4 4" xfId="0"/>
    <cellStyle name="Normal 6 4 5 3 4 4 2" xfId="0"/>
    <cellStyle name="Normal 6 4 5 3 4 5" xfId="0"/>
    <cellStyle name="Normal 6 4 5 3 5" xfId="0"/>
    <cellStyle name="Normal 6 4 5 3 5 2" xfId="0"/>
    <cellStyle name="Normal 6 4 5 3 5 2 2" xfId="0"/>
    <cellStyle name="Normal 6 4 5 3 5 2 2 2" xfId="0"/>
    <cellStyle name="Normal 6 4 5 3 5 2 3" xfId="0"/>
    <cellStyle name="Normal 6 4 5 3 5 3" xfId="0"/>
    <cellStyle name="Normal 6 4 5 3 5 3 2" xfId="0"/>
    <cellStyle name="Normal 6 4 5 3 5 4" xfId="0"/>
    <cellStyle name="Normal 6 4 5 3 6" xfId="0"/>
    <cellStyle name="Normal 6 4 5 3 6 2" xfId="0"/>
    <cellStyle name="Normal 6 4 5 3 6 2 2" xfId="0"/>
    <cellStyle name="Normal 6 4 5 3 6 3" xfId="0"/>
    <cellStyle name="Normal 6 4 5 3 7" xfId="0"/>
    <cellStyle name="Normal 6 4 5 3 7 2" xfId="0"/>
    <cellStyle name="Normal 6 4 5 3 8" xfId="0"/>
    <cellStyle name="Normal 6 4 5 4" xfId="0"/>
    <cellStyle name="Normal 6 4 5 4 2" xfId="0"/>
    <cellStyle name="Normal 6 4 5 4 2 2" xfId="0"/>
    <cellStyle name="Normal 6 4 5 4 2 2 2" xfId="0"/>
    <cellStyle name="Normal 6 4 5 4 2 2 2 2" xfId="0"/>
    <cellStyle name="Normal 6 4 5 4 2 2 2 2 2" xfId="0"/>
    <cellStyle name="Normal 6 4 5 4 2 2 2 2 2 2" xfId="0"/>
    <cellStyle name="Normal 6 4 5 4 2 2 2 2 3" xfId="0"/>
    <cellStyle name="Normal 6 4 5 4 2 2 2 3" xfId="0"/>
    <cellStyle name="Normal 6 4 5 4 2 2 2 3 2" xfId="0"/>
    <cellStyle name="Normal 6 4 5 4 2 2 2 4" xfId="0"/>
    <cellStyle name="Normal 6 4 5 4 2 2 3" xfId="0"/>
    <cellStyle name="Normal 6 4 5 4 2 2 3 2" xfId="0"/>
    <cellStyle name="Normal 6 4 5 4 2 2 3 2 2" xfId="0"/>
    <cellStyle name="Normal 6 4 5 4 2 2 3 3" xfId="0"/>
    <cellStyle name="Normal 6 4 5 4 2 2 4" xfId="0"/>
    <cellStyle name="Normal 6 4 5 4 2 2 4 2" xfId="0"/>
    <cellStyle name="Normal 6 4 5 4 2 2 5" xfId="0"/>
    <cellStyle name="Normal 6 4 5 4 2 3" xfId="0"/>
    <cellStyle name="Normal 6 4 5 4 2 3 2" xfId="0"/>
    <cellStyle name="Normal 6 4 5 4 2 3 2 2" xfId="0"/>
    <cellStyle name="Normal 6 4 5 4 2 3 2 2 2" xfId="0"/>
    <cellStyle name="Normal 6 4 5 4 2 3 2 3" xfId="0"/>
    <cellStyle name="Normal 6 4 5 4 2 3 3" xfId="0"/>
    <cellStyle name="Normal 6 4 5 4 2 3 3 2" xfId="0"/>
    <cellStyle name="Normal 6 4 5 4 2 3 4" xfId="0"/>
    <cellStyle name="Normal 6 4 5 4 2 4" xfId="0"/>
    <cellStyle name="Normal 6 4 5 4 2 4 2" xfId="0"/>
    <cellStyle name="Normal 6 4 5 4 2 4 2 2" xfId="0"/>
    <cellStyle name="Normal 6 4 5 4 2 4 3" xfId="0"/>
    <cellStyle name="Normal 6 4 5 4 2 5" xfId="0"/>
    <cellStyle name="Normal 6 4 5 4 2 5 2" xfId="0"/>
    <cellStyle name="Normal 6 4 5 4 2 6" xfId="0"/>
    <cellStyle name="Normal 6 4 5 4 3" xfId="0"/>
    <cellStyle name="Normal 6 4 5 4 3 2" xfId="0"/>
    <cellStyle name="Normal 6 4 5 4 3 2 2" xfId="0"/>
    <cellStyle name="Normal 6 4 5 4 3 2 2 2" xfId="0"/>
    <cellStyle name="Normal 6 4 5 4 3 2 2 2 2" xfId="0"/>
    <cellStyle name="Normal 6 4 5 4 3 2 2 3" xfId="0"/>
    <cellStyle name="Normal 6 4 5 4 3 2 3" xfId="0"/>
    <cellStyle name="Normal 6 4 5 4 3 2 3 2" xfId="0"/>
    <cellStyle name="Normal 6 4 5 4 3 2 4" xfId="0"/>
    <cellStyle name="Normal 6 4 5 4 3 3" xfId="0"/>
    <cellStyle name="Normal 6 4 5 4 3 3 2" xfId="0"/>
    <cellStyle name="Normal 6 4 5 4 3 3 2 2" xfId="0"/>
    <cellStyle name="Normal 6 4 5 4 3 3 3" xfId="0"/>
    <cellStyle name="Normal 6 4 5 4 3 4" xfId="0"/>
    <cellStyle name="Normal 6 4 5 4 3 4 2" xfId="0"/>
    <cellStyle name="Normal 6 4 5 4 3 5" xfId="0"/>
    <cellStyle name="Normal 6 4 5 4 4" xfId="0"/>
    <cellStyle name="Normal 6 4 5 4 4 2" xfId="0"/>
    <cellStyle name="Normal 6 4 5 4 4 2 2" xfId="0"/>
    <cellStyle name="Normal 6 4 5 4 4 2 2 2" xfId="0"/>
    <cellStyle name="Normal 6 4 5 4 4 2 3" xfId="0"/>
    <cellStyle name="Normal 6 4 5 4 4 3" xfId="0"/>
    <cellStyle name="Normal 6 4 5 4 4 3 2" xfId="0"/>
    <cellStyle name="Normal 6 4 5 4 4 4" xfId="0"/>
    <cellStyle name="Normal 6 4 5 4 5" xfId="0"/>
    <cellStyle name="Normal 6 4 5 4 5 2" xfId="0"/>
    <cellStyle name="Normal 6 4 5 4 5 2 2" xfId="0"/>
    <cellStyle name="Normal 6 4 5 4 5 3" xfId="0"/>
    <cellStyle name="Normal 6 4 5 4 6" xfId="0"/>
    <cellStyle name="Normal 6 4 5 4 6 2" xfId="0"/>
    <cellStyle name="Normal 6 4 5 4 7" xfId="0"/>
    <cellStyle name="Normal 6 4 5 5" xfId="0"/>
    <cellStyle name="Normal 6 4 5 5 2" xfId="0"/>
    <cellStyle name="Normal 6 4 5 5 2 2" xfId="0"/>
    <cellStyle name="Normal 6 4 5 5 2 2 2" xfId="0"/>
    <cellStyle name="Normal 6 4 5 5 2 2 2 2" xfId="0"/>
    <cellStyle name="Normal 6 4 5 5 2 2 2 2 2" xfId="0"/>
    <cellStyle name="Normal 6 4 5 5 2 2 2 2 2 2" xfId="0"/>
    <cellStyle name="Normal 6 4 5 5 2 2 2 2 3" xfId="0"/>
    <cellStyle name="Normal 6 4 5 5 2 2 2 3" xfId="0"/>
    <cellStyle name="Normal 6 4 5 5 2 2 2 3 2" xfId="0"/>
    <cellStyle name="Normal 6 4 5 5 2 2 2 4" xfId="0"/>
    <cellStyle name="Normal 6 4 5 5 2 2 3" xfId="0"/>
    <cellStyle name="Normal 6 4 5 5 2 2 3 2" xfId="0"/>
    <cellStyle name="Normal 6 4 5 5 2 2 3 2 2" xfId="0"/>
    <cellStyle name="Normal 6 4 5 5 2 2 3 3" xfId="0"/>
    <cellStyle name="Normal 6 4 5 5 2 2 4" xfId="0"/>
    <cellStyle name="Normal 6 4 5 5 2 2 4 2" xfId="0"/>
    <cellStyle name="Normal 6 4 5 5 2 2 5" xfId="0"/>
    <cellStyle name="Normal 6 4 5 5 2 3" xfId="0"/>
    <cellStyle name="Normal 6 4 5 5 2 3 2" xfId="0"/>
    <cellStyle name="Normal 6 4 5 5 2 3 2 2" xfId="0"/>
    <cellStyle name="Normal 6 4 5 5 2 3 2 2 2" xfId="0"/>
    <cellStyle name="Normal 6 4 5 5 2 3 2 3" xfId="0"/>
    <cellStyle name="Normal 6 4 5 5 2 3 3" xfId="0"/>
    <cellStyle name="Normal 6 4 5 5 2 3 3 2" xfId="0"/>
    <cellStyle name="Normal 6 4 5 5 2 3 4" xfId="0"/>
    <cellStyle name="Normal 6 4 5 5 2 4" xfId="0"/>
    <cellStyle name="Normal 6 4 5 5 2 4 2" xfId="0"/>
    <cellStyle name="Normal 6 4 5 5 2 4 2 2" xfId="0"/>
    <cellStyle name="Normal 6 4 5 5 2 4 3" xfId="0"/>
    <cellStyle name="Normal 6 4 5 5 2 5" xfId="0"/>
    <cellStyle name="Normal 6 4 5 5 2 5 2" xfId="0"/>
    <cellStyle name="Normal 6 4 5 5 2 6" xfId="0"/>
    <cellStyle name="Normal 6 4 5 5 3" xfId="0"/>
    <cellStyle name="Normal 6 4 5 5 3 2" xfId="0"/>
    <cellStyle name="Normal 6 4 5 5 3 2 2" xfId="0"/>
    <cellStyle name="Normal 6 4 5 5 3 2 2 2" xfId="0"/>
    <cellStyle name="Normal 6 4 5 5 3 2 2 2 2" xfId="0"/>
    <cellStyle name="Normal 6 4 5 5 3 2 2 3" xfId="0"/>
    <cellStyle name="Normal 6 4 5 5 3 2 3" xfId="0"/>
    <cellStyle name="Normal 6 4 5 5 3 2 3 2" xfId="0"/>
    <cellStyle name="Normal 6 4 5 5 3 2 4" xfId="0"/>
    <cellStyle name="Normal 6 4 5 5 3 3" xfId="0"/>
    <cellStyle name="Normal 6 4 5 5 3 3 2" xfId="0"/>
    <cellStyle name="Normal 6 4 5 5 3 3 2 2" xfId="0"/>
    <cellStyle name="Normal 6 4 5 5 3 3 3" xfId="0"/>
    <cellStyle name="Normal 6 4 5 5 3 4" xfId="0"/>
    <cellStyle name="Normal 6 4 5 5 3 4 2" xfId="0"/>
    <cellStyle name="Normal 6 4 5 5 3 5" xfId="0"/>
    <cellStyle name="Normal 6 4 5 5 4" xfId="0"/>
    <cellStyle name="Normal 6 4 5 5 4 2" xfId="0"/>
    <cellStyle name="Normal 6 4 5 5 4 2 2" xfId="0"/>
    <cellStyle name="Normal 6 4 5 5 4 2 2 2" xfId="0"/>
    <cellStyle name="Normal 6 4 5 5 4 2 3" xfId="0"/>
    <cellStyle name="Normal 6 4 5 5 4 3" xfId="0"/>
    <cellStyle name="Normal 6 4 5 5 4 3 2" xfId="0"/>
    <cellStyle name="Normal 6 4 5 5 4 4" xfId="0"/>
    <cellStyle name="Normal 6 4 5 5 5" xfId="0"/>
    <cellStyle name="Normal 6 4 5 5 5 2" xfId="0"/>
    <cellStyle name="Normal 6 4 5 5 5 2 2" xfId="0"/>
    <cellStyle name="Normal 6 4 5 5 5 3" xfId="0"/>
    <cellStyle name="Normal 6 4 5 5 6" xfId="0"/>
    <cellStyle name="Normal 6 4 5 5 6 2" xfId="0"/>
    <cellStyle name="Normal 6 4 5 5 7" xfId="0"/>
    <cellStyle name="Normal 6 4 5 6" xfId="0"/>
    <cellStyle name="Normal 6 4 5 6 2" xfId="0"/>
    <cellStyle name="Normal 6 4 5 6 2 2" xfId="0"/>
    <cellStyle name="Normal 6 4 5 6 2 2 2" xfId="0"/>
    <cellStyle name="Normal 6 4 5 6 2 2 2 2" xfId="0"/>
    <cellStyle name="Normal 6 4 5 6 2 2 2 2 2" xfId="0"/>
    <cellStyle name="Normal 6 4 5 6 2 2 2 3" xfId="0"/>
    <cellStyle name="Normal 6 4 5 6 2 2 3" xfId="0"/>
    <cellStyle name="Normal 6 4 5 6 2 2 3 2" xfId="0"/>
    <cellStyle name="Normal 6 4 5 6 2 2 4" xfId="0"/>
    <cellStyle name="Normal 6 4 5 6 2 3" xfId="0"/>
    <cellStyle name="Normal 6 4 5 6 2 3 2" xfId="0"/>
    <cellStyle name="Normal 6 4 5 6 2 3 2 2" xfId="0"/>
    <cellStyle name="Normal 6 4 5 6 2 3 3" xfId="0"/>
    <cellStyle name="Normal 6 4 5 6 2 4" xfId="0"/>
    <cellStyle name="Normal 6 4 5 6 2 4 2" xfId="0"/>
    <cellStyle name="Normal 6 4 5 6 2 5" xfId="0"/>
    <cellStyle name="Normal 6 4 5 6 3" xfId="0"/>
    <cellStyle name="Normal 6 4 5 6 3 2" xfId="0"/>
    <cellStyle name="Normal 6 4 5 6 3 2 2" xfId="0"/>
    <cellStyle name="Normal 6 4 5 6 3 2 2 2" xfId="0"/>
    <cellStyle name="Normal 6 4 5 6 3 2 3" xfId="0"/>
    <cellStyle name="Normal 6 4 5 6 3 3" xfId="0"/>
    <cellStyle name="Normal 6 4 5 6 3 3 2" xfId="0"/>
    <cellStyle name="Normal 6 4 5 6 3 4" xfId="0"/>
    <cellStyle name="Normal 6 4 5 6 4" xfId="0"/>
    <cellStyle name="Normal 6 4 5 6 4 2" xfId="0"/>
    <cellStyle name="Normal 6 4 5 6 4 2 2" xfId="0"/>
    <cellStyle name="Normal 6 4 5 6 4 3" xfId="0"/>
    <cellStyle name="Normal 6 4 5 6 5" xfId="0"/>
    <cellStyle name="Normal 6 4 5 6 5 2" xfId="0"/>
    <cellStyle name="Normal 6 4 5 6 6" xfId="0"/>
    <cellStyle name="Normal 6 4 5 7" xfId="0"/>
    <cellStyle name="Normal 6 4 5 7 2" xfId="0"/>
    <cellStyle name="Normal 6 4 5 7 2 2" xfId="0"/>
    <cellStyle name="Normal 6 4 5 7 2 2 2" xfId="0"/>
    <cellStyle name="Normal 6 4 5 7 2 2 2 2" xfId="0"/>
    <cellStyle name="Normal 6 4 5 7 2 2 3" xfId="0"/>
    <cellStyle name="Normal 6 4 5 7 2 3" xfId="0"/>
    <cellStyle name="Normal 6 4 5 7 2 3 2" xfId="0"/>
    <cellStyle name="Normal 6 4 5 7 2 4" xfId="0"/>
    <cellStyle name="Normal 6 4 5 7 3" xfId="0"/>
    <cellStyle name="Normal 6 4 5 7 3 2" xfId="0"/>
    <cellStyle name="Normal 6 4 5 7 3 2 2" xfId="0"/>
    <cellStyle name="Normal 6 4 5 7 3 3" xfId="0"/>
    <cellStyle name="Normal 6 4 5 7 4" xfId="0"/>
    <cellStyle name="Normal 6 4 5 7 4 2" xfId="0"/>
    <cellStyle name="Normal 6 4 5 7 5" xfId="0"/>
    <cellStyle name="Normal 6 4 5 8" xfId="0"/>
    <cellStyle name="Normal 6 4 5 8 2" xfId="0"/>
    <cellStyle name="Normal 6 4 5 8 2 2" xfId="0"/>
    <cellStyle name="Normal 6 4 5 8 2 2 2" xfId="0"/>
    <cellStyle name="Normal 6 4 5 8 2 3" xfId="0"/>
    <cellStyle name="Normal 6 4 5 8 3" xfId="0"/>
    <cellStyle name="Normal 6 4 5 8 3 2" xfId="0"/>
    <cellStyle name="Normal 6 4 5 8 4" xfId="0"/>
    <cellStyle name="Normal 6 4 5 9" xfId="0"/>
    <cellStyle name="Normal 6 4 5 9 2" xfId="0"/>
    <cellStyle name="Normal 6 4 5 9 2 2" xfId="0"/>
    <cellStyle name="Normal 6 4 5 9 3" xfId="0"/>
    <cellStyle name="Normal 6 4 6" xfId="0"/>
    <cellStyle name="Normal 6 4 6 2" xfId="0"/>
    <cellStyle name="Normal 6 4 6 2 2" xfId="0"/>
    <cellStyle name="Normal 6 4 6 2 2 2" xfId="0"/>
    <cellStyle name="Normal 6 4 6 2 2 2 2" xfId="0"/>
    <cellStyle name="Normal 6 4 6 2 2 2 2 2" xfId="0"/>
    <cellStyle name="Normal 6 4 6 2 2 2 2 2 2" xfId="0"/>
    <cellStyle name="Normal 6 4 6 2 2 2 2 2 2 2" xfId="0"/>
    <cellStyle name="Normal 6 4 6 2 2 2 2 2 3" xfId="0"/>
    <cellStyle name="Normal 6 4 6 2 2 2 2 3" xfId="0"/>
    <cellStyle name="Normal 6 4 6 2 2 2 2 3 2" xfId="0"/>
    <cellStyle name="Normal 6 4 6 2 2 2 2 4" xfId="0"/>
    <cellStyle name="Normal 6 4 6 2 2 2 3" xfId="0"/>
    <cellStyle name="Normal 6 4 6 2 2 2 3 2" xfId="0"/>
    <cellStyle name="Normal 6 4 6 2 2 2 3 2 2" xfId="0"/>
    <cellStyle name="Normal 6 4 6 2 2 2 3 3" xfId="0"/>
    <cellStyle name="Normal 6 4 6 2 2 2 4" xfId="0"/>
    <cellStyle name="Normal 6 4 6 2 2 2 4 2" xfId="0"/>
    <cellStyle name="Normal 6 4 6 2 2 2 5" xfId="0"/>
    <cellStyle name="Normal 6 4 6 2 2 3" xfId="0"/>
    <cellStyle name="Normal 6 4 6 2 2 3 2" xfId="0"/>
    <cellStyle name="Normal 6 4 6 2 2 3 2 2" xfId="0"/>
    <cellStyle name="Normal 6 4 6 2 2 3 2 2 2" xfId="0"/>
    <cellStyle name="Normal 6 4 6 2 2 3 2 3" xfId="0"/>
    <cellStyle name="Normal 6 4 6 2 2 3 3" xfId="0"/>
    <cellStyle name="Normal 6 4 6 2 2 3 3 2" xfId="0"/>
    <cellStyle name="Normal 6 4 6 2 2 3 4" xfId="0"/>
    <cellStyle name="Normal 6 4 6 2 2 4" xfId="0"/>
    <cellStyle name="Normal 6 4 6 2 2 4 2" xfId="0"/>
    <cellStyle name="Normal 6 4 6 2 2 4 2 2" xfId="0"/>
    <cellStyle name="Normal 6 4 6 2 2 4 3" xfId="0"/>
    <cellStyle name="Normal 6 4 6 2 2 5" xfId="0"/>
    <cellStyle name="Normal 6 4 6 2 2 5 2" xfId="0"/>
    <cellStyle name="Normal 6 4 6 2 2 6" xfId="0"/>
    <cellStyle name="Normal 6 4 6 2 3" xfId="0"/>
    <cellStyle name="Normal 6 4 6 2 3 2" xfId="0"/>
    <cellStyle name="Normal 6 4 6 2 3 2 2" xfId="0"/>
    <cellStyle name="Normal 6 4 6 2 3 2 2 2" xfId="0"/>
    <cellStyle name="Normal 6 4 6 2 3 2 2 2 2" xfId="0"/>
    <cellStyle name="Normal 6 4 6 2 3 2 2 3" xfId="0"/>
    <cellStyle name="Normal 6 4 6 2 3 2 3" xfId="0"/>
    <cellStyle name="Normal 6 4 6 2 3 2 3 2" xfId="0"/>
    <cellStyle name="Normal 6 4 6 2 3 2 4" xfId="0"/>
    <cellStyle name="Normal 6 4 6 2 3 3" xfId="0"/>
    <cellStyle name="Normal 6 4 6 2 3 3 2" xfId="0"/>
    <cellStyle name="Normal 6 4 6 2 3 3 2 2" xfId="0"/>
    <cellStyle name="Normal 6 4 6 2 3 3 3" xfId="0"/>
    <cellStyle name="Normal 6 4 6 2 3 4" xfId="0"/>
    <cellStyle name="Normal 6 4 6 2 3 4 2" xfId="0"/>
    <cellStyle name="Normal 6 4 6 2 3 5" xfId="0"/>
    <cellStyle name="Normal 6 4 6 2 4" xfId="0"/>
    <cellStyle name="Normal 6 4 6 2 4 2" xfId="0"/>
    <cellStyle name="Normal 6 4 6 2 4 2 2" xfId="0"/>
    <cellStyle name="Normal 6 4 6 2 4 2 2 2" xfId="0"/>
    <cellStyle name="Normal 6 4 6 2 4 2 3" xfId="0"/>
    <cellStyle name="Normal 6 4 6 2 4 3" xfId="0"/>
    <cellStyle name="Normal 6 4 6 2 4 3 2" xfId="0"/>
    <cellStyle name="Normal 6 4 6 2 4 4" xfId="0"/>
    <cellStyle name="Normal 6 4 6 2 5" xfId="0"/>
    <cellStyle name="Normal 6 4 6 2 5 2" xfId="0"/>
    <cellStyle name="Normal 6 4 6 2 5 2 2" xfId="0"/>
    <cellStyle name="Normal 6 4 6 2 5 3" xfId="0"/>
    <cellStyle name="Normal 6 4 6 2 6" xfId="0"/>
    <cellStyle name="Normal 6 4 6 2 6 2" xfId="0"/>
    <cellStyle name="Normal 6 4 6 2 7" xfId="0"/>
    <cellStyle name="Normal 6 4 6 3" xfId="0"/>
    <cellStyle name="Normal 6 4 6 3 2" xfId="0"/>
    <cellStyle name="Normal 6 4 6 3 2 2" xfId="0"/>
    <cellStyle name="Normal 6 4 6 3 2 2 2" xfId="0"/>
    <cellStyle name="Normal 6 4 6 3 2 2 2 2" xfId="0"/>
    <cellStyle name="Normal 6 4 6 3 2 2 2 2 2" xfId="0"/>
    <cellStyle name="Normal 6 4 6 3 2 2 2 3" xfId="0"/>
    <cellStyle name="Normal 6 4 6 3 2 2 3" xfId="0"/>
    <cellStyle name="Normal 6 4 6 3 2 2 3 2" xfId="0"/>
    <cellStyle name="Normal 6 4 6 3 2 2 4" xfId="0"/>
    <cellStyle name="Normal 6 4 6 3 2 3" xfId="0"/>
    <cellStyle name="Normal 6 4 6 3 2 3 2" xfId="0"/>
    <cellStyle name="Normal 6 4 6 3 2 3 2 2" xfId="0"/>
    <cellStyle name="Normal 6 4 6 3 2 3 3" xfId="0"/>
    <cellStyle name="Normal 6 4 6 3 2 4" xfId="0"/>
    <cellStyle name="Normal 6 4 6 3 2 4 2" xfId="0"/>
    <cellStyle name="Normal 6 4 6 3 2 5" xfId="0"/>
    <cellStyle name="Normal 6 4 6 3 3" xfId="0"/>
    <cellStyle name="Normal 6 4 6 3 3 2" xfId="0"/>
    <cellStyle name="Normal 6 4 6 3 3 2 2" xfId="0"/>
    <cellStyle name="Normal 6 4 6 3 3 2 2 2" xfId="0"/>
    <cellStyle name="Normal 6 4 6 3 3 2 3" xfId="0"/>
    <cellStyle name="Normal 6 4 6 3 3 3" xfId="0"/>
    <cellStyle name="Normal 6 4 6 3 3 3 2" xfId="0"/>
    <cellStyle name="Normal 6 4 6 3 3 4" xfId="0"/>
    <cellStyle name="Normal 6 4 6 3 4" xfId="0"/>
    <cellStyle name="Normal 6 4 6 3 4 2" xfId="0"/>
    <cellStyle name="Normal 6 4 6 3 4 2 2" xfId="0"/>
    <cellStyle name="Normal 6 4 6 3 4 3" xfId="0"/>
    <cellStyle name="Normal 6 4 6 3 5" xfId="0"/>
    <cellStyle name="Normal 6 4 6 3 5 2" xfId="0"/>
    <cellStyle name="Normal 6 4 6 3 6" xfId="0"/>
    <cellStyle name="Normal 6 4 6 4" xfId="0"/>
    <cellStyle name="Normal 6 4 6 4 2" xfId="0"/>
    <cellStyle name="Normal 6 4 6 4 2 2" xfId="0"/>
    <cellStyle name="Normal 6 4 6 4 2 2 2" xfId="0"/>
    <cellStyle name="Normal 6 4 6 4 2 2 2 2" xfId="0"/>
    <cellStyle name="Normal 6 4 6 4 2 2 3" xfId="0"/>
    <cellStyle name="Normal 6 4 6 4 2 3" xfId="0"/>
    <cellStyle name="Normal 6 4 6 4 2 3 2" xfId="0"/>
    <cellStyle name="Normal 6 4 6 4 2 4" xfId="0"/>
    <cellStyle name="Normal 6 4 6 4 3" xfId="0"/>
    <cellStyle name="Normal 6 4 6 4 3 2" xfId="0"/>
    <cellStyle name="Normal 6 4 6 4 3 2 2" xfId="0"/>
    <cellStyle name="Normal 6 4 6 4 3 3" xfId="0"/>
    <cellStyle name="Normal 6 4 6 4 4" xfId="0"/>
    <cellStyle name="Normal 6 4 6 4 4 2" xfId="0"/>
    <cellStyle name="Normal 6 4 6 4 5" xfId="0"/>
    <cellStyle name="Normal 6 4 6 5" xfId="0"/>
    <cellStyle name="Normal 6 4 6 5 2" xfId="0"/>
    <cellStyle name="Normal 6 4 6 5 2 2" xfId="0"/>
    <cellStyle name="Normal 6 4 6 5 2 2 2" xfId="0"/>
    <cellStyle name="Normal 6 4 6 5 2 3" xfId="0"/>
    <cellStyle name="Normal 6 4 6 5 3" xfId="0"/>
    <cellStyle name="Normal 6 4 6 5 3 2" xfId="0"/>
    <cellStyle name="Normal 6 4 6 5 4" xfId="0"/>
    <cellStyle name="Normal 6 4 6 6" xfId="0"/>
    <cellStyle name="Normal 6 4 6 6 2" xfId="0"/>
    <cellStyle name="Normal 6 4 6 6 2 2" xfId="0"/>
    <cellStyle name="Normal 6 4 6 6 3" xfId="0"/>
    <cellStyle name="Normal 6 4 6 7" xfId="0"/>
    <cellStyle name="Normal 6 4 6 7 2" xfId="0"/>
    <cellStyle name="Normal 6 4 6 8" xfId="0"/>
    <cellStyle name="Normal 6 4 7" xfId="0"/>
    <cellStyle name="Normal 6 4 7 2" xfId="0"/>
    <cellStyle name="Normal 6 4 7 2 2" xfId="0"/>
    <cellStyle name="Normal 6 4 7 2 2 2" xfId="0"/>
    <cellStyle name="Normal 6 4 7 2 2 2 2" xfId="0"/>
    <cellStyle name="Normal 6 4 7 2 2 2 2 2" xfId="0"/>
    <cellStyle name="Normal 6 4 7 2 2 2 2 2 2" xfId="0"/>
    <cellStyle name="Normal 6 4 7 2 2 2 2 2 2 2" xfId="0"/>
    <cellStyle name="Normal 6 4 7 2 2 2 2 2 3" xfId="0"/>
    <cellStyle name="Normal 6 4 7 2 2 2 2 3" xfId="0"/>
    <cellStyle name="Normal 6 4 7 2 2 2 2 3 2" xfId="0"/>
    <cellStyle name="Normal 6 4 7 2 2 2 2 4" xfId="0"/>
    <cellStyle name="Normal 6 4 7 2 2 2 3" xfId="0"/>
    <cellStyle name="Normal 6 4 7 2 2 2 3 2" xfId="0"/>
    <cellStyle name="Normal 6 4 7 2 2 2 3 2 2" xfId="0"/>
    <cellStyle name="Normal 6 4 7 2 2 2 3 3" xfId="0"/>
    <cellStyle name="Normal 6 4 7 2 2 2 4" xfId="0"/>
    <cellStyle name="Normal 6 4 7 2 2 2 4 2" xfId="0"/>
    <cellStyle name="Normal 6 4 7 2 2 2 5" xfId="0"/>
    <cellStyle name="Normal 6 4 7 2 2 3" xfId="0"/>
    <cellStyle name="Normal 6 4 7 2 2 3 2" xfId="0"/>
    <cellStyle name="Normal 6 4 7 2 2 3 2 2" xfId="0"/>
    <cellStyle name="Normal 6 4 7 2 2 3 2 2 2" xfId="0"/>
    <cellStyle name="Normal 6 4 7 2 2 3 2 3" xfId="0"/>
    <cellStyle name="Normal 6 4 7 2 2 3 3" xfId="0"/>
    <cellStyle name="Normal 6 4 7 2 2 3 3 2" xfId="0"/>
    <cellStyle name="Normal 6 4 7 2 2 3 4" xfId="0"/>
    <cellStyle name="Normal 6 4 7 2 2 4" xfId="0"/>
    <cellStyle name="Normal 6 4 7 2 2 4 2" xfId="0"/>
    <cellStyle name="Normal 6 4 7 2 2 4 2 2" xfId="0"/>
    <cellStyle name="Normal 6 4 7 2 2 4 3" xfId="0"/>
    <cellStyle name="Normal 6 4 7 2 2 5" xfId="0"/>
    <cellStyle name="Normal 6 4 7 2 2 5 2" xfId="0"/>
    <cellStyle name="Normal 6 4 7 2 2 6" xfId="0"/>
    <cellStyle name="Normal 6 4 7 2 3" xfId="0"/>
    <cellStyle name="Normal 6 4 7 2 3 2" xfId="0"/>
    <cellStyle name="Normal 6 4 7 2 3 2 2" xfId="0"/>
    <cellStyle name="Normal 6 4 7 2 3 2 2 2" xfId="0"/>
    <cellStyle name="Normal 6 4 7 2 3 2 2 2 2" xfId="0"/>
    <cellStyle name="Normal 6 4 7 2 3 2 2 3" xfId="0"/>
    <cellStyle name="Normal 6 4 7 2 3 2 3" xfId="0"/>
    <cellStyle name="Normal 6 4 7 2 3 2 3 2" xfId="0"/>
    <cellStyle name="Normal 6 4 7 2 3 2 4" xfId="0"/>
    <cellStyle name="Normal 6 4 7 2 3 3" xfId="0"/>
    <cellStyle name="Normal 6 4 7 2 3 3 2" xfId="0"/>
    <cellStyle name="Normal 6 4 7 2 3 3 2 2" xfId="0"/>
    <cellStyle name="Normal 6 4 7 2 3 3 3" xfId="0"/>
    <cellStyle name="Normal 6 4 7 2 3 4" xfId="0"/>
    <cellStyle name="Normal 6 4 7 2 3 4 2" xfId="0"/>
    <cellStyle name="Normal 6 4 7 2 3 5" xfId="0"/>
    <cellStyle name="Normal 6 4 7 2 4" xfId="0"/>
    <cellStyle name="Normal 6 4 7 2 4 2" xfId="0"/>
    <cellStyle name="Normal 6 4 7 2 4 2 2" xfId="0"/>
    <cellStyle name="Normal 6 4 7 2 4 2 2 2" xfId="0"/>
    <cellStyle name="Normal 6 4 7 2 4 2 3" xfId="0"/>
    <cellStyle name="Normal 6 4 7 2 4 3" xfId="0"/>
    <cellStyle name="Normal 6 4 7 2 4 3 2" xfId="0"/>
    <cellStyle name="Normal 6 4 7 2 4 4" xfId="0"/>
    <cellStyle name="Normal 6 4 7 2 5" xfId="0"/>
    <cellStyle name="Normal 6 4 7 2 5 2" xfId="0"/>
    <cellStyle name="Normal 6 4 7 2 5 2 2" xfId="0"/>
    <cellStyle name="Normal 6 4 7 2 5 3" xfId="0"/>
    <cellStyle name="Normal 6 4 7 2 6" xfId="0"/>
    <cellStyle name="Normal 6 4 7 2 6 2" xfId="0"/>
    <cellStyle name="Normal 6 4 7 2 7" xfId="0"/>
    <cellStyle name="Normal 6 4 7 3" xfId="0"/>
    <cellStyle name="Normal 6 4 7 3 2" xfId="0"/>
    <cellStyle name="Normal 6 4 7 3 2 2" xfId="0"/>
    <cellStyle name="Normal 6 4 7 3 2 2 2" xfId="0"/>
    <cellStyle name="Normal 6 4 7 3 2 2 2 2" xfId="0"/>
    <cellStyle name="Normal 6 4 7 3 2 2 2 2 2" xfId="0"/>
    <cellStyle name="Normal 6 4 7 3 2 2 2 3" xfId="0"/>
    <cellStyle name="Normal 6 4 7 3 2 2 3" xfId="0"/>
    <cellStyle name="Normal 6 4 7 3 2 2 3 2" xfId="0"/>
    <cellStyle name="Normal 6 4 7 3 2 2 4" xfId="0"/>
    <cellStyle name="Normal 6 4 7 3 2 3" xfId="0"/>
    <cellStyle name="Normal 6 4 7 3 2 3 2" xfId="0"/>
    <cellStyle name="Normal 6 4 7 3 2 3 2 2" xfId="0"/>
    <cellStyle name="Normal 6 4 7 3 2 3 3" xfId="0"/>
    <cellStyle name="Normal 6 4 7 3 2 4" xfId="0"/>
    <cellStyle name="Normal 6 4 7 3 2 4 2" xfId="0"/>
    <cellStyle name="Normal 6 4 7 3 2 5" xfId="0"/>
    <cellStyle name="Normal 6 4 7 3 3" xfId="0"/>
    <cellStyle name="Normal 6 4 7 3 3 2" xfId="0"/>
    <cellStyle name="Normal 6 4 7 3 3 2 2" xfId="0"/>
    <cellStyle name="Normal 6 4 7 3 3 2 2 2" xfId="0"/>
    <cellStyle name="Normal 6 4 7 3 3 2 3" xfId="0"/>
    <cellStyle name="Normal 6 4 7 3 3 3" xfId="0"/>
    <cellStyle name="Normal 6 4 7 3 3 3 2" xfId="0"/>
    <cellStyle name="Normal 6 4 7 3 3 4" xfId="0"/>
    <cellStyle name="Normal 6 4 7 3 4" xfId="0"/>
    <cellStyle name="Normal 6 4 7 3 4 2" xfId="0"/>
    <cellStyle name="Normal 6 4 7 3 4 2 2" xfId="0"/>
    <cellStyle name="Normal 6 4 7 3 4 3" xfId="0"/>
    <cellStyle name="Normal 6 4 7 3 5" xfId="0"/>
    <cellStyle name="Normal 6 4 7 3 5 2" xfId="0"/>
    <cellStyle name="Normal 6 4 7 3 6" xfId="0"/>
    <cellStyle name="Normal 6 4 7 4" xfId="0"/>
    <cellStyle name="Normal 6 4 7 4 2" xfId="0"/>
    <cellStyle name="Normal 6 4 7 4 2 2" xfId="0"/>
    <cellStyle name="Normal 6 4 7 4 2 2 2" xfId="0"/>
    <cellStyle name="Normal 6 4 7 4 2 2 2 2" xfId="0"/>
    <cellStyle name="Normal 6 4 7 4 2 2 3" xfId="0"/>
    <cellStyle name="Normal 6 4 7 4 2 3" xfId="0"/>
    <cellStyle name="Normal 6 4 7 4 2 3 2" xfId="0"/>
    <cellStyle name="Normal 6 4 7 4 2 4" xfId="0"/>
    <cellStyle name="Normal 6 4 7 4 3" xfId="0"/>
    <cellStyle name="Normal 6 4 7 4 3 2" xfId="0"/>
    <cellStyle name="Normal 6 4 7 4 3 2 2" xfId="0"/>
    <cellStyle name="Normal 6 4 7 4 3 3" xfId="0"/>
    <cellStyle name="Normal 6 4 7 4 4" xfId="0"/>
    <cellStyle name="Normal 6 4 7 4 4 2" xfId="0"/>
    <cellStyle name="Normal 6 4 7 4 5" xfId="0"/>
    <cellStyle name="Normal 6 4 7 5" xfId="0"/>
    <cellStyle name="Normal 6 4 7 5 2" xfId="0"/>
    <cellStyle name="Normal 6 4 7 5 2 2" xfId="0"/>
    <cellStyle name="Normal 6 4 7 5 2 2 2" xfId="0"/>
    <cellStyle name="Normal 6 4 7 5 2 3" xfId="0"/>
    <cellStyle name="Normal 6 4 7 5 3" xfId="0"/>
    <cellStyle name="Normal 6 4 7 5 3 2" xfId="0"/>
    <cellStyle name="Normal 6 4 7 5 4" xfId="0"/>
    <cellStyle name="Normal 6 4 7 6" xfId="0"/>
    <cellStyle name="Normal 6 4 7 6 2" xfId="0"/>
    <cellStyle name="Normal 6 4 7 6 2 2" xfId="0"/>
    <cellStyle name="Normal 6 4 7 6 3" xfId="0"/>
    <cellStyle name="Normal 6 4 7 7" xfId="0"/>
    <cellStyle name="Normal 6 4 7 7 2" xfId="0"/>
    <cellStyle name="Normal 6 4 7 8" xfId="0"/>
    <cellStyle name="Normal 6 4 8" xfId="0"/>
    <cellStyle name="Normal 6 4 8 2" xfId="0"/>
    <cellStyle name="Normal 6 4 8 2 2" xfId="0"/>
    <cellStyle name="Normal 6 4 8 2 2 2" xfId="0"/>
    <cellStyle name="Normal 6 4 8 2 2 2 2" xfId="0"/>
    <cellStyle name="Normal 6 4 8 2 2 2 2 2" xfId="0"/>
    <cellStyle name="Normal 6 4 8 2 2 2 2 2 2" xfId="0"/>
    <cellStyle name="Normal 6 4 8 2 2 2 2 3" xfId="0"/>
    <cellStyle name="Normal 6 4 8 2 2 2 3" xfId="0"/>
    <cellStyle name="Normal 6 4 8 2 2 2 3 2" xfId="0"/>
    <cellStyle name="Normal 6 4 8 2 2 2 4" xfId="0"/>
    <cellStyle name="Normal 6 4 8 2 2 3" xfId="0"/>
    <cellStyle name="Normal 6 4 8 2 2 3 2" xfId="0"/>
    <cellStyle name="Normal 6 4 8 2 2 3 2 2" xfId="0"/>
    <cellStyle name="Normal 6 4 8 2 2 3 3" xfId="0"/>
    <cellStyle name="Normal 6 4 8 2 2 4" xfId="0"/>
    <cellStyle name="Normal 6 4 8 2 2 4 2" xfId="0"/>
    <cellStyle name="Normal 6 4 8 2 2 5" xfId="0"/>
    <cellStyle name="Normal 6 4 8 2 3" xfId="0"/>
    <cellStyle name="Normal 6 4 8 2 3 2" xfId="0"/>
    <cellStyle name="Normal 6 4 8 2 3 2 2" xfId="0"/>
    <cellStyle name="Normal 6 4 8 2 3 2 2 2" xfId="0"/>
    <cellStyle name="Normal 6 4 8 2 3 2 3" xfId="0"/>
    <cellStyle name="Normal 6 4 8 2 3 3" xfId="0"/>
    <cellStyle name="Normal 6 4 8 2 3 3 2" xfId="0"/>
    <cellStyle name="Normal 6 4 8 2 3 4" xfId="0"/>
    <cellStyle name="Normal 6 4 8 2 4" xfId="0"/>
    <cellStyle name="Normal 6 4 8 2 4 2" xfId="0"/>
    <cellStyle name="Normal 6 4 8 2 4 2 2" xfId="0"/>
    <cellStyle name="Normal 6 4 8 2 4 3" xfId="0"/>
    <cellStyle name="Normal 6 4 8 2 5" xfId="0"/>
    <cellStyle name="Normal 6 4 8 2 5 2" xfId="0"/>
    <cellStyle name="Normal 6 4 8 2 6" xfId="0"/>
    <cellStyle name="Normal 6 4 8 3" xfId="0"/>
    <cellStyle name="Normal 6 4 8 3 2" xfId="0"/>
    <cellStyle name="Normal 6 4 8 3 2 2" xfId="0"/>
    <cellStyle name="Normal 6 4 8 3 2 2 2" xfId="0"/>
    <cellStyle name="Normal 6 4 8 3 2 2 2 2" xfId="0"/>
    <cellStyle name="Normal 6 4 8 3 2 2 3" xfId="0"/>
    <cellStyle name="Normal 6 4 8 3 2 3" xfId="0"/>
    <cellStyle name="Normal 6 4 8 3 2 3 2" xfId="0"/>
    <cellStyle name="Normal 6 4 8 3 2 4" xfId="0"/>
    <cellStyle name="Normal 6 4 8 3 3" xfId="0"/>
    <cellStyle name="Normal 6 4 8 3 3 2" xfId="0"/>
    <cellStyle name="Normal 6 4 8 3 3 2 2" xfId="0"/>
    <cellStyle name="Normal 6 4 8 3 3 3" xfId="0"/>
    <cellStyle name="Normal 6 4 8 3 4" xfId="0"/>
    <cellStyle name="Normal 6 4 8 3 4 2" xfId="0"/>
    <cellStyle name="Normal 6 4 8 3 5" xfId="0"/>
    <cellStyle name="Normal 6 4 8 4" xfId="0"/>
    <cellStyle name="Normal 6 4 8 4 2" xfId="0"/>
    <cellStyle name="Normal 6 4 8 4 2 2" xfId="0"/>
    <cellStyle name="Normal 6 4 8 4 2 2 2" xfId="0"/>
    <cellStyle name="Normal 6 4 8 4 2 3" xfId="0"/>
    <cellStyle name="Normal 6 4 8 4 3" xfId="0"/>
    <cellStyle name="Normal 6 4 8 4 3 2" xfId="0"/>
    <cellStyle name="Normal 6 4 8 4 4" xfId="0"/>
    <cellStyle name="Normal 6 4 8 5" xfId="0"/>
    <cellStyle name="Normal 6 4 8 5 2" xfId="0"/>
    <cellStyle name="Normal 6 4 8 5 2 2" xfId="0"/>
    <cellStyle name="Normal 6 4 8 5 3" xfId="0"/>
    <cellStyle name="Normal 6 4 8 6" xfId="0"/>
    <cellStyle name="Normal 6 4 8 6 2" xfId="0"/>
    <cellStyle name="Normal 6 4 8 7" xfId="0"/>
    <cellStyle name="Normal 6 4 9" xfId="0"/>
    <cellStyle name="Normal 6 4 9 2" xfId="0"/>
    <cellStyle name="Normal 6 4 9 2 2" xfId="0"/>
    <cellStyle name="Normal 6 4 9 2 2 2" xfId="0"/>
    <cellStyle name="Normal 6 4 9 2 2 2 2" xfId="0"/>
    <cellStyle name="Normal 6 4 9 2 2 2 2 2" xfId="0"/>
    <cellStyle name="Normal 6 4 9 2 2 2 2 2 2" xfId="0"/>
    <cellStyle name="Normal 6 4 9 2 2 2 2 3" xfId="0"/>
    <cellStyle name="Normal 6 4 9 2 2 2 3" xfId="0"/>
    <cellStyle name="Normal 6 4 9 2 2 2 3 2" xfId="0"/>
    <cellStyle name="Normal 6 4 9 2 2 2 4" xfId="0"/>
    <cellStyle name="Normal 6 4 9 2 2 3" xfId="0"/>
    <cellStyle name="Normal 6 4 9 2 2 3 2" xfId="0"/>
    <cellStyle name="Normal 6 4 9 2 2 3 2 2" xfId="0"/>
    <cellStyle name="Normal 6 4 9 2 2 3 3" xfId="0"/>
    <cellStyle name="Normal 6 4 9 2 2 4" xfId="0"/>
    <cellStyle name="Normal 6 4 9 2 2 4 2" xfId="0"/>
    <cellStyle name="Normal 6 4 9 2 2 5" xfId="0"/>
    <cellStyle name="Normal 6 4 9 2 3" xfId="0"/>
    <cellStyle name="Normal 6 4 9 2 3 2" xfId="0"/>
    <cellStyle name="Normal 6 4 9 2 3 2 2" xfId="0"/>
    <cellStyle name="Normal 6 4 9 2 3 2 2 2" xfId="0"/>
    <cellStyle name="Normal 6 4 9 2 3 2 3" xfId="0"/>
    <cellStyle name="Normal 6 4 9 2 3 3" xfId="0"/>
    <cellStyle name="Normal 6 4 9 2 3 3 2" xfId="0"/>
    <cellStyle name="Normal 6 4 9 2 3 4" xfId="0"/>
    <cellStyle name="Normal 6 4 9 2 4" xfId="0"/>
    <cellStyle name="Normal 6 4 9 2 4 2" xfId="0"/>
    <cellStyle name="Normal 6 4 9 2 4 2 2" xfId="0"/>
    <cellStyle name="Normal 6 4 9 2 4 3" xfId="0"/>
    <cellStyle name="Normal 6 4 9 2 5" xfId="0"/>
    <cellStyle name="Normal 6 4 9 2 5 2" xfId="0"/>
    <cellStyle name="Normal 6 4 9 2 6" xfId="0"/>
    <cellStyle name="Normal 6 4 9 3" xfId="0"/>
    <cellStyle name="Normal 6 4 9 3 2" xfId="0"/>
    <cellStyle name="Normal 6 4 9 3 2 2" xfId="0"/>
    <cellStyle name="Normal 6 4 9 3 2 2 2" xfId="0"/>
    <cellStyle name="Normal 6 4 9 3 2 2 2 2" xfId="0"/>
    <cellStyle name="Normal 6 4 9 3 2 2 3" xfId="0"/>
    <cellStyle name="Normal 6 4 9 3 2 3" xfId="0"/>
    <cellStyle name="Normal 6 4 9 3 2 3 2" xfId="0"/>
    <cellStyle name="Normal 6 4 9 3 2 4" xfId="0"/>
    <cellStyle name="Normal 6 4 9 3 3" xfId="0"/>
    <cellStyle name="Normal 6 4 9 3 3 2" xfId="0"/>
    <cellStyle name="Normal 6 4 9 3 3 2 2" xfId="0"/>
    <cellStyle name="Normal 6 4 9 3 3 3" xfId="0"/>
    <cellStyle name="Normal 6 4 9 3 4" xfId="0"/>
    <cellStyle name="Normal 6 4 9 3 4 2" xfId="0"/>
    <cellStyle name="Normal 6 4 9 3 5" xfId="0"/>
    <cellStyle name="Normal 6 4 9 4" xfId="0"/>
    <cellStyle name="Normal 6 4 9 4 2" xfId="0"/>
    <cellStyle name="Normal 6 4 9 4 2 2" xfId="0"/>
    <cellStyle name="Normal 6 4 9 4 2 2 2" xfId="0"/>
    <cellStyle name="Normal 6 4 9 4 2 3" xfId="0"/>
    <cellStyle name="Normal 6 4 9 4 3" xfId="0"/>
    <cellStyle name="Normal 6 4 9 4 3 2" xfId="0"/>
    <cellStyle name="Normal 6 4 9 4 4" xfId="0"/>
    <cellStyle name="Normal 6 4 9 5" xfId="0"/>
    <cellStyle name="Normal 6 4 9 5 2" xfId="0"/>
    <cellStyle name="Normal 6 4 9 5 2 2" xfId="0"/>
    <cellStyle name="Normal 6 4 9 5 3" xfId="0"/>
    <cellStyle name="Normal 6 4 9 6" xfId="0"/>
    <cellStyle name="Normal 6 4 9 6 2" xfId="0"/>
    <cellStyle name="Normal 6 4 9 7" xfId="0"/>
    <cellStyle name="Normal 6 40" xfId="0"/>
    <cellStyle name="Normal 6 41" xfId="0"/>
    <cellStyle name="Normal 6 42" xfId="0"/>
    <cellStyle name="Normal 6 43" xfId="0"/>
    <cellStyle name="Normal 6 44" xfId="0"/>
    <cellStyle name="Normal 6 45" xfId="0"/>
    <cellStyle name="Normal 6 46" xfId="0"/>
    <cellStyle name="Normal 6 47" xfId="0"/>
    <cellStyle name="Normal 6 48" xfId="0"/>
    <cellStyle name="Normal 6 49" xfId="0"/>
    <cellStyle name="Normal 6 5" xfId="0"/>
    <cellStyle name="Normal 6 5 2" xfId="0"/>
    <cellStyle name="Normal 6 5 3" xfId="0"/>
    <cellStyle name="Normal 6 50" xfId="0"/>
    <cellStyle name="Normal 6 51" xfId="0"/>
    <cellStyle name="Normal 6 52" xfId="0"/>
    <cellStyle name="Normal 6 53" xfId="0"/>
    <cellStyle name="Normal 6 54" xfId="0"/>
    <cellStyle name="Normal 6 55" xfId="0"/>
    <cellStyle name="Normal 6 56" xfId="0"/>
    <cellStyle name="Normal 6 57" xfId="0"/>
    <cellStyle name="Normal 6 58" xfId="0"/>
    <cellStyle name="Normal 6 59" xfId="0"/>
    <cellStyle name="Normal 6 6" xfId="0"/>
    <cellStyle name="Normal 6 6 2" xfId="0"/>
    <cellStyle name="Normal 6 60" xfId="0"/>
    <cellStyle name="Normal 6 61" xfId="0"/>
    <cellStyle name="Normal 6 62" xfId="0"/>
    <cellStyle name="Normal 6 63" xfId="0"/>
    <cellStyle name="Normal 6 64" xfId="0"/>
    <cellStyle name="Normal 6 65" xfId="0"/>
    <cellStyle name="Normal 6 66" xfId="0"/>
    <cellStyle name="Normal 6 67" xfId="0"/>
    <cellStyle name="Normal 6 68" xfId="0"/>
    <cellStyle name="Normal 6 69" xfId="0"/>
    <cellStyle name="Normal 6 7" xfId="0"/>
    <cellStyle name="Normal 6 7 2" xfId="0"/>
    <cellStyle name="Normal 6 70" xfId="0"/>
    <cellStyle name="Normal 6 71" xfId="0"/>
    <cellStyle name="Normal 6 72" xfId="0"/>
    <cellStyle name="Normal 6 73" xfId="0"/>
    <cellStyle name="Normal 6 74" xfId="0"/>
    <cellStyle name="Normal 6 75" xfId="0"/>
    <cellStyle name="Normal 6 76" xfId="0"/>
    <cellStyle name="Normal 6 77" xfId="0"/>
    <cellStyle name="Normal 6 78" xfId="0"/>
    <cellStyle name="Normal 6 79" xfId="0"/>
    <cellStyle name="Normal 6 8" xfId="0"/>
    <cellStyle name="Normal 6 80" xfId="0"/>
    <cellStyle name="Normal 6 81" xfId="0"/>
    <cellStyle name="Normal 6 82" xfId="0"/>
    <cellStyle name="Normal 6 83" xfId="0"/>
    <cellStyle name="Normal 6 84" xfId="0"/>
    <cellStyle name="Normal 6 85" xfId="0"/>
    <cellStyle name="Normal 6 86" xfId="0"/>
    <cellStyle name="Normal 6 87" xfId="0"/>
    <cellStyle name="Normal 6 88" xfId="0"/>
    <cellStyle name="Normal 6 89" xfId="0"/>
    <cellStyle name="Normal 6 9" xfId="0"/>
    <cellStyle name="Normal 6 90" xfId="0"/>
    <cellStyle name="Normal 6 91" xfId="0"/>
    <cellStyle name="Normal 6 92" xfId="0"/>
    <cellStyle name="Normal 6 93" xfId="0"/>
    <cellStyle name="Normal 6 94" xfId="0"/>
    <cellStyle name="Normal 6 95" xfId="0"/>
    <cellStyle name="Normal 6 96" xfId="0"/>
    <cellStyle name="Normal 6 97" xfId="0"/>
    <cellStyle name="Normal 6 98" xfId="0"/>
    <cellStyle name="Normal 6 99" xfId="0"/>
    <cellStyle name="Normal 60" xfId="0"/>
    <cellStyle name="Normal 60 2" xfId="0"/>
    <cellStyle name="Normal 61" xfId="0"/>
    <cellStyle name="Normal 61 2" xfId="0"/>
    <cellStyle name="Normal 62" xfId="0"/>
    <cellStyle name="Normal 62 2" xfId="0"/>
    <cellStyle name="Normal 63" xfId="0"/>
    <cellStyle name="Normal 63 2" xfId="0"/>
    <cellStyle name="Normal 64" xfId="0"/>
    <cellStyle name="Normal 64 2" xfId="0"/>
    <cellStyle name="Normal 65" xfId="0"/>
    <cellStyle name="Normal 65 2" xfId="0"/>
    <cellStyle name="Normal 66" xfId="0"/>
    <cellStyle name="Normal 66 2" xfId="0"/>
    <cellStyle name="Normal 67" xfId="0"/>
    <cellStyle name="Normal 68" xfId="0"/>
    <cellStyle name="Normal 69" xfId="0"/>
    <cellStyle name="Normal 6_Market Fresh Cost" xfId="0"/>
    <cellStyle name="Normal 7" xfId="0"/>
    <cellStyle name="Normal 7 10" xfId="0"/>
    <cellStyle name="Normal 7 100" xfId="0"/>
    <cellStyle name="Normal 7 101" xfId="0"/>
    <cellStyle name="Normal 7 102" xfId="0"/>
    <cellStyle name="Normal 7 103" xfId="0"/>
    <cellStyle name="Normal 7 104" xfId="0"/>
    <cellStyle name="Normal 7 105" xfId="0"/>
    <cellStyle name="Normal 7 106" xfId="0"/>
    <cellStyle name="Normal 7 107" xfId="0"/>
    <cellStyle name="Normal 7 108" xfId="0"/>
    <cellStyle name="Normal 7 109" xfId="0"/>
    <cellStyle name="Normal 7 11" xfId="0"/>
    <cellStyle name="Normal 7 110" xfId="0"/>
    <cellStyle name="Normal 7 111" xfId="0"/>
    <cellStyle name="Normal 7 112" xfId="0"/>
    <cellStyle name="Normal 7 113" xfId="0"/>
    <cellStyle name="Normal 7 114" xfId="0"/>
    <cellStyle name="Normal 7 115" xfId="0"/>
    <cellStyle name="Normal 7 116" xfId="0"/>
    <cellStyle name="Normal 7 117" xfId="0"/>
    <cellStyle name="Normal 7 118" xfId="0"/>
    <cellStyle name="Normal 7 119" xfId="0"/>
    <cellStyle name="Normal 7 12" xfId="0"/>
    <cellStyle name="Normal 7 120" xfId="0"/>
    <cellStyle name="Normal 7 121" xfId="0"/>
    <cellStyle name="Normal 7 122" xfId="0"/>
    <cellStyle name="Normal 7 123" xfId="0"/>
    <cellStyle name="Normal 7 124" xfId="0"/>
    <cellStyle name="Normal 7 125" xfId="0"/>
    <cellStyle name="Normal 7 126" xfId="0"/>
    <cellStyle name="Normal 7 127" xfId="0"/>
    <cellStyle name="Normal 7 128" xfId="0"/>
    <cellStyle name="Normal 7 129" xfId="0"/>
    <cellStyle name="Normal 7 13" xfId="0"/>
    <cellStyle name="Normal 7 130" xfId="0"/>
    <cellStyle name="Normal 7 131" xfId="0"/>
    <cellStyle name="Normal 7 132" xfId="0"/>
    <cellStyle name="Normal 7 133" xfId="0"/>
    <cellStyle name="Normal 7 134" xfId="0"/>
    <cellStyle name="Normal 7 135" xfId="0"/>
    <cellStyle name="Normal 7 136" xfId="0"/>
    <cellStyle name="Normal 7 137" xfId="0"/>
    <cellStyle name="Normal 7 138" xfId="0"/>
    <cellStyle name="Normal 7 139" xfId="0"/>
    <cellStyle name="Normal 7 14" xfId="0"/>
    <cellStyle name="Normal 7 140" xfId="0"/>
    <cellStyle name="Normal 7 141" xfId="0"/>
    <cellStyle name="Normal 7 142" xfId="0"/>
    <cellStyle name="Normal 7 143" xfId="0"/>
    <cellStyle name="Normal 7 144" xfId="0"/>
    <cellStyle name="Normal 7 145" xfId="0"/>
    <cellStyle name="Normal 7 146" xfId="0"/>
    <cellStyle name="Normal 7 147" xfId="0"/>
    <cellStyle name="Normal 7 148" xfId="0"/>
    <cellStyle name="Normal 7 149" xfId="0"/>
    <cellStyle name="Normal 7 15" xfId="0"/>
    <cellStyle name="Normal 7 150" xfId="0"/>
    <cellStyle name="Normal 7 151" xfId="0"/>
    <cellStyle name="Normal 7 152" xfId="0"/>
    <cellStyle name="Normal 7 153" xfId="0"/>
    <cellStyle name="Normal 7 154" xfId="0"/>
    <cellStyle name="Normal 7 155" xfId="0"/>
    <cellStyle name="Normal 7 156" xfId="0"/>
    <cellStyle name="Normal 7 157" xfId="0"/>
    <cellStyle name="Normal 7 158" xfId="0"/>
    <cellStyle name="Normal 7 159" xfId="0"/>
    <cellStyle name="Normal 7 16" xfId="0"/>
    <cellStyle name="Normal 7 160" xfId="0"/>
    <cellStyle name="Normal 7 161" xfId="0"/>
    <cellStyle name="Normal 7 162" xfId="0"/>
    <cellStyle name="Normal 7 163" xfId="0"/>
    <cellStyle name="Normal 7 164" xfId="0"/>
    <cellStyle name="Normal 7 165" xfId="0"/>
    <cellStyle name="Normal 7 166" xfId="0"/>
    <cellStyle name="Normal 7 167" xfId="0"/>
    <cellStyle name="Normal 7 168" xfId="0"/>
    <cellStyle name="Normal 7 169" xfId="0"/>
    <cellStyle name="Normal 7 17" xfId="0"/>
    <cellStyle name="Normal 7 170" xfId="0"/>
    <cellStyle name="Normal 7 171" xfId="0"/>
    <cellStyle name="Normal 7 172" xfId="0"/>
    <cellStyle name="Normal 7 173" xfId="0"/>
    <cellStyle name="Normal 7 174" xfId="0"/>
    <cellStyle name="Normal 7 175" xfId="0"/>
    <cellStyle name="Normal 7 176" xfId="0"/>
    <cellStyle name="Normal 7 177" xfId="0"/>
    <cellStyle name="Normal 7 178" xfId="0"/>
    <cellStyle name="Normal 7 179" xfId="0"/>
    <cellStyle name="Normal 7 18" xfId="0"/>
    <cellStyle name="Normal 7 180" xfId="0"/>
    <cellStyle name="Normal 7 181" xfId="0"/>
    <cellStyle name="Normal 7 182" xfId="0"/>
    <cellStyle name="Normal 7 183" xfId="0"/>
    <cellStyle name="Normal 7 184" xfId="0"/>
    <cellStyle name="Normal 7 185" xfId="0"/>
    <cellStyle name="Normal 7 186" xfId="0"/>
    <cellStyle name="Normal 7 187" xfId="0"/>
    <cellStyle name="Normal 7 188" xfId="0"/>
    <cellStyle name="Normal 7 189" xfId="0"/>
    <cellStyle name="Normal 7 19" xfId="0"/>
    <cellStyle name="Normal 7 190" xfId="0"/>
    <cellStyle name="Normal 7 191" xfId="0"/>
    <cellStyle name="Normal 7 192" xfId="0"/>
    <cellStyle name="Normal 7 193" xfId="0"/>
    <cellStyle name="Normal 7 194" xfId="0"/>
    <cellStyle name="Normal 7 195" xfId="0"/>
    <cellStyle name="Normal 7 196" xfId="0"/>
    <cellStyle name="Normal 7 197" xfId="0"/>
    <cellStyle name="Normal 7 198" xfId="0"/>
    <cellStyle name="Normal 7 199" xfId="0"/>
    <cellStyle name="Normal 7 2" xfId="0"/>
    <cellStyle name="Normal 7 2 2" xfId="0"/>
    <cellStyle name="Normal 7 2 2 2" xfId="0"/>
    <cellStyle name="Normal 7 20" xfId="0"/>
    <cellStyle name="Normal 7 200" xfId="0"/>
    <cellStyle name="Normal 7 201" xfId="0"/>
    <cellStyle name="Normal 7 202" xfId="0"/>
    <cellStyle name="Normal 7 203" xfId="0"/>
    <cellStyle name="Normal 7 204" xfId="0"/>
    <cellStyle name="Normal 7 205" xfId="0"/>
    <cellStyle name="Normal 7 206" xfId="0"/>
    <cellStyle name="Normal 7 207" xfId="0"/>
    <cellStyle name="Normal 7 208" xfId="0"/>
    <cellStyle name="Normal 7 209" xfId="0"/>
    <cellStyle name="Normal 7 21" xfId="0"/>
    <cellStyle name="Normal 7 210" xfId="0"/>
    <cellStyle name="Normal 7 211" xfId="0"/>
    <cellStyle name="Normal 7 212" xfId="0"/>
    <cellStyle name="Normal 7 213" xfId="0"/>
    <cellStyle name="Normal 7 214" xfId="0"/>
    <cellStyle name="Normal 7 215" xfId="0"/>
    <cellStyle name="Normal 7 216" xfId="0"/>
    <cellStyle name="Normal 7 217" xfId="0"/>
    <cellStyle name="Normal 7 218" xfId="0"/>
    <cellStyle name="Normal 7 219" xfId="0"/>
    <cellStyle name="Normal 7 22" xfId="0"/>
    <cellStyle name="Normal 7 220" xfId="0"/>
    <cellStyle name="Normal 7 221" xfId="0"/>
    <cellStyle name="Normal 7 23" xfId="0"/>
    <cellStyle name="Normal 7 24" xfId="0"/>
    <cellStyle name="Normal 7 25" xfId="0"/>
    <cellStyle name="Normal 7 26" xfId="0"/>
    <cellStyle name="Normal 7 27" xfId="0"/>
    <cellStyle name="Normal 7 28" xfId="0"/>
    <cellStyle name="Normal 7 29" xfId="0"/>
    <cellStyle name="Normal 7 3" xfId="0"/>
    <cellStyle name="Normal 7 3 2" xfId="0"/>
    <cellStyle name="Normal 7 3 3" xfId="0"/>
    <cellStyle name="Normal 7 30" xfId="0"/>
    <cellStyle name="Normal 7 31" xfId="0"/>
    <cellStyle name="Normal 7 32" xfId="0"/>
    <cellStyle name="Normal 7 33" xfId="0"/>
    <cellStyle name="Normal 7 34" xfId="0"/>
    <cellStyle name="Normal 7 35" xfId="0"/>
    <cellStyle name="Normal 7 36" xfId="0"/>
    <cellStyle name="Normal 7 37" xfId="0"/>
    <cellStyle name="Normal 7 38" xfId="0"/>
    <cellStyle name="Normal 7 39" xfId="0"/>
    <cellStyle name="Normal 7 4" xfId="0"/>
    <cellStyle name="Normal 7 4 2" xfId="0"/>
    <cellStyle name="Normal 7 4 3" xfId="0"/>
    <cellStyle name="Normal 7 40" xfId="0"/>
    <cellStyle name="Normal 7 41" xfId="0"/>
    <cellStyle name="Normal 7 42" xfId="0"/>
    <cellStyle name="Normal 7 43" xfId="0"/>
    <cellStyle name="Normal 7 44" xfId="0"/>
    <cellStyle name="Normal 7 45" xfId="0"/>
    <cellStyle name="Normal 7 46" xfId="0"/>
    <cellStyle name="Normal 7 47" xfId="0"/>
    <cellStyle name="Normal 7 48" xfId="0"/>
    <cellStyle name="Normal 7 49" xfId="0"/>
    <cellStyle name="Normal 7 5" xfId="0"/>
    <cellStyle name="Normal 7 5 2" xfId="0"/>
    <cellStyle name="Normal 7 5 3" xfId="0"/>
    <cellStyle name="Normal 7 50" xfId="0"/>
    <cellStyle name="Normal 7 51" xfId="0"/>
    <cellStyle name="Normal 7 52" xfId="0"/>
    <cellStyle name="Normal 7 53" xfId="0"/>
    <cellStyle name="Normal 7 54" xfId="0"/>
    <cellStyle name="Normal 7 55" xfId="0"/>
    <cellStyle name="Normal 7 56" xfId="0"/>
    <cellStyle name="Normal 7 57" xfId="0"/>
    <cellStyle name="Normal 7 58" xfId="0"/>
    <cellStyle name="Normal 7 59" xfId="0"/>
    <cellStyle name="Normal 7 6" xfId="0"/>
    <cellStyle name="Normal 7 6 2" xfId="0"/>
    <cellStyle name="Normal 7 60" xfId="0"/>
    <cellStyle name="Normal 7 61" xfId="0"/>
    <cellStyle name="Normal 7 62" xfId="0"/>
    <cellStyle name="Normal 7 63" xfId="0"/>
    <cellStyle name="Normal 7 64" xfId="0"/>
    <cellStyle name="Normal 7 65" xfId="0"/>
    <cellStyle name="Normal 7 66" xfId="0"/>
    <cellStyle name="Normal 7 67" xfId="0"/>
    <cellStyle name="Normal 7 68" xfId="0"/>
    <cellStyle name="Normal 7 69" xfId="0"/>
    <cellStyle name="Normal 7 7" xfId="0"/>
    <cellStyle name="Normal 7 7 2" xfId="0"/>
    <cellStyle name="Normal 7 70" xfId="0"/>
    <cellStyle name="Normal 7 71" xfId="0"/>
    <cellStyle name="Normal 7 72" xfId="0"/>
    <cellStyle name="Normal 7 73" xfId="0"/>
    <cellStyle name="Normal 7 74" xfId="0"/>
    <cellStyle name="Normal 7 75" xfId="0"/>
    <cellStyle name="Normal 7 76" xfId="0"/>
    <cellStyle name="Normal 7 77" xfId="0"/>
    <cellStyle name="Normal 7 78" xfId="0"/>
    <cellStyle name="Normal 7 79" xfId="0"/>
    <cellStyle name="Normal 7 8" xfId="0"/>
    <cellStyle name="Normal 7 80" xfId="0"/>
    <cellStyle name="Normal 7 81" xfId="0"/>
    <cellStyle name="Normal 7 82" xfId="0"/>
    <cellStyle name="Normal 7 83" xfId="0"/>
    <cellStyle name="Normal 7 84" xfId="0"/>
    <cellStyle name="Normal 7 85" xfId="0"/>
    <cellStyle name="Normal 7 86" xfId="0"/>
    <cellStyle name="Normal 7 87" xfId="0"/>
    <cellStyle name="Normal 7 88" xfId="0"/>
    <cellStyle name="Normal 7 89" xfId="0"/>
    <cellStyle name="Normal 7 9" xfId="0"/>
    <cellStyle name="Normal 7 90" xfId="0"/>
    <cellStyle name="Normal 7 91" xfId="0"/>
    <cellStyle name="Normal 7 92" xfId="0"/>
    <cellStyle name="Normal 7 93" xfId="0"/>
    <cellStyle name="Normal 7 94" xfId="0"/>
    <cellStyle name="Normal 7 95" xfId="0"/>
    <cellStyle name="Normal 7 96" xfId="0"/>
    <cellStyle name="Normal 7 97" xfId="0"/>
    <cellStyle name="Normal 7 98" xfId="0"/>
    <cellStyle name="Normal 7 99" xfId="0"/>
    <cellStyle name="Normal 70" xfId="0"/>
    <cellStyle name="Normal 71" xfId="0"/>
    <cellStyle name="Normal 71 10" xfId="0"/>
    <cellStyle name="Normal 71 100" xfId="0"/>
    <cellStyle name="Normal 71 101" xfId="0"/>
    <cellStyle name="Normal 71 11" xfId="0"/>
    <cellStyle name="Normal 71 12" xfId="0"/>
    <cellStyle name="Normal 71 13" xfId="0"/>
    <cellStyle name="Normal 71 14" xfId="0"/>
    <cellStyle name="Normal 71 15" xfId="0"/>
    <cellStyle name="Normal 71 16" xfId="0"/>
    <cellStyle name="Normal 71 17" xfId="0"/>
    <cellStyle name="Normal 71 18" xfId="0"/>
    <cellStyle name="Normal 71 19" xfId="0"/>
    <cellStyle name="Normal 71 2" xfId="0"/>
    <cellStyle name="Normal 71 20" xfId="0"/>
    <cellStyle name="Normal 71 21" xfId="0"/>
    <cellStyle name="Normal 71 22" xfId="0"/>
    <cellStyle name="Normal 71 23" xfId="0"/>
    <cellStyle name="Normal 71 24" xfId="0"/>
    <cellStyle name="Normal 71 25" xfId="0"/>
    <cellStyle name="Normal 71 26" xfId="0"/>
    <cellStyle name="Normal 71 27" xfId="0"/>
    <cellStyle name="Normal 71 28" xfId="0"/>
    <cellStyle name="Normal 71 29" xfId="0"/>
    <cellStyle name="Normal 71 3" xfId="0"/>
    <cellStyle name="Normal 71 30" xfId="0"/>
    <cellStyle name="Normal 71 31" xfId="0"/>
    <cellStyle name="Normal 71 32" xfId="0"/>
    <cellStyle name="Normal 71 33" xfId="0"/>
    <cellStyle name="Normal 71 34" xfId="0"/>
    <cellStyle name="Normal 71 35" xfId="0"/>
    <cellStyle name="Normal 71 36" xfId="0"/>
    <cellStyle name="Normal 71 37" xfId="0"/>
    <cellStyle name="Normal 71 38" xfId="0"/>
    <cellStyle name="Normal 71 39" xfId="0"/>
    <cellStyle name="Normal 71 4" xfId="0"/>
    <cellStyle name="Normal 71 40" xfId="0"/>
    <cellStyle name="Normal 71 41" xfId="0"/>
    <cellStyle name="Normal 71 42" xfId="0"/>
    <cellStyle name="Normal 71 43" xfId="0"/>
    <cellStyle name="Normal 71 44" xfId="0"/>
    <cellStyle name="Normal 71 45" xfId="0"/>
    <cellStyle name="Normal 71 46" xfId="0"/>
    <cellStyle name="Normal 71 47" xfId="0"/>
    <cellStyle name="Normal 71 48" xfId="0"/>
    <cellStyle name="Normal 71 49" xfId="0"/>
    <cellStyle name="Normal 71 5" xfId="0"/>
    <cellStyle name="Normal 71 50" xfId="0"/>
    <cellStyle name="Normal 71 51" xfId="0"/>
    <cellStyle name="Normal 71 52" xfId="0"/>
    <cellStyle name="Normal 71 53" xfId="0"/>
    <cellStyle name="Normal 71 54" xfId="0"/>
    <cellStyle name="Normal 71 55" xfId="0"/>
    <cellStyle name="Normal 71 56" xfId="0"/>
    <cellStyle name="Normal 71 57" xfId="0"/>
    <cellStyle name="Normal 71 58" xfId="0"/>
    <cellStyle name="Normal 71 59" xfId="0"/>
    <cellStyle name="Normal 71 6" xfId="0"/>
    <cellStyle name="Normal 71 60" xfId="0"/>
    <cellStyle name="Normal 71 61" xfId="0"/>
    <cellStyle name="Normal 71 62" xfId="0"/>
    <cellStyle name="Normal 71 63" xfId="0"/>
    <cellStyle name="Normal 71 64" xfId="0"/>
    <cellStyle name="Normal 71 65" xfId="0"/>
    <cellStyle name="Normal 71 66" xfId="0"/>
    <cellStyle name="Normal 71 67" xfId="0"/>
    <cellStyle name="Normal 71 68" xfId="0"/>
    <cellStyle name="Normal 71 69" xfId="0"/>
    <cellStyle name="Normal 71 7" xfId="0"/>
    <cellStyle name="Normal 71 70" xfId="0"/>
    <cellStyle name="Normal 71 71" xfId="0"/>
    <cellStyle name="Normal 71 72" xfId="0"/>
    <cellStyle name="Normal 71 73" xfId="0"/>
    <cellStyle name="Normal 71 74" xfId="0"/>
    <cellStyle name="Normal 71 75" xfId="0"/>
    <cellStyle name="Normal 71 76" xfId="0"/>
    <cellStyle name="Normal 71 77" xfId="0"/>
    <cellStyle name="Normal 71 78" xfId="0"/>
    <cellStyle name="Normal 71 79" xfId="0"/>
    <cellStyle name="Normal 71 8" xfId="0"/>
    <cellStyle name="Normal 71 80" xfId="0"/>
    <cellStyle name="Normal 71 81" xfId="0"/>
    <cellStyle name="Normal 71 82" xfId="0"/>
    <cellStyle name="Normal 71 83" xfId="0"/>
    <cellStyle name="Normal 71 84" xfId="0"/>
    <cellStyle name="Normal 71 85" xfId="0"/>
    <cellStyle name="Normal 71 86" xfId="0"/>
    <cellStyle name="Normal 71 87" xfId="0"/>
    <cellStyle name="Normal 71 88" xfId="0"/>
    <cellStyle name="Normal 71 89" xfId="0"/>
    <cellStyle name="Normal 71 9" xfId="0"/>
    <cellStyle name="Normal 71 90" xfId="0"/>
    <cellStyle name="Normal 71 91" xfId="0"/>
    <cellStyle name="Normal 71 92" xfId="0"/>
    <cellStyle name="Normal 71 93" xfId="0"/>
    <cellStyle name="Normal 71 94" xfId="0"/>
    <cellStyle name="Normal 71 95" xfId="0"/>
    <cellStyle name="Normal 71 96" xfId="0"/>
    <cellStyle name="Normal 71 97" xfId="0"/>
    <cellStyle name="Normal 71 98" xfId="0"/>
    <cellStyle name="Normal 71 99" xfId="0"/>
    <cellStyle name="Normal 72" xfId="0"/>
    <cellStyle name="Normal 72 10" xfId="0"/>
    <cellStyle name="Normal 72 100" xfId="0"/>
    <cellStyle name="Normal 72 101" xfId="0"/>
    <cellStyle name="Normal 72 11" xfId="0"/>
    <cellStyle name="Normal 72 12" xfId="0"/>
    <cellStyle name="Normal 72 13" xfId="0"/>
    <cellStyle name="Normal 72 14" xfId="0"/>
    <cellStyle name="Normal 72 15" xfId="0"/>
    <cellStyle name="Normal 72 16" xfId="0"/>
    <cellStyle name="Normal 72 17" xfId="0"/>
    <cellStyle name="Normal 72 18" xfId="0"/>
    <cellStyle name="Normal 72 19" xfId="0"/>
    <cellStyle name="Normal 72 2" xfId="0"/>
    <cellStyle name="Normal 72 20" xfId="0"/>
    <cellStyle name="Normal 72 21" xfId="0"/>
    <cellStyle name="Normal 72 22" xfId="0"/>
    <cellStyle name="Normal 72 23" xfId="0"/>
    <cellStyle name="Normal 72 24" xfId="0"/>
    <cellStyle name="Normal 72 25" xfId="0"/>
    <cellStyle name="Normal 72 26" xfId="0"/>
    <cellStyle name="Normal 72 27" xfId="0"/>
    <cellStyle name="Normal 72 28" xfId="0"/>
    <cellStyle name="Normal 72 29" xfId="0"/>
    <cellStyle name="Normal 72 3" xfId="0"/>
    <cellStyle name="Normal 72 30" xfId="0"/>
    <cellStyle name="Normal 72 31" xfId="0"/>
    <cellStyle name="Normal 72 32" xfId="0"/>
    <cellStyle name="Normal 72 33" xfId="0"/>
    <cellStyle name="Normal 72 34" xfId="0"/>
    <cellStyle name="Normal 72 35" xfId="0"/>
    <cellStyle name="Normal 72 36" xfId="0"/>
    <cellStyle name="Normal 72 37" xfId="0"/>
    <cellStyle name="Normal 72 38" xfId="0"/>
    <cellStyle name="Normal 72 39" xfId="0"/>
    <cellStyle name="Normal 72 4" xfId="0"/>
    <cellStyle name="Normal 72 40" xfId="0"/>
    <cellStyle name="Normal 72 41" xfId="0"/>
    <cellStyle name="Normal 72 42" xfId="0"/>
    <cellStyle name="Normal 72 43" xfId="0"/>
    <cellStyle name="Normal 72 44" xfId="0"/>
    <cellStyle name="Normal 72 45" xfId="0"/>
    <cellStyle name="Normal 72 46" xfId="0"/>
    <cellStyle name="Normal 72 47" xfId="0"/>
    <cellStyle name="Normal 72 48" xfId="0"/>
    <cellStyle name="Normal 72 49" xfId="0"/>
    <cellStyle name="Normal 72 5" xfId="0"/>
    <cellStyle name="Normal 72 50" xfId="0"/>
    <cellStyle name="Normal 72 51" xfId="0"/>
    <cellStyle name="Normal 72 52" xfId="0"/>
    <cellStyle name="Normal 72 53" xfId="0"/>
    <cellStyle name="Normal 72 54" xfId="0"/>
    <cellStyle name="Normal 72 55" xfId="0"/>
    <cellStyle name="Normal 72 56" xfId="0"/>
    <cellStyle name="Normal 72 57" xfId="0"/>
    <cellStyle name="Normal 72 58" xfId="0"/>
    <cellStyle name="Normal 72 59" xfId="0"/>
    <cellStyle name="Normal 72 6" xfId="0"/>
    <cellStyle name="Normal 72 60" xfId="0"/>
    <cellStyle name="Normal 72 61" xfId="0"/>
    <cellStyle name="Normal 72 62" xfId="0"/>
    <cellStyle name="Normal 72 63" xfId="0"/>
    <cellStyle name="Normal 72 64" xfId="0"/>
    <cellStyle name="Normal 72 65" xfId="0"/>
    <cellStyle name="Normal 72 66" xfId="0"/>
    <cellStyle name="Normal 72 67" xfId="0"/>
    <cellStyle name="Normal 72 68" xfId="0"/>
    <cellStyle name="Normal 72 69" xfId="0"/>
    <cellStyle name="Normal 72 7" xfId="0"/>
    <cellStyle name="Normal 72 70" xfId="0"/>
    <cellStyle name="Normal 72 71" xfId="0"/>
    <cellStyle name="Normal 72 72" xfId="0"/>
    <cellStyle name="Normal 72 73" xfId="0"/>
    <cellStyle name="Normal 72 74" xfId="0"/>
    <cellStyle name="Normal 72 75" xfId="0"/>
    <cellStyle name="Normal 72 76" xfId="0"/>
    <cellStyle name="Normal 72 77" xfId="0"/>
    <cellStyle name="Normal 72 78" xfId="0"/>
    <cellStyle name="Normal 72 79" xfId="0"/>
    <cellStyle name="Normal 72 8" xfId="0"/>
    <cellStyle name="Normal 72 80" xfId="0"/>
    <cellStyle name="Normal 72 81" xfId="0"/>
    <cellStyle name="Normal 72 82" xfId="0"/>
    <cellStyle name="Normal 72 83" xfId="0"/>
    <cellStyle name="Normal 72 84" xfId="0"/>
    <cellStyle name="Normal 72 85" xfId="0"/>
    <cellStyle name="Normal 72 86" xfId="0"/>
    <cellStyle name="Normal 72 87" xfId="0"/>
    <cellStyle name="Normal 72 88" xfId="0"/>
    <cellStyle name="Normal 72 89" xfId="0"/>
    <cellStyle name="Normal 72 9" xfId="0"/>
    <cellStyle name="Normal 72 90" xfId="0"/>
    <cellStyle name="Normal 72 91" xfId="0"/>
    <cellStyle name="Normal 72 92" xfId="0"/>
    <cellStyle name="Normal 72 93" xfId="0"/>
    <cellStyle name="Normal 72 94" xfId="0"/>
    <cellStyle name="Normal 72 95" xfId="0"/>
    <cellStyle name="Normal 72 96" xfId="0"/>
    <cellStyle name="Normal 72 97" xfId="0"/>
    <cellStyle name="Normal 72 98" xfId="0"/>
    <cellStyle name="Normal 72 99" xfId="0"/>
    <cellStyle name="Normal 73" xfId="0"/>
    <cellStyle name="Normal 74" xfId="0"/>
    <cellStyle name="Normal 75" xfId="0"/>
    <cellStyle name="Normal 76" xfId="0"/>
    <cellStyle name="Normal 77" xfId="0"/>
    <cellStyle name="Normal 78" xfId="0"/>
    <cellStyle name="Normal 79" xfId="0"/>
    <cellStyle name="Normal 7_Market Fresh Cost" xfId="0"/>
    <cellStyle name="Normal 8" xfId="0"/>
    <cellStyle name="Normal 8 10" xfId="0"/>
    <cellStyle name="Normal 8 11" xfId="0"/>
    <cellStyle name="Normal 8 12" xfId="0"/>
    <cellStyle name="Normal 8 13" xfId="0"/>
    <cellStyle name="Normal 8 14" xfId="0"/>
    <cellStyle name="Normal 8 15" xfId="0"/>
    <cellStyle name="Normal 8 16" xfId="0"/>
    <cellStyle name="Normal 8 17" xfId="0"/>
    <cellStyle name="Normal 8 18" xfId="0"/>
    <cellStyle name="Normal 8 19" xfId="0"/>
    <cellStyle name="Normal 8 2" xfId="0"/>
    <cellStyle name="Normal 8 2 2" xfId="0"/>
    <cellStyle name="Normal 8 2 2 2" xfId="0"/>
    <cellStyle name="Normal 8 2 3" xfId="0"/>
    <cellStyle name="Normal 8 20" xfId="0"/>
    <cellStyle name="Normal 8 21" xfId="0"/>
    <cellStyle name="Normal 8 22" xfId="0"/>
    <cellStyle name="Normal 8 23" xfId="0"/>
    <cellStyle name="Normal 8 24" xfId="0"/>
    <cellStyle name="Normal 8 25" xfId="0"/>
    <cellStyle name="Normal 8 26" xfId="0"/>
    <cellStyle name="Normal 8 27" xfId="0"/>
    <cellStyle name="Normal 8 28" xfId="0"/>
    <cellStyle name="Normal 8 29" xfId="0"/>
    <cellStyle name="Normal 8 3" xfId="0"/>
    <cellStyle name="Normal 8 3 2" xfId="0"/>
    <cellStyle name="Normal 8 3 3" xfId="0"/>
    <cellStyle name="Normal 8 30" xfId="0"/>
    <cellStyle name="Normal 8 31" xfId="0"/>
    <cellStyle name="Normal 8 32" xfId="0"/>
    <cellStyle name="Normal 8 33" xfId="0"/>
    <cellStyle name="Normal 8 34" xfId="0"/>
    <cellStyle name="Normal 8 35" xfId="0"/>
    <cellStyle name="Normal 8 36" xfId="0"/>
    <cellStyle name="Normal 8 37" xfId="0"/>
    <cellStyle name="Normal 8 38" xfId="0"/>
    <cellStyle name="Normal 8 39" xfId="0"/>
    <cellStyle name="Normal 8 4" xfId="0"/>
    <cellStyle name="Normal 8 4 2" xfId="0"/>
    <cellStyle name="Normal 8 40" xfId="0"/>
    <cellStyle name="Normal 8 41" xfId="0"/>
    <cellStyle name="Normal 8 42" xfId="0"/>
    <cellStyle name="Normal 8 43" xfId="0"/>
    <cellStyle name="Normal 8 44" xfId="0"/>
    <cellStyle name="Normal 8 45" xfId="0"/>
    <cellStyle name="Normal 8 46" xfId="0"/>
    <cellStyle name="Normal 8 47" xfId="0"/>
    <cellStyle name="Normal 8 48" xfId="0"/>
    <cellStyle name="Normal 8 49" xfId="0"/>
    <cellStyle name="Normal 8 5" xfId="0"/>
    <cellStyle name="Normal 8 50" xfId="0"/>
    <cellStyle name="Normal 8 51" xfId="0"/>
    <cellStyle name="Normal 8 52" xfId="0"/>
    <cellStyle name="Normal 8 53" xfId="0"/>
    <cellStyle name="Normal 8 54" xfId="0"/>
    <cellStyle name="Normal 8 55" xfId="0"/>
    <cellStyle name="Normal 8 56" xfId="0"/>
    <cellStyle name="Normal 8 57" xfId="0"/>
    <cellStyle name="Normal 8 58" xfId="0"/>
    <cellStyle name="Normal 8 59" xfId="0"/>
    <cellStyle name="Normal 8 6" xfId="0"/>
    <cellStyle name="Normal 8 7" xfId="0"/>
    <cellStyle name="Normal 8 8" xfId="0"/>
    <cellStyle name="Normal 8 9" xfId="0"/>
    <cellStyle name="Normal 80" xfId="0"/>
    <cellStyle name="Normal 81" xfId="0"/>
    <cellStyle name="Normal 82" xfId="0"/>
    <cellStyle name="Normal 83" xfId="0"/>
    <cellStyle name="Normal 83 2" xfId="0"/>
    <cellStyle name="Normal 83 2 2" xfId="0"/>
    <cellStyle name="Normal 83 2 2 2" xfId="0"/>
    <cellStyle name="Normal 83 2 2 2 2" xfId="0"/>
    <cellStyle name="Normal 83 2 2 2 2 2" xfId="0"/>
    <cellStyle name="Normal 83 2 2 2 2 2 2" xfId="0"/>
    <cellStyle name="Normal 83 2 2 2 2 2 2 2" xfId="0"/>
    <cellStyle name="Normal 83 2 2 2 2 2 3" xfId="0"/>
    <cellStyle name="Normal 83 2 2 2 2 3" xfId="0"/>
    <cellStyle name="Normal 83 2 2 2 2 3 2" xfId="0"/>
    <cellStyle name="Normal 83 2 2 2 2 4" xfId="0"/>
    <cellStyle name="Normal 83 2 2 2 3" xfId="0"/>
    <cellStyle name="Normal 83 2 2 2 3 2" xfId="0"/>
    <cellStyle name="Normal 83 2 2 2 3 2 2" xfId="0"/>
    <cellStyle name="Normal 83 2 2 2 3 3" xfId="0"/>
    <cellStyle name="Normal 83 2 2 2 4" xfId="0"/>
    <cellStyle name="Normal 83 2 2 2 4 2" xfId="0"/>
    <cellStyle name="Normal 83 2 2 2 5" xfId="0"/>
    <cellStyle name="Normal 83 2 2 3" xfId="0"/>
    <cellStyle name="Normal 83 2 2 3 2" xfId="0"/>
    <cellStyle name="Normal 83 2 2 3 2 2" xfId="0"/>
    <cellStyle name="Normal 83 2 2 3 2 2 2" xfId="0"/>
    <cellStyle name="Normal 83 2 2 3 2 3" xfId="0"/>
    <cellStyle name="Normal 83 2 2 3 3" xfId="0"/>
    <cellStyle name="Normal 83 2 2 3 3 2" xfId="0"/>
    <cellStyle name="Normal 83 2 2 3 4" xfId="0"/>
    <cellStyle name="Normal 83 2 2 4" xfId="0"/>
    <cellStyle name="Normal 83 2 2 4 2" xfId="0"/>
    <cellStyle name="Normal 83 2 2 4 2 2" xfId="0"/>
    <cellStyle name="Normal 83 2 2 4 3" xfId="0"/>
    <cellStyle name="Normal 83 2 2 5" xfId="0"/>
    <cellStyle name="Normal 83 2 2 5 2" xfId="0"/>
    <cellStyle name="Normal 83 2 2 6" xfId="0"/>
    <cellStyle name="Normal 83 2 3" xfId="0"/>
    <cellStyle name="Normal 83 2 3 2" xfId="0"/>
    <cellStyle name="Normal 83 2 3 2 2" xfId="0"/>
    <cellStyle name="Normal 83 2 3 2 2 2" xfId="0"/>
    <cellStyle name="Normal 83 2 3 2 2 2 2" xfId="0"/>
    <cellStyle name="Normal 83 2 3 2 2 3" xfId="0"/>
    <cellStyle name="Normal 83 2 3 2 3" xfId="0"/>
    <cellStyle name="Normal 83 2 3 2 3 2" xfId="0"/>
    <cellStyle name="Normal 83 2 3 2 4" xfId="0"/>
    <cellStyle name="Normal 83 2 3 3" xfId="0"/>
    <cellStyle name="Normal 83 2 3 3 2" xfId="0"/>
    <cellStyle name="Normal 83 2 3 3 2 2" xfId="0"/>
    <cellStyle name="Normal 83 2 3 3 3" xfId="0"/>
    <cellStyle name="Normal 83 2 3 4" xfId="0"/>
    <cellStyle name="Normal 83 2 3 4 2" xfId="0"/>
    <cellStyle name="Normal 83 2 3 5" xfId="0"/>
    <cellStyle name="Normal 83 2 4" xfId="0"/>
    <cellStyle name="Normal 83 2 4 2" xfId="0"/>
    <cellStyle name="Normal 83 2 4 2 2" xfId="0"/>
    <cellStyle name="Normal 83 2 4 2 2 2" xfId="0"/>
    <cellStyle name="Normal 83 2 4 2 3" xfId="0"/>
    <cellStyle name="Normal 83 2 4 3" xfId="0"/>
    <cellStyle name="Normal 83 2 4 3 2" xfId="0"/>
    <cellStyle name="Normal 83 2 4 4" xfId="0"/>
    <cellStyle name="Normal 83 2 5" xfId="0"/>
    <cellStyle name="Normal 83 2 5 2" xfId="0"/>
    <cellStyle name="Normal 83 2 5 2 2" xfId="0"/>
    <cellStyle name="Normal 83 2 5 3" xfId="0"/>
    <cellStyle name="Normal 83 2 6" xfId="0"/>
    <cellStyle name="Normal 83 2 6 2" xfId="0"/>
    <cellStyle name="Normal 83 2 7" xfId="0"/>
    <cellStyle name="Normal 83 3" xfId="0"/>
    <cellStyle name="Normal 83 3 2" xfId="0"/>
    <cellStyle name="Normal 83 3 2 2" xfId="0"/>
    <cellStyle name="Normal 83 3 2 2 2" xfId="0"/>
    <cellStyle name="Normal 83 3 2 2 2 2" xfId="0"/>
    <cellStyle name="Normal 83 3 2 2 2 2 2" xfId="0"/>
    <cellStyle name="Normal 83 3 2 2 2 3" xfId="0"/>
    <cellStyle name="Normal 83 3 2 2 3" xfId="0"/>
    <cellStyle name="Normal 83 3 2 2 3 2" xfId="0"/>
    <cellStyle name="Normal 83 3 2 2 4" xfId="0"/>
    <cellStyle name="Normal 83 3 2 3" xfId="0"/>
    <cellStyle name="Normal 83 3 2 3 2" xfId="0"/>
    <cellStyle name="Normal 83 3 2 3 2 2" xfId="0"/>
    <cellStyle name="Normal 83 3 2 3 3" xfId="0"/>
    <cellStyle name="Normal 83 3 2 4" xfId="0"/>
    <cellStyle name="Normal 83 3 2 4 2" xfId="0"/>
    <cellStyle name="Normal 83 3 2 5" xfId="0"/>
    <cellStyle name="Normal 83 3 3" xfId="0"/>
    <cellStyle name="Normal 83 3 3 2" xfId="0"/>
    <cellStyle name="Normal 83 3 3 2 2" xfId="0"/>
    <cellStyle name="Normal 83 3 3 2 2 2" xfId="0"/>
    <cellStyle name="Normal 83 3 3 2 3" xfId="0"/>
    <cellStyle name="Normal 83 3 3 3" xfId="0"/>
    <cellStyle name="Normal 83 3 3 3 2" xfId="0"/>
    <cellStyle name="Normal 83 3 3 4" xfId="0"/>
    <cellStyle name="Normal 83 3 4" xfId="0"/>
    <cellStyle name="Normal 83 3 4 2" xfId="0"/>
    <cellStyle name="Normal 83 3 4 2 2" xfId="0"/>
    <cellStyle name="Normal 83 3 4 3" xfId="0"/>
    <cellStyle name="Normal 83 3 5" xfId="0"/>
    <cellStyle name="Normal 83 3 5 2" xfId="0"/>
    <cellStyle name="Normal 83 3 6" xfId="0"/>
    <cellStyle name="Normal 83 4" xfId="0"/>
    <cellStyle name="Normal 83 4 2" xfId="0"/>
    <cellStyle name="Normal 83 4 2 2" xfId="0"/>
    <cellStyle name="Normal 83 4 2 2 2" xfId="0"/>
    <cellStyle name="Normal 83 4 2 2 2 2" xfId="0"/>
    <cellStyle name="Normal 83 4 2 2 3" xfId="0"/>
    <cellStyle name="Normal 83 4 2 3" xfId="0"/>
    <cellStyle name="Normal 83 4 2 3 2" xfId="0"/>
    <cellStyle name="Normal 83 4 2 4" xfId="0"/>
    <cellStyle name="Normal 83 4 3" xfId="0"/>
    <cellStyle name="Normal 83 4 3 2" xfId="0"/>
    <cellStyle name="Normal 83 4 3 2 2" xfId="0"/>
    <cellStyle name="Normal 83 4 3 3" xfId="0"/>
    <cellStyle name="Normal 83 4 4" xfId="0"/>
    <cellStyle name="Normal 83 4 4 2" xfId="0"/>
    <cellStyle name="Normal 83 4 5" xfId="0"/>
    <cellStyle name="Normal 83 5" xfId="0"/>
    <cellStyle name="Normal 83 5 2" xfId="0"/>
    <cellStyle name="Normal 83 5 2 2" xfId="0"/>
    <cellStyle name="Normal 83 5 2 2 2" xfId="0"/>
    <cellStyle name="Normal 83 5 2 3" xfId="0"/>
    <cellStyle name="Normal 83 5 3" xfId="0"/>
    <cellStyle name="Normal 83 5 3 2" xfId="0"/>
    <cellStyle name="Normal 83 5 4" xfId="0"/>
    <cellStyle name="Normal 83 6" xfId="0"/>
    <cellStyle name="Normal 83 6 2" xfId="0"/>
    <cellStyle name="Normal 83 6 2 2" xfId="0"/>
    <cellStyle name="Normal 83 6 3" xfId="0"/>
    <cellStyle name="Normal 83 7" xfId="0"/>
    <cellStyle name="Normal 83 7 2" xfId="0"/>
    <cellStyle name="Normal 83 8" xfId="0"/>
    <cellStyle name="Normal 84" xfId="0"/>
    <cellStyle name="Normal 84 2" xfId="0"/>
    <cellStyle name="Normal 84 2 2" xfId="0"/>
    <cellStyle name="Normal 84 2 2 2" xfId="0"/>
    <cellStyle name="Normal 84 2 2 2 2" xfId="0"/>
    <cellStyle name="Normal 84 2 2 2 2 2" xfId="0"/>
    <cellStyle name="Normal 84 2 2 2 2 2 2" xfId="0"/>
    <cellStyle name="Normal 84 2 2 2 2 2 2 2" xfId="0"/>
    <cellStyle name="Normal 84 2 2 2 2 2 3" xfId="0"/>
    <cellStyle name="Normal 84 2 2 2 2 3" xfId="0"/>
    <cellStyle name="Normal 84 2 2 2 2 3 2" xfId="0"/>
    <cellStyle name="Normal 84 2 2 2 2 4" xfId="0"/>
    <cellStyle name="Normal 84 2 2 2 3" xfId="0"/>
    <cellStyle name="Normal 84 2 2 2 3 2" xfId="0"/>
    <cellStyle name="Normal 84 2 2 2 3 2 2" xfId="0"/>
    <cellStyle name="Normal 84 2 2 2 3 3" xfId="0"/>
    <cellStyle name="Normal 84 2 2 2 4" xfId="0"/>
    <cellStyle name="Normal 84 2 2 2 4 2" xfId="0"/>
    <cellStyle name="Normal 84 2 2 2 5" xfId="0"/>
    <cellStyle name="Normal 84 2 2 3" xfId="0"/>
    <cellStyle name="Normal 84 2 2 3 2" xfId="0"/>
    <cellStyle name="Normal 84 2 2 3 2 2" xfId="0"/>
    <cellStyle name="Normal 84 2 2 3 2 2 2" xfId="0"/>
    <cellStyle name="Normal 84 2 2 3 2 3" xfId="0"/>
    <cellStyle name="Normal 84 2 2 3 3" xfId="0"/>
    <cellStyle name="Normal 84 2 2 3 3 2" xfId="0"/>
    <cellStyle name="Normal 84 2 2 3 4" xfId="0"/>
    <cellStyle name="Normal 84 2 2 4" xfId="0"/>
    <cellStyle name="Normal 84 2 2 4 2" xfId="0"/>
    <cellStyle name="Normal 84 2 2 4 2 2" xfId="0"/>
    <cellStyle name="Normal 84 2 2 4 3" xfId="0"/>
    <cellStyle name="Normal 84 2 2 5" xfId="0"/>
    <cellStyle name="Normal 84 2 2 5 2" xfId="0"/>
    <cellStyle name="Normal 84 2 2 6" xfId="0"/>
    <cellStyle name="Normal 84 2 3" xfId="0"/>
    <cellStyle name="Normal 84 2 3 2" xfId="0"/>
    <cellStyle name="Normal 84 2 3 2 2" xfId="0"/>
    <cellStyle name="Normal 84 2 3 2 2 2" xfId="0"/>
    <cellStyle name="Normal 84 2 3 2 2 2 2" xfId="0"/>
    <cellStyle name="Normal 84 2 3 2 2 3" xfId="0"/>
    <cellStyle name="Normal 84 2 3 2 3" xfId="0"/>
    <cellStyle name="Normal 84 2 3 2 3 2" xfId="0"/>
    <cellStyle name="Normal 84 2 3 2 4" xfId="0"/>
    <cellStyle name="Normal 84 2 3 3" xfId="0"/>
    <cellStyle name="Normal 84 2 3 3 2" xfId="0"/>
    <cellStyle name="Normal 84 2 3 3 2 2" xfId="0"/>
    <cellStyle name="Normal 84 2 3 3 3" xfId="0"/>
    <cellStyle name="Normal 84 2 3 4" xfId="0"/>
    <cellStyle name="Normal 84 2 3 4 2" xfId="0"/>
    <cellStyle name="Normal 84 2 3 5" xfId="0"/>
    <cellStyle name="Normal 84 2 4" xfId="0"/>
    <cellStyle name="Normal 84 2 4 2" xfId="0"/>
    <cellStyle name="Normal 84 2 4 2 2" xfId="0"/>
    <cellStyle name="Normal 84 2 4 2 2 2" xfId="0"/>
    <cellStyle name="Normal 84 2 4 2 3" xfId="0"/>
    <cellStyle name="Normal 84 2 4 3" xfId="0"/>
    <cellStyle name="Normal 84 2 4 3 2" xfId="0"/>
    <cellStyle name="Normal 84 2 4 4" xfId="0"/>
    <cellStyle name="Normal 84 2 5" xfId="0"/>
    <cellStyle name="Normal 84 2 5 2" xfId="0"/>
    <cellStyle name="Normal 84 2 5 2 2" xfId="0"/>
    <cellStyle name="Normal 84 2 5 3" xfId="0"/>
    <cellStyle name="Normal 84 2 6" xfId="0"/>
    <cellStyle name="Normal 84 2 6 2" xfId="0"/>
    <cellStyle name="Normal 84 2 7" xfId="0"/>
    <cellStyle name="Normal 84 3" xfId="0"/>
    <cellStyle name="Normal 84 3 2" xfId="0"/>
    <cellStyle name="Normal 84 3 2 2" xfId="0"/>
    <cellStyle name="Normal 84 3 2 2 2" xfId="0"/>
    <cellStyle name="Normal 84 3 2 2 2 2" xfId="0"/>
    <cellStyle name="Normal 84 3 2 2 2 2 2" xfId="0"/>
    <cellStyle name="Normal 84 3 2 2 2 3" xfId="0"/>
    <cellStyle name="Normal 84 3 2 2 3" xfId="0"/>
    <cellStyle name="Normal 84 3 2 2 3 2" xfId="0"/>
    <cellStyle name="Normal 84 3 2 2 4" xfId="0"/>
    <cellStyle name="Normal 84 3 2 3" xfId="0"/>
    <cellStyle name="Normal 84 3 2 3 2" xfId="0"/>
    <cellStyle name="Normal 84 3 2 3 2 2" xfId="0"/>
    <cellStyle name="Normal 84 3 2 3 3" xfId="0"/>
    <cellStyle name="Normal 84 3 2 4" xfId="0"/>
    <cellStyle name="Normal 84 3 2 4 2" xfId="0"/>
    <cellStyle name="Normal 84 3 2 5" xfId="0"/>
    <cellStyle name="Normal 84 3 3" xfId="0"/>
    <cellStyle name="Normal 84 3 3 2" xfId="0"/>
    <cellStyle name="Normal 84 3 3 2 2" xfId="0"/>
    <cellStyle name="Normal 84 3 3 2 2 2" xfId="0"/>
    <cellStyle name="Normal 84 3 3 2 3" xfId="0"/>
    <cellStyle name="Normal 84 3 3 3" xfId="0"/>
    <cellStyle name="Normal 84 3 3 3 2" xfId="0"/>
    <cellStyle name="Normal 84 3 3 4" xfId="0"/>
    <cellStyle name="Normal 84 3 4" xfId="0"/>
    <cellStyle name="Normal 84 3 4 2" xfId="0"/>
    <cellStyle name="Normal 84 3 4 2 2" xfId="0"/>
    <cellStyle name="Normal 84 3 4 3" xfId="0"/>
    <cellStyle name="Normal 84 3 5" xfId="0"/>
    <cellStyle name="Normal 84 3 5 2" xfId="0"/>
    <cellStyle name="Normal 84 3 6" xfId="0"/>
    <cellStyle name="Normal 84 4" xfId="0"/>
    <cellStyle name="Normal 84 4 2" xfId="0"/>
    <cellStyle name="Normal 84 4 2 2" xfId="0"/>
    <cellStyle name="Normal 84 4 2 2 2" xfId="0"/>
    <cellStyle name="Normal 84 4 2 2 2 2" xfId="0"/>
    <cellStyle name="Normal 84 4 2 2 3" xfId="0"/>
    <cellStyle name="Normal 84 4 2 3" xfId="0"/>
    <cellStyle name="Normal 84 4 2 3 2" xfId="0"/>
    <cellStyle name="Normal 84 4 2 4" xfId="0"/>
    <cellStyle name="Normal 84 4 3" xfId="0"/>
    <cellStyle name="Normal 84 4 3 2" xfId="0"/>
    <cellStyle name="Normal 84 4 3 2 2" xfId="0"/>
    <cellStyle name="Normal 84 4 3 3" xfId="0"/>
    <cellStyle name="Normal 84 4 4" xfId="0"/>
    <cellStyle name="Normal 84 4 4 2" xfId="0"/>
    <cellStyle name="Normal 84 4 5" xfId="0"/>
    <cellStyle name="Normal 84 5" xfId="0"/>
    <cellStyle name="Normal 84 5 2" xfId="0"/>
    <cellStyle name="Normal 84 5 2 2" xfId="0"/>
    <cellStyle name="Normal 84 5 2 2 2" xfId="0"/>
    <cellStyle name="Normal 84 5 2 3" xfId="0"/>
    <cellStyle name="Normal 84 5 3" xfId="0"/>
    <cellStyle name="Normal 84 5 3 2" xfId="0"/>
    <cellStyle name="Normal 84 5 4" xfId="0"/>
    <cellStyle name="Normal 84 6" xfId="0"/>
    <cellStyle name="Normal 84 6 2" xfId="0"/>
    <cellStyle name="Normal 84 6 2 2" xfId="0"/>
    <cellStyle name="Normal 84 6 3" xfId="0"/>
    <cellStyle name="Normal 84 7" xfId="0"/>
    <cellStyle name="Normal 84 7 2" xfId="0"/>
    <cellStyle name="Normal 84 8" xfId="0"/>
    <cellStyle name="Normal 85" xfId="0"/>
    <cellStyle name="Normal 85 2" xfId="0"/>
    <cellStyle name="Normal 85 2 2" xfId="0"/>
    <cellStyle name="Normal 85 2 2 2" xfId="0"/>
    <cellStyle name="Normal 85 2 2 2 2" xfId="0"/>
    <cellStyle name="Normal 85 2 2 2 2 2" xfId="0"/>
    <cellStyle name="Normal 85 2 2 2 2 2 2" xfId="0"/>
    <cellStyle name="Normal 85 2 2 2 2 3" xfId="0"/>
    <cellStyle name="Normal 85 2 2 2 3" xfId="0"/>
    <cellStyle name="Normal 85 2 2 2 3 2" xfId="0"/>
    <cellStyle name="Normal 85 2 2 2 4" xfId="0"/>
    <cellStyle name="Normal 85 2 2 3" xfId="0"/>
    <cellStyle name="Normal 85 2 2 3 2" xfId="0"/>
    <cellStyle name="Normal 85 2 2 3 2 2" xfId="0"/>
    <cellStyle name="Normal 85 2 2 3 3" xfId="0"/>
    <cellStyle name="Normal 85 2 2 4" xfId="0"/>
    <cellStyle name="Normal 85 2 2 4 2" xfId="0"/>
    <cellStyle name="Normal 85 2 2 5" xfId="0"/>
    <cellStyle name="Normal 85 2 3" xfId="0"/>
    <cellStyle name="Normal 85 2 3 2" xfId="0"/>
    <cellStyle name="Normal 85 2 3 2 2" xfId="0"/>
    <cellStyle name="Normal 85 2 3 2 2 2" xfId="0"/>
    <cellStyle name="Normal 85 2 3 2 3" xfId="0"/>
    <cellStyle name="Normal 85 2 3 3" xfId="0"/>
    <cellStyle name="Normal 85 2 3 3 2" xfId="0"/>
    <cellStyle name="Normal 85 2 3 4" xfId="0"/>
    <cellStyle name="Normal 85 2 4" xfId="0"/>
    <cellStyle name="Normal 85 2 4 2" xfId="0"/>
    <cellStyle name="Normal 85 2 4 2 2" xfId="0"/>
    <cellStyle name="Normal 85 2 4 3" xfId="0"/>
    <cellStyle name="Normal 85 2 5" xfId="0"/>
    <cellStyle name="Normal 85 2 5 2" xfId="0"/>
    <cellStyle name="Normal 85 2 6" xfId="0"/>
    <cellStyle name="Normal 85 3" xfId="0"/>
    <cellStyle name="Normal 85 3 2" xfId="0"/>
    <cellStyle name="Normal 85 3 2 2" xfId="0"/>
    <cellStyle name="Normal 85 3 2 2 2" xfId="0"/>
    <cellStyle name="Normal 85 3 2 2 2 2" xfId="0"/>
    <cellStyle name="Normal 85 3 2 2 3" xfId="0"/>
    <cellStyle name="Normal 85 3 2 3" xfId="0"/>
    <cellStyle name="Normal 85 3 2 3 2" xfId="0"/>
    <cellStyle name="Normal 85 3 2 4" xfId="0"/>
    <cellStyle name="Normal 85 3 3" xfId="0"/>
    <cellStyle name="Normal 85 3 3 2" xfId="0"/>
    <cellStyle name="Normal 85 3 3 2 2" xfId="0"/>
    <cellStyle name="Normal 85 3 3 3" xfId="0"/>
    <cellStyle name="Normal 85 3 4" xfId="0"/>
    <cellStyle name="Normal 85 3 4 2" xfId="0"/>
    <cellStyle name="Normal 85 3 5" xfId="0"/>
    <cellStyle name="Normal 85 4" xfId="0"/>
    <cellStyle name="Normal 85 4 2" xfId="0"/>
    <cellStyle name="Normal 85 4 2 2" xfId="0"/>
    <cellStyle name="Normal 85 4 2 2 2" xfId="0"/>
    <cellStyle name="Normal 85 4 2 3" xfId="0"/>
    <cellStyle name="Normal 85 4 3" xfId="0"/>
    <cellStyle name="Normal 85 4 3 2" xfId="0"/>
    <cellStyle name="Normal 85 4 4" xfId="0"/>
    <cellStyle name="Normal 85 5" xfId="0"/>
    <cellStyle name="Normal 85 5 2" xfId="0"/>
    <cellStyle name="Normal 85 5 2 2" xfId="0"/>
    <cellStyle name="Normal 85 5 3" xfId="0"/>
    <cellStyle name="Normal 85 6" xfId="0"/>
    <cellStyle name="Normal 85 6 2" xfId="0"/>
    <cellStyle name="Normal 85 7" xfId="0"/>
    <cellStyle name="Normal 86" xfId="0"/>
    <cellStyle name="Normal 86 2" xfId="0"/>
    <cellStyle name="Normal 86 2 2" xfId="0"/>
    <cellStyle name="Normal 86 2 2 2" xfId="0"/>
    <cellStyle name="Normal 86 2 2 2 2" xfId="0"/>
    <cellStyle name="Normal 86 2 2 2 2 2" xfId="0"/>
    <cellStyle name="Normal 86 2 2 2 2 2 2" xfId="0"/>
    <cellStyle name="Normal 86 2 2 2 2 3" xfId="0"/>
    <cellStyle name="Normal 86 2 2 2 3" xfId="0"/>
    <cellStyle name="Normal 86 2 2 2 3 2" xfId="0"/>
    <cellStyle name="Normal 86 2 2 2 4" xfId="0"/>
    <cellStyle name="Normal 86 2 2 3" xfId="0"/>
    <cellStyle name="Normal 86 2 2 3 2" xfId="0"/>
    <cellStyle name="Normal 86 2 2 3 2 2" xfId="0"/>
    <cellStyle name="Normal 86 2 2 3 3" xfId="0"/>
    <cellStyle name="Normal 86 2 2 4" xfId="0"/>
    <cellStyle name="Normal 86 2 2 4 2" xfId="0"/>
    <cellStyle name="Normal 86 2 2 5" xfId="0"/>
    <cellStyle name="Normal 86 2 3" xfId="0"/>
    <cellStyle name="Normal 86 2 3 2" xfId="0"/>
    <cellStyle name="Normal 86 2 3 2 2" xfId="0"/>
    <cellStyle name="Normal 86 2 3 2 2 2" xfId="0"/>
    <cellStyle name="Normal 86 2 3 2 3" xfId="0"/>
    <cellStyle name="Normal 86 2 3 3" xfId="0"/>
    <cellStyle name="Normal 86 2 3 3 2" xfId="0"/>
    <cellStyle name="Normal 86 2 3 4" xfId="0"/>
    <cellStyle name="Normal 86 2 4" xfId="0"/>
    <cellStyle name="Normal 86 2 4 2" xfId="0"/>
    <cellStyle name="Normal 86 2 4 2 2" xfId="0"/>
    <cellStyle name="Normal 86 2 4 3" xfId="0"/>
    <cellStyle name="Normal 86 2 5" xfId="0"/>
    <cellStyle name="Normal 86 2 5 2" xfId="0"/>
    <cellStyle name="Normal 86 2 6" xfId="0"/>
    <cellStyle name="Normal 86 3" xfId="0"/>
    <cellStyle name="Normal 86 3 2" xfId="0"/>
    <cellStyle name="Normal 86 3 2 2" xfId="0"/>
    <cellStyle name="Normal 86 3 2 2 2" xfId="0"/>
    <cellStyle name="Normal 86 3 2 2 2 2" xfId="0"/>
    <cellStyle name="Normal 86 3 2 2 3" xfId="0"/>
    <cellStyle name="Normal 86 3 2 3" xfId="0"/>
    <cellStyle name="Normal 86 3 2 3 2" xfId="0"/>
    <cellStyle name="Normal 86 3 2 4" xfId="0"/>
    <cellStyle name="Normal 86 3 3" xfId="0"/>
    <cellStyle name="Normal 86 3 3 2" xfId="0"/>
    <cellStyle name="Normal 86 3 3 2 2" xfId="0"/>
    <cellStyle name="Normal 86 3 3 3" xfId="0"/>
    <cellStyle name="Normal 86 3 4" xfId="0"/>
    <cellStyle name="Normal 86 3 4 2" xfId="0"/>
    <cellStyle name="Normal 86 3 5" xfId="0"/>
    <cellStyle name="Normal 86 4" xfId="0"/>
    <cellStyle name="Normal 86 4 2" xfId="0"/>
    <cellStyle name="Normal 86 4 2 2" xfId="0"/>
    <cellStyle name="Normal 86 4 2 2 2" xfId="0"/>
    <cellStyle name="Normal 86 4 2 3" xfId="0"/>
    <cellStyle name="Normal 86 4 3" xfId="0"/>
    <cellStyle name="Normal 86 4 3 2" xfId="0"/>
    <cellStyle name="Normal 86 4 4" xfId="0"/>
    <cellStyle name="Normal 86 5" xfId="0"/>
    <cellStyle name="Normal 86 5 2" xfId="0"/>
    <cellStyle name="Normal 86 5 2 2" xfId="0"/>
    <cellStyle name="Normal 86 5 3" xfId="0"/>
    <cellStyle name="Normal 86 6" xfId="0"/>
    <cellStyle name="Normal 86 6 2" xfId="0"/>
    <cellStyle name="Normal 86 7" xfId="0"/>
    <cellStyle name="Normal 87" xfId="0"/>
    <cellStyle name="Normal 88" xfId="0"/>
    <cellStyle name="Normal 89" xfId="0"/>
    <cellStyle name="Normal 8_Market Fresh Cost" xfId="0"/>
    <cellStyle name="Normal 9" xfId="0"/>
    <cellStyle name="Normal 9 10" xfId="0"/>
    <cellStyle name="Normal 9 11" xfId="0"/>
    <cellStyle name="Normal 9 12" xfId="0"/>
    <cellStyle name="Normal 9 13" xfId="0"/>
    <cellStyle name="Normal 9 14" xfId="0"/>
    <cellStyle name="Normal 9 15" xfId="0"/>
    <cellStyle name="Normal 9 16" xfId="0"/>
    <cellStyle name="Normal 9 17" xfId="0"/>
    <cellStyle name="Normal 9 18" xfId="0"/>
    <cellStyle name="Normal 9 19" xfId="0"/>
    <cellStyle name="Normal 9 2" xfId="0"/>
    <cellStyle name="Normal 9 2 2" xfId="0"/>
    <cellStyle name="Normal 9 2 3" xfId="0"/>
    <cellStyle name="Normal 9 20" xfId="0"/>
    <cellStyle name="Normal 9 21" xfId="0"/>
    <cellStyle name="Normal 9 22" xfId="0"/>
    <cellStyle name="Normal 9 23" xfId="0"/>
    <cellStyle name="Normal 9 24" xfId="0"/>
    <cellStyle name="Normal 9 25" xfId="0"/>
    <cellStyle name="Normal 9 26" xfId="0"/>
    <cellStyle name="Normal 9 27" xfId="0"/>
    <cellStyle name="Normal 9 28" xfId="0"/>
    <cellStyle name="Normal 9 29" xfId="0"/>
    <cellStyle name="Normal 9 3" xfId="0"/>
    <cellStyle name="Normal 9 3 2" xfId="0"/>
    <cellStyle name="Normal 9 30" xfId="0"/>
    <cellStyle name="Normal 9 31" xfId="0"/>
    <cellStyle name="Normal 9 32" xfId="0"/>
    <cellStyle name="Normal 9 33" xfId="0"/>
    <cellStyle name="Normal 9 34" xfId="0"/>
    <cellStyle name="Normal 9 35" xfId="0"/>
    <cellStyle name="Normal 9 36" xfId="0"/>
    <cellStyle name="Normal 9 37" xfId="0"/>
    <cellStyle name="Normal 9 38" xfId="0"/>
    <cellStyle name="Normal 9 39" xfId="0"/>
    <cellStyle name="Normal 9 4" xfId="0"/>
    <cellStyle name="Normal 9 4 2" xfId="0"/>
    <cellStyle name="Normal 9 40" xfId="0"/>
    <cellStyle name="Normal 9 41" xfId="0"/>
    <cellStyle name="Normal 9 42" xfId="0"/>
    <cellStyle name="Normal 9 43" xfId="0"/>
    <cellStyle name="Normal 9 44" xfId="0"/>
    <cellStyle name="Normal 9 45" xfId="0"/>
    <cellStyle name="Normal 9 46" xfId="0"/>
    <cellStyle name="Normal 9 47" xfId="0"/>
    <cellStyle name="Normal 9 48" xfId="0"/>
    <cellStyle name="Normal 9 49" xfId="0"/>
    <cellStyle name="Normal 9 5" xfId="0"/>
    <cellStyle name="Normal 9 50" xfId="0"/>
    <cellStyle name="Normal 9 51" xfId="0"/>
    <cellStyle name="Normal 9 52" xfId="0"/>
    <cellStyle name="Normal 9 53" xfId="0"/>
    <cellStyle name="Normal 9 54" xfId="0"/>
    <cellStyle name="Normal 9 55" xfId="0"/>
    <cellStyle name="Normal 9 56" xfId="0"/>
    <cellStyle name="Normal 9 57" xfId="0"/>
    <cellStyle name="Normal 9 58" xfId="0"/>
    <cellStyle name="Normal 9 59" xfId="0"/>
    <cellStyle name="Normal 9 6" xfId="0"/>
    <cellStyle name="Normal 9 60" xfId="0"/>
    <cellStyle name="Normal 9 61" xfId="0"/>
    <cellStyle name="Normal 9 62" xfId="0"/>
    <cellStyle name="Normal 9 63" xfId="0"/>
    <cellStyle name="Normal 9 64" xfId="0"/>
    <cellStyle name="Normal 9 65" xfId="0"/>
    <cellStyle name="Normal 9 7" xfId="0"/>
    <cellStyle name="Normal 9 8" xfId="0"/>
    <cellStyle name="Normal 9 9" xfId="0"/>
    <cellStyle name="Normal 90" xfId="0"/>
    <cellStyle name="Normal 91" xfId="0"/>
    <cellStyle name="Normal 92" xfId="0"/>
    <cellStyle name="Normal 93" xfId="0"/>
    <cellStyle name="Normal 94" xfId="0"/>
    <cellStyle name="Normal 95" xfId="0"/>
    <cellStyle name="Normal 96" xfId="0"/>
    <cellStyle name="Normal 97" xfId="0"/>
    <cellStyle name="Normal 98" xfId="0"/>
    <cellStyle name="Normal 99" xfId="0"/>
    <cellStyle name="Norm੎੎" xfId="0"/>
    <cellStyle name="Norm੎੎ 2" xfId="0"/>
    <cellStyle name="Norm੎੎ 2 2" xfId="0"/>
    <cellStyle name="Norm੎੎ 3" xfId="0"/>
    <cellStyle name="Norm੎੎_RETIREMEN vsi" xfId="0"/>
    <cellStyle name="Note 10" xfId="0"/>
    <cellStyle name="Note 10 2" xfId="0"/>
    <cellStyle name="Note 11" xfId="0"/>
    <cellStyle name="Note 11 2" xfId="0"/>
    <cellStyle name="Note 12" xfId="0"/>
    <cellStyle name="Note 12 2" xfId="0"/>
    <cellStyle name="Note 13" xfId="0"/>
    <cellStyle name="Note 13 2" xfId="0"/>
    <cellStyle name="Note 14" xfId="0"/>
    <cellStyle name="Note 14 2" xfId="0"/>
    <cellStyle name="Note 15" xfId="0"/>
    <cellStyle name="Note 15 2" xfId="0"/>
    <cellStyle name="Note 16" xfId="0"/>
    <cellStyle name="Note 16 2" xfId="0"/>
    <cellStyle name="Note 17" xfId="0"/>
    <cellStyle name="Note 17 2" xfId="0"/>
    <cellStyle name="Note 18" xfId="0"/>
    <cellStyle name="Note 18 2" xfId="0"/>
    <cellStyle name="Note 19" xfId="0"/>
    <cellStyle name="Note 19 2" xfId="0"/>
    <cellStyle name="Note 2" xfId="0"/>
    <cellStyle name="Note 2 10" xfId="0"/>
    <cellStyle name="Note 2 10 2" xfId="0"/>
    <cellStyle name="Note 2 10 2 2" xfId="0"/>
    <cellStyle name="Note 2 10 3" xfId="0"/>
    <cellStyle name="Note 2 11" xfId="0"/>
    <cellStyle name="Note 2 11 2" xfId="0"/>
    <cellStyle name="Note 2 11 2 2" xfId="0"/>
    <cellStyle name="Note 2 11 3" xfId="0"/>
    <cellStyle name="Note 2 12" xfId="0"/>
    <cellStyle name="Note 2 12 2" xfId="0"/>
    <cellStyle name="Note 2 13" xfId="0"/>
    <cellStyle name="Note 2 14" xfId="0"/>
    <cellStyle name="Note 2 15" xfId="0"/>
    <cellStyle name="Note 2 2" xfId="0"/>
    <cellStyle name="Note 2 2 2" xfId="0"/>
    <cellStyle name="Note 2 2 2 2" xfId="0"/>
    <cellStyle name="Note 2 2 3" xfId="0"/>
    <cellStyle name="Note 2 2 3 2" xfId="0"/>
    <cellStyle name="Note 2 2 4" xfId="0"/>
    <cellStyle name="Note 2 2 5" xfId="0"/>
    <cellStyle name="Note 2 2_Profitability Detail NT$ Sep-12" xfId="0"/>
    <cellStyle name="Note 2 3" xfId="0"/>
    <cellStyle name="Note 2 3 2" xfId="0"/>
    <cellStyle name="Note 2 3 2 2" xfId="0"/>
    <cellStyle name="Note 2 3 3" xfId="0"/>
    <cellStyle name="Note 2 4" xfId="0"/>
    <cellStyle name="Note 2 4 2" xfId="0"/>
    <cellStyle name="Note 2 4 2 2" xfId="0"/>
    <cellStyle name="Note 2 4 3" xfId="0"/>
    <cellStyle name="Note 2 5" xfId="0"/>
    <cellStyle name="Note 2 5 2" xfId="0"/>
    <cellStyle name="Note 2 5 2 2" xfId="0"/>
    <cellStyle name="Note 2 5 3" xfId="0"/>
    <cellStyle name="Note 2 6" xfId="0"/>
    <cellStyle name="Note 2 6 2" xfId="0"/>
    <cellStyle name="Note 2 6 2 2" xfId="0"/>
    <cellStyle name="Note 2 6 3" xfId="0"/>
    <cellStyle name="Note 2 7" xfId="0"/>
    <cellStyle name="Note 2 7 2" xfId="0"/>
    <cellStyle name="Note 2 7 2 2" xfId="0"/>
    <cellStyle name="Note 2 7 3" xfId="0"/>
    <cellStyle name="Note 2 8" xfId="0"/>
    <cellStyle name="Note 2 8 2" xfId="0"/>
    <cellStyle name="Note 2 8 2 2" xfId="0"/>
    <cellStyle name="Note 2 8 3" xfId="0"/>
    <cellStyle name="Note 2 9" xfId="0"/>
    <cellStyle name="Note 2 9 2" xfId="0"/>
    <cellStyle name="Note 2 9 2 2" xfId="0"/>
    <cellStyle name="Note 2 9 3" xfId="0"/>
    <cellStyle name="Note 20" xfId="0"/>
    <cellStyle name="Note 20 2" xfId="0"/>
    <cellStyle name="Note 21" xfId="0"/>
    <cellStyle name="Note 21 2" xfId="0"/>
    <cellStyle name="Note 22" xfId="0"/>
    <cellStyle name="Note 22 2" xfId="0"/>
    <cellStyle name="Note 23" xfId="0"/>
    <cellStyle name="Note 23 2" xfId="0"/>
    <cellStyle name="Note 24" xfId="0"/>
    <cellStyle name="Note 25" xfId="0"/>
    <cellStyle name="Note 2_PFT CPC sku" xfId="0"/>
    <cellStyle name="Note 3" xfId="0"/>
    <cellStyle name="Note 3 10" xfId="0"/>
    <cellStyle name="Note 3 10 2" xfId="0"/>
    <cellStyle name="Note 3 10 2 2" xfId="0"/>
    <cellStyle name="Note 3 10 3" xfId="0"/>
    <cellStyle name="Note 3 11" xfId="0"/>
    <cellStyle name="Note 3 11 2" xfId="0"/>
    <cellStyle name="Note 3 11 2 2" xfId="0"/>
    <cellStyle name="Note 3 11 3" xfId="0"/>
    <cellStyle name="Note 3 12" xfId="0"/>
    <cellStyle name="Note 3 12 2" xfId="0"/>
    <cellStyle name="Note 3 13" xfId="0"/>
    <cellStyle name="Note 3 14" xfId="0"/>
    <cellStyle name="Note 3 15" xfId="0"/>
    <cellStyle name="Note 3 2" xfId="0"/>
    <cellStyle name="Note 3 2 2" xfId="0"/>
    <cellStyle name="Note 3 2 2 2" xfId="0"/>
    <cellStyle name="Note 3 2 3" xfId="0"/>
    <cellStyle name="Note 3 2 3 2" xfId="0"/>
    <cellStyle name="Note 3 2 4" xfId="0"/>
    <cellStyle name="Note 3 2 5" xfId="0"/>
    <cellStyle name="Note 3 2_Profitability Detail NT$ Sep-12" xfId="0"/>
    <cellStyle name="Note 3 3" xfId="0"/>
    <cellStyle name="Note 3 3 2" xfId="0"/>
    <cellStyle name="Note 3 3 2 2" xfId="0"/>
    <cellStyle name="Note 3 3 3" xfId="0"/>
    <cellStyle name="Note 3 4" xfId="0"/>
    <cellStyle name="Note 3 4 2" xfId="0"/>
    <cellStyle name="Note 3 4 2 2" xfId="0"/>
    <cellStyle name="Note 3 4 3" xfId="0"/>
    <cellStyle name="Note 3 5" xfId="0"/>
    <cellStyle name="Note 3 5 2" xfId="0"/>
    <cellStyle name="Note 3 5 2 2" xfId="0"/>
    <cellStyle name="Note 3 5 3" xfId="0"/>
    <cellStyle name="Note 3 6" xfId="0"/>
    <cellStyle name="Note 3 6 2" xfId="0"/>
    <cellStyle name="Note 3 6 2 2" xfId="0"/>
    <cellStyle name="Note 3 6 3" xfId="0"/>
    <cellStyle name="Note 3 7" xfId="0"/>
    <cellStyle name="Note 3 7 2" xfId="0"/>
    <cellStyle name="Note 3 7 2 2" xfId="0"/>
    <cellStyle name="Note 3 7 3" xfId="0"/>
    <cellStyle name="Note 3 8" xfId="0"/>
    <cellStyle name="Note 3 8 2" xfId="0"/>
    <cellStyle name="Note 3 8 2 2" xfId="0"/>
    <cellStyle name="Note 3 8 3" xfId="0"/>
    <cellStyle name="Note 3 9" xfId="0"/>
    <cellStyle name="Note 3 9 2" xfId="0"/>
    <cellStyle name="Note 3 9 2 2" xfId="0"/>
    <cellStyle name="Note 3 9 3" xfId="0"/>
    <cellStyle name="Note 39" xfId="0"/>
    <cellStyle name="Note 3_PFT CPC sku" xfId="0"/>
    <cellStyle name="Note 4" xfId="0"/>
    <cellStyle name="Note 4 10" xfId="0"/>
    <cellStyle name="Note 4 10 2" xfId="0"/>
    <cellStyle name="Note 4 10 2 2" xfId="0"/>
    <cellStyle name="Note 4 10 3" xfId="0"/>
    <cellStyle name="Note 4 11" xfId="0"/>
    <cellStyle name="Note 4 11 2" xfId="0"/>
    <cellStyle name="Note 4 11 2 2" xfId="0"/>
    <cellStyle name="Note 4 11 3" xfId="0"/>
    <cellStyle name="Note 4 12" xfId="0"/>
    <cellStyle name="Note 4 12 2" xfId="0"/>
    <cellStyle name="Note 4 13" xfId="0"/>
    <cellStyle name="Note 4 14" xfId="0"/>
    <cellStyle name="Note 4 15" xfId="0"/>
    <cellStyle name="Note 4 2" xfId="0"/>
    <cellStyle name="Note 4 2 2" xfId="0"/>
    <cellStyle name="Note 4 2 2 2" xfId="0"/>
    <cellStyle name="Note 4 2 3" xfId="0"/>
    <cellStyle name="Note 4 2 3 2" xfId="0"/>
    <cellStyle name="Note 4 2 4" xfId="0"/>
    <cellStyle name="Note 4 2 5" xfId="0"/>
    <cellStyle name="Note 4 2_Profitability Detail NT$ Sep-12" xfId="0"/>
    <cellStyle name="Note 4 3" xfId="0"/>
    <cellStyle name="Note 4 3 2" xfId="0"/>
    <cellStyle name="Note 4 3 2 2" xfId="0"/>
    <cellStyle name="Note 4 3 3" xfId="0"/>
    <cellStyle name="Note 4 4" xfId="0"/>
    <cellStyle name="Note 4 4 2" xfId="0"/>
    <cellStyle name="Note 4 4 2 2" xfId="0"/>
    <cellStyle name="Note 4 4 3" xfId="0"/>
    <cellStyle name="Note 4 5" xfId="0"/>
    <cellStyle name="Note 4 5 2" xfId="0"/>
    <cellStyle name="Note 4 5 2 2" xfId="0"/>
    <cellStyle name="Note 4 5 3" xfId="0"/>
    <cellStyle name="Note 4 6" xfId="0"/>
    <cellStyle name="Note 4 6 2" xfId="0"/>
    <cellStyle name="Note 4 6 2 2" xfId="0"/>
    <cellStyle name="Note 4 6 3" xfId="0"/>
    <cellStyle name="Note 4 7" xfId="0"/>
    <cellStyle name="Note 4 7 2" xfId="0"/>
    <cellStyle name="Note 4 7 2 2" xfId="0"/>
    <cellStyle name="Note 4 7 3" xfId="0"/>
    <cellStyle name="Note 4 8" xfId="0"/>
    <cellStyle name="Note 4 8 2" xfId="0"/>
    <cellStyle name="Note 4 8 2 2" xfId="0"/>
    <cellStyle name="Note 4 8 3" xfId="0"/>
    <cellStyle name="Note 4 9" xfId="0"/>
    <cellStyle name="Note 4 9 2" xfId="0"/>
    <cellStyle name="Note 4 9 2 2" xfId="0"/>
    <cellStyle name="Note 4 9 3" xfId="0"/>
    <cellStyle name="Note 4_PFT CPC sku" xfId="0"/>
    <cellStyle name="Note 5" xfId="0"/>
    <cellStyle name="Note 5 2" xfId="0"/>
    <cellStyle name="Note 5 2 2" xfId="0"/>
    <cellStyle name="Note 5 2 3" xfId="0"/>
    <cellStyle name="Note 5 3" xfId="0"/>
    <cellStyle name="Note 5 4" xfId="0"/>
    <cellStyle name="Note 6" xfId="0"/>
    <cellStyle name="Note 6 2" xfId="0"/>
    <cellStyle name="Note 7" xfId="0"/>
    <cellStyle name="Note 7 2" xfId="0"/>
    <cellStyle name="Note 7 2 2" xfId="0"/>
    <cellStyle name="Note 7 3" xfId="0"/>
    <cellStyle name="Note 8" xfId="0"/>
    <cellStyle name="Note 8 2" xfId="0"/>
    <cellStyle name="Note 8 3" xfId="0"/>
    <cellStyle name="Note 9" xfId="0"/>
    <cellStyle name="Note 9 2" xfId="0"/>
    <cellStyle name="Note_20101210 WMR_VSI-1" xfId="0"/>
    <cellStyle name="Output" xfId="0"/>
    <cellStyle name="Output 10" xfId="0"/>
    <cellStyle name="Output 10 2" xfId="0"/>
    <cellStyle name="Output 11" xfId="0"/>
    <cellStyle name="Output 11 2" xfId="0"/>
    <cellStyle name="Output 12" xfId="0"/>
    <cellStyle name="Output 12 2" xfId="0"/>
    <cellStyle name="Output 13" xfId="0"/>
    <cellStyle name="Output 13 2" xfId="0"/>
    <cellStyle name="Output 14" xfId="0"/>
    <cellStyle name="Output 14 2" xfId="0"/>
    <cellStyle name="Output 15" xfId="0"/>
    <cellStyle name="Output 15 2" xfId="0"/>
    <cellStyle name="Output 16" xfId="0"/>
    <cellStyle name="Output 16 2" xfId="0"/>
    <cellStyle name="Output 17" xfId="0"/>
    <cellStyle name="Output 17 2" xfId="0"/>
    <cellStyle name="Output 18" xfId="0"/>
    <cellStyle name="Output 18 2" xfId="0"/>
    <cellStyle name="Output 19" xfId="0"/>
    <cellStyle name="Output 19 2" xfId="0"/>
    <cellStyle name="Output 2" xfId="0"/>
    <cellStyle name="Output 2 2" xfId="0"/>
    <cellStyle name="Output 2 2 2" xfId="0"/>
    <cellStyle name="Output 2 2 3" xfId="0"/>
    <cellStyle name="Output 2 3" xfId="0"/>
    <cellStyle name="Output 2 3 2" xfId="0"/>
    <cellStyle name="Output 2 3 3" xfId="0"/>
    <cellStyle name="Output 2 4" xfId="0"/>
    <cellStyle name="Output 2 4 2" xfId="0"/>
    <cellStyle name="Output 2 5" xfId="0"/>
    <cellStyle name="Output 2 5 2" xfId="0"/>
    <cellStyle name="Output 2 6" xfId="0"/>
    <cellStyle name="Output 2 7" xfId="0"/>
    <cellStyle name="Output 20" xfId="0"/>
    <cellStyle name="Output 20 2" xfId="0"/>
    <cellStyle name="Output 21" xfId="0"/>
    <cellStyle name="Output 21 2" xfId="0"/>
    <cellStyle name="Output 22" xfId="0"/>
    <cellStyle name="Output 22 2" xfId="0"/>
    <cellStyle name="Output 23" xfId="0"/>
    <cellStyle name="Output 23 2" xfId="0"/>
    <cellStyle name="Output 24" xfId="0"/>
    <cellStyle name="Output 25" xfId="0"/>
    <cellStyle name="Output 26" xfId="0"/>
    <cellStyle name="Output 27" xfId="0"/>
    <cellStyle name="Output 28" xfId="0"/>
    <cellStyle name="Output 29" xfId="0"/>
    <cellStyle name="Output 2_Profitability Detail NT$ Sep-12" xfId="0"/>
    <cellStyle name="Output 3" xfId="0"/>
    <cellStyle name="Output 3 2" xfId="0"/>
    <cellStyle name="Output 3 2 2" xfId="0"/>
    <cellStyle name="Output 3 3" xfId="0"/>
    <cellStyle name="Output 3 3 2" xfId="0"/>
    <cellStyle name="Output 3 4" xfId="0"/>
    <cellStyle name="Output 3 4 2" xfId="0"/>
    <cellStyle name="Output 3 5" xfId="0"/>
    <cellStyle name="Output 3 5 2" xfId="0"/>
    <cellStyle name="Output 3 6" xfId="0"/>
    <cellStyle name="Output 3 7" xfId="0"/>
    <cellStyle name="Output 3 8" xfId="0"/>
    <cellStyle name="Output 30" xfId="0"/>
    <cellStyle name="Output 3_Profitability Detail NT$ Sep-12" xfId="0"/>
    <cellStyle name="Output 4" xfId="0"/>
    <cellStyle name="Output 4 2" xfId="0"/>
    <cellStyle name="Output 4 2 2" xfId="0"/>
    <cellStyle name="Output 4 3" xfId="0"/>
    <cellStyle name="Output 4 3 2" xfId="0"/>
    <cellStyle name="Output 4 4" xfId="0"/>
    <cellStyle name="Output 4 4 2" xfId="0"/>
    <cellStyle name="Output 4 5" xfId="0"/>
    <cellStyle name="Output 4 5 2" xfId="0"/>
    <cellStyle name="Output 4 6" xfId="0"/>
    <cellStyle name="Output 4 7" xfId="0"/>
    <cellStyle name="Output 4_Profitability Detail NT$ Sep-12" xfId="0"/>
    <cellStyle name="Output 5" xfId="0"/>
    <cellStyle name="Output 5 2" xfId="0"/>
    <cellStyle name="Output 6" xfId="0"/>
    <cellStyle name="Output 6 2" xfId="0"/>
    <cellStyle name="Output 7" xfId="0"/>
    <cellStyle name="Output 7 2" xfId="0"/>
    <cellStyle name="Output 8" xfId="0"/>
    <cellStyle name="Output 8 2" xfId="0"/>
    <cellStyle name="Output 9" xfId="0"/>
    <cellStyle name="Output 9 2" xfId="0"/>
    <cellStyle name="Output Amounts" xfId="0"/>
    <cellStyle name="Output Amounts 2" xfId="0"/>
    <cellStyle name="Output Amounts_Prod Line MTD" xfId="0"/>
    <cellStyle name="Output Column Headings" xfId="0"/>
    <cellStyle name="Output Column Headings 2" xfId="0"/>
    <cellStyle name="Output Column Headings 2 2" xfId="0"/>
    <cellStyle name="Output Column Headings 2 3" xfId="0"/>
    <cellStyle name="Output Column Headings 2 4" xfId="0"/>
    <cellStyle name="Output Column Headings 3" xfId="0"/>
    <cellStyle name="Output Column Headings 4" xfId="0"/>
    <cellStyle name="Output Column Headings 5" xfId="0"/>
    <cellStyle name="Output Column Headings 6" xfId="0"/>
    <cellStyle name="Output Column Headings_BU Allocation" xfId="0"/>
    <cellStyle name="Output Line Items" xfId="0"/>
    <cellStyle name="Output Line Items 2" xfId="0"/>
    <cellStyle name="Output Line Items 2 2" xfId="0"/>
    <cellStyle name="Output Line Items 2 3" xfId="0"/>
    <cellStyle name="Output Line Items 2 4" xfId="0"/>
    <cellStyle name="Output Line Items 3" xfId="0"/>
    <cellStyle name="Output Line Items 4" xfId="0"/>
    <cellStyle name="Output Line Items 5" xfId="0"/>
    <cellStyle name="Output Line Items 6" xfId="0"/>
    <cellStyle name="Output Line Items_BU Allocation" xfId="0"/>
    <cellStyle name="Output Report Heading" xfId="0"/>
    <cellStyle name="Output Report Heading 2" xfId="0"/>
    <cellStyle name="Output Report Heading 2 2" xfId="0"/>
    <cellStyle name="Output Report Heading 3" xfId="0"/>
    <cellStyle name="Output Report Heading 3 2" xfId="0"/>
    <cellStyle name="Output Report Heading 4" xfId="0"/>
    <cellStyle name="Output Report Heading 4 2" xfId="0"/>
    <cellStyle name="Output Report Heading 5" xfId="0"/>
    <cellStyle name="Output Report Heading_Prod Line MTD" xfId="0"/>
    <cellStyle name="Output Report Title" xfId="0"/>
    <cellStyle name="Output Report Title 2" xfId="0"/>
    <cellStyle name="Output Report Title 2 2" xfId="0"/>
    <cellStyle name="Output Report Title 2 3" xfId="0"/>
    <cellStyle name="Output Report Title 2 4" xfId="0"/>
    <cellStyle name="Output Report Title 3" xfId="0"/>
    <cellStyle name="Output Report Title 4" xfId="0"/>
    <cellStyle name="Output Report Title 5" xfId="0"/>
    <cellStyle name="Output Report Title 6" xfId="0"/>
    <cellStyle name="Output Report Title_BU Allocation" xfId="0"/>
    <cellStyle name="Output_13-wk VSA_Revised" xfId="0"/>
    <cellStyle name="per.style" xfId="0"/>
    <cellStyle name="per.style 2" xfId="0"/>
    <cellStyle name="Percent %" xfId="0"/>
    <cellStyle name="Percent % Long Underline" xfId="0"/>
    <cellStyle name="Percent %_03 2004 VSC External Financial Package" xfId="0"/>
    <cellStyle name="Percent (0)" xfId="0"/>
    <cellStyle name="Percent (0) 2" xfId="0"/>
    <cellStyle name="Percent (0) 3" xfId="0"/>
    <cellStyle name="Percent 0.0%" xfId="0"/>
    <cellStyle name="Percent 0.0% Long Underline" xfId="0"/>
    <cellStyle name="Percent 0.0%_Consolidated condensed quarterly 2001-2002 &amp; Q1 2003" xfId="0"/>
    <cellStyle name="Percent 0.00%" xfId="0"/>
    <cellStyle name="Percent 0.00% Long Underline" xfId="0"/>
    <cellStyle name="Percent 0.00%_Consolidated condensed quarterly 2001-2002 &amp; Q1 2003" xfId="0"/>
    <cellStyle name="Percent 0.000%" xfId="0"/>
    <cellStyle name="Percent 0.000% Long Underline" xfId="0"/>
    <cellStyle name="Percent 0.000%_Consolidated condensed quarterly 2001-2002 &amp; Q1 2003" xfId="0"/>
    <cellStyle name="Percent 0.0000%" xfId="0"/>
    <cellStyle name="Percent 0.0000% Long Underline" xfId="0"/>
    <cellStyle name="Percent 10" xfId="0"/>
    <cellStyle name="Percent 11" xfId="0"/>
    <cellStyle name="Percent 11 2" xfId="0"/>
    <cellStyle name="Percent 12" xfId="0"/>
    <cellStyle name="Percent 12 2" xfId="0"/>
    <cellStyle name="Percent 13" xfId="0"/>
    <cellStyle name="Percent 13 2" xfId="0"/>
    <cellStyle name="Percent 13 3" xfId="0"/>
    <cellStyle name="Percent 14" xfId="0"/>
    <cellStyle name="Percent 14 2" xfId="0"/>
    <cellStyle name="Percent 14 3" xfId="0"/>
    <cellStyle name="Percent 15" xfId="0"/>
    <cellStyle name="Percent 15 2" xfId="0"/>
    <cellStyle name="Percent 16" xfId="0"/>
    <cellStyle name="Percent 16 2" xfId="0"/>
    <cellStyle name="Percent 17" xfId="0"/>
    <cellStyle name="Percent 17 2" xfId="0"/>
    <cellStyle name="Percent 18" xfId="0"/>
    <cellStyle name="Percent 18 2" xfId="0"/>
    <cellStyle name="Percent 19" xfId="0"/>
    <cellStyle name="Percent 19 2" xfId="0"/>
    <cellStyle name="Percent 2" xfId="0"/>
    <cellStyle name="Percent 2 2" xfId="0"/>
    <cellStyle name="Percent 2 2 2" xfId="0"/>
    <cellStyle name="Percent 2 2 3" xfId="0"/>
    <cellStyle name="Percent 2 2 4" xfId="0"/>
    <cellStyle name="Percent 2 3" xfId="0"/>
    <cellStyle name="Percent 2 3 2" xfId="0"/>
    <cellStyle name="Percent 2 3 3" xfId="0"/>
    <cellStyle name="Percent 2 4" xfId="0"/>
    <cellStyle name="Percent 2 4 2" xfId="0"/>
    <cellStyle name="Percent 2 4 3" xfId="0"/>
    <cellStyle name="Percent 2 5" xfId="0"/>
    <cellStyle name="Percent 2 5 2" xfId="0"/>
    <cellStyle name="Percent 2 6" xfId="0"/>
    <cellStyle name="Percent 2 7" xfId="0"/>
    <cellStyle name="Percent 2 8" xfId="0"/>
    <cellStyle name="Percent 20" xfId="0"/>
    <cellStyle name="Percent 20 2" xfId="0"/>
    <cellStyle name="Percent 21" xfId="0"/>
    <cellStyle name="Percent 21 2" xfId="0"/>
    <cellStyle name="Percent 22" xfId="0"/>
    <cellStyle name="Percent 22 2" xfId="0"/>
    <cellStyle name="Percent 23" xfId="0"/>
    <cellStyle name="Percent 23 2" xfId="0"/>
    <cellStyle name="Percent 24" xfId="0"/>
    <cellStyle name="Percent 24 2" xfId="0"/>
    <cellStyle name="Percent 25" xfId="0"/>
    <cellStyle name="Percent 25 2" xfId="0"/>
    <cellStyle name="Percent 26" xfId="0"/>
    <cellStyle name="Percent 26 2" xfId="0"/>
    <cellStyle name="Percent 27" xfId="0"/>
    <cellStyle name="Percent 27 2" xfId="0"/>
    <cellStyle name="Percent 28" xfId="0"/>
    <cellStyle name="Percent 28 2" xfId="0"/>
    <cellStyle name="Percent 29" xfId="0"/>
    <cellStyle name="Percent 29 2" xfId="0"/>
    <cellStyle name="Percent 3" xfId="0"/>
    <cellStyle name="Percent 3 2" xfId="0"/>
    <cellStyle name="Percent 3 2 2" xfId="0"/>
    <cellStyle name="Percent 3 3" xfId="0"/>
    <cellStyle name="Percent 30" xfId="0"/>
    <cellStyle name="Percent 30 2" xfId="0"/>
    <cellStyle name="Percent 31" xfId="0"/>
    <cellStyle name="Percent 31 2" xfId="0"/>
    <cellStyle name="Percent 32" xfId="0"/>
    <cellStyle name="Percent 32 2" xfId="0"/>
    <cellStyle name="Percent 33" xfId="0"/>
    <cellStyle name="Percent 33 2" xfId="0"/>
    <cellStyle name="Percent 34" xfId="0"/>
    <cellStyle name="Percent 34 2" xfId="0"/>
    <cellStyle name="Percent 35" xfId="0"/>
    <cellStyle name="Percent 35 2" xfId="0"/>
    <cellStyle name="Percent 36" xfId="0"/>
    <cellStyle name="Percent 36 2" xfId="0"/>
    <cellStyle name="Percent 37" xfId="0"/>
    <cellStyle name="Percent 37 2" xfId="0"/>
    <cellStyle name="Percent 38" xfId="0"/>
    <cellStyle name="Percent 38 2" xfId="0"/>
    <cellStyle name="Percent 39" xfId="0"/>
    <cellStyle name="Percent 39 2" xfId="0"/>
    <cellStyle name="Percent 4" xfId="0"/>
    <cellStyle name="Percent 4 2" xfId="0"/>
    <cellStyle name="Percent 4 2 2" xfId="0"/>
    <cellStyle name="Percent 4 3" xfId="0"/>
    <cellStyle name="Percent 40" xfId="0"/>
    <cellStyle name="Percent 40 2" xfId="0"/>
    <cellStyle name="Percent 41" xfId="0"/>
    <cellStyle name="Percent 41 2" xfId="0"/>
    <cellStyle name="Percent 42" xfId="0"/>
    <cellStyle name="Percent 42 2" xfId="0"/>
    <cellStyle name="Percent 43" xfId="0"/>
    <cellStyle name="Percent 43 2" xfId="0"/>
    <cellStyle name="Percent 44" xfId="0"/>
    <cellStyle name="Percent 44 2" xfId="0"/>
    <cellStyle name="Percent 45" xfId="0"/>
    <cellStyle name="Percent 45 2" xfId="0"/>
    <cellStyle name="Percent 46" xfId="0"/>
    <cellStyle name="Percent 46 2" xfId="0"/>
    <cellStyle name="Percent 47" xfId="0"/>
    <cellStyle name="Percent 47 2" xfId="0"/>
    <cellStyle name="Percent 48" xfId="0"/>
    <cellStyle name="Percent 48 2" xfId="0"/>
    <cellStyle name="Percent 49" xfId="0"/>
    <cellStyle name="Percent 49 2" xfId="0"/>
    <cellStyle name="Percent 5" xfId="0"/>
    <cellStyle name="Percent 5 2" xfId="0"/>
    <cellStyle name="Percent 5 2 2" xfId="0"/>
    <cellStyle name="Percent 5 3" xfId="0"/>
    <cellStyle name="Percent 5 4" xfId="0"/>
    <cellStyle name="Percent 50" xfId="0"/>
    <cellStyle name="Percent 50 2" xfId="0"/>
    <cellStyle name="Percent 51" xfId="0"/>
    <cellStyle name="Percent 51 2" xfId="0"/>
    <cellStyle name="Percent 52" xfId="0"/>
    <cellStyle name="Percent 52 2" xfId="0"/>
    <cellStyle name="Percent 53" xfId="0"/>
    <cellStyle name="Percent 53 2" xfId="0"/>
    <cellStyle name="Percent 54" xfId="0"/>
    <cellStyle name="Percent 55" xfId="0"/>
    <cellStyle name="Percent 56" xfId="0"/>
    <cellStyle name="Percent 57" xfId="0"/>
    <cellStyle name="Percent 58" xfId="0"/>
    <cellStyle name="Percent 59" xfId="0"/>
    <cellStyle name="Percent 6" xfId="0"/>
    <cellStyle name="Percent 6 2" xfId="0"/>
    <cellStyle name="Percent 6 2 2" xfId="0"/>
    <cellStyle name="Percent 6 3" xfId="0"/>
    <cellStyle name="Percent 60" xfId="0"/>
    <cellStyle name="Percent 61" xfId="0"/>
    <cellStyle name="Percent 62" xfId="0"/>
    <cellStyle name="Percent 63" xfId="0"/>
    <cellStyle name="Percent 64" xfId="0"/>
    <cellStyle name="Percent 65" xfId="0"/>
    <cellStyle name="Percent 66" xfId="0"/>
    <cellStyle name="Percent 67" xfId="0"/>
    <cellStyle name="Percent 68" xfId="0"/>
    <cellStyle name="Percent 69" xfId="0"/>
    <cellStyle name="Percent 7" xfId="0"/>
    <cellStyle name="Percent 7 2" xfId="0"/>
    <cellStyle name="Percent 70" xfId="0"/>
    <cellStyle name="Percent 71" xfId="0"/>
    <cellStyle name="Percent 72" xfId="0"/>
    <cellStyle name="Percent 73" xfId="0"/>
    <cellStyle name="Percent 74" xfId="0"/>
    <cellStyle name="Percent 75" xfId="0"/>
    <cellStyle name="Percent 76" xfId="0"/>
    <cellStyle name="Percent 77" xfId="0"/>
    <cellStyle name="Percent 78" xfId="0"/>
    <cellStyle name="Percent 8" xfId="0"/>
    <cellStyle name="Percent 9" xfId="0"/>
    <cellStyle name="Percent [2]" xfId="0"/>
    <cellStyle name="Percent [2] 2" xfId="0"/>
    <cellStyle name="pricing" xfId="0"/>
    <cellStyle name="pricing 10" xfId="0"/>
    <cellStyle name="pricing 11" xfId="0"/>
    <cellStyle name="pricing 2" xfId="0"/>
    <cellStyle name="pricing 3" xfId="0"/>
    <cellStyle name="pricing 4" xfId="0"/>
    <cellStyle name="pricing 5" xfId="0"/>
    <cellStyle name="pricing 6" xfId="0"/>
    <cellStyle name="pricing 7" xfId="0"/>
    <cellStyle name="pricing 8" xfId="0"/>
    <cellStyle name="pricing 9" xfId="0"/>
    <cellStyle name="PSChar" xfId="0"/>
    <cellStyle name="PSChar 10" xfId="0"/>
    <cellStyle name="PSChar 10 2" xfId="0"/>
    <cellStyle name="PSChar 11" xfId="0"/>
    <cellStyle name="PSChar 11 2" xfId="0"/>
    <cellStyle name="PSChar 12" xfId="0"/>
    <cellStyle name="PSChar 2" xfId="0"/>
    <cellStyle name="PSChar 2 2" xfId="0"/>
    <cellStyle name="PSChar 3" xfId="0"/>
    <cellStyle name="PSChar 3 2" xfId="0"/>
    <cellStyle name="PSChar 4" xfId="0"/>
    <cellStyle name="PSChar 4 2" xfId="0"/>
    <cellStyle name="PSChar 5" xfId="0"/>
    <cellStyle name="PSChar 5 2" xfId="0"/>
    <cellStyle name="PSChar 6" xfId="0"/>
    <cellStyle name="PSChar 6 2" xfId="0"/>
    <cellStyle name="PSChar 7" xfId="0"/>
    <cellStyle name="PSChar 7 2" xfId="0"/>
    <cellStyle name="PSChar 8" xfId="0"/>
    <cellStyle name="PSChar 8 2" xfId="0"/>
    <cellStyle name="PSChar 9" xfId="0"/>
    <cellStyle name="PSChar 9 2" xfId="0"/>
    <cellStyle name="RevList" xfId="0"/>
    <cellStyle name="RevList 10" xfId="0"/>
    <cellStyle name="RevList 11" xfId="0"/>
    <cellStyle name="RevList 2" xfId="0"/>
    <cellStyle name="RevList 3" xfId="0"/>
    <cellStyle name="RevList 4" xfId="0"/>
    <cellStyle name="RevList 5" xfId="0"/>
    <cellStyle name="RevList 6" xfId="0"/>
    <cellStyle name="RevList 7" xfId="0"/>
    <cellStyle name="RevList 8" xfId="0"/>
    <cellStyle name="RevList 9" xfId="0"/>
    <cellStyle name="Sheet Title" xfId="0"/>
    <cellStyle name="Sheet Title 2" xfId="0"/>
    <cellStyle name="Sheet Title 2 2" xfId="0"/>
    <cellStyle name="Sheet Title 3" xfId="0"/>
    <cellStyle name="Standard_Tabelle1" xfId="0"/>
    <cellStyle name="Style 1" xfId="0"/>
    <cellStyle name="Style 1 2" xfId="0"/>
    <cellStyle name="Style 1 2 2" xfId="0"/>
    <cellStyle name="Style 1 2 3" xfId="0"/>
    <cellStyle name="Style 1 3" xfId="0"/>
    <cellStyle name="Style 1 4" xfId="0"/>
    <cellStyle name="Style 1_Prod Line MTD" xfId="0"/>
    <cellStyle name="Subtotal" xfId="0"/>
    <cellStyle name="Subtotal 10" xfId="0"/>
    <cellStyle name="Subtotal 11" xfId="0"/>
    <cellStyle name="Subtotal 2" xfId="0"/>
    <cellStyle name="Subtotal 3" xfId="0"/>
    <cellStyle name="Subtotal 4" xfId="0"/>
    <cellStyle name="Subtotal 5" xfId="0"/>
    <cellStyle name="Subtotal 6" xfId="0"/>
    <cellStyle name="Subtotal 7" xfId="0"/>
    <cellStyle name="Subtotal 8" xfId="0"/>
    <cellStyle name="Subtotal 9" xfId="0"/>
    <cellStyle name="Tickmark" xfId="0"/>
    <cellStyle name="Tickmark 2" xfId="0"/>
    <cellStyle name="Times New Roman" xfId="0"/>
    <cellStyle name="Title" xfId="0"/>
    <cellStyle name="Title 10" xfId="0"/>
    <cellStyle name="Title 11" xfId="0"/>
    <cellStyle name="Title 12" xfId="0"/>
    <cellStyle name="Title 13" xfId="0"/>
    <cellStyle name="Title 14" xfId="0"/>
    <cellStyle name="Title 2" xfId="0"/>
    <cellStyle name="Title 2 2" xfId="0"/>
    <cellStyle name="Title 2 2 2" xfId="0"/>
    <cellStyle name="Title 2 2 3" xfId="0"/>
    <cellStyle name="Title 2 3" xfId="0"/>
    <cellStyle name="Title 2 3 2" xfId="0"/>
    <cellStyle name="Title 2 3 3" xfId="0"/>
    <cellStyle name="Title 2 4" xfId="0"/>
    <cellStyle name="Title 2 4 2" xfId="0"/>
    <cellStyle name="Title 2 5" xfId="0"/>
    <cellStyle name="Title 2 5 2" xfId="0"/>
    <cellStyle name="Title 2 6" xfId="0"/>
    <cellStyle name="Title 2 7" xfId="0"/>
    <cellStyle name="Title 2 8" xfId="0"/>
    <cellStyle name="Title 2 9" xfId="0"/>
    <cellStyle name="Title 2_Profitability Detail NT$ Sep-12" xfId="0"/>
    <cellStyle name="Title 3" xfId="0"/>
    <cellStyle name="Title 3 2" xfId="0"/>
    <cellStyle name="Title 3 2 2" xfId="0"/>
    <cellStyle name="Title 3 3" xfId="0"/>
    <cellStyle name="Title 3 3 2" xfId="0"/>
    <cellStyle name="Title 3 4" xfId="0"/>
    <cellStyle name="Title 3 4 2" xfId="0"/>
    <cellStyle name="Title 3 5" xfId="0"/>
    <cellStyle name="Title 3 5 2" xfId="0"/>
    <cellStyle name="Title 3 6" xfId="0"/>
    <cellStyle name="Title 3 7" xfId="0"/>
    <cellStyle name="Title 3 8" xfId="0"/>
    <cellStyle name="Title 3_Profitability Detail NT$ Sep-12" xfId="0"/>
    <cellStyle name="Title 4" xfId="0"/>
    <cellStyle name="Title 4 2" xfId="0"/>
    <cellStyle name="Title 4 2 2" xfId="0"/>
    <cellStyle name="Title 4 3" xfId="0"/>
    <cellStyle name="Title 4 3 2" xfId="0"/>
    <cellStyle name="Title 4 4" xfId="0"/>
    <cellStyle name="Title 4 4 2" xfId="0"/>
    <cellStyle name="Title 4 5" xfId="0"/>
    <cellStyle name="Title 4 5 2" xfId="0"/>
    <cellStyle name="Title 4 6" xfId="0"/>
    <cellStyle name="Title 4 7" xfId="0"/>
    <cellStyle name="Title 4 8" xfId="0"/>
    <cellStyle name="Title 4_Profitability Detail NT$ Sep-12" xfId="0"/>
    <cellStyle name="Title 5" xfId="0"/>
    <cellStyle name="Title 5 2" xfId="0"/>
    <cellStyle name="Title 5 3" xfId="0"/>
    <cellStyle name="Title 5 4" xfId="0"/>
    <cellStyle name="Title 6" xfId="0"/>
    <cellStyle name="Title 6 2" xfId="0"/>
    <cellStyle name="Title 7" xfId="0"/>
    <cellStyle name="Title 8" xfId="0"/>
    <cellStyle name="Title 9" xfId="0"/>
    <cellStyle name="Title_Apr CPC" xfId="0"/>
    <cellStyle name="Total" xfId="0"/>
    <cellStyle name="Total 10" xfId="0"/>
    <cellStyle name="Total 10 2" xfId="0"/>
    <cellStyle name="Total 11" xfId="0"/>
    <cellStyle name="Total 11 2" xfId="0"/>
    <cellStyle name="Total 12" xfId="0"/>
    <cellStyle name="Total 12 2" xfId="0"/>
    <cellStyle name="Total 13" xfId="0"/>
    <cellStyle name="Total 13 2" xfId="0"/>
    <cellStyle name="Total 14" xfId="0"/>
    <cellStyle name="Total 14 2" xfId="0"/>
    <cellStyle name="Total 15" xfId="0"/>
    <cellStyle name="Total 15 2" xfId="0"/>
    <cellStyle name="Total 16" xfId="0"/>
    <cellStyle name="Total 16 2" xfId="0"/>
    <cellStyle name="Total 17" xfId="0"/>
    <cellStyle name="Total 17 2" xfId="0"/>
    <cellStyle name="Total 18" xfId="0"/>
    <cellStyle name="Total 18 2" xfId="0"/>
    <cellStyle name="Total 19" xfId="0"/>
    <cellStyle name="Total 19 2" xfId="0"/>
    <cellStyle name="Total 2" xfId="0"/>
    <cellStyle name="Total 2 2" xfId="0"/>
    <cellStyle name="Total 2 2 2" xfId="0"/>
    <cellStyle name="Total 2 2 2 2" xfId="0"/>
    <cellStyle name="Total 2 2 3" xfId="0"/>
    <cellStyle name="Total 2 2 4" xfId="0"/>
    <cellStyle name="Total 2 3" xfId="0"/>
    <cellStyle name="Total 2 3 2" xfId="0"/>
    <cellStyle name="Total 2 3 3" xfId="0"/>
    <cellStyle name="Total 2 4" xfId="0"/>
    <cellStyle name="Total 2 4 2" xfId="0"/>
    <cellStyle name="Total 2 5" xfId="0"/>
    <cellStyle name="Total 2 5 2" xfId="0"/>
    <cellStyle name="Total 2 6" xfId="0"/>
    <cellStyle name="Total 2 7" xfId="0"/>
    <cellStyle name="Total 2 8" xfId="0"/>
    <cellStyle name="Total 2 9" xfId="0"/>
    <cellStyle name="Total 20" xfId="0"/>
    <cellStyle name="Total 20 2" xfId="0"/>
    <cellStyle name="Total 21" xfId="0"/>
    <cellStyle name="Total 21 2" xfId="0"/>
    <cellStyle name="Total 22" xfId="0"/>
    <cellStyle name="Total 22 2" xfId="0"/>
    <cellStyle name="Total 23" xfId="0"/>
    <cellStyle name="Total 23 2" xfId="0"/>
    <cellStyle name="Total 24" xfId="0"/>
    <cellStyle name="Total 25" xfId="0"/>
    <cellStyle name="Total 26" xfId="0"/>
    <cellStyle name="Total 27" xfId="0"/>
    <cellStyle name="Total 28" xfId="0"/>
    <cellStyle name="Total 29" xfId="0"/>
    <cellStyle name="Total 2_Profitability Detail NT$ Sep-12" xfId="0"/>
    <cellStyle name="Total 3" xfId="0"/>
    <cellStyle name="Total 3 2" xfId="0"/>
    <cellStyle name="Total 3 2 2" xfId="0"/>
    <cellStyle name="Total 3 2 2 2" xfId="0"/>
    <cellStyle name="Total 3 2 3" xfId="0"/>
    <cellStyle name="Total 3 3" xfId="0"/>
    <cellStyle name="Total 3 3 2" xfId="0"/>
    <cellStyle name="Total 3 4" xfId="0"/>
    <cellStyle name="Total 3 4 2" xfId="0"/>
    <cellStyle name="Total 3 5" xfId="0"/>
    <cellStyle name="Total 3 5 2" xfId="0"/>
    <cellStyle name="Total 3 6" xfId="0"/>
    <cellStyle name="Total 3 7" xfId="0"/>
    <cellStyle name="Total 3 8" xfId="0"/>
    <cellStyle name="Total 30" xfId="0"/>
    <cellStyle name="Total 31" xfId="0"/>
    <cellStyle name="Total 32" xfId="0"/>
    <cellStyle name="Total 33" xfId="0"/>
    <cellStyle name="Total 34" xfId="0"/>
    <cellStyle name="Total 35" xfId="0"/>
    <cellStyle name="Total 3_Profitability Detail NT$ Sep-12" xfId="0"/>
    <cellStyle name="Total 4" xfId="0"/>
    <cellStyle name="Total 4 2" xfId="0"/>
    <cellStyle name="Total 4 2 2" xfId="0"/>
    <cellStyle name="Total 4 2 2 2" xfId="0"/>
    <cellStyle name="Total 4 2 3" xfId="0"/>
    <cellStyle name="Total 4 3" xfId="0"/>
    <cellStyle name="Total 4 3 2" xfId="0"/>
    <cellStyle name="Total 4 4" xfId="0"/>
    <cellStyle name="Total 4 4 2" xfId="0"/>
    <cellStyle name="Total 4 5" xfId="0"/>
    <cellStyle name="Total 4 5 2" xfId="0"/>
    <cellStyle name="Total 4 6" xfId="0"/>
    <cellStyle name="Total 4 7" xfId="0"/>
    <cellStyle name="Total 4_Profitability Detail NT$ Sep-12" xfId="0"/>
    <cellStyle name="Total 5" xfId="0"/>
    <cellStyle name="Total 5 2" xfId="0"/>
    <cellStyle name="Total 5 3" xfId="0"/>
    <cellStyle name="Total 6" xfId="0"/>
    <cellStyle name="Total 6 2" xfId="0"/>
    <cellStyle name="Total 7" xfId="0"/>
    <cellStyle name="Total 7 2" xfId="0"/>
    <cellStyle name="Total 8" xfId="0"/>
    <cellStyle name="Total 8 2" xfId="0"/>
    <cellStyle name="Total 9" xfId="0"/>
    <cellStyle name="Total 9 2" xfId="0"/>
    <cellStyle name="Total_13-wk VSA_Revised" xfId="0"/>
    <cellStyle name="Warning Text" xfId="0"/>
    <cellStyle name="Warning Text 10" xfId="0"/>
    <cellStyle name="Warning Text 10 2" xfId="0"/>
    <cellStyle name="Warning Text 11" xfId="0"/>
    <cellStyle name="Warning Text 11 2" xfId="0"/>
    <cellStyle name="Warning Text 12" xfId="0"/>
    <cellStyle name="Warning Text 12 2" xfId="0"/>
    <cellStyle name="Warning Text 13" xfId="0"/>
    <cellStyle name="Warning Text 13 2" xfId="0"/>
    <cellStyle name="Warning Text 14" xfId="0"/>
    <cellStyle name="Warning Text 14 2" xfId="0"/>
    <cellStyle name="Warning Text 15" xfId="0"/>
    <cellStyle name="Warning Text 15 2" xfId="0"/>
    <cellStyle name="Warning Text 16" xfId="0"/>
    <cellStyle name="Warning Text 16 2" xfId="0"/>
    <cellStyle name="Warning Text 17" xfId="0"/>
    <cellStyle name="Warning Text 17 2" xfId="0"/>
    <cellStyle name="Warning Text 18" xfId="0"/>
    <cellStyle name="Warning Text 18 2" xfId="0"/>
    <cellStyle name="Warning Text 19" xfId="0"/>
    <cellStyle name="Warning Text 19 2" xfId="0"/>
    <cellStyle name="Warning Text 2" xfId="0"/>
    <cellStyle name="Warning Text 2 2" xfId="0"/>
    <cellStyle name="Warning Text 2 2 2" xfId="0"/>
    <cellStyle name="Warning Text 2 2 3" xfId="0"/>
    <cellStyle name="Warning Text 2 3" xfId="0"/>
    <cellStyle name="Warning Text 2 3 2" xfId="0"/>
    <cellStyle name="Warning Text 2 4" xfId="0"/>
    <cellStyle name="Warning Text 2 4 2" xfId="0"/>
    <cellStyle name="Warning Text 2 5" xfId="0"/>
    <cellStyle name="Warning Text 2 5 2" xfId="0"/>
    <cellStyle name="Warning Text 2 6" xfId="0"/>
    <cellStyle name="Warning Text 20" xfId="0"/>
    <cellStyle name="Warning Text 20 2" xfId="0"/>
    <cellStyle name="Warning Text 21" xfId="0"/>
    <cellStyle name="Warning Text 21 2" xfId="0"/>
    <cellStyle name="Warning Text 22" xfId="0"/>
    <cellStyle name="Warning Text 22 2" xfId="0"/>
    <cellStyle name="Warning Text 23" xfId="0"/>
    <cellStyle name="Warning Text 23 2" xfId="0"/>
    <cellStyle name="Warning Text 24" xfId="0"/>
    <cellStyle name="Warning Text 25" xfId="0"/>
    <cellStyle name="Warning Text 26" xfId="0"/>
    <cellStyle name="Warning Text 27" xfId="0"/>
    <cellStyle name="Warning Text 28" xfId="0"/>
    <cellStyle name="Warning Text 29" xfId="0"/>
    <cellStyle name="Warning Text 2_Profitability Detail NT$ Sep-12" xfId="0"/>
    <cellStyle name="Warning Text 3" xfId="0"/>
    <cellStyle name="Warning Text 3 2" xfId="0"/>
    <cellStyle name="Warning Text 3 2 2" xfId="0"/>
    <cellStyle name="Warning Text 3 3" xfId="0"/>
    <cellStyle name="Warning Text 3 3 2" xfId="0"/>
    <cellStyle name="Warning Text 3 4" xfId="0"/>
    <cellStyle name="Warning Text 3 4 2" xfId="0"/>
    <cellStyle name="Warning Text 3 5" xfId="0"/>
    <cellStyle name="Warning Text 3 5 2" xfId="0"/>
    <cellStyle name="Warning Text 3 6" xfId="0"/>
    <cellStyle name="Warning Text 3 7" xfId="0"/>
    <cellStyle name="Warning Text 30" xfId="0"/>
    <cellStyle name="Warning Text 3_Profitability Detail NT$ Sep-12" xfId="0"/>
    <cellStyle name="Warning Text 4" xfId="0"/>
    <cellStyle name="Warning Text 4 2" xfId="0"/>
    <cellStyle name="Warning Text 4 2 2" xfId="0"/>
    <cellStyle name="Warning Text 4 3" xfId="0"/>
    <cellStyle name="Warning Text 4 3 2" xfId="0"/>
    <cellStyle name="Warning Text 4 4" xfId="0"/>
    <cellStyle name="Warning Text 4 4 2" xfId="0"/>
    <cellStyle name="Warning Text 4 5" xfId="0"/>
    <cellStyle name="Warning Text 4 5 2" xfId="0"/>
    <cellStyle name="Warning Text 4 6" xfId="0"/>
    <cellStyle name="Warning Text 4 7" xfId="0"/>
    <cellStyle name="Warning Text 4_Profitability Detail NT$ Sep-12" xfId="0"/>
    <cellStyle name="Warning Text 5" xfId="0"/>
    <cellStyle name="Warning Text 5 2" xfId="0"/>
    <cellStyle name="Warning Text 5 3" xfId="0"/>
    <cellStyle name="Warning Text 6" xfId="0"/>
    <cellStyle name="Warning Text 6 2" xfId="0"/>
    <cellStyle name="Warning Text 6 3" xfId="0"/>
    <cellStyle name="Warning Text 7" xfId="0"/>
    <cellStyle name="Warning Text 7 2" xfId="0"/>
    <cellStyle name="Warning Text 8" xfId="0"/>
    <cellStyle name="Warning Text 8 2" xfId="0"/>
    <cellStyle name="Warning Text 9" xfId="0"/>
    <cellStyle name="Warning Text 9 2" xfId="0"/>
    <cellStyle name="Warning Text_13-wk VSA_Revised" xfId="0"/>
    <cellStyle name="XComma" xfId="0"/>
    <cellStyle name="XComma 0.0" xfId="0"/>
    <cellStyle name="XComma 0.00" xfId="0"/>
    <cellStyle name="XComma 0.000" xfId="0"/>
    <cellStyle name="XCurrency" xfId="0"/>
    <cellStyle name="XCurrency 0.0" xfId="0"/>
    <cellStyle name="XCurrency 0.00" xfId="0"/>
    <cellStyle name="XCurrency 0.000" xfId="0"/>
    <cellStyle name="Œ…‹æØ‚è [0.00]_Region Orders (2)" xfId="0"/>
    <cellStyle name="Œ…‹æØ‚è_Region Orders (2)" xfId="0"/>
    <cellStyle name="Обычный_Claim_NovPrice 05 PriceProtect_inv" xfId="0"/>
    <cellStyle name="一般 10" xfId="0"/>
    <cellStyle name="一般 10 2" xfId="0"/>
    <cellStyle name="一般 10 2 2" xfId="0"/>
    <cellStyle name="一般 10 2 3" xfId="0"/>
    <cellStyle name="一般 10 3" xfId="0"/>
    <cellStyle name="一般 10 4" xfId="0"/>
    <cellStyle name="一般 10 5" xfId="0"/>
    <cellStyle name="一般 11" xfId="0"/>
    <cellStyle name="一般 11 2" xfId="0"/>
    <cellStyle name="一般 11 2 2" xfId="0"/>
    <cellStyle name="一般 11 3" xfId="0"/>
    <cellStyle name="一般 11 4" xfId="0"/>
    <cellStyle name="一般 12" xfId="0"/>
    <cellStyle name="一般 12 2" xfId="0"/>
    <cellStyle name="一般 12 3" xfId="0"/>
    <cellStyle name="一般 12 4" xfId="0"/>
    <cellStyle name="一般 12 5" xfId="0"/>
    <cellStyle name="一般 13" xfId="0"/>
    <cellStyle name="一般 13 2" xfId="0"/>
    <cellStyle name="一般 13 2 2" xfId="0"/>
    <cellStyle name="一般 13 3" xfId="0"/>
    <cellStyle name="一般 13 4" xfId="0"/>
    <cellStyle name="一般 14" xfId="0"/>
    <cellStyle name="一般 14 2" xfId="0"/>
    <cellStyle name="一般 14 3" xfId="0"/>
    <cellStyle name="一般 15" xfId="0"/>
    <cellStyle name="一般 15 2" xfId="0"/>
    <cellStyle name="一般 15 3" xfId="0"/>
    <cellStyle name="一般 16" xfId="0"/>
    <cellStyle name="一般 16 10" xfId="0"/>
    <cellStyle name="一般 16 11" xfId="0"/>
    <cellStyle name="一般 16 2" xfId="0"/>
    <cellStyle name="一般 16 2 2" xfId="0"/>
    <cellStyle name="一般 16 2 2 2" xfId="0"/>
    <cellStyle name="一般 16 2 3" xfId="0"/>
    <cellStyle name="一般 16 2 4" xfId="0"/>
    <cellStyle name="一般 16 2 5" xfId="0"/>
    <cellStyle name="一般 16 3" xfId="0"/>
    <cellStyle name="一般 16 3 2" xfId="0"/>
    <cellStyle name="一般 16 3 3" xfId="0"/>
    <cellStyle name="一般 16 3 4" xfId="0"/>
    <cellStyle name="一般 16 4" xfId="0"/>
    <cellStyle name="一般 16 4 2" xfId="0"/>
    <cellStyle name="一般 16 4 3" xfId="0"/>
    <cellStyle name="一般 16 4 4" xfId="0"/>
    <cellStyle name="一般 16 5" xfId="0"/>
    <cellStyle name="一般 16 5 2" xfId="0"/>
    <cellStyle name="一般 16 5 3" xfId="0"/>
    <cellStyle name="一般 16 5 4" xfId="0"/>
    <cellStyle name="一般 16 6" xfId="0"/>
    <cellStyle name="一般 16 6 2" xfId="0"/>
    <cellStyle name="一般 16 6 3" xfId="0"/>
    <cellStyle name="一般 16 6 4" xfId="0"/>
    <cellStyle name="一般 16 7" xfId="0"/>
    <cellStyle name="一般 16 7 2" xfId="0"/>
    <cellStyle name="一般 16 7 3" xfId="0"/>
    <cellStyle name="一般 16 7 4" xfId="0"/>
    <cellStyle name="一般 16 8" xfId="0"/>
    <cellStyle name="一般 16 9" xfId="0"/>
    <cellStyle name="一般 17" xfId="0"/>
    <cellStyle name="一般 17 2" xfId="0"/>
    <cellStyle name="一般 17 3" xfId="0"/>
    <cellStyle name="一般 17 4" xfId="0"/>
    <cellStyle name="一般 18" xfId="0"/>
    <cellStyle name="一般 18 2" xfId="0"/>
    <cellStyle name="一般 18 3" xfId="0"/>
    <cellStyle name="一般 18 4" xfId="0"/>
    <cellStyle name="一般 19" xfId="0"/>
    <cellStyle name="一般 19 2" xfId="0"/>
    <cellStyle name="一般 2" xfId="0"/>
    <cellStyle name="一般 2 10" xfId="0"/>
    <cellStyle name="一般 2 10 2" xfId="0"/>
    <cellStyle name="一般 2 11" xfId="0"/>
    <cellStyle name="一般 2 11 2" xfId="0"/>
    <cellStyle name="一般 2 12" xfId="0"/>
    <cellStyle name="一般 2 12 2" xfId="0"/>
    <cellStyle name="一般 2 13" xfId="0"/>
    <cellStyle name="一般 2 13 2" xfId="0"/>
    <cellStyle name="一般 2 14" xfId="0"/>
    <cellStyle name="一般 2 14 2" xfId="0"/>
    <cellStyle name="一般 2 15" xfId="0"/>
    <cellStyle name="一般 2 2" xfId="0"/>
    <cellStyle name="一般 2 2 2" xfId="0"/>
    <cellStyle name="一般 2 2 2 2" xfId="0"/>
    <cellStyle name="一般 2 2 2 2 2" xfId="0"/>
    <cellStyle name="一般 2 2 2 3" xfId="0"/>
    <cellStyle name="一般 2 2 2 3 2" xfId="0"/>
    <cellStyle name="一般 2 2 2 4" xfId="0"/>
    <cellStyle name="一般 2 2 2 5" xfId="0"/>
    <cellStyle name="一般 2 2 3" xfId="0"/>
    <cellStyle name="一般 2 2 3 2" xfId="0"/>
    <cellStyle name="一般 2 2 3 3" xfId="0"/>
    <cellStyle name="一般 2 2 4" xfId="0"/>
    <cellStyle name="一般 2 2 4 2" xfId="0"/>
    <cellStyle name="一般 2 2 5" xfId="0"/>
    <cellStyle name="一般 2 2 5 2" xfId="0"/>
    <cellStyle name="一般 2 2 6" xfId="0"/>
    <cellStyle name="一般 2 2 7" xfId="0"/>
    <cellStyle name="一般 2 2_Prod Line MTD" xfId="0"/>
    <cellStyle name="一般 2 3" xfId="0"/>
    <cellStyle name="一般 2 3 2" xfId="0"/>
    <cellStyle name="一般 2 3 2 2" xfId="0"/>
    <cellStyle name="一般 2 3 2 3" xfId="0"/>
    <cellStyle name="一般 2 3 2 4" xfId="0"/>
    <cellStyle name="一般 2 3 2 5" xfId="0"/>
    <cellStyle name="一般 2 3 2 6" xfId="0"/>
    <cellStyle name="一般 2 3 3" xfId="0"/>
    <cellStyle name="一般 2 3 4" xfId="0"/>
    <cellStyle name="一般 2 4" xfId="0"/>
    <cellStyle name="一般 2 4 2" xfId="0"/>
    <cellStyle name="一般 2 4 3" xfId="0"/>
    <cellStyle name="一般 2 5" xfId="0"/>
    <cellStyle name="一般 2 5 2" xfId="0"/>
    <cellStyle name="一般 2 5 3" xfId="0"/>
    <cellStyle name="一般 2 6" xfId="0"/>
    <cellStyle name="一般 2 6 2" xfId="0"/>
    <cellStyle name="一般 2 6 3" xfId="0"/>
    <cellStyle name="一般 2 7" xfId="0"/>
    <cellStyle name="一般 2 7 2" xfId="0"/>
    <cellStyle name="一般 2 7 2 2" xfId="0"/>
    <cellStyle name="一般 2 7 3" xfId="0"/>
    <cellStyle name="一般 2 7 3 2" xfId="0"/>
    <cellStyle name="一般 2 7 4" xfId="0"/>
    <cellStyle name="一般 2 7 5" xfId="0"/>
    <cellStyle name="一般 2 8" xfId="0"/>
    <cellStyle name="一般 2 8 2" xfId="0"/>
    <cellStyle name="一般 2 9" xfId="0"/>
    <cellStyle name="一般 2 9 2" xfId="0"/>
    <cellStyle name="一般 20" xfId="0"/>
    <cellStyle name="一般 20 2" xfId="0"/>
    <cellStyle name="一般 21" xfId="0"/>
    <cellStyle name="一般 21 2" xfId="0"/>
    <cellStyle name="一般 22" xfId="0"/>
    <cellStyle name="一般 22 2" xfId="0"/>
    <cellStyle name="一般 23" xfId="0"/>
    <cellStyle name="一般 23 2" xfId="0"/>
    <cellStyle name="一般 24" xfId="0"/>
    <cellStyle name="一般 24 2" xfId="0"/>
    <cellStyle name="一般 25" xfId="0"/>
    <cellStyle name="一般 25 2" xfId="0"/>
    <cellStyle name="一般 26" xfId="0"/>
    <cellStyle name="一般 27" xfId="0"/>
    <cellStyle name="一般 2_BU Allocation" xfId="0"/>
    <cellStyle name="一般 3" xfId="0"/>
    <cellStyle name="一般 3 2" xfId="0"/>
    <cellStyle name="一般 3 2 2" xfId="0"/>
    <cellStyle name="一般 3 2 2 2" xfId="0"/>
    <cellStyle name="一般 3 2 2 3" xfId="0"/>
    <cellStyle name="一般 3 2 3" xfId="0"/>
    <cellStyle name="一般 3 2 3 2" xfId="0"/>
    <cellStyle name="一般 3 2 3 3" xfId="0"/>
    <cellStyle name="一般 3 2 4" xfId="0"/>
    <cellStyle name="一般 3 2 4 2" xfId="0"/>
    <cellStyle name="一般 3 2 5" xfId="0"/>
    <cellStyle name="一般 3 2 6" xfId="0"/>
    <cellStyle name="一般 3 3" xfId="0"/>
    <cellStyle name="一般 3 3 2" xfId="0"/>
    <cellStyle name="一般 3 3 3" xfId="0"/>
    <cellStyle name="一般 3 3 4" xfId="0"/>
    <cellStyle name="一般 3 4" xfId="0"/>
    <cellStyle name="一般 3 4 2" xfId="0"/>
    <cellStyle name="一般 3 4 3" xfId="0"/>
    <cellStyle name="一般 3 5" xfId="0"/>
    <cellStyle name="一般 3 5 2" xfId="0"/>
    <cellStyle name="一般 3 6" xfId="0"/>
    <cellStyle name="一般 3 6 2" xfId="0"/>
    <cellStyle name="一般 3 7" xfId="0"/>
    <cellStyle name="一般 3 8" xfId="0"/>
    <cellStyle name="一般 3_BU Allocation" xfId="0"/>
    <cellStyle name="一般 4" xfId="0"/>
    <cellStyle name="一般 4 2" xfId="0"/>
    <cellStyle name="一般 4 2 2" xfId="0"/>
    <cellStyle name="一般 4 2 2 2" xfId="0"/>
    <cellStyle name="一般 4 2 3" xfId="0"/>
    <cellStyle name="一般 4 3" xfId="0"/>
    <cellStyle name="一般 4 3 2" xfId="0"/>
    <cellStyle name="一般 4 4" xfId="0"/>
    <cellStyle name="一般 4 5" xfId="0"/>
    <cellStyle name="一般 4 6" xfId="0"/>
    <cellStyle name="一般 4_BU Allocation" xfId="0"/>
    <cellStyle name="一般 5" xfId="0"/>
    <cellStyle name="一般 5 2" xfId="0"/>
    <cellStyle name="一般 5 2 2" xfId="0"/>
    <cellStyle name="一般 5 3" xfId="0"/>
    <cellStyle name="一般 5 3 2" xfId="0"/>
    <cellStyle name="一般 5 4" xfId="0"/>
    <cellStyle name="一般 5 4 2" xfId="0"/>
    <cellStyle name="一般 5 5" xfId="0"/>
    <cellStyle name="一般 5 6" xfId="0"/>
    <cellStyle name="一般 5_WMR VSI" xfId="0"/>
    <cellStyle name="一般 6" xfId="0"/>
    <cellStyle name="一般 6 2" xfId="0"/>
    <cellStyle name="一般 6 2 2" xfId="0"/>
    <cellStyle name="一般 6 3" xfId="0"/>
    <cellStyle name="一般 6 3 2" xfId="0"/>
    <cellStyle name="一般 6 4" xfId="0"/>
    <cellStyle name="一般 6 4 2" xfId="0"/>
    <cellStyle name="一般 6 5" xfId="0"/>
    <cellStyle name="一般 6 5 2" xfId="0"/>
    <cellStyle name="一般 6 6" xfId="0"/>
    <cellStyle name="一般 6 6 2" xfId="0"/>
    <cellStyle name="一般 6 7" xfId="0"/>
    <cellStyle name="一般 6 7 2" xfId="0"/>
    <cellStyle name="一般 6 8" xfId="0"/>
    <cellStyle name="一般 6 9" xfId="0"/>
    <cellStyle name="一般 6_13-wk VSI_Revised" xfId="0"/>
    <cellStyle name="一般 7" xfId="0"/>
    <cellStyle name="一般 7 2" xfId="0"/>
    <cellStyle name="一般 7 2 2" xfId="0"/>
    <cellStyle name="一般 7 3" xfId="0"/>
    <cellStyle name="一般 8" xfId="0"/>
    <cellStyle name="一般 8 2" xfId="0"/>
    <cellStyle name="一般 8 2 2" xfId="0"/>
    <cellStyle name="一般 8 2 2 2" xfId="0"/>
    <cellStyle name="一般 8 2 3" xfId="0"/>
    <cellStyle name="一般 8 2 4" xfId="0"/>
    <cellStyle name="一般 8 2 5" xfId="0"/>
    <cellStyle name="一般 8 3" xfId="0"/>
    <cellStyle name="一般 8 3 2" xfId="0"/>
    <cellStyle name="一般 8 4" xfId="0"/>
    <cellStyle name="一般 8 4 2" xfId="0"/>
    <cellStyle name="一般 8 5" xfId="0"/>
    <cellStyle name="一般 8 6" xfId="0"/>
    <cellStyle name="一般 8_13-wk VSI_Revised" xfId="0"/>
    <cellStyle name="一般 9" xfId="0"/>
    <cellStyle name="一般 9 2" xfId="0"/>
    <cellStyle name="一般 9 2 2" xfId="0"/>
    <cellStyle name="一般 9 3" xfId="0"/>
    <cellStyle name="一般 9_By Region" xfId="0"/>
    <cellStyle name="中等 2" xfId="0"/>
    <cellStyle name="中等 2 2" xfId="0"/>
    <cellStyle name="中等 2 3" xfId="0"/>
    <cellStyle name="中等 3" xfId="0"/>
    <cellStyle name="備註 2" xfId="0"/>
    <cellStyle name="備註 2 2" xfId="0"/>
    <cellStyle name="備註 2 3" xfId="0"/>
    <cellStyle name="備註 3" xfId="0"/>
    <cellStyle name="備註 4" xfId="0"/>
    <cellStyle name="備註 5" xfId="0"/>
    <cellStyle name="備註 6" xfId="0"/>
    <cellStyle name="千位分隔 2" xfId="0"/>
    <cellStyle name="千位分隔_9-21 AP-AR" xfId="0"/>
    <cellStyle name="千分位 10" xfId="0"/>
    <cellStyle name="千分位 10 2" xfId="0"/>
    <cellStyle name="千分位 11" xfId="0"/>
    <cellStyle name="千分位 12" xfId="0"/>
    <cellStyle name="千分位 2" xfId="0"/>
    <cellStyle name="千分位 2 10" xfId="0"/>
    <cellStyle name="千分位 2 11" xfId="0"/>
    <cellStyle name="千分位 2 12" xfId="0"/>
    <cellStyle name="千分位 2 2" xfId="0"/>
    <cellStyle name="千分位 2 2 2" xfId="0"/>
    <cellStyle name="千分位 2 2 3" xfId="0"/>
    <cellStyle name="千分位 2 3" xfId="0"/>
    <cellStyle name="千分位 2 3 2" xfId="0"/>
    <cellStyle name="千分位 2 3 3" xfId="0"/>
    <cellStyle name="千分位 2 4" xfId="0"/>
    <cellStyle name="千分位 2 5" xfId="0"/>
    <cellStyle name="千分位 2 6" xfId="0"/>
    <cellStyle name="千分位 2 7" xfId="0"/>
    <cellStyle name="千分位 2 8" xfId="0"/>
    <cellStyle name="千分位 2 9" xfId="0"/>
    <cellStyle name="千分位 2_BU Allocation" xfId="0"/>
    <cellStyle name="千分位 3" xfId="0"/>
    <cellStyle name="千分位 3 10" xfId="0"/>
    <cellStyle name="千分位 3 10 2" xfId="0"/>
    <cellStyle name="千分位 3 11" xfId="0"/>
    <cellStyle name="千分位 3 11 2" xfId="0"/>
    <cellStyle name="千分位 3 12" xfId="0"/>
    <cellStyle name="千分位 3 12 2" xfId="0"/>
    <cellStyle name="千分位 3 13" xfId="0"/>
    <cellStyle name="千分位 3 2" xfId="0"/>
    <cellStyle name="千分位 3 2 2" xfId="0"/>
    <cellStyle name="千分位 3 2 2 2" xfId="0"/>
    <cellStyle name="千分位 3 2 2 3" xfId="0"/>
    <cellStyle name="千分位 3 2 3" xfId="0"/>
    <cellStyle name="千分位 3 2 4" xfId="0"/>
    <cellStyle name="千分位 3 2 5" xfId="0"/>
    <cellStyle name="千分位 3 2 6" xfId="0"/>
    <cellStyle name="千分位 3 3" xfId="0"/>
    <cellStyle name="千分位 3 3 2" xfId="0"/>
    <cellStyle name="千分位 3 3 3" xfId="0"/>
    <cellStyle name="千分位 3 4" xfId="0"/>
    <cellStyle name="千分位 3 4 2" xfId="0"/>
    <cellStyle name="千分位 3 4 3" xfId="0"/>
    <cellStyle name="千分位 3 5" xfId="0"/>
    <cellStyle name="千分位 3 6" xfId="0"/>
    <cellStyle name="千分位 3 7" xfId="0"/>
    <cellStyle name="千分位 3 7 2" xfId="0"/>
    <cellStyle name="千分位 3 7 3" xfId="0"/>
    <cellStyle name="千分位 3 8" xfId="0"/>
    <cellStyle name="千分位 3 9" xfId="0"/>
    <cellStyle name="千分位 3 9 2" xfId="0"/>
    <cellStyle name="千分位 3_BU Allocation" xfId="0"/>
    <cellStyle name="千分位 4" xfId="0"/>
    <cellStyle name="千分位 4 2" xfId="0"/>
    <cellStyle name="千分位 4 2 2" xfId="0"/>
    <cellStyle name="千分位 4 2 3" xfId="0"/>
    <cellStyle name="千分位 4 3" xfId="0"/>
    <cellStyle name="千分位 4 4" xfId="0"/>
    <cellStyle name="千分位 4 5" xfId="0"/>
    <cellStyle name="千分位 4 6" xfId="0"/>
    <cellStyle name="千分位 4 7" xfId="0"/>
    <cellStyle name="千分位 5" xfId="0"/>
    <cellStyle name="千分位 5 2" xfId="0"/>
    <cellStyle name="千分位 5 2 2" xfId="0"/>
    <cellStyle name="千分位 5 2 3" xfId="0"/>
    <cellStyle name="千分位 5 2 4" xfId="0"/>
    <cellStyle name="千分位 5 3" xfId="0"/>
    <cellStyle name="千分位 5 4" xfId="0"/>
    <cellStyle name="千分位 6" xfId="0"/>
    <cellStyle name="千分位 6 2" xfId="0"/>
    <cellStyle name="千分位 6 3" xfId="0"/>
    <cellStyle name="千分位 7" xfId="0"/>
    <cellStyle name="千分位 7 2" xfId="0"/>
    <cellStyle name="千分位 7 2 2" xfId="0"/>
    <cellStyle name="千分位 7 3" xfId="0"/>
    <cellStyle name="千分位 7 4" xfId="0"/>
    <cellStyle name="千分位 7 5" xfId="0"/>
    <cellStyle name="千分位 8" xfId="0"/>
    <cellStyle name="千分位 8 2" xfId="0"/>
    <cellStyle name="千分位 8 3" xfId="0"/>
    <cellStyle name="千分位 8 4" xfId="0"/>
    <cellStyle name="千分位 9" xfId="0"/>
    <cellStyle name="千分位 9 2" xfId="0"/>
    <cellStyle name="千分位 9 3" xfId="0"/>
    <cellStyle name="千分位[0] 2" xfId="0"/>
    <cellStyle name="合計 2" xfId="0"/>
    <cellStyle name="合計 2 2" xfId="0"/>
    <cellStyle name="合計 2 3" xfId="0"/>
    <cellStyle name="合計 3" xfId="0"/>
    <cellStyle name="壞 2" xfId="0"/>
    <cellStyle name="壞 2 2" xfId="0"/>
    <cellStyle name="壞 2 3" xfId="0"/>
    <cellStyle name="壞 3" xfId="0"/>
    <cellStyle name="壞_1" xfId="0"/>
    <cellStyle name="壞_1 2" xfId="0"/>
    <cellStyle name="壞_2011 Budget - Product Mix Summary (2)" xfId="0"/>
    <cellStyle name="壞_2011 Budget - Product Mix Summary (2) 2" xfId="0"/>
    <cellStyle name="壞_APR" xfId="0"/>
    <cellStyle name="壞_APR (2)" xfId="0"/>
    <cellStyle name="壞_APR 2" xfId="0"/>
    <cellStyle name="壞_APR 3" xfId="0"/>
    <cellStyle name="壞_APR 4" xfId="0"/>
    <cellStyle name="壞_ATP+EnRoute-detail (original)" xfId="0"/>
    <cellStyle name="壞_ATP+EnRoute-detail (original) 2" xfId="0"/>
    <cellStyle name="壞_AUG" xfId="0"/>
    <cellStyle name="壞_AUG -53" xfId="0"/>
    <cellStyle name="壞_AUG -53 2" xfId="0"/>
    <cellStyle name="壞_AUG 2" xfId="0"/>
    <cellStyle name="壞_BU Allocation" xfId="0"/>
    <cellStyle name="壞_BU Allocation 2" xfId="0"/>
    <cellStyle name="壞_BU Allocation Q1" xfId="0"/>
    <cellStyle name="壞_BU Allocation Q113" xfId="0"/>
    <cellStyle name="壞_BU Allocation Q113_1" xfId="0"/>
    <cellStyle name="壞_BU Allocation Q113_2" xfId="0"/>
    <cellStyle name="壞_BU Allocation Q1_1" xfId="0"/>
    <cellStyle name="壞_BU Allocation Q2" xfId="0"/>
    <cellStyle name="壞_BU Allocation Q2_1" xfId="0"/>
    <cellStyle name="壞_BU Allocation Q3" xfId="0"/>
    <cellStyle name="壞_BU Allocation Q3 2" xfId="0"/>
    <cellStyle name="壞_BU Allocation Q3_1" xfId="0"/>
    <cellStyle name="壞_BU Allocation Q3_1 2" xfId="0"/>
    <cellStyle name="壞_BU Allocation Q412" xfId="0"/>
    <cellStyle name="壞_BU Allocation Q412_1" xfId="0"/>
    <cellStyle name="壞_BU Allocation Q412_2" xfId="0"/>
    <cellStyle name="壞_BU Allocation_1" xfId="0"/>
    <cellStyle name="壞_BU Allocation_1 2" xfId="0"/>
    <cellStyle name="壞_BU Allocation_2" xfId="0"/>
    <cellStyle name="壞_By Region" xfId="0"/>
    <cellStyle name="壞_By Region 2" xfId="0"/>
    <cellStyle name="壞_By Region_1" xfId="0"/>
    <cellStyle name="壞_By Region_1 2" xfId="0"/>
    <cellStyle name="壞_By Region_2" xfId="0"/>
    <cellStyle name="壞_Cloud" xfId="0"/>
    <cellStyle name="壞_CORP" xfId="0"/>
    <cellStyle name="壞_CORP 2" xfId="0"/>
    <cellStyle name="壞_DCR-Inventory" xfId="0"/>
    <cellStyle name="壞_DCR-Inventory 2" xfId="0"/>
    <cellStyle name="壞_DCR-Inventory_WMR VSI" xfId="0"/>
    <cellStyle name="壞_DCR-Inventory_WMR VSI 2" xfId="0"/>
    <cellStyle name="壞_DCR-Inventory_WMR VSI 2 2" xfId="0"/>
    <cellStyle name="壞_DCR-Inventory_WMR VSI 2_13-wk VSI_Revised" xfId="0"/>
    <cellStyle name="壞_DCR-Inventory_WMR VSI 2_13-wk VSI_Revised 2" xfId="0"/>
    <cellStyle name="壞_DCR-Inventory_WMR VSI 3" xfId="0"/>
    <cellStyle name="壞_DCR-Inventory_WMR VSI 3 2" xfId="0"/>
    <cellStyle name="壞_DCR-Inventory_WMR VSI 3_13-wk VSI_Revised" xfId="0"/>
    <cellStyle name="壞_DCR-Inventory_WMR VSI 3_13-wk VSI_Revised 2" xfId="0"/>
    <cellStyle name="壞_DCR-Inventory_WMR VSI 4" xfId="0"/>
    <cellStyle name="壞_DCR-Inventory_WMR VSI 4 2" xfId="0"/>
    <cellStyle name="壞_DCR-Inventory_WMR VSI 4_13-wk VSI_Revised" xfId="0"/>
    <cellStyle name="壞_DCR-Inventory_WMR VSI 4_13-wk VSI_Revised 2" xfId="0"/>
    <cellStyle name="壞_DCR-Inventory_WMR VSI 5" xfId="0"/>
    <cellStyle name="壞_DCR-Inventory_WMR VSI 5 2" xfId="0"/>
    <cellStyle name="壞_DCR-Inventory_WMR VSI 5_13-wk VSI_Revised" xfId="0"/>
    <cellStyle name="壞_DCR-Inventory_WMR VSI 5_13-wk VSI_Revised 2" xfId="0"/>
    <cellStyle name="壞_DCR-Inventory_WMR VSI 6" xfId="0"/>
    <cellStyle name="壞_DCR-Inventory_WMR VSI 6 2" xfId="0"/>
    <cellStyle name="壞_DCR-Inventory_WMR VSI 6_13-wk VSI_Revised" xfId="0"/>
    <cellStyle name="壞_DCR-Inventory_WMR VSI 6_13-wk VSI_Revised 2" xfId="0"/>
    <cellStyle name="壞_DCR-Inventory_WMR VSI 7" xfId="0"/>
    <cellStyle name="壞_DCR-Inventory_WMR VSI 8" xfId="0"/>
    <cellStyle name="壞_DCR-Inventory_WMR VSI 9" xfId="0"/>
    <cellStyle name="壞_DCR-Inventory_WMR VSI_13-wk VSI_Revised" xfId="0"/>
    <cellStyle name="壞_DCR-Inventory_WMR VSI_13-wk VSI_Revised 2" xfId="0"/>
    <cellStyle name="壞_DCR-Inventory_WMR VSI_WMR VSI" xfId="0"/>
    <cellStyle name="壞_DCR-Inventory_WMR VSI_WMR VSI 2" xfId="0"/>
    <cellStyle name="壞_DEC" xfId="0"/>
    <cellStyle name="壞_Digital Signage" xfId="0"/>
    <cellStyle name="壞_FEB" xfId="0"/>
    <cellStyle name="壞_JAN" xfId="0"/>
    <cellStyle name="壞_JUL" xfId="0"/>
    <cellStyle name="壞_JUL 2" xfId="0"/>
    <cellStyle name="壞_JUN" xfId="0"/>
    <cellStyle name="壞_JUN (2)" xfId="0"/>
    <cellStyle name="壞_JUN (2) 2" xfId="0"/>
    <cellStyle name="壞_JUN (af audit)" xfId="0"/>
    <cellStyle name="壞_JUN (af audit) 2" xfId="0"/>
    <cellStyle name="壞_JUN 2" xfId="0"/>
    <cellStyle name="壞_JUN 3" xfId="0"/>
    <cellStyle name="壞_JUN 4" xfId="0"/>
    <cellStyle name="壞_JUN(af)" xfId="0"/>
    <cellStyle name="壞_LCDTV" xfId="0"/>
    <cellStyle name="壞_LCDTV 2" xfId="0"/>
    <cellStyle name="壞_Lighting" xfId="0"/>
    <cellStyle name="壞_MAR" xfId="0"/>
    <cellStyle name="壞_MAY" xfId="0"/>
    <cellStyle name="壞_MAY 2" xfId="0"/>
    <cellStyle name="壞_NOV" xfId="0"/>
    <cellStyle name="壞_OCT" xfId="0"/>
    <cellStyle name="壞_PC Tablet" xfId="0"/>
    <cellStyle name="壞_PC_DT" xfId="0"/>
    <cellStyle name="壞_PC_DT 2" xfId="0"/>
    <cellStyle name="壞_Q1" xfId="0"/>
    <cellStyle name="壞_Q1_1" xfId="0"/>
    <cellStyle name="壞_Q2" xfId="0"/>
    <cellStyle name="壞_Q2 2" xfId="0"/>
    <cellStyle name="壞_Q2 3" xfId="0"/>
    <cellStyle name="壞_Q2 BU Allocation" xfId="0"/>
    <cellStyle name="壞_Q2 BU Allocation 2" xfId="0"/>
    <cellStyle name="壞_Q2 BU Allocation_1" xfId="0"/>
    <cellStyle name="壞_Q2 BU Allocation_1 2" xfId="0"/>
    <cellStyle name="壞_Q2(af)" xfId="0"/>
    <cellStyle name="壞_Q2(af) 2" xfId="0"/>
    <cellStyle name="壞_Q2_1" xfId="0"/>
    <cellStyle name="壞_Q3" xfId="0"/>
    <cellStyle name="壞_Q3 (2)" xfId="0"/>
    <cellStyle name="壞_Q3 2" xfId="0"/>
    <cellStyle name="壞_Q3 3" xfId="0"/>
    <cellStyle name="壞_Q3 4" xfId="0"/>
    <cellStyle name="壞_Q3_1" xfId="0"/>
    <cellStyle name="壞_Q4" xfId="0"/>
    <cellStyle name="壞_Q4 2" xfId="0"/>
    <cellStyle name="壞_Q4_1" xfId="0"/>
    <cellStyle name="壞_RETIREMEN vsi" xfId="0"/>
    <cellStyle name="壞_RETIREMEN vsi 2" xfId="0"/>
    <cellStyle name="壞_RETIREMEN vsi_1" xfId="0"/>
    <cellStyle name="壞_RETIREMEN vsi_1 2" xfId="0"/>
    <cellStyle name="壞_Sales Eval" xfId="0"/>
    <cellStyle name="壞_Sales Eval 2" xfId="0"/>
    <cellStyle name="壞_SEP" xfId="0"/>
    <cellStyle name="壞_SEP (2)" xfId="0"/>
    <cellStyle name="壞_SEP 2" xfId="0"/>
    <cellStyle name="壞_SEP 3" xfId="0"/>
    <cellStyle name="壞_SEP 4" xfId="0"/>
    <cellStyle name="壞_SEP1" xfId="0"/>
    <cellStyle name="壞_SEP1 2" xfId="0"/>
    <cellStyle name="壞_Template" xfId="0"/>
    <cellStyle name="壞_VSE WFP 110311" xfId="0"/>
    <cellStyle name="壞_VSE WFP 110311 2" xfId="0"/>
    <cellStyle name="壞_VSE WFP 110415" xfId="0"/>
    <cellStyle name="壞_VSE WFP 110415 2" xfId="0"/>
    <cellStyle name="壞_VSI 100326" xfId="0"/>
    <cellStyle name="壞_VSI 100326 2" xfId="0"/>
    <cellStyle name="壞_VSI Inventory aging 2013-01-28" xfId="0"/>
    <cellStyle name="壞_VSI Inventory aging 2013-01-28 2" xfId="0"/>
    <cellStyle name="壞_YTD" xfId="0"/>
    <cellStyle name="壞_YTD (2)" xfId="0"/>
    <cellStyle name="壞_YTD 2" xfId="0"/>
    <cellStyle name="壞_YTD 3" xfId="0"/>
    <cellStyle name="壞_YTD 4" xfId="0"/>
    <cellStyle name="好 2" xfId="0"/>
    <cellStyle name="好 2 2" xfId="0"/>
    <cellStyle name="好 2 3" xfId="0"/>
    <cellStyle name="好 3" xfId="0"/>
    <cellStyle name="好 3 2" xfId="0"/>
    <cellStyle name="好 4" xfId="0"/>
    <cellStyle name="好_1" xfId="0"/>
    <cellStyle name="好_1 2" xfId="0"/>
    <cellStyle name="好_2011 Budget - Product Mix Summary (2)" xfId="0"/>
    <cellStyle name="好_2011 Budget - Product Mix Summary (2) 2" xfId="0"/>
    <cellStyle name="好_APR" xfId="0"/>
    <cellStyle name="好_APR (2)" xfId="0"/>
    <cellStyle name="好_APR 2" xfId="0"/>
    <cellStyle name="好_APR 3" xfId="0"/>
    <cellStyle name="好_APR 4" xfId="0"/>
    <cellStyle name="好_ATP+EnRoute-detail (original)" xfId="0"/>
    <cellStyle name="好_ATP+EnRoute-detail (original) 2" xfId="0"/>
    <cellStyle name="好_AUG" xfId="0"/>
    <cellStyle name="好_AUG -53" xfId="0"/>
    <cellStyle name="好_AUG -53 2" xfId="0"/>
    <cellStyle name="好_AUG 2" xfId="0"/>
    <cellStyle name="好_BU Allocation" xfId="0"/>
    <cellStyle name="好_BU Allocation 2" xfId="0"/>
    <cellStyle name="好_BU Allocation Q1" xfId="0"/>
    <cellStyle name="好_BU Allocation Q113" xfId="0"/>
    <cellStyle name="好_BU Allocation Q113_1" xfId="0"/>
    <cellStyle name="好_BU Allocation Q113_2" xfId="0"/>
    <cellStyle name="好_BU Allocation Q1_1" xfId="0"/>
    <cellStyle name="好_BU Allocation Q2" xfId="0"/>
    <cellStyle name="好_BU Allocation Q2_1" xfId="0"/>
    <cellStyle name="好_BU Allocation Q3" xfId="0"/>
    <cellStyle name="好_BU Allocation Q3 2" xfId="0"/>
    <cellStyle name="好_BU Allocation Q3_1" xfId="0"/>
    <cellStyle name="好_BU Allocation Q3_1 2" xfId="0"/>
    <cellStyle name="好_BU Allocation Q412" xfId="0"/>
    <cellStyle name="好_BU Allocation Q412_1" xfId="0"/>
    <cellStyle name="好_BU Allocation Q412_2" xfId="0"/>
    <cellStyle name="好_BU Allocation_1" xfId="0"/>
    <cellStyle name="好_BU Allocation_1 2" xfId="0"/>
    <cellStyle name="好_BU Allocation_2" xfId="0"/>
    <cellStyle name="好_By Region" xfId="0"/>
    <cellStyle name="好_By Region 2" xfId="0"/>
    <cellStyle name="好_By Region_1" xfId="0"/>
    <cellStyle name="好_By Region_1 2" xfId="0"/>
    <cellStyle name="好_By Region_2" xfId="0"/>
    <cellStyle name="好_Cloud" xfId="0"/>
    <cellStyle name="好_CORP" xfId="0"/>
    <cellStyle name="好_CORP 2" xfId="0"/>
    <cellStyle name="好_DCR-Inventory" xfId="0"/>
    <cellStyle name="好_DCR-Inventory 2" xfId="0"/>
    <cellStyle name="好_DCR-Inventory_WMR VSI" xfId="0"/>
    <cellStyle name="好_DCR-Inventory_WMR VSI 2" xfId="0"/>
    <cellStyle name="好_DCR-Inventory_WMR VSI 2 2" xfId="0"/>
    <cellStyle name="好_DCR-Inventory_WMR VSI 2_13-wk VSI_Revised" xfId="0"/>
    <cellStyle name="好_DCR-Inventory_WMR VSI 2_13-wk VSI_Revised 2" xfId="0"/>
    <cellStyle name="好_DCR-Inventory_WMR VSI 2_WMR VSI" xfId="0"/>
    <cellStyle name="好_DCR-Inventory_WMR VSI 2_WMR VSI 2" xfId="0"/>
    <cellStyle name="好_DCR-Inventory_WMR VSI 3" xfId="0"/>
    <cellStyle name="好_DCR-Inventory_WMR VSI 3 2" xfId="0"/>
    <cellStyle name="好_DCR-Inventory_WMR VSI 3_13-wk VSI_Revised" xfId="0"/>
    <cellStyle name="好_DCR-Inventory_WMR VSI 3_13-wk VSI_Revised 2" xfId="0"/>
    <cellStyle name="好_DCR-Inventory_WMR VSI 3_WMR VSI" xfId="0"/>
    <cellStyle name="好_DCR-Inventory_WMR VSI 3_WMR VSI 2" xfId="0"/>
    <cellStyle name="好_DCR-Inventory_WMR VSI 4" xfId="0"/>
    <cellStyle name="好_DCR-Inventory_WMR VSI 4 2" xfId="0"/>
    <cellStyle name="好_DCR-Inventory_WMR VSI 4_13-wk VSI_Revised" xfId="0"/>
    <cellStyle name="好_DCR-Inventory_WMR VSI 4_13-wk VSI_Revised 2" xfId="0"/>
    <cellStyle name="好_DCR-Inventory_WMR VSI 4_WMR VSI" xfId="0"/>
    <cellStyle name="好_DCR-Inventory_WMR VSI 4_WMR VSI 2" xfId="0"/>
    <cellStyle name="好_DCR-Inventory_WMR VSI 5" xfId="0"/>
    <cellStyle name="好_DCR-Inventory_WMR VSI 5 2" xfId="0"/>
    <cellStyle name="好_DCR-Inventory_WMR VSI 5_13-wk VSI_Revised" xfId="0"/>
    <cellStyle name="好_DCR-Inventory_WMR VSI 5_13-wk VSI_Revised 2" xfId="0"/>
    <cellStyle name="好_DCR-Inventory_WMR VSI 5_WMR VSI" xfId="0"/>
    <cellStyle name="好_DCR-Inventory_WMR VSI 5_WMR VSI 2" xfId="0"/>
    <cellStyle name="好_DCR-Inventory_WMR VSI 6" xfId="0"/>
    <cellStyle name="好_DCR-Inventory_WMR VSI 6 2" xfId="0"/>
    <cellStyle name="好_DCR-Inventory_WMR VSI 6_13-wk VSI_Revised" xfId="0"/>
    <cellStyle name="好_DCR-Inventory_WMR VSI 6_13-wk VSI_Revised 2" xfId="0"/>
    <cellStyle name="好_DCR-Inventory_WMR VSI 6_WMR VSI" xfId="0"/>
    <cellStyle name="好_DCR-Inventory_WMR VSI 6_WMR VSI 2" xfId="0"/>
    <cellStyle name="好_DCR-Inventory_WMR VSI 7" xfId="0"/>
    <cellStyle name="好_DCR-Inventory_WMR VSI 8" xfId="0"/>
    <cellStyle name="好_DCR-Inventory_WMR VSI 9" xfId="0"/>
    <cellStyle name="好_DCR-Inventory_WMR VSI_13-wk VSI_Revised" xfId="0"/>
    <cellStyle name="好_DCR-Inventory_WMR VSI_13-wk VSI_Revised 2" xfId="0"/>
    <cellStyle name="好_DCR-Inventory_WMR VSI_WMR VSI" xfId="0"/>
    <cellStyle name="好_DCR-Inventory_WMR VSI_WMR VSI 2" xfId="0"/>
    <cellStyle name="好_DEC" xfId="0"/>
    <cellStyle name="好_Digital Signage" xfId="0"/>
    <cellStyle name="好_FEB" xfId="0"/>
    <cellStyle name="好_JAN" xfId="0"/>
    <cellStyle name="好_JUL" xfId="0"/>
    <cellStyle name="好_JUL 2" xfId="0"/>
    <cellStyle name="好_JUN" xfId="0"/>
    <cellStyle name="好_JUN (2)" xfId="0"/>
    <cellStyle name="好_JUN (2) 2" xfId="0"/>
    <cellStyle name="好_JUN (af audit)" xfId="0"/>
    <cellStyle name="好_JUN (af audit) 2" xfId="0"/>
    <cellStyle name="好_JUN 2" xfId="0"/>
    <cellStyle name="好_JUN 3" xfId="0"/>
    <cellStyle name="好_JUN 4" xfId="0"/>
    <cellStyle name="好_JUN(af)" xfId="0"/>
    <cellStyle name="好_LCDTV" xfId="0"/>
    <cellStyle name="好_LCDTV 2" xfId="0"/>
    <cellStyle name="好_Lighting" xfId="0"/>
    <cellStyle name="好_MAR" xfId="0"/>
    <cellStyle name="好_MAY" xfId="0"/>
    <cellStyle name="好_MAY 2" xfId="0"/>
    <cellStyle name="好_NOV" xfId="0"/>
    <cellStyle name="好_OCT" xfId="0"/>
    <cellStyle name="好_PC Tablet" xfId="0"/>
    <cellStyle name="好_PC_DT" xfId="0"/>
    <cellStyle name="好_PC_DT 2" xfId="0"/>
    <cellStyle name="好_Q1" xfId="0"/>
    <cellStyle name="好_Q1_1" xfId="0"/>
    <cellStyle name="好_Q2" xfId="0"/>
    <cellStyle name="好_Q2 2" xfId="0"/>
    <cellStyle name="好_Q2 3" xfId="0"/>
    <cellStyle name="好_Q2 BU Allocation" xfId="0"/>
    <cellStyle name="好_Q2 BU Allocation 2" xfId="0"/>
    <cellStyle name="好_Q2 BU Allocation_1" xfId="0"/>
    <cellStyle name="好_Q2 BU Allocation_1 2" xfId="0"/>
    <cellStyle name="好_Q2(af)" xfId="0"/>
    <cellStyle name="好_Q2(af) 2" xfId="0"/>
    <cellStyle name="好_Q2_1" xfId="0"/>
    <cellStyle name="好_Q3" xfId="0"/>
    <cellStyle name="好_Q3 (2)" xfId="0"/>
    <cellStyle name="好_Q3 2" xfId="0"/>
    <cellStyle name="好_Q3 3" xfId="0"/>
    <cellStyle name="好_Q3 4" xfId="0"/>
    <cellStyle name="好_Q3_1" xfId="0"/>
    <cellStyle name="好_Q4" xfId="0"/>
    <cellStyle name="好_Q4 2" xfId="0"/>
    <cellStyle name="好_Q4_1" xfId="0"/>
    <cellStyle name="好_RETIREMEN vsi" xfId="0"/>
    <cellStyle name="好_RETIREMEN vsi 2" xfId="0"/>
    <cellStyle name="好_RETIREMEN vsi_1" xfId="0"/>
    <cellStyle name="好_RETIREMEN vsi_1 2" xfId="0"/>
    <cellStyle name="好_Sales Eval" xfId="0"/>
    <cellStyle name="好_Sales Eval 2" xfId="0"/>
    <cellStyle name="好_SEP" xfId="0"/>
    <cellStyle name="好_SEP (2)" xfId="0"/>
    <cellStyle name="好_SEP 2" xfId="0"/>
    <cellStyle name="好_SEP 3" xfId="0"/>
    <cellStyle name="好_SEP 4" xfId="0"/>
    <cellStyle name="好_SEP1" xfId="0"/>
    <cellStyle name="好_SEP1 2" xfId="0"/>
    <cellStyle name="好_Template" xfId="0"/>
    <cellStyle name="好_VSE WFP 110311" xfId="0"/>
    <cellStyle name="好_VSE WFP 110311 2" xfId="0"/>
    <cellStyle name="好_VSE WFP 110415" xfId="0"/>
    <cellStyle name="好_VSE WFP 110415 2" xfId="0"/>
    <cellStyle name="好_VSI 100326" xfId="0"/>
    <cellStyle name="好_VSI 100326 2" xfId="0"/>
    <cellStyle name="好_VSI Inventory aging 2013-01-28" xfId="0"/>
    <cellStyle name="好_VSI Inventory aging 2013-01-28 2" xfId="0"/>
    <cellStyle name="好_YTD" xfId="0"/>
    <cellStyle name="好_YTD (2)" xfId="0"/>
    <cellStyle name="好_YTD 2" xfId="0"/>
    <cellStyle name="好_YTD 3" xfId="0"/>
    <cellStyle name="好_YTD 4" xfId="0"/>
    <cellStyle name="差" xfId="0"/>
    <cellStyle name="差 2" xfId="0"/>
    <cellStyle name="常?_Amtran" xfId="0"/>
    <cellStyle name="常规 2" xfId="0"/>
    <cellStyle name="常规_06-last 3 month" xfId="0"/>
    <cellStyle name="强调文字颜色 1" xfId="0"/>
    <cellStyle name="强调文字颜色 1 2" xfId="0"/>
    <cellStyle name="强调文字颜色 2" xfId="0"/>
    <cellStyle name="强调文字颜色 2 2" xfId="0"/>
    <cellStyle name="强调文字颜色 3" xfId="0"/>
    <cellStyle name="强调文字颜色 3 2" xfId="0"/>
    <cellStyle name="强调文字颜色 4" xfId="0"/>
    <cellStyle name="强调文字颜色 4 2" xfId="0"/>
    <cellStyle name="强调文字颜色 5" xfId="0"/>
    <cellStyle name="强调文字颜色 5 2" xfId="0"/>
    <cellStyle name="强调文字颜色 6" xfId="0"/>
    <cellStyle name="强调文字颜色 6 2" xfId="0"/>
    <cellStyle name="标题" xfId="0"/>
    <cellStyle name="标题 1" xfId="0"/>
    <cellStyle name="标题 1 2" xfId="0"/>
    <cellStyle name="标题 2" xfId="0"/>
    <cellStyle name="标题 2 2" xfId="0"/>
    <cellStyle name="标题 3" xfId="0"/>
    <cellStyle name="标题 3 2" xfId="0"/>
    <cellStyle name="标题 3 3" xfId="0"/>
    <cellStyle name="标题 4" xfId="0"/>
    <cellStyle name="标题 4 2" xfId="0"/>
    <cellStyle name="标题 5" xfId="0"/>
    <cellStyle name="样式 1" xfId="0"/>
    <cellStyle name="样式 1 2" xfId="0"/>
    <cellStyle name="桁?切? [0.00]_Book1 ??? 1" xfId="0"/>
    <cellStyle name="桁?切?_Book1 ??? 1" xfId="0"/>
    <cellStyle name="桁区切り [0.00]_Book1 グラフ 1" xfId="0"/>
    <cellStyle name="桁区切り_Book1 グラフ 1" xfId="0"/>
    <cellStyle name="检查单元格" xfId="0"/>
    <cellStyle name="检查单元格 2" xfId="0"/>
    <cellStyle name="標準_00_ mktbudget" xfId="0"/>
    <cellStyle name="標題 1 2" xfId="0"/>
    <cellStyle name="標題 1 2 2" xfId="0"/>
    <cellStyle name="標題 1 2 3" xfId="0"/>
    <cellStyle name="標題 1 3" xfId="0"/>
    <cellStyle name="標題 10" xfId="0"/>
    <cellStyle name="標題 11" xfId="0"/>
    <cellStyle name="標題 12" xfId="0"/>
    <cellStyle name="標題 13" xfId="0"/>
    <cellStyle name="標題 14" xfId="0"/>
    <cellStyle name="標題 15" xfId="0"/>
    <cellStyle name="標題 16" xfId="0"/>
    <cellStyle name="標題 2 2" xfId="0"/>
    <cellStyle name="標題 2 2 2" xfId="0"/>
    <cellStyle name="標題 2 2 3" xfId="0"/>
    <cellStyle name="標題 2 3" xfId="0"/>
    <cellStyle name="標題 3 2" xfId="0"/>
    <cellStyle name="標題 3 2 2" xfId="0"/>
    <cellStyle name="標題 3 2 2 2" xfId="0"/>
    <cellStyle name="標題 3 2 2 3" xfId="0"/>
    <cellStyle name="標題 3 2 2 4" xfId="0"/>
    <cellStyle name="標題 3 2 3" xfId="0"/>
    <cellStyle name="標題 3 2 3 2" xfId="0"/>
    <cellStyle name="標題 3 2 3 3" xfId="0"/>
    <cellStyle name="標題 3 2 4" xfId="0"/>
    <cellStyle name="標題 3 2 5" xfId="0"/>
    <cellStyle name="標題 3 2 6" xfId="0"/>
    <cellStyle name="標題 3 2 7" xfId="0"/>
    <cellStyle name="標題 3 3" xfId="0"/>
    <cellStyle name="標題 4 2" xfId="0"/>
    <cellStyle name="標題 4 2 2" xfId="0"/>
    <cellStyle name="標題 4 2 3" xfId="0"/>
    <cellStyle name="標題 4 3" xfId="0"/>
    <cellStyle name="標題 4 4" xfId="0"/>
    <cellStyle name="標題 5" xfId="0"/>
    <cellStyle name="標題 5 2" xfId="0"/>
    <cellStyle name="標題 5 3" xfId="0"/>
    <cellStyle name="標題 6" xfId="0"/>
    <cellStyle name="標題 7" xfId="0"/>
    <cellStyle name="標題 8" xfId="0"/>
    <cellStyle name="標題 9" xfId="0"/>
    <cellStyle name="樣式 1" xfId="0"/>
    <cellStyle name="樣式 1 2" xfId="0"/>
    <cellStyle name="樣式 1 2 2" xfId="0"/>
    <cellStyle name="樣式 1 2 3" xfId="0"/>
    <cellStyle name="樣式 1 3" xfId="0"/>
    <cellStyle name="樣式 1 4" xfId="0"/>
    <cellStyle name="檢查儲存格 2" xfId="0"/>
    <cellStyle name="檢查儲存格 2 2" xfId="0"/>
    <cellStyle name="檢查儲存格 2 2 2" xfId="0"/>
    <cellStyle name="檢查儲存格 2 3" xfId="0"/>
    <cellStyle name="檢查儲存格 2 4" xfId="0"/>
    <cellStyle name="檢查儲存格 2 5" xfId="0"/>
    <cellStyle name="檢查儲存格 2 6" xfId="0"/>
    <cellStyle name="檢查儲存格 2 7" xfId="0"/>
    <cellStyle name="檢查儲存格 3" xfId="0"/>
    <cellStyle name="汇总" xfId="0"/>
    <cellStyle name="汇总 2" xfId="0"/>
    <cellStyle name="注释" xfId="0"/>
    <cellStyle name="百分比 10" xfId="0"/>
    <cellStyle name="百分比 10 2" xfId="0"/>
    <cellStyle name="百分比 11" xfId="0"/>
    <cellStyle name="百分比 12" xfId="0"/>
    <cellStyle name="百分比 2" xfId="0"/>
    <cellStyle name="百分比 2 2" xfId="0"/>
    <cellStyle name="百分比 2 2 2" xfId="0"/>
    <cellStyle name="百分比 2 2 2 2" xfId="0"/>
    <cellStyle name="百分比 2 3" xfId="0"/>
    <cellStyle name="百分比 2 3 2" xfId="0"/>
    <cellStyle name="百分比 2 4" xfId="0"/>
    <cellStyle name="百分比 2 4 2" xfId="0"/>
    <cellStyle name="百分比 3" xfId="0"/>
    <cellStyle name="百分比 3 2" xfId="0"/>
    <cellStyle name="百分比 3 3" xfId="0"/>
    <cellStyle name="百分比 3 3 2" xfId="0"/>
    <cellStyle name="百分比 3 3 3" xfId="0"/>
    <cellStyle name="百分比 3 4" xfId="0"/>
    <cellStyle name="百分比 3 5" xfId="0"/>
    <cellStyle name="百分比 4" xfId="0"/>
    <cellStyle name="百分比 4 2" xfId="0"/>
    <cellStyle name="百分比 4 3" xfId="0"/>
    <cellStyle name="百分比 5" xfId="0"/>
    <cellStyle name="百分比 5 2" xfId="0"/>
    <cellStyle name="百分比 5 3" xfId="0"/>
    <cellStyle name="百分比 6" xfId="0"/>
    <cellStyle name="百分比 6 2" xfId="0"/>
    <cellStyle name="百分比 6 3" xfId="0"/>
    <cellStyle name="百分比 7" xfId="0"/>
    <cellStyle name="百分比 7 2" xfId="0"/>
    <cellStyle name="百分比 8" xfId="0"/>
    <cellStyle name="百分比 8 2" xfId="0"/>
    <cellStyle name="百分比 9" xfId="0"/>
    <cellStyle name="百分比 9 2" xfId="0"/>
    <cellStyle name="解释性文本" xfId="0"/>
    <cellStyle name="解释性文本 2" xfId="0"/>
    <cellStyle name="計算方式 2" xfId="0"/>
    <cellStyle name="計算方式 2 2" xfId="0"/>
    <cellStyle name="計算方式 2 3" xfId="0"/>
    <cellStyle name="計算方式 3" xfId="0"/>
    <cellStyle name="說明文字 2" xfId="0"/>
    <cellStyle name="說明文字 2 2" xfId="0"/>
    <cellStyle name="說明文字 2 3" xfId="0"/>
    <cellStyle name="說明文字 3" xfId="0"/>
    <cellStyle name="說明文字 4" xfId="0"/>
    <cellStyle name="警告文字 2" xfId="0"/>
    <cellStyle name="警告文字 2 2" xfId="0"/>
    <cellStyle name="警告文字 2 3" xfId="0"/>
    <cellStyle name="警告文字 3" xfId="0"/>
    <cellStyle name="警告文本" xfId="0"/>
    <cellStyle name="警告文本 2" xfId="0"/>
    <cellStyle name="计算" xfId="0"/>
    <cellStyle name="计算 2" xfId="0"/>
    <cellStyle name="貨幣 2" xfId="0"/>
    <cellStyle name="貨幣 2 2" xfId="0"/>
    <cellStyle name="貨幣 2 3" xfId="0"/>
    <cellStyle name="貨幣 2 4" xfId="0"/>
    <cellStyle name="貨幣 2 5" xfId="0"/>
    <cellStyle name="貨幣 3" xfId="0"/>
    <cellStyle name="貨幣 3 2" xfId="0"/>
    <cellStyle name="貨幣 3 3" xfId="0"/>
    <cellStyle name="貨幣 3 4" xfId="0"/>
    <cellStyle name="貨幣 4" xfId="0"/>
    <cellStyle name="輔色1 2" xfId="0"/>
    <cellStyle name="輔色1 2 2" xfId="0"/>
    <cellStyle name="輔色1 2 3" xfId="0"/>
    <cellStyle name="輔色1 3" xfId="0"/>
    <cellStyle name="輔色2 2" xfId="0"/>
    <cellStyle name="輔色2 2 2" xfId="0"/>
    <cellStyle name="輔色2 2 3" xfId="0"/>
    <cellStyle name="輔色2 3" xfId="0"/>
    <cellStyle name="輔色3 2" xfId="0"/>
    <cellStyle name="輔色3 2 2" xfId="0"/>
    <cellStyle name="輔色3 2 3" xfId="0"/>
    <cellStyle name="輔色3 3" xfId="0"/>
    <cellStyle name="輔色4 2" xfId="0"/>
    <cellStyle name="輔色4 2 2" xfId="0"/>
    <cellStyle name="輔色4 2 3" xfId="0"/>
    <cellStyle name="輔色4 3" xfId="0"/>
    <cellStyle name="輔色5 2" xfId="0"/>
    <cellStyle name="輔色5 2 2" xfId="0"/>
    <cellStyle name="輔色5 2 3" xfId="0"/>
    <cellStyle name="輔色5 3" xfId="0"/>
    <cellStyle name="輔色6 2" xfId="0"/>
    <cellStyle name="輔色6 2 2" xfId="0"/>
    <cellStyle name="輔色6 2 3" xfId="0"/>
    <cellStyle name="輔色6 3" xfId="0"/>
    <cellStyle name="輸入 2" xfId="0"/>
    <cellStyle name="輸入 2 2" xfId="0"/>
    <cellStyle name="輸入 2 3" xfId="0"/>
    <cellStyle name="輸入 3" xfId="0"/>
    <cellStyle name="輸出 2" xfId="0"/>
    <cellStyle name="輸出 2 2" xfId="0"/>
    <cellStyle name="輸出 2 3" xfId="0"/>
    <cellStyle name="輸出 3" xfId="0"/>
    <cellStyle name="输入" xfId="0"/>
    <cellStyle name="输入 2" xfId="0"/>
    <cellStyle name="输出" xfId="0"/>
    <cellStyle name="输出 2" xfId="0"/>
    <cellStyle name="适中" xfId="0"/>
    <cellStyle name="适中 2" xfId="0"/>
    <cellStyle name="通貨 [0.00]_Book1 ??? 1" xfId="0"/>
    <cellStyle name="通貨_Book1 ??? 1" xfId="0"/>
    <cellStyle name="連結的儲存格 2" xfId="0"/>
    <cellStyle name="連結的儲存格 2 2" xfId="0"/>
    <cellStyle name="連結的儲存格 2 2 2" xfId="0"/>
    <cellStyle name="連結的儲存格 2 3" xfId="0"/>
    <cellStyle name="連結的儲存格 3" xfId="0"/>
    <cellStyle name="链接单元格" xfId="0"/>
    <cellStyle name="链接单元格 2" xfId="0"/>
    <cellStyle name="隨後的超連結_DELTA-CRT" xfId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DDD"/>
      <rgbColor rgb="FF808080"/>
      <rgbColor rgb="FFDBEEF4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EF3"/>
      <rgbColor rgb="FFCCFFCC"/>
      <rgbColor rgb="FFEBF1D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517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Pr filterMode="false">
    <pageSetUpPr fitToPage="false"/>
  </sheetPr>
  <dimension ref="B1:AR11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P15" activeCellId="0" sqref="P15"/>
    </sheetView>
  </sheetViews>
  <sheetFormatPr defaultColWidth="9.484375" defaultRowHeight="12.8" zeroHeight="false" outlineLevelRow="0" outlineLevelCol="0"/>
  <sheetData>
    <row r="1" customFormat="false" ht="15" hidden="false" customHeight="false" outlineLevel="0" collapsed="false">
      <c r="B1" s="1"/>
    </row>
    <row r="2" customFormat="false" ht="15" hidden="false" customHeight="false" outlineLevel="0" collapsed="false">
      <c r="B2" s="2" t="s">
        <v>0</v>
      </c>
      <c r="Q2" s="2" t="s">
        <v>1</v>
      </c>
      <c r="AF2" s="2" t="s">
        <v>2</v>
      </c>
    </row>
    <row r="3" customFormat="false" ht="29.85" hidden="false" customHeight="false" outlineLevel="0" collapsed="false">
      <c r="B3" s="3" t="s">
        <v>3</v>
      </c>
      <c r="C3" s="4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6" t="s">
        <v>15</v>
      </c>
      <c r="Q3" s="3" t="s">
        <v>3</v>
      </c>
      <c r="R3" s="4" t="s">
        <v>4</v>
      </c>
      <c r="S3" s="5" t="s">
        <v>5</v>
      </c>
      <c r="T3" s="5" t="s">
        <v>6</v>
      </c>
      <c r="U3" s="5" t="s">
        <v>7</v>
      </c>
      <c r="V3" s="5" t="s">
        <v>8</v>
      </c>
      <c r="W3" s="5" t="s">
        <v>9</v>
      </c>
      <c r="X3" s="5" t="s">
        <v>10</v>
      </c>
      <c r="Y3" s="5" t="s">
        <v>11</v>
      </c>
      <c r="Z3" s="5" t="s">
        <v>12</v>
      </c>
      <c r="AA3" s="5" t="s">
        <v>13</v>
      </c>
      <c r="AB3" s="5" t="s">
        <v>14</v>
      </c>
      <c r="AC3" s="6" t="s">
        <v>15</v>
      </c>
      <c r="AF3" s="3" t="s">
        <v>3</v>
      </c>
      <c r="AG3" s="4" t="s">
        <v>4</v>
      </c>
      <c r="AH3" s="5" t="s">
        <v>5</v>
      </c>
      <c r="AI3" s="5" t="s">
        <v>6</v>
      </c>
      <c r="AJ3" s="5" t="s">
        <v>7</v>
      </c>
      <c r="AK3" s="5" t="s">
        <v>8</v>
      </c>
      <c r="AL3" s="5" t="s">
        <v>9</v>
      </c>
      <c r="AM3" s="5" t="s">
        <v>10</v>
      </c>
      <c r="AN3" s="5" t="s">
        <v>11</v>
      </c>
      <c r="AO3" s="5" t="s">
        <v>12</v>
      </c>
      <c r="AP3" s="5" t="s">
        <v>13</v>
      </c>
      <c r="AQ3" s="5" t="s">
        <v>14</v>
      </c>
      <c r="AR3" s="6" t="s">
        <v>15</v>
      </c>
    </row>
    <row r="4" customFormat="false" ht="15.6" hidden="false" customHeight="false" outlineLevel="0" collapsed="false">
      <c r="B4" s="7" t="s">
        <v>16</v>
      </c>
      <c r="C4" s="8" t="n">
        <v>101983.5217262535</v>
      </c>
      <c r="D4" s="8" t="n">
        <v>1025.1675133620174</v>
      </c>
      <c r="E4" s="8" t="n">
        <v>157835.81519643182</v>
      </c>
      <c r="F4" s="8" t="n">
        <v>8103.554996719687</v>
      </c>
      <c r="G4" s="8" t="n">
        <v>33586.24621759528</v>
      </c>
      <c r="H4" s="8" t="n">
        <v>2304.2108611524764</v>
      </c>
      <c r="I4" s="8" t="n">
        <v>90693.94033782875</v>
      </c>
      <c r="J4" s="8" t="n">
        <v>16221.057270728523</v>
      </c>
      <c r="K4" s="8" t="n">
        <v>153707.91948612593</v>
      </c>
      <c r="L4" s="8" t="n">
        <v>13990.859234430078</v>
      </c>
      <c r="M4" s="8" t="n">
        <v>26889.993893410465</v>
      </c>
      <c r="N4" s="9" t="n">
        <v>2448.1805050660314</v>
      </c>
      <c r="Q4" s="7" t="s">
        <v>16</v>
      </c>
      <c r="R4" s="8" t="n">
        <v>73516.51590922447</v>
      </c>
      <c r="S4" s="8" t="n">
        <v>7370.050965742457</v>
      </c>
      <c r="T4" s="8" t="n">
        <v>60258.5316662878</v>
      </c>
      <c r="U4" s="8" t="n">
        <v>14804.069219640069</v>
      </c>
      <c r="V4" s="8" t="n">
        <v>82103.54928519146</v>
      </c>
      <c r="W4" s="8" t="n">
        <v>10847.615941978334</v>
      </c>
      <c r="X4" s="8" t="n">
        <v>24996.181048513503</v>
      </c>
      <c r="Y4" s="8" t="n">
        <v>14016.178399449504</v>
      </c>
      <c r="Z4" s="8" t="n">
        <v>30289.908617080015</v>
      </c>
      <c r="AA4" s="8" t="n">
        <v>8971.304288572344</v>
      </c>
      <c r="AB4" s="8" t="n">
        <v>81609.4639162257</v>
      </c>
      <c r="AC4" s="9" t="n">
        <v>11554.119470957328</v>
      </c>
      <c r="AF4" s="7" t="s">
        <v>16</v>
      </c>
      <c r="AG4" s="8" t="n">
        <v>67682.7669725307</v>
      </c>
      <c r="AH4" s="8" t="n">
        <v>3938.693898420332</v>
      </c>
      <c r="AI4" s="8" t="n">
        <v>185362.10668531596</v>
      </c>
      <c r="AJ4" s="8" t="n">
        <v>3398.8610399831755</v>
      </c>
      <c r="AK4" s="8" t="n">
        <v>104701.48665425243</v>
      </c>
      <c r="AL4" s="8" t="n">
        <v>43653.23792755448</v>
      </c>
      <c r="AM4" s="8" t="n">
        <v>9379.58837014231</v>
      </c>
      <c r="AN4" s="8" t="n">
        <v>15948.665464400994</v>
      </c>
      <c r="AO4" s="8" t="n">
        <v>210857.89187738413</v>
      </c>
      <c r="AP4" s="8" t="n">
        <v>5739.833099485201</v>
      </c>
      <c r="AQ4" s="8" t="n">
        <v>91812.1141733133</v>
      </c>
      <c r="AR4" s="9" t="n">
        <v>361.8652810245121</v>
      </c>
    </row>
    <row r="5" customFormat="false" ht="15.6" hidden="false" customHeight="false" outlineLevel="0" collapsed="false">
      <c r="B5" s="10" t="s">
        <v>17</v>
      </c>
      <c r="C5" s="8" t="n">
        <v>43886.22766309811</v>
      </c>
      <c r="D5" s="8" t="n">
        <v>40946.78330664472</v>
      </c>
      <c r="E5" s="8" t="n">
        <v>112165.01932210701</v>
      </c>
      <c r="F5" s="8" t="n">
        <v>102465.31263617374</v>
      </c>
      <c r="G5" s="8" t="n">
        <v>125315.25101419094</v>
      </c>
      <c r="H5" s="8" t="n">
        <v>312123.8979556236</v>
      </c>
      <c r="I5" s="8" t="n">
        <v>127989.06000220793</v>
      </c>
      <c r="J5" s="8" t="n">
        <v>97053.1175778089</v>
      </c>
      <c r="K5" s="8" t="n">
        <v>203680.5576677184</v>
      </c>
      <c r="L5" s="8" t="n">
        <v>161129.26616696283</v>
      </c>
      <c r="M5" s="8" t="n">
        <v>377582.24053372146</v>
      </c>
      <c r="N5" s="11" t="n">
        <v>131372.44175370203</v>
      </c>
      <c r="Q5" s="10" t="s">
        <v>17</v>
      </c>
      <c r="R5" s="8" t="n">
        <v>13496.533082627711</v>
      </c>
      <c r="S5" s="8" t="n">
        <v>20100.431598446026</v>
      </c>
      <c r="T5" s="8" t="n">
        <v>176757.80480483844</v>
      </c>
      <c r="U5" s="8" t="n">
        <v>33934.288616719095</v>
      </c>
      <c r="V5" s="8" t="n">
        <v>61129.86640967672</v>
      </c>
      <c r="W5" s="8" t="n">
        <v>699647.0151404422</v>
      </c>
      <c r="X5" s="8" t="n">
        <v>51873.85231292342</v>
      </c>
      <c r="Y5" s="8" t="n">
        <v>93176.37530831627</v>
      </c>
      <c r="Z5" s="8" t="n">
        <v>265163.39837388956</v>
      </c>
      <c r="AA5" s="8" t="n">
        <v>15774.925527276257</v>
      </c>
      <c r="AB5" s="8" t="n">
        <v>19476.608301255255</v>
      </c>
      <c r="AC5" s="11" t="n">
        <v>25730.780885559023</v>
      </c>
      <c r="AF5" s="10" t="s">
        <v>17</v>
      </c>
      <c r="AG5" s="8" t="n">
        <v>48296.98720458284</v>
      </c>
      <c r="AH5" s="8" t="n">
        <v>39330.693275956175</v>
      </c>
      <c r="AI5" s="8" t="n">
        <v>115155.03226737573</v>
      </c>
      <c r="AJ5" s="8" t="n">
        <v>36506.45560911818</v>
      </c>
      <c r="AK5" s="8" t="n">
        <v>298875.45244603016</v>
      </c>
      <c r="AL5" s="8" t="n">
        <v>290696.18971278274</v>
      </c>
      <c r="AM5" s="8" t="n">
        <v>43144.768391773076</v>
      </c>
      <c r="AN5" s="8" t="n">
        <v>136073.7083687075</v>
      </c>
      <c r="AO5" s="8" t="n">
        <v>146308.1858553501</v>
      </c>
      <c r="AP5" s="8" t="n">
        <v>104704.43063001738</v>
      </c>
      <c r="AQ5" s="8" t="n">
        <v>149212.48762804922</v>
      </c>
      <c r="AR5" s="11" t="n">
        <v>74635.47473241689</v>
      </c>
    </row>
    <row r="6" customFormat="false" ht="15.6" hidden="false" customHeight="false" outlineLevel="0" collapsed="false">
      <c r="B6" s="10" t="s">
        <v>18</v>
      </c>
      <c r="C6" s="8" t="n">
        <v>217318.70257595947</v>
      </c>
      <c r="D6" s="8" t="n">
        <v>0.0</v>
      </c>
      <c r="E6" s="8" t="n">
        <v>482675.6001267416</v>
      </c>
      <c r="F6" s="8" t="n">
        <v>0.0</v>
      </c>
      <c r="G6" s="8" t="n">
        <v>162618.0256190511</v>
      </c>
      <c r="H6" s="8" t="n">
        <v>79216.58159803908</v>
      </c>
      <c r="I6" s="8" t="n">
        <v>24052.91630992286</v>
      </c>
      <c r="J6" s="8" t="n">
        <v>96594.17717498523</v>
      </c>
      <c r="K6" s="8" t="n">
        <v>66405.15149530936</v>
      </c>
      <c r="L6" s="8" t="n">
        <v>85984.75627408961</v>
      </c>
      <c r="M6" s="8" t="n">
        <v>498247.7068616055</v>
      </c>
      <c r="N6" s="11" t="n">
        <v>85242.79579775022</v>
      </c>
      <c r="Q6" s="10" t="s">
        <v>18</v>
      </c>
      <c r="R6" s="8" t="n">
        <v>390795.1316073705</v>
      </c>
      <c r="S6" s="8" t="n">
        <v>0.0</v>
      </c>
      <c r="T6" s="8" t="n">
        <v>503043.05153747</v>
      </c>
      <c r="U6" s="8" t="n">
        <v>0.0</v>
      </c>
      <c r="V6" s="8" t="n">
        <v>62618.615885282015</v>
      </c>
      <c r="W6" s="8" t="n">
        <v>23225.209499815246</v>
      </c>
      <c r="X6" s="8" t="n">
        <v>236814.47579612344</v>
      </c>
      <c r="Y6" s="8" t="n">
        <v>26740.358902143107</v>
      </c>
      <c r="Z6" s="8" t="n">
        <v>315119.80332463706</v>
      </c>
      <c r="AA6" s="8" t="n">
        <v>63478.3728743145</v>
      </c>
      <c r="AB6" s="8" t="n">
        <v>435913.669268233</v>
      </c>
      <c r="AC6" s="11" t="n">
        <v>73824.0580699654</v>
      </c>
      <c r="AF6" s="10" t="s">
        <v>18</v>
      </c>
      <c r="AG6" s="8" t="n">
        <v>541616.4097423168</v>
      </c>
      <c r="AH6" s="8" t="n">
        <v>0.0</v>
      </c>
      <c r="AI6" s="8" t="n">
        <v>196666.2656898898</v>
      </c>
      <c r="AJ6" s="8" t="n">
        <v>0.0</v>
      </c>
      <c r="AK6" s="8" t="n">
        <v>67514.81464330226</v>
      </c>
      <c r="AL6" s="8" t="n">
        <v>93953.08037716508</v>
      </c>
      <c r="AM6" s="8" t="n">
        <v>237726.35868024302</v>
      </c>
      <c r="AN6" s="8" t="n">
        <v>48328.83179220755</v>
      </c>
      <c r="AO6" s="8" t="n">
        <v>345356.78511870105</v>
      </c>
      <c r="AP6" s="8" t="n">
        <v>45093.347755807285</v>
      </c>
      <c r="AQ6" s="8" t="n">
        <v>374956.2996744643</v>
      </c>
      <c r="AR6" s="11" t="n">
        <v>80953.16908114373</v>
      </c>
    </row>
    <row r="7" customFormat="false" ht="15.6" hidden="false" customHeight="false" outlineLevel="0" collapsed="false">
      <c r="B7" s="10" t="s">
        <v>19</v>
      </c>
      <c r="C7" s="8" t="n">
        <v>738663.6274579178</v>
      </c>
      <c r="D7" s="8" t="n">
        <v>166440.55809403057</v>
      </c>
      <c r="E7" s="8" t="n">
        <v>110062.46982982355</v>
      </c>
      <c r="F7" s="8" t="n">
        <v>698457.6800459378</v>
      </c>
      <c r="G7" s="8" t="n">
        <v>135474.84183602544</v>
      </c>
      <c r="H7" s="8" t="n">
        <v>325414.39451490866</v>
      </c>
      <c r="I7" s="8" t="n">
        <v>141309.16132083474</v>
      </c>
      <c r="J7" s="8" t="n">
        <v>43514.50744154227</v>
      </c>
      <c r="K7" s="8" t="n">
        <v>160735.26109239238</v>
      </c>
      <c r="L7" s="8" t="n">
        <v>79316.35531854346</v>
      </c>
      <c r="M7" s="8" t="n">
        <v>143465.2792849973</v>
      </c>
      <c r="N7" s="11" t="n">
        <v>247494.55208524197</v>
      </c>
      <c r="Q7" s="10" t="s">
        <v>19</v>
      </c>
      <c r="R7" s="8" t="n">
        <v>724807.4908412317</v>
      </c>
      <c r="S7" s="8" t="n">
        <v>319110.6427142658</v>
      </c>
      <c r="T7" s="8" t="n">
        <v>11409.665415732434</v>
      </c>
      <c r="U7" s="8" t="n">
        <v>141538.12440879026</v>
      </c>
      <c r="V7" s="8" t="n">
        <v>144145.84188276195</v>
      </c>
      <c r="W7" s="8" t="n">
        <v>336649.3563753212</v>
      </c>
      <c r="X7" s="8" t="n">
        <v>27601.012401350406</v>
      </c>
      <c r="Y7" s="8" t="n">
        <v>80295.69298217756</v>
      </c>
      <c r="Z7" s="8" t="n">
        <v>285452.84631775605</v>
      </c>
      <c r="AA7" s="8" t="n">
        <v>35171.648713766306</v>
      </c>
      <c r="AB7" s="8" t="n">
        <v>64820.475760215995</v>
      </c>
      <c r="AC7" s="11" t="n">
        <v>305413.2071121838</v>
      </c>
      <c r="AF7" s="10" t="s">
        <v>19</v>
      </c>
      <c r="AG7" s="8" t="n">
        <v>528303.5201906835</v>
      </c>
      <c r="AH7" s="8" t="n">
        <v>614856.9044160158</v>
      </c>
      <c r="AI7" s="8" t="n">
        <v>61773.728723529566</v>
      </c>
      <c r="AJ7" s="8" t="n">
        <v>717692.3673041902</v>
      </c>
      <c r="AK7" s="8" t="n">
        <v>136661.68146582376</v>
      </c>
      <c r="AL7" s="8" t="n">
        <v>102759.42182257965</v>
      </c>
      <c r="AM7" s="8" t="n">
        <v>320047.6407093433</v>
      </c>
      <c r="AN7" s="8" t="n">
        <v>168202.3296228905</v>
      </c>
      <c r="AO7" s="8" t="n">
        <v>234709.85277444567</v>
      </c>
      <c r="AP7" s="8" t="n">
        <v>86791.60056010484</v>
      </c>
      <c r="AQ7" s="8" t="n">
        <v>26506.434964744098</v>
      </c>
      <c r="AR7" s="11" t="n">
        <v>171296.87753948706</v>
      </c>
    </row>
    <row r="8" customFormat="false" ht="15.6" hidden="false" customHeight="false" outlineLevel="0" collapsed="false">
      <c r="B8" s="7" t="s">
        <v>20</v>
      </c>
      <c r="C8" s="8" t="n">
        <v>7033.065163163094</v>
      </c>
      <c r="D8" s="8" t="n">
        <v>85160.57750012577</v>
      </c>
      <c r="E8" s="8" t="n">
        <v>142791.9562252567</v>
      </c>
      <c r="F8" s="8" t="n">
        <v>22791.015223108632</v>
      </c>
      <c r="G8" s="8" t="n">
        <v>96438.6853135219</v>
      </c>
      <c r="H8" s="8" t="n">
        <v>74577.89965057313</v>
      </c>
      <c r="I8" s="8" t="n">
        <v>3822.6765293328153</v>
      </c>
      <c r="J8" s="8" t="n">
        <v>47047.77025860279</v>
      </c>
      <c r="K8" s="8" t="n">
        <v>101105.86767172933</v>
      </c>
      <c r="L8" s="8" t="n">
        <v>24485.540073578362</v>
      </c>
      <c r="M8" s="8" t="n">
        <v>38248.74657247023</v>
      </c>
      <c r="N8" s="11" t="n">
        <v>51612.159640865684</v>
      </c>
      <c r="Q8" s="7" t="s">
        <v>20</v>
      </c>
      <c r="R8" s="8" t="n">
        <v>37044.90825534144</v>
      </c>
      <c r="S8" s="8" t="n">
        <v>44614.35224990019</v>
      </c>
      <c r="T8" s="8" t="n">
        <v>91054.23283715823</v>
      </c>
      <c r="U8" s="8" t="n">
        <v>26077.757172429352</v>
      </c>
      <c r="V8" s="8" t="n">
        <v>49033.0068914083</v>
      </c>
      <c r="W8" s="8" t="n">
        <v>110102.54550444375</v>
      </c>
      <c r="X8" s="8" t="n">
        <v>62051.745093506164</v>
      </c>
      <c r="Y8" s="8" t="n">
        <v>10233.169267460651</v>
      </c>
      <c r="Z8" s="8" t="n">
        <v>72178.0452623052</v>
      </c>
      <c r="AA8" s="8" t="n">
        <v>75736.08811433213</v>
      </c>
      <c r="AB8" s="8" t="n">
        <v>63414.50447153765</v>
      </c>
      <c r="AC8" s="11" t="n">
        <v>22778.556407876356</v>
      </c>
      <c r="AF8" s="7" t="s">
        <v>20</v>
      </c>
      <c r="AG8" s="8" t="n">
        <v>27902.21985912936</v>
      </c>
      <c r="AH8" s="8" t="n">
        <v>104843.34660511064</v>
      </c>
      <c r="AI8" s="8" t="n">
        <v>94813.90453801065</v>
      </c>
      <c r="AJ8" s="8" t="n">
        <v>73961.61718487987</v>
      </c>
      <c r="AK8" s="8" t="n">
        <v>96306.34222504191</v>
      </c>
      <c r="AL8" s="8" t="n">
        <v>36698.51578757814</v>
      </c>
      <c r="AM8" s="8" t="n">
        <v>37285.518863145735</v>
      </c>
      <c r="AN8" s="8" t="n">
        <v>77561.55406663791</v>
      </c>
      <c r="AO8" s="8" t="n">
        <v>65244.64977300754</v>
      </c>
      <c r="AP8" s="8" t="n">
        <v>27684.72182092259</v>
      </c>
      <c r="AQ8" s="8" t="n">
        <v>1261.7362749421907</v>
      </c>
      <c r="AR8" s="11" t="n">
        <v>18510.291194266785</v>
      </c>
    </row>
    <row r="9" customFormat="false" ht="15.6" hidden="false" customHeight="false" outlineLevel="0" collapsed="false">
      <c r="B9" s="7" t="s">
        <v>21</v>
      </c>
      <c r="C9" s="8" t="n">
        <v>64303.02309898975</v>
      </c>
      <c r="D9" s="8" t="n">
        <v>370693.9578199138</v>
      </c>
      <c r="E9" s="8" t="n">
        <v>18146.946379334866</v>
      </c>
      <c r="F9" s="8" t="n">
        <v>470904.47759041435</v>
      </c>
      <c r="G9" s="8" t="n">
        <v>250057.9029383188</v>
      </c>
      <c r="H9" s="8" t="n">
        <v>721789.2991114856</v>
      </c>
      <c r="I9" s="8" t="n">
        <v>186478.7400215474</v>
      </c>
      <c r="J9" s="8" t="n">
        <v>95536.95632516014</v>
      </c>
      <c r="K9" s="8" t="n">
        <v>96641.4215829518</v>
      </c>
      <c r="L9" s="8" t="n">
        <v>287149.72398503625</v>
      </c>
      <c r="M9" s="8" t="n">
        <v>354232.920526988</v>
      </c>
      <c r="N9" s="11" t="n">
        <v>929329.5810533956</v>
      </c>
      <c r="Q9" s="7" t="s">
        <v>21</v>
      </c>
      <c r="R9" s="8" t="n">
        <v>74952.06059414498</v>
      </c>
      <c r="S9" s="8" t="n">
        <v>263224.5884686658</v>
      </c>
      <c r="T9" s="8" t="n">
        <v>44976.6750710164</v>
      </c>
      <c r="U9" s="8" t="n">
        <v>479247.7063403215</v>
      </c>
      <c r="V9" s="8" t="n">
        <v>471476.20408898185</v>
      </c>
      <c r="W9" s="8" t="n">
        <v>44004.09680339852</v>
      </c>
      <c r="X9" s="8" t="n">
        <v>349247.98599827866</v>
      </c>
      <c r="Y9" s="8" t="n">
        <v>92970.0282769985</v>
      </c>
      <c r="Z9" s="8" t="n">
        <v>173908.8847768058</v>
      </c>
      <c r="AA9" s="8" t="n">
        <v>125379.67764792641</v>
      </c>
      <c r="AB9" s="8" t="n">
        <v>476675.2272455516</v>
      </c>
      <c r="AC9" s="11" t="n">
        <v>213411.41872503317</v>
      </c>
      <c r="AF9" s="7" t="s">
        <v>21</v>
      </c>
      <c r="AG9" s="8" t="n">
        <v>231689.76682741768</v>
      </c>
      <c r="AH9" s="8" t="n">
        <v>565668.0514108174</v>
      </c>
      <c r="AI9" s="8" t="n">
        <v>573848.9088623605</v>
      </c>
      <c r="AJ9" s="8" t="n">
        <v>33318.44577248138</v>
      </c>
      <c r="AK9" s="8" t="n">
        <v>473816.52548877645</v>
      </c>
      <c r="AL9" s="8" t="n">
        <v>79409.13615815082</v>
      </c>
      <c r="AM9" s="8" t="n">
        <v>443002.4352732814</v>
      </c>
      <c r="AN9" s="8" t="n">
        <v>199463.27926016448</v>
      </c>
      <c r="AO9" s="8" t="n">
        <v>446493.45384116203</v>
      </c>
      <c r="AP9" s="8" t="n">
        <v>77372.25976589149</v>
      </c>
      <c r="AQ9" s="8" t="n">
        <v>675465.6320325158</v>
      </c>
      <c r="AR9" s="11" t="n">
        <v>895414.6086560554</v>
      </c>
    </row>
    <row r="10" customFormat="false" ht="15.6" hidden="false" customHeight="false" outlineLevel="0" collapsed="false">
      <c r="B10" s="7" t="s">
        <v>22</v>
      </c>
      <c r="C10" s="8" t="n">
        <v>84333.0949042916</v>
      </c>
      <c r="D10" s="8" t="n">
        <v>37.943388761176436</v>
      </c>
      <c r="E10" s="8" t="n">
        <v>248584.07548733562</v>
      </c>
      <c r="F10" s="8" t="n">
        <v>36022.73410925868</v>
      </c>
      <c r="G10" s="8" t="n">
        <v>117617.54812401344</v>
      </c>
      <c r="H10" s="8" t="n">
        <v>90322.63964622874</v>
      </c>
      <c r="I10" s="8" t="n">
        <v>2407.113593589166</v>
      </c>
      <c r="J10" s="8" t="n">
        <v>157979.84011947372</v>
      </c>
      <c r="K10" s="8" t="n">
        <v>73292.01501529156</v>
      </c>
      <c r="L10" s="8" t="n">
        <v>9547.639352081542</v>
      </c>
      <c r="M10" s="8" t="n">
        <v>68383.49680972363</v>
      </c>
      <c r="N10" s="11" t="n">
        <v>112160.52156604106</v>
      </c>
      <c r="Q10" s="7" t="s">
        <v>22</v>
      </c>
      <c r="R10" s="8" t="n">
        <v>36727.18294821001</v>
      </c>
      <c r="S10" s="8" t="n">
        <v>30.95305626509835</v>
      </c>
      <c r="T10" s="8" t="n">
        <v>92842.48459838431</v>
      </c>
      <c r="U10" s="8" t="n">
        <v>15328.724533878141</v>
      </c>
      <c r="V10" s="8" t="n">
        <v>50380.25409772133</v>
      </c>
      <c r="W10" s="8" t="n">
        <v>58679.08780522193</v>
      </c>
      <c r="X10" s="8" t="n">
        <v>14310.255531324461</v>
      </c>
      <c r="Y10" s="8" t="n">
        <v>175788.64006997153</v>
      </c>
      <c r="Z10" s="8" t="n">
        <v>46666.51567202198</v>
      </c>
      <c r="AA10" s="8" t="n">
        <v>1202.392111224955</v>
      </c>
      <c r="AB10" s="8" t="n">
        <v>25325.879770086784</v>
      </c>
      <c r="AC10" s="11" t="n">
        <v>143739.30565524154</v>
      </c>
      <c r="AF10" s="7" t="s">
        <v>22</v>
      </c>
      <c r="AG10" s="8" t="n">
        <v>73551.86088106375</v>
      </c>
      <c r="AH10" s="8" t="n">
        <v>21.870135510137043</v>
      </c>
      <c r="AI10" s="8" t="n">
        <v>161403.78210751794</v>
      </c>
      <c r="AJ10" s="8" t="n">
        <v>14696.698665037584</v>
      </c>
      <c r="AK10" s="8" t="n">
        <v>155528.05373490797</v>
      </c>
      <c r="AL10" s="8" t="n">
        <v>28114.698675852993</v>
      </c>
      <c r="AM10" s="8" t="n">
        <v>3378.2134406604127</v>
      </c>
      <c r="AN10" s="8" t="n">
        <v>172005.9819072407</v>
      </c>
      <c r="AO10" s="8" t="n">
        <v>10121.137707368336</v>
      </c>
      <c r="AP10" s="8" t="n">
        <v>41378.52688080114</v>
      </c>
      <c r="AQ10" s="8" t="n">
        <v>46559.53732548352</v>
      </c>
      <c r="AR10" s="11" t="n">
        <v>85507.68594935209</v>
      </c>
    </row>
    <row r="11" customFormat="false" ht="15.6" hidden="false" customHeight="false" outlineLevel="0" collapsed="false">
      <c r="B11" s="7" t="s">
        <v>23</v>
      </c>
      <c r="C11" s="8" t="n">
        <v>127288.00523954687</v>
      </c>
      <c r="D11" s="8" t="n">
        <v>329.6622867545523</v>
      </c>
      <c r="E11" s="8" t="n">
        <v>51.24068651139098</v>
      </c>
      <c r="F11" s="8" t="n">
        <v>83952.14064597983</v>
      </c>
      <c r="G11" s="8" t="n">
        <v>30015.100913508697</v>
      </c>
      <c r="H11" s="8" t="n">
        <v>46938.946080435555</v>
      </c>
      <c r="I11" s="8" t="n">
        <v>42667.829238549515</v>
      </c>
      <c r="J11" s="8" t="n">
        <v>105743.05485551993</v>
      </c>
      <c r="K11" s="8" t="n">
        <v>0.0</v>
      </c>
      <c r="L11" s="8" t="n">
        <v>0.0</v>
      </c>
      <c r="M11" s="8" t="n">
        <v>50328.3932291557</v>
      </c>
      <c r="N11" s="11" t="n">
        <v>0.0</v>
      </c>
      <c r="Q11" s="7" t="s">
        <v>23</v>
      </c>
      <c r="R11" s="8" t="n">
        <v>64647.04804260435</v>
      </c>
      <c r="S11" s="8" t="n">
        <v>1662.1545744577415</v>
      </c>
      <c r="T11" s="8" t="n">
        <v>11861.89040149638</v>
      </c>
      <c r="U11" s="8" t="n">
        <v>70007.73336610083</v>
      </c>
      <c r="V11" s="8" t="n">
        <v>16925.666803155153</v>
      </c>
      <c r="W11" s="8" t="n">
        <v>43095.21084114113</v>
      </c>
      <c r="X11" s="8" t="n">
        <v>77170.22322964955</v>
      </c>
      <c r="Y11" s="8" t="n">
        <v>33677.27640309428</v>
      </c>
      <c r="Z11" s="8" t="n">
        <v>0.0</v>
      </c>
      <c r="AA11" s="8" t="n">
        <v>0.0</v>
      </c>
      <c r="AB11" s="8" t="n">
        <v>41296.60530486171</v>
      </c>
      <c r="AC11" s="11" t="n">
        <v>0.0</v>
      </c>
      <c r="AF11" s="7" t="s">
        <v>23</v>
      </c>
      <c r="AG11" s="8" t="n">
        <v>29820.57506275771</v>
      </c>
      <c r="AH11" s="8" t="n">
        <v>1108.0536908615532</v>
      </c>
      <c r="AI11" s="8" t="n">
        <v>12961.16886357443</v>
      </c>
      <c r="AJ11" s="8" t="n">
        <v>28558.706239310693</v>
      </c>
      <c r="AK11" s="8" t="n">
        <v>27118.366480573317</v>
      </c>
      <c r="AL11" s="8" t="n">
        <v>35584.20915045002</v>
      </c>
      <c r="AM11" s="8" t="n">
        <v>35714.12248977502</v>
      </c>
      <c r="AN11" s="8" t="n">
        <v>29128.21238779534</v>
      </c>
      <c r="AO11" s="8" t="n">
        <v>0.0</v>
      </c>
      <c r="AP11" s="8" t="n">
        <v>0.0</v>
      </c>
      <c r="AQ11" s="8" t="n">
        <v>36176.91387477936</v>
      </c>
      <c r="AR11" s="11" t="n">
        <v>0.0</v>
      </c>
    </row>
    <row r="12" customFormat="false" ht="15.6" hidden="false" customHeight="false" outlineLevel="0" collapsed="false">
      <c r="B12" s="7" t="s">
        <v>24</v>
      </c>
      <c r="C12" s="8" t="n">
        <v>207617.22036644907</v>
      </c>
      <c r="D12" s="8" t="n">
        <v>91019.08457034304</v>
      </c>
      <c r="E12" s="8" t="n">
        <v>43029.62790536004</v>
      </c>
      <c r="F12" s="8" t="n">
        <v>60572.35373146929</v>
      </c>
      <c r="G12" s="8" t="n">
        <v>32874.623041894636</v>
      </c>
      <c r="H12" s="8" t="n">
        <v>56924.19258387674</v>
      </c>
      <c r="I12" s="8" t="n">
        <v>8.851201320954981</v>
      </c>
      <c r="J12" s="8" t="n">
        <v>18210.036435613045</v>
      </c>
      <c r="K12" s="8" t="n">
        <v>45554.4096719409</v>
      </c>
      <c r="L12" s="8" t="n">
        <v>60269.47539499073</v>
      </c>
      <c r="M12" s="8" t="n">
        <v>121302.19114380397</v>
      </c>
      <c r="N12" s="11" t="n">
        <v>28317.47753425257</v>
      </c>
      <c r="Q12" s="7" t="s">
        <v>24</v>
      </c>
      <c r="R12" s="8" t="n">
        <v>134544.90774330325</v>
      </c>
      <c r="S12" s="8" t="n">
        <v>795.1183086123635</v>
      </c>
      <c r="T12" s="8" t="n">
        <v>8805.055821395445</v>
      </c>
      <c r="U12" s="8" t="n">
        <v>53278.79163509701</v>
      </c>
      <c r="V12" s="8" t="n">
        <v>9895.938589359508</v>
      </c>
      <c r="W12" s="8" t="n">
        <v>500.04166590804266</v>
      </c>
      <c r="X12" s="8" t="n">
        <v>2.358443007479399</v>
      </c>
      <c r="Y12" s="8" t="n">
        <v>20125.694188642356</v>
      </c>
      <c r="Z12" s="8" t="n">
        <v>37177.56556352968</v>
      </c>
      <c r="AA12" s="8" t="n">
        <v>5826.259884034079</v>
      </c>
      <c r="AB12" s="8" t="n">
        <v>164167.8333745606</v>
      </c>
      <c r="AC12" s="11" t="n">
        <v>22935.873087380343</v>
      </c>
      <c r="AF12" s="7" t="s">
        <v>24</v>
      </c>
      <c r="AG12" s="8" t="n">
        <v>47827.245293096545</v>
      </c>
      <c r="AH12" s="8" t="n">
        <v>79499.1934220171</v>
      </c>
      <c r="AI12" s="8" t="n">
        <v>27140.40252072947</v>
      </c>
      <c r="AJ12" s="8" t="n">
        <v>70333.40470483314</v>
      </c>
      <c r="AK12" s="8" t="n">
        <v>51968.46992520445</v>
      </c>
      <c r="AL12" s="8" t="n">
        <v>6505.677729399486</v>
      </c>
      <c r="AM12" s="8" t="n">
        <v>2.0632106713191543</v>
      </c>
      <c r="AN12" s="8" t="n">
        <v>9825.279289527663</v>
      </c>
      <c r="AO12" s="8" t="n">
        <v>70333.61679761934</v>
      </c>
      <c r="AP12" s="8" t="n">
        <v>15962.597955037494</v>
      </c>
      <c r="AQ12" s="8" t="n">
        <v>91874.08416201152</v>
      </c>
      <c r="AR12" s="11" t="n">
        <v>30551.662057672653</v>
      </c>
    </row>
    <row r="13" customFormat="false" ht="15.6" hidden="false" customHeight="false" outlineLevel="0" collapsed="false">
      <c r="B13" s="7" t="s">
        <v>25</v>
      </c>
      <c r="C13" s="8" t="n">
        <v>75792.43749181098</v>
      </c>
      <c r="D13" s="8" t="n">
        <v>91042.66766547912</v>
      </c>
      <c r="E13" s="8" t="n">
        <v>192024.31795465449</v>
      </c>
      <c r="F13" s="8" t="n">
        <v>101464.18634168875</v>
      </c>
      <c r="G13" s="8" t="n">
        <v>26908.456466166957</v>
      </c>
      <c r="H13" s="8" t="n">
        <v>145663.39716102908</v>
      </c>
      <c r="I13" s="8" t="n">
        <v>34547.37205502493</v>
      </c>
      <c r="J13" s="8" t="n">
        <v>75509.35743875656</v>
      </c>
      <c r="K13" s="8" t="n">
        <v>14016.981613928649</v>
      </c>
      <c r="L13" s="8" t="n">
        <v>45999.07254172692</v>
      </c>
      <c r="M13" s="8" t="n">
        <v>23882.733687056818</v>
      </c>
      <c r="N13" s="11" t="n">
        <v>26148.859211976902</v>
      </c>
      <c r="Q13" s="7" t="s">
        <v>25</v>
      </c>
      <c r="R13" s="8" t="n">
        <v>187791.2982305449</v>
      </c>
      <c r="S13" s="8" t="n">
        <v>158161.20419349812</v>
      </c>
      <c r="T13" s="8" t="n">
        <v>6579.448189514115</v>
      </c>
      <c r="U13" s="8" t="n">
        <v>43822.11483840869</v>
      </c>
      <c r="V13" s="8" t="n">
        <v>139368.09746153373</v>
      </c>
      <c r="W13" s="8" t="n">
        <v>82356.9026693166</v>
      </c>
      <c r="X13" s="8" t="n">
        <v>85501.31299725779</v>
      </c>
      <c r="Y13" s="8" t="n">
        <v>60860.80986925792</v>
      </c>
      <c r="Z13" s="8" t="n">
        <v>113958.66375832212</v>
      </c>
      <c r="AA13" s="8" t="n">
        <v>46645.887373193575</v>
      </c>
      <c r="AB13" s="8" t="n">
        <v>8159.9442917716415</v>
      </c>
      <c r="AC13" s="11" t="n">
        <v>51076.701562313734</v>
      </c>
      <c r="AF13" s="7" t="s">
        <v>25</v>
      </c>
      <c r="AG13" s="8" t="n">
        <v>238171.95680649037</v>
      </c>
      <c r="AH13" s="8" t="n">
        <v>140182.90732977923</v>
      </c>
      <c r="AI13" s="8" t="n">
        <v>51089.10123999044</v>
      </c>
      <c r="AJ13" s="8" t="n">
        <v>44096.93879878099</v>
      </c>
      <c r="AK13" s="8" t="n">
        <v>69448.49682330947</v>
      </c>
      <c r="AL13" s="8" t="n">
        <v>4373.194090857821</v>
      </c>
      <c r="AM13" s="8" t="n">
        <v>68996.89311177075</v>
      </c>
      <c r="AN13" s="8" t="n">
        <v>62171.723462788505</v>
      </c>
      <c r="AO13" s="8" t="n">
        <v>82560.62007702418</v>
      </c>
      <c r="AP13" s="8" t="n">
        <v>120287.51297402412</v>
      </c>
      <c r="AQ13" s="8" t="n">
        <v>37857.920558177466</v>
      </c>
      <c r="AR13" s="11" t="n">
        <v>22302.366097179394</v>
      </c>
    </row>
    <row r="14" customFormat="false" ht="15.6" hidden="false" customHeight="false" outlineLevel="0" collapsed="false">
      <c r="B14" s="12" t="s">
        <v>26</v>
      </c>
      <c r="C14" s="8" t="n">
        <v>28178.92660367606</v>
      </c>
      <c r="D14" s="8" t="n">
        <v>12561.924541969855</v>
      </c>
      <c r="E14" s="8" t="n">
        <v>14921.845309747743</v>
      </c>
      <c r="F14" s="8" t="n">
        <v>140773.81800551637</v>
      </c>
      <c r="G14" s="8" t="n">
        <v>51787.88382774829</v>
      </c>
      <c r="H14" s="8" t="n">
        <v>56244.36803228913</v>
      </c>
      <c r="I14" s="8" t="n">
        <v>30663.273566555035</v>
      </c>
      <c r="J14" s="8" t="n">
        <v>68778.82656080344</v>
      </c>
      <c r="K14" s="8" t="n">
        <v>57886.665463440986</v>
      </c>
      <c r="L14" s="8" t="n">
        <v>25839.838106469597</v>
      </c>
      <c r="M14" s="8" t="n">
        <v>19686.786979625675</v>
      </c>
      <c r="N14" s="11" t="n">
        <v>50809.203530017534</v>
      </c>
      <c r="Q14" s="12" t="s">
        <v>26</v>
      </c>
      <c r="R14" s="8" t="n">
        <v>30412.056450076507</v>
      </c>
      <c r="S14" s="8" t="n">
        <v>17911.289635514946</v>
      </c>
      <c r="T14" s="8" t="n">
        <v>156309.25717454308</v>
      </c>
      <c r="U14" s="8" t="n">
        <v>134362.2680171962</v>
      </c>
      <c r="V14" s="8" t="n">
        <v>168024.43520829684</v>
      </c>
      <c r="W14" s="8" t="n">
        <v>187919.1156614916</v>
      </c>
      <c r="X14" s="8" t="n">
        <v>19955.12256576396</v>
      </c>
      <c r="Y14" s="8" t="n">
        <v>77717.20891777684</v>
      </c>
      <c r="Z14" s="8" t="n">
        <v>88991.58977731754</v>
      </c>
      <c r="AA14" s="8" t="n">
        <v>19988.785193115542</v>
      </c>
      <c r="AB14" s="8" t="n">
        <v>26187.858500543432</v>
      </c>
      <c r="AC14" s="11" t="n">
        <v>37293.4528971622</v>
      </c>
      <c r="AF14" s="12" t="s">
        <v>26</v>
      </c>
      <c r="AG14" s="8" t="n">
        <v>61721.479041631</v>
      </c>
      <c r="AH14" s="8" t="n">
        <v>36813.37961375344</v>
      </c>
      <c r="AI14" s="8" t="n">
        <v>21760.397890380744</v>
      </c>
      <c r="AJ14" s="8" t="n">
        <v>136069.07808087356</v>
      </c>
      <c r="AK14" s="8" t="n">
        <v>132364.9948820369</v>
      </c>
      <c r="AL14" s="8" t="n">
        <v>174579.49487973363</v>
      </c>
      <c r="AM14" s="8" t="n">
        <v>36709.72500285433</v>
      </c>
      <c r="AN14" s="8" t="n">
        <v>19390.628827338554</v>
      </c>
      <c r="AO14" s="8" t="n">
        <v>83919.3726453199</v>
      </c>
      <c r="AP14" s="8" t="n">
        <v>16477.364933064408</v>
      </c>
      <c r="AQ14" s="8" t="n">
        <v>4511.515621077679</v>
      </c>
      <c r="AR14" s="11" t="n">
        <v>82189.12596544299</v>
      </c>
    </row>
    <row r="15" customFormat="false" ht="15.6" hidden="false" customHeight="false" outlineLevel="0" collapsed="false">
      <c r="B15" s="13" t="s">
        <v>27</v>
      </c>
      <c r="C15" s="14" t="n">
        <f aca="false">SUM(C4:C14)</f>
        <v>2593319.785490695</v>
      </c>
      <c r="D15" s="15" t="n">
        <f aca="false">SUM(D4:D14)</f>
        <v>900468.032291993</v>
      </c>
      <c r="E15" s="15" t="n">
        <v>610573.0517667654</v>
      </c>
      <c r="F15" s="15" t="n">
        <v>2169076.8979786485</v>
      </c>
      <c r="G15" s="15" t="n">
        <f aca="false">SUM(G4:G14)</f>
        <v>1252187.6571756732</v>
      </c>
      <c r="H15" s="15" t="n">
        <v>3185151.6871827957</v>
      </c>
      <c r="I15" s="15" t="n">
        <f aca="false">SUM(I4:I14)</f>
        <v>1731612.1124969588</v>
      </c>
      <c r="J15" s="15" t="n">
        <f aca="false">SUM(J4:J14)</f>
        <v>1019682.2615216317</v>
      </c>
      <c r="K15" s="15" t="n">
        <f aca="false">SUM(K4:K14)</f>
        <v>181326.3699001638</v>
      </c>
      <c r="L15" s="15" t="n">
        <f aca="false">SUM(L4:L14)</f>
        <v>1241855.1915579883</v>
      </c>
      <c r="M15" s="15" t="n">
        <v>2135986.943328061</v>
      </c>
      <c r="N15" s="16" t="n">
        <f aca="false">SUM(N4:N14)</f>
        <v>2324189.9617103217</v>
      </c>
      <c r="Q15" s="13" t="s">
        <v>27</v>
      </c>
      <c r="R15" s="14" t="n">
        <f aca="false">SUM(R4:R14)</f>
        <v>2510786.0582952756</v>
      </c>
      <c r="S15" s="15" t="n">
        <f aca="false">SUM(S4:S14)</f>
        <v>962328.3703807232</v>
      </c>
      <c r="T15" s="15" t="n">
        <v>1887709.6659079862</v>
      </c>
      <c r="U15" s="15" t="n">
        <v>845238.4893051786</v>
      </c>
      <c r="V15" s="15" t="n">
        <f aca="false">SUM(V4:V14)</f>
        <v>998777.1219938361</v>
      </c>
      <c r="W15" s="15" t="n">
        <v>2746770.6555754347</v>
      </c>
      <c r="X15" s="15" t="n">
        <f aca="false">SUM(X4:X14)</f>
        <v>472899.37606805033</v>
      </c>
      <c r="Y15" s="15" t="n">
        <f aca="false">SUM(Y4:Y14)</f>
        <v>1257463.907993627</v>
      </c>
      <c r="Z15" s="15" t="n">
        <f aca="false">SUM(Z4:Z14)</f>
        <v>2392675.5087973834</v>
      </c>
      <c r="AA15" s="15" t="n">
        <f aca="false">SUM(AA4:AA14)</f>
        <v>71927.26879864771</v>
      </c>
      <c r="AB15" s="15" t="n">
        <v>957686.6250329365</v>
      </c>
      <c r="AC15" s="16" t="n">
        <f aca="false">SUM(AC4:AC14)</f>
        <v>1883965.803590455</v>
      </c>
      <c r="AF15" s="13" t="s">
        <v>27</v>
      </c>
      <c r="AG15" s="14" t="n">
        <f aca="false">SUM(AG4:AG14)</f>
        <v>195510.75074694888</v>
      </c>
      <c r="AH15" s="15" t="n">
        <f aca="false">SUM(AH4:AH14)</f>
        <v>1327962.9825872884</v>
      </c>
      <c r="AI15" s="15" t="n">
        <v>699256.7570825455</v>
      </c>
      <c r="AJ15" s="15" t="n">
        <v>725059.1242294727</v>
      </c>
      <c r="AK15" s="15" t="n">
        <f aca="false">SUM(AK4:AK14)</f>
        <v>983395.8059204285</v>
      </c>
      <c r="AL15" s="15" t="n">
        <v>2196054.291507221</v>
      </c>
      <c r="AM15" s="15" t="n">
        <f aca="false">SUM(AM4:AM14)</f>
        <v>949478.1289292272</v>
      </c>
      <c r="AN15" s="15" t="n">
        <f aca="false">SUM(AN4:AN14)</f>
        <v>149679.3790202202</v>
      </c>
      <c r="AO15" s="15" t="n">
        <f aca="false">SUM(AO4:AO14)</f>
        <v>2181122.6186169065</v>
      </c>
      <c r="AP15" s="15" t="n">
        <f aca="false">SUM(AP4:AP14)</f>
        <v>540550.4438014922</v>
      </c>
      <c r="AQ15" s="15" t="n">
        <v>1793412.5071243148</v>
      </c>
      <c r="AR15" s="16" t="n">
        <f aca="false">SUM(AR4:AR14)</f>
        <v>2090818.071935828</v>
      </c>
    </row>
    <row r="16" customFormat="false" ht="15.6" hidden="false" customHeight="false" outlineLevel="0" collapsed="false">
      <c r="B16" s="17" t="s">
        <v>28</v>
      </c>
      <c r="C16" s="18" t="n">
        <v>26705.3942672366</v>
      </c>
      <c r="D16" s="18" t="n">
        <v>125458.11826624135</v>
      </c>
      <c r="E16" s="18" t="n">
        <v>250830.60131960464</v>
      </c>
      <c r="F16" s="18" t="n">
        <v>156175.26399051037</v>
      </c>
      <c r="G16" s="18" t="n">
        <v>38876.29729771514</v>
      </c>
      <c r="H16" s="18" t="n">
        <v>85817.77113222773</v>
      </c>
      <c r="I16" s="18" t="n">
        <v>144865.70302516303</v>
      </c>
      <c r="J16" s="18" t="n">
        <v>56618.59762838443</v>
      </c>
      <c r="K16" s="18" t="n">
        <v>23416.00990353092</v>
      </c>
      <c r="L16" s="18" t="n">
        <v>19716.39512155573</v>
      </c>
      <c r="M16" s="18" t="n">
        <v>135484.29297993044</v>
      </c>
      <c r="N16" s="19" t="n">
        <v>205715.1189595067</v>
      </c>
      <c r="Q16" s="17" t="s">
        <v>28</v>
      </c>
      <c r="R16" s="18" t="n">
        <v>227516.3463845084</v>
      </c>
      <c r="S16" s="18" t="n">
        <v>34655.73361208197</v>
      </c>
      <c r="T16" s="18" t="n">
        <v>105956.88307620998</v>
      </c>
      <c r="U16" s="18" t="n">
        <v>72381.7269998573</v>
      </c>
      <c r="V16" s="18" t="n">
        <v>50810.966008710166</v>
      </c>
      <c r="W16" s="18" t="n">
        <v>43884.60762572257</v>
      </c>
      <c r="X16" s="18" t="n">
        <v>18286.375865262406</v>
      </c>
      <c r="Y16" s="18" t="n">
        <v>176806.88826581318</v>
      </c>
      <c r="Z16" s="18" t="n">
        <v>66377.20232645194</v>
      </c>
      <c r="AA16" s="18" t="n">
        <v>195592.48431382066</v>
      </c>
      <c r="AB16" s="18" t="n">
        <v>106327.77117150553</v>
      </c>
      <c r="AC16" s="19" t="n">
        <v>138257.98690084027</v>
      </c>
      <c r="AF16" s="17" t="s">
        <v>28</v>
      </c>
      <c r="AG16" s="18" t="n">
        <v>107472.69353913718</v>
      </c>
      <c r="AH16" s="18" t="n">
        <v>223355.62279674414</v>
      </c>
      <c r="AI16" s="18" t="n">
        <v>342745.8109062865</v>
      </c>
      <c r="AJ16" s="18" t="n">
        <v>121028.1941367654</v>
      </c>
      <c r="AK16" s="18" t="n">
        <v>18572.584952676105</v>
      </c>
      <c r="AL16" s="18" t="n">
        <v>47582.9259619286</v>
      </c>
      <c r="AM16" s="18" t="n">
        <v>218083.18738964203</v>
      </c>
      <c r="AN16" s="18" t="n">
        <v>8023.285810531769</v>
      </c>
      <c r="AO16" s="18" t="n">
        <v>66888.00608865917</v>
      </c>
      <c r="AP16" s="18" t="n">
        <v>76502.61219779929</v>
      </c>
      <c r="AQ16" s="18" t="n">
        <v>157914.26773360264</v>
      </c>
      <c r="AR16" s="19" t="n">
        <v>73123.5490655968</v>
      </c>
    </row>
    <row r="17" customFormat="false" ht="15.6" hidden="false" customHeight="false" outlineLevel="0" collapsed="false">
      <c r="B17" s="20" t="s">
        <v>28</v>
      </c>
      <c r="C17" s="21" t="n">
        <f aca="false">SUM(C16)</f>
        <v>212044.1901771268</v>
      </c>
      <c r="D17" s="21" t="n">
        <f aca="false">SUM(D16)</f>
        <v>27345.867722480158</v>
      </c>
      <c r="E17" s="21" t="n">
        <f aca="false">SUM(E16)</f>
        <v>305685.17928684794</v>
      </c>
      <c r="F17" s="21" t="n">
        <f aca="false">SUM(F16)</f>
        <v>122778.43598638354</v>
      </c>
      <c r="G17" s="21" t="n">
        <f aca="false">SUM(G16)</f>
        <v>92740.05071562341</v>
      </c>
      <c r="H17" s="21" t="n">
        <f aca="false">SUM(H16)</f>
        <v>139546.31713289162</v>
      </c>
      <c r="I17" s="21" t="n">
        <f aca="false">SUM(I16)</f>
        <v>127719.40488824408</v>
      </c>
      <c r="J17" s="21" t="n">
        <f aca="false">SUM(J16)</f>
        <v>241805.2791743442</v>
      </c>
      <c r="K17" s="21" t="n">
        <f aca="false">SUM(K16)</f>
        <v>108449.57334564812</v>
      </c>
      <c r="L17" s="21" t="n">
        <f aca="false">SUM(L16)</f>
        <v>193870.22150428817</v>
      </c>
      <c r="M17" s="21" t="n">
        <f aca="false">SUM(M16)</f>
        <v>37742.90518426358</v>
      </c>
      <c r="N17" s="22" t="n">
        <f aca="false">SUM(N16)</f>
        <v>16797.15777259385</v>
      </c>
      <c r="Q17" s="20" t="s">
        <v>28</v>
      </c>
      <c r="R17" s="21" t="n">
        <f aca="false">SUM(R16)</f>
        <v>222079.24213499442</v>
      </c>
      <c r="S17" s="21" t="n">
        <f aca="false">SUM(S16)</f>
        <v>1982.1485441360808</v>
      </c>
      <c r="T17" s="21" t="n">
        <f aca="false">SUM(T16)</f>
        <v>304368.7638057425</v>
      </c>
      <c r="U17" s="21" t="n">
        <f aca="false">SUM(U16)</f>
        <v>192675.35507440628</v>
      </c>
      <c r="V17" s="21" t="n">
        <f aca="false">SUM(V16)</f>
        <v>182703.68479749328</v>
      </c>
      <c r="W17" s="21" t="n">
        <f aca="false">SUM(W16)</f>
        <v>187404.41213147677</v>
      </c>
      <c r="X17" s="21" t="n">
        <f aca="false">SUM(X16)</f>
        <v>195428.37308669716</v>
      </c>
      <c r="Y17" s="21" t="n">
        <f aca="false">SUM(Y16)</f>
        <v>59261.501145264054</v>
      </c>
      <c r="Z17" s="21" t="n">
        <f aca="false">SUM(Z16)</f>
        <v>76160.8855981592</v>
      </c>
      <c r="AA17" s="21" t="n">
        <f aca="false">SUM(AA16)</f>
        <v>126033.08338379684</v>
      </c>
      <c r="AB17" s="21" t="n">
        <f aca="false">SUM(AB16)</f>
        <v>230291.1017915405</v>
      </c>
      <c r="AC17" s="22" t="n">
        <f aca="false">SUM(AC16)</f>
        <v>154510.80974963357</v>
      </c>
      <c r="AF17" s="20" t="s">
        <v>28</v>
      </c>
      <c r="AG17" s="21" t="n">
        <f aca="false">SUM(AG16)</f>
        <v>72714.37144388862</v>
      </c>
      <c r="AH17" s="21" t="n">
        <f aca="false">SUM(AH16)</f>
        <v>46093.587617238874</v>
      </c>
      <c r="AI17" s="21" t="n">
        <f aca="false">SUM(AI16)</f>
        <v>317731.6214253346</v>
      </c>
      <c r="AJ17" s="21" t="n">
        <f aca="false">SUM(AJ16)</f>
        <v>212978.43706155274</v>
      </c>
      <c r="AK17" s="21" t="n">
        <f aca="false">SUM(AK16)</f>
        <v>261031.61649389705</v>
      </c>
      <c r="AL17" s="21" t="n">
        <f aca="false">SUM(AL16)</f>
        <v>57033.3093048613</v>
      </c>
      <c r="AM17" s="21" t="n">
        <f aca="false">SUM(AM16)</f>
        <v>124643.86239718861</v>
      </c>
      <c r="AN17" s="21" t="n">
        <f aca="false">SUM(AN16)</f>
        <v>120927.84024447363</v>
      </c>
      <c r="AO17" s="21" t="n">
        <f aca="false">SUM(AO16)</f>
        <v>83012.2134215992</v>
      </c>
      <c r="AP17" s="21" t="n">
        <f aca="false">SUM(AP16)</f>
        <v>201383.40751655068</v>
      </c>
      <c r="AQ17" s="21" t="n">
        <f aca="false">SUM(AQ16)</f>
        <v>93972.77016138319</v>
      </c>
      <c r="AR17" s="22" t="n">
        <f aca="false">SUM(AR16)</f>
        <v>141656.4951007007</v>
      </c>
    </row>
    <row r="18" customFormat="false" ht="15.6" hidden="false" customHeight="false" outlineLevel="0" collapsed="false">
      <c r="B18" s="23" t="s">
        <v>29</v>
      </c>
      <c r="C18" s="8" t="n">
        <v>1240.1511260727796</v>
      </c>
      <c r="D18" s="8" t="n">
        <v>96128.18714177245</v>
      </c>
      <c r="E18" s="8" t="n">
        <v>32842.57952019487</v>
      </c>
      <c r="F18" s="8" t="n">
        <v>36085.87351598107</v>
      </c>
      <c r="G18" s="8" t="n">
        <v>174782.22977713635</v>
      </c>
      <c r="H18" s="8" t="n">
        <v>62112.0284629406</v>
      </c>
      <c r="I18" s="8" t="n">
        <v>105669.31327065722</v>
      </c>
      <c r="J18" s="8" t="n">
        <v>97917.70206850195</v>
      </c>
      <c r="K18" s="8" t="n">
        <v>31269.689236493214</v>
      </c>
      <c r="L18" s="8" t="n">
        <v>61994.832162490966</v>
      </c>
      <c r="M18" s="8" t="n">
        <v>21001.4877642651</v>
      </c>
      <c r="N18" s="8" t="n">
        <v>4550.933764687196</v>
      </c>
      <c r="Q18" s="23" t="s">
        <v>29</v>
      </c>
      <c r="R18" s="8" t="n">
        <v>216316.84379338016</v>
      </c>
      <c r="S18" s="8" t="n">
        <v>126119.66365274938</v>
      </c>
      <c r="T18" s="8" t="n">
        <v>168393.6960002421</v>
      </c>
      <c r="U18" s="8" t="n">
        <v>153274.94464991282</v>
      </c>
      <c r="V18" s="8" t="n">
        <v>15409.350270428115</v>
      </c>
      <c r="W18" s="8" t="n">
        <v>122558.7215721867</v>
      </c>
      <c r="X18" s="8" t="n">
        <v>105323.72303984001</v>
      </c>
      <c r="Y18" s="8" t="n">
        <v>31122.458089346303</v>
      </c>
      <c r="Z18" s="8" t="n">
        <v>53140.007253237905</v>
      </c>
      <c r="AA18" s="8" t="n">
        <v>207256.4207843239</v>
      </c>
      <c r="AB18" s="8" t="n">
        <v>106606.04178454074</v>
      </c>
      <c r="AC18" s="8" t="n">
        <v>6030.956198122712</v>
      </c>
      <c r="AF18" s="23" t="s">
        <v>29</v>
      </c>
      <c r="AG18" s="8" t="n">
        <v>138055.09253877337</v>
      </c>
      <c r="AH18" s="8" t="n">
        <v>158323.21361873645</v>
      </c>
      <c r="AI18" s="8" t="n">
        <v>224073.69253168625</v>
      </c>
      <c r="AJ18" s="8" t="n">
        <v>57519.2249601841</v>
      </c>
      <c r="AK18" s="8" t="n">
        <v>73561.60777018452</v>
      </c>
      <c r="AL18" s="8" t="n">
        <v>102214.15312387262</v>
      </c>
      <c r="AM18" s="8" t="n">
        <v>78508.0759419604</v>
      </c>
      <c r="AN18" s="8" t="n">
        <v>159593.60746284612</v>
      </c>
      <c r="AO18" s="8" t="n">
        <v>187889.90497258754</v>
      </c>
      <c r="AP18" s="8" t="n">
        <v>143548.37261347257</v>
      </c>
      <c r="AQ18" s="8" t="n">
        <v>124824.68637902982</v>
      </c>
      <c r="AR18" s="8" t="n">
        <v>10291.595484029174</v>
      </c>
    </row>
    <row r="19" customFormat="false" ht="15.6" hidden="false" customHeight="false" outlineLevel="0" collapsed="false">
      <c r="B19" s="23" t="s">
        <v>30</v>
      </c>
      <c r="C19" s="8" t="n">
        <v>287906.71538499196</v>
      </c>
      <c r="D19" s="8" t="n">
        <v>141908.74437836875</v>
      </c>
      <c r="E19" s="8" t="n">
        <v>385109.1101185232</v>
      </c>
      <c r="F19" s="8" t="n">
        <v>115257.92157607312</v>
      </c>
      <c r="G19" s="8" t="n">
        <v>10479.704552037243</v>
      </c>
      <c r="H19" s="8" t="n">
        <v>328815.01037007006</v>
      </c>
      <c r="I19" s="8" t="n">
        <v>147268.9918388497</v>
      </c>
      <c r="J19" s="8" t="n">
        <v>98978.03613629579</v>
      </c>
      <c r="K19" s="8" t="n">
        <v>67646.15385970399</v>
      </c>
      <c r="L19" s="8" t="n">
        <v>447113.8920032395</v>
      </c>
      <c r="M19" s="8" t="n">
        <v>32631.680318625728</v>
      </c>
      <c r="N19" s="8" t="n">
        <v>110613.36188660514</v>
      </c>
      <c r="Q19" s="23" t="s">
        <v>30</v>
      </c>
      <c r="R19" s="8" t="n">
        <v>30626.27837364636</v>
      </c>
      <c r="S19" s="8" t="n">
        <v>53763.79237578091</v>
      </c>
      <c r="T19" s="8" t="n">
        <v>349590.2201855338</v>
      </c>
      <c r="U19" s="8" t="n">
        <v>62636.78813451872</v>
      </c>
      <c r="V19" s="8" t="n">
        <v>94395.8393955503</v>
      </c>
      <c r="W19" s="8" t="n">
        <v>263711.1572932969</v>
      </c>
      <c r="X19" s="8" t="n">
        <v>148829.05489989088</v>
      </c>
      <c r="Y19" s="8" t="n">
        <v>398129.6362012712</v>
      </c>
      <c r="Z19" s="8" t="n">
        <v>49440.68104561666</v>
      </c>
      <c r="AA19" s="8" t="n">
        <v>105640.79509108108</v>
      </c>
      <c r="AB19" s="8" t="n">
        <v>335579.8171720098</v>
      </c>
      <c r="AC19" s="8" t="n">
        <v>146526.3439242455</v>
      </c>
      <c r="AF19" s="23" t="s">
        <v>30</v>
      </c>
      <c r="AG19" s="8" t="n">
        <v>404227.84332139866</v>
      </c>
      <c r="AH19" s="8" t="n">
        <v>49789.27744439957</v>
      </c>
      <c r="AI19" s="8" t="n">
        <v>197889.6121528335</v>
      </c>
      <c r="AJ19" s="8" t="n">
        <v>225891.52973495566</v>
      </c>
      <c r="AK19" s="8" t="n">
        <v>107594.10454435869</v>
      </c>
      <c r="AL19" s="8" t="n">
        <v>60359.04080649356</v>
      </c>
      <c r="AM19" s="8" t="n">
        <v>38270.63719752237</v>
      </c>
      <c r="AN19" s="8" t="n">
        <v>34653.37826066992</v>
      </c>
      <c r="AO19" s="8" t="n">
        <v>212643.9365757841</v>
      </c>
      <c r="AP19" s="8" t="n">
        <v>490149.0800177949</v>
      </c>
      <c r="AQ19" s="8" t="n">
        <v>221769.4005890859</v>
      </c>
      <c r="AR19" s="8" t="n">
        <v>398814.6607552784</v>
      </c>
    </row>
    <row r="20" customFormat="false" ht="15.6" hidden="false" customHeight="false" outlineLevel="0" collapsed="false">
      <c r="B20" s="23" t="s">
        <v>31</v>
      </c>
      <c r="C20" s="8" t="n">
        <v>325739.55961139285</v>
      </c>
      <c r="D20" s="8" t="n">
        <v>138913.53946382002</v>
      </c>
      <c r="E20" s="8" t="n">
        <v>8265.38951032456</v>
      </c>
      <c r="F20" s="8" t="n">
        <v>237045.23708092206</v>
      </c>
      <c r="G20" s="8" t="n">
        <v>219198.9206789488</v>
      </c>
      <c r="H20" s="8" t="n">
        <v>146641.00268653518</v>
      </c>
      <c r="I20" s="8" t="n">
        <v>154063.8991314763</v>
      </c>
      <c r="J20" s="8" t="n">
        <v>583031.2313554232</v>
      </c>
      <c r="K20" s="8" t="n">
        <v>52043.27845759534</v>
      </c>
      <c r="L20" s="8" t="n">
        <v>390670.50880710775</v>
      </c>
      <c r="M20" s="8" t="n">
        <v>285966.95562639483</v>
      </c>
      <c r="N20" s="8" t="n">
        <v>306311.58268010087</v>
      </c>
      <c r="Q20" s="23" t="s">
        <v>31</v>
      </c>
      <c r="R20" s="8" t="n">
        <v>218522.3512519601</v>
      </c>
      <c r="S20" s="8" t="n">
        <v>289519.6111178633</v>
      </c>
      <c r="T20" s="8" t="n">
        <v>56253.82796340032</v>
      </c>
      <c r="U20" s="8" t="n">
        <v>384244.7511415053</v>
      </c>
      <c r="V20" s="8" t="n">
        <v>327264.78277296416</v>
      </c>
      <c r="W20" s="8" t="n">
        <v>417417.3886015706</v>
      </c>
      <c r="X20" s="8" t="n">
        <v>521588.9838288557</v>
      </c>
      <c r="Y20" s="8" t="n">
        <v>466298.7535054771</v>
      </c>
      <c r="Z20" s="8" t="n">
        <v>62774.69346567421</v>
      </c>
      <c r="AA20" s="8" t="n">
        <v>99779.07799623504</v>
      </c>
      <c r="AB20" s="8" t="n">
        <v>439877.9267448776</v>
      </c>
      <c r="AC20" s="8" t="n">
        <v>313932.31192219217</v>
      </c>
      <c r="AF20" s="23" t="s">
        <v>31</v>
      </c>
      <c r="AG20" s="8" t="n">
        <v>443581.6420102574</v>
      </c>
      <c r="AH20" s="8" t="n">
        <v>157986.9794272532</v>
      </c>
      <c r="AI20" s="8" t="n">
        <v>8075.794998102728</v>
      </c>
      <c r="AJ20" s="8" t="n">
        <v>462797.604339404</v>
      </c>
      <c r="AK20" s="8" t="n">
        <v>289155.3861032451</v>
      </c>
      <c r="AL20" s="8" t="n">
        <v>381171.4787053532</v>
      </c>
      <c r="AM20" s="8" t="n">
        <v>262975.0543408971</v>
      </c>
      <c r="AN20" s="8" t="n">
        <v>557025.2454399096</v>
      </c>
      <c r="AO20" s="8" t="n">
        <v>219488.19891335082</v>
      </c>
      <c r="AP20" s="8" t="n">
        <v>190357.06908355234</v>
      </c>
      <c r="AQ20" s="8" t="n">
        <v>296817.03959017555</v>
      </c>
      <c r="AR20" s="8" t="n">
        <v>82315.86002180491</v>
      </c>
    </row>
    <row r="21" customFormat="false" ht="15.6" hidden="false" customHeight="false" outlineLevel="0" collapsed="false">
      <c r="B21" s="23" t="s">
        <v>32</v>
      </c>
      <c r="C21" s="8" t="n">
        <v>8711.333388986224</v>
      </c>
      <c r="D21" s="8" t="n">
        <v>18715.30747235083</v>
      </c>
      <c r="E21" s="8" t="n">
        <v>15070.143168637727</v>
      </c>
      <c r="F21" s="8" t="n">
        <v>25394.359039621406</v>
      </c>
      <c r="G21" s="8" t="n">
        <v>18743.11464127985</v>
      </c>
      <c r="H21" s="8" t="n">
        <v>6000.770031788559</v>
      </c>
      <c r="I21" s="8" t="n">
        <v>40635.15939854809</v>
      </c>
      <c r="J21" s="8" t="n">
        <v>23776.04898223491</v>
      </c>
      <c r="K21" s="8" t="n">
        <v>18029.38977227555</v>
      </c>
      <c r="L21" s="8" t="n">
        <v>58841.64803496818</v>
      </c>
      <c r="M21" s="8" t="n">
        <v>37189.14378842488</v>
      </c>
      <c r="N21" s="8" t="n">
        <v>31007.186240709936</v>
      </c>
      <c r="Q21" s="23" t="s">
        <v>32</v>
      </c>
      <c r="R21" s="8" t="n">
        <v>34556.5713132203</v>
      </c>
      <c r="S21" s="8" t="n">
        <v>17752.584422830005</v>
      </c>
      <c r="T21" s="8" t="n">
        <v>34951.50963055494</v>
      </c>
      <c r="U21" s="8" t="n">
        <v>31438.26875864885</v>
      </c>
      <c r="V21" s="8" t="n">
        <v>13811.638509931056</v>
      </c>
      <c r="W21" s="8" t="n">
        <v>16544.588509809895</v>
      </c>
      <c r="X21" s="8" t="n">
        <v>38921.79631012892</v>
      </c>
      <c r="Y21" s="8" t="n">
        <v>23830.24775867093</v>
      </c>
      <c r="Z21" s="8" t="n">
        <v>9888.011027120154</v>
      </c>
      <c r="AA21" s="8" t="n">
        <v>28366.345810443847</v>
      </c>
      <c r="AB21" s="8" t="n">
        <v>4025.2358328158884</v>
      </c>
      <c r="AC21" s="8" t="n">
        <v>8413.073395973082</v>
      </c>
      <c r="AF21" s="23" t="s">
        <v>32</v>
      </c>
      <c r="AG21" s="8" t="n">
        <v>27802.20589787143</v>
      </c>
      <c r="AH21" s="8" t="n">
        <v>24587.882991808063</v>
      </c>
      <c r="AI21" s="8" t="n">
        <v>18081.897989260367</v>
      </c>
      <c r="AJ21" s="8" t="n">
        <v>34367.63891480188</v>
      </c>
      <c r="AK21" s="8" t="n">
        <v>1516.971444328017</v>
      </c>
      <c r="AL21" s="8" t="n">
        <v>21952.163503139946</v>
      </c>
      <c r="AM21" s="8" t="n">
        <v>48065.03659558082</v>
      </c>
      <c r="AN21" s="8" t="n">
        <v>12169.180855069804</v>
      </c>
      <c r="AO21" s="8" t="n">
        <v>11575.323968366683</v>
      </c>
      <c r="AP21" s="8" t="n">
        <v>1651.0605594922279</v>
      </c>
      <c r="AQ21" s="8" t="n">
        <v>36645.90826367038</v>
      </c>
      <c r="AR21" s="8" t="n">
        <v>22366.54541654029</v>
      </c>
    </row>
    <row r="22" customFormat="false" ht="15.6" hidden="false" customHeight="false" outlineLevel="0" collapsed="false">
      <c r="B22" s="23" t="s">
        <v>33</v>
      </c>
      <c r="C22" s="8" t="n">
        <v>64978.108072860894</v>
      </c>
      <c r="D22" s="8" t="n">
        <v>35161.592367320714</v>
      </c>
      <c r="E22" s="8" t="n">
        <v>60305.39794081063</v>
      </c>
      <c r="F22" s="8" t="n">
        <v>13275.06842999807</v>
      </c>
      <c r="G22" s="8" t="n">
        <v>12499.05623923747</v>
      </c>
      <c r="H22" s="8" t="n">
        <v>40022.70888655152</v>
      </c>
      <c r="I22" s="8" t="n">
        <v>52728.94790799601</v>
      </c>
      <c r="J22" s="8" t="n">
        <v>26158.424414829202</v>
      </c>
      <c r="K22" s="8" t="n">
        <v>32538.011987469054</v>
      </c>
      <c r="L22" s="8" t="n">
        <v>12287.497870510504</v>
      </c>
      <c r="M22" s="8" t="n">
        <v>69455.26155587379</v>
      </c>
      <c r="N22" s="8" t="n">
        <v>44379.24145860739</v>
      </c>
      <c r="Q22" s="23" t="s">
        <v>33</v>
      </c>
      <c r="R22" s="8" t="n">
        <v>106931.235172114</v>
      </c>
      <c r="S22" s="8" t="n">
        <v>24815.27245356288</v>
      </c>
      <c r="T22" s="8" t="n">
        <v>30472.105286312</v>
      </c>
      <c r="U22" s="8" t="n">
        <v>71842.52322347784</v>
      </c>
      <c r="V22" s="8" t="n">
        <v>31533.67459269724</v>
      </c>
      <c r="W22" s="8" t="n">
        <v>11720.459335903151</v>
      </c>
      <c r="X22" s="8" t="n">
        <v>56048.22897543207</v>
      </c>
      <c r="Y22" s="8" t="n">
        <v>6920.3845442831625</v>
      </c>
      <c r="Z22" s="8" t="n">
        <v>20949.465003733043</v>
      </c>
      <c r="AA22" s="8" t="n">
        <v>5761.421079427057</v>
      </c>
      <c r="AB22" s="8" t="n">
        <v>8391.208502583253</v>
      </c>
      <c r="AC22" s="8" t="n">
        <v>22283.670236860937</v>
      </c>
      <c r="AF22" s="23" t="s">
        <v>33</v>
      </c>
      <c r="AG22" s="8" t="n">
        <v>91147.83544526546</v>
      </c>
      <c r="AH22" s="8" t="n">
        <v>18918.07882128522</v>
      </c>
      <c r="AI22" s="8" t="n">
        <v>89308.28365622078</v>
      </c>
      <c r="AJ22" s="8" t="n">
        <v>41259.070507692544</v>
      </c>
      <c r="AK22" s="8" t="n">
        <v>13998.25412700642</v>
      </c>
      <c r="AL22" s="8" t="n">
        <v>23784.136476229294</v>
      </c>
      <c r="AM22" s="8" t="n">
        <v>147879.9051826078</v>
      </c>
      <c r="AN22" s="8" t="n">
        <v>48952.08173263316</v>
      </c>
      <c r="AO22" s="8" t="n">
        <v>16237.159629304058</v>
      </c>
      <c r="AP22" s="8" t="n">
        <v>41420.755816939425</v>
      </c>
      <c r="AQ22" s="8" t="n">
        <v>38981.57605352446</v>
      </c>
      <c r="AR22" s="8" t="n">
        <v>44890.37116088437</v>
      </c>
    </row>
    <row r="23" customFormat="false" ht="15.6" hidden="false" customHeight="false" outlineLevel="0" collapsed="false">
      <c r="B23" s="23" t="s">
        <v>34</v>
      </c>
      <c r="C23" s="8" t="n">
        <v>34613.62553523349</v>
      </c>
      <c r="D23" s="8"/>
      <c r="E23" s="8" t="n">
        <v>2336.9200054223325</v>
      </c>
      <c r="F23" s="8" t="n">
        <v>25930.26266472952</v>
      </c>
      <c r="G23" s="8" t="n">
        <v>21803.69773006924</v>
      </c>
      <c r="H23" s="8" t="n">
        <v>1364.2560201663398</v>
      </c>
      <c r="I23" s="8" t="n">
        <v>595.7003793742678</v>
      </c>
      <c r="J23" s="8" t="n">
        <v>0.0</v>
      </c>
      <c r="K23" s="8" t="n">
        <v>1273.616342348343</v>
      </c>
      <c r="L23" s="8" t="n">
        <v>233.51794033734095</v>
      </c>
      <c r="M23" s="8" t="n">
        <v>34771.82542934</v>
      </c>
      <c r="N23" s="8" t="n">
        <v>0.0</v>
      </c>
      <c r="Q23" s="23" t="s">
        <v>34</v>
      </c>
      <c r="R23" s="8" t="n">
        <v>3932.2286222034045</v>
      </c>
      <c r="S23" s="8"/>
      <c r="T23" s="8" t="n">
        <v>4499.347008163405</v>
      </c>
      <c r="U23" s="8" t="n">
        <v>3808.7735017239725</v>
      </c>
      <c r="V23" s="8" t="n">
        <v>3071.9930048975466</v>
      </c>
      <c r="W23" s="8" t="n">
        <v>1212.3160531261956</v>
      </c>
      <c r="X23" s="8" t="n">
        <v>1345.2419103819611</v>
      </c>
      <c r="Y23" s="8" t="n">
        <v>0.0</v>
      </c>
      <c r="Z23" s="8" t="n">
        <v>1685.1976131311014</v>
      </c>
      <c r="AA23" s="8" t="n">
        <v>86.43585893792341</v>
      </c>
      <c r="AB23" s="8" t="n">
        <v>53458.60101937332</v>
      </c>
      <c r="AC23" s="8" t="n">
        <v>0.0</v>
      </c>
      <c r="AF23" s="23" t="s">
        <v>34</v>
      </c>
      <c r="AG23" s="8" t="n">
        <v>53535.44990306855</v>
      </c>
      <c r="AH23" s="8"/>
      <c r="AI23" s="8" t="n">
        <v>1025.9411421600762</v>
      </c>
      <c r="AJ23" s="8" t="n">
        <v>1768.250124871269</v>
      </c>
      <c r="AK23" s="8" t="n">
        <v>206.52069186963178</v>
      </c>
      <c r="AL23" s="8" t="n">
        <v>2522.3173844998523</v>
      </c>
      <c r="AM23" s="8" t="n">
        <v>975.2532769185405</v>
      </c>
      <c r="AN23" s="8" t="n">
        <v>0.0</v>
      </c>
      <c r="AO23" s="8" t="n">
        <v>1782.8940239539484</v>
      </c>
      <c r="AP23" s="8" t="n">
        <v>294.1832930097368</v>
      </c>
      <c r="AQ23" s="8" t="n">
        <v>3366.160755322585</v>
      </c>
      <c r="AR23" s="8" t="n">
        <v>0.0</v>
      </c>
    </row>
    <row r="24" customFormat="false" ht="15.6" hidden="false" customHeight="false" outlineLevel="0" collapsed="false">
      <c r="B24" s="23" t="s">
        <v>35</v>
      </c>
      <c r="C24" s="8" t="n">
        <v>194665.51097701653</v>
      </c>
      <c r="D24" s="8" t="n">
        <v>111447.47422622793</v>
      </c>
      <c r="E24" s="8" t="n">
        <v>26086.1966148719</v>
      </c>
      <c r="F24" s="8" t="n">
        <v>97222.48630952228</v>
      </c>
      <c r="G24" s="8" t="n">
        <v>10963.519022176297</v>
      </c>
      <c r="H24" s="8" t="n">
        <v>23604.348695395915</v>
      </c>
      <c r="I24" s="8" t="n">
        <v>22918.195613957043</v>
      </c>
      <c r="J24" s="8" t="n">
        <v>28090.952347858725</v>
      </c>
      <c r="K24" s="8" t="n">
        <v>114357.09457405598</v>
      </c>
      <c r="L24" s="8" t="n">
        <v>131191.9104992446</v>
      </c>
      <c r="M24" s="8" t="n">
        <v>54706.67934027963</v>
      </c>
      <c r="N24" s="8" t="n">
        <v>84846.41601469043</v>
      </c>
      <c r="Q24" s="23" t="s">
        <v>35</v>
      </c>
      <c r="R24" s="8" t="n">
        <v>4002.6578477795206</v>
      </c>
      <c r="S24" s="8" t="n">
        <v>121488.3457104319</v>
      </c>
      <c r="T24" s="8" t="n">
        <v>70524.19500372888</v>
      </c>
      <c r="U24" s="8" t="n">
        <v>104139.17275292531</v>
      </c>
      <c r="V24" s="8" t="n">
        <v>87021.63482425176</v>
      </c>
      <c r="W24" s="8" t="n">
        <v>68122.23962270154</v>
      </c>
      <c r="X24" s="8" t="n">
        <v>18868.185373638265</v>
      </c>
      <c r="Y24" s="8" t="n">
        <v>11283.127270455487</v>
      </c>
      <c r="Z24" s="8" t="n">
        <v>172688.34498010206</v>
      </c>
      <c r="AA24" s="8" t="n">
        <v>18326.57236368114</v>
      </c>
      <c r="AB24" s="8" t="n">
        <v>34351.8310976191</v>
      </c>
      <c r="AC24" s="8" t="n">
        <v>9089.213659003595</v>
      </c>
      <c r="AF24" s="23" t="s">
        <v>35</v>
      </c>
      <c r="AG24" s="8" t="n">
        <v>58427.434870667435</v>
      </c>
      <c r="AH24" s="8" t="n">
        <v>108627.08619624074</v>
      </c>
      <c r="AI24" s="8" t="n">
        <v>31803.60274316286</v>
      </c>
      <c r="AJ24" s="8" t="n">
        <v>26231.285145058468</v>
      </c>
      <c r="AK24" s="8" t="n">
        <v>9298.532551548966</v>
      </c>
      <c r="AL24" s="8" t="n">
        <v>35367.072903197506</v>
      </c>
      <c r="AM24" s="8" t="n">
        <v>42449.16881842867</v>
      </c>
      <c r="AN24" s="8" t="n">
        <v>15111.092333444543</v>
      </c>
      <c r="AO24" s="8" t="n">
        <v>60729.31903594677</v>
      </c>
      <c r="AP24" s="8" t="n">
        <v>130930.84570889686</v>
      </c>
      <c r="AQ24" s="8" t="n">
        <v>92864.81381314088</v>
      </c>
      <c r="AR24" s="8" t="n">
        <v>54401.33199694053</v>
      </c>
    </row>
    <row r="25" customFormat="false" ht="15.6" hidden="false" customHeight="false" outlineLevel="0" collapsed="false">
      <c r="B25" s="24" t="s">
        <v>36</v>
      </c>
      <c r="C25" s="25" t="n">
        <v>31832.726891218896</v>
      </c>
      <c r="D25" s="25" t="n">
        <v>63067.19158515993</v>
      </c>
      <c r="E25" s="25" t="n">
        <v>35517.31804460744</v>
      </c>
      <c r="F25" s="25" t="n">
        <v>57241.43654745584</v>
      </c>
      <c r="G25" s="25" t="n">
        <v>99811.91004096794</v>
      </c>
      <c r="H25" s="25" t="n">
        <v>16886.489549295264</v>
      </c>
      <c r="I25" s="25" t="n">
        <v>98320.62527044084</v>
      </c>
      <c r="J25" s="25" t="n">
        <v>134289.37493283677</v>
      </c>
      <c r="K25" s="25" t="n">
        <v>99741.47409732912</v>
      </c>
      <c r="L25" s="25" t="n">
        <v>58041.027837371206</v>
      </c>
      <c r="M25" s="25" t="n">
        <v>25887.97773999321</v>
      </c>
      <c r="N25" s="26" t="n">
        <v>16391.8098877377</v>
      </c>
      <c r="Q25" s="24" t="s">
        <v>36</v>
      </c>
      <c r="R25" s="25" t="n">
        <v>23223.913473191744</v>
      </c>
      <c r="S25" s="25" t="n">
        <v>41339.181324714904</v>
      </c>
      <c r="T25" s="25" t="n">
        <v>25753.683383233805</v>
      </c>
      <c r="U25" s="25" t="n">
        <v>46034.889715113895</v>
      </c>
      <c r="V25" s="25" t="n">
        <v>123606.57982113736</v>
      </c>
      <c r="W25" s="25" t="n">
        <v>74578.25935105795</v>
      </c>
      <c r="X25" s="25" t="n">
        <v>113102.07989317503</v>
      </c>
      <c r="Y25" s="25" t="n">
        <v>54804.71852468085</v>
      </c>
      <c r="Z25" s="25" t="n">
        <v>64689.451231967156</v>
      </c>
      <c r="AA25" s="25" t="n">
        <v>122957.05747967421</v>
      </c>
      <c r="AB25" s="25" t="n">
        <v>27121.960316221204</v>
      </c>
      <c r="AC25" s="26" t="n">
        <v>3421.0583675293688</v>
      </c>
      <c r="AF25" s="24" t="s">
        <v>36</v>
      </c>
      <c r="AG25" s="25" t="n">
        <v>82253.12899108834</v>
      </c>
      <c r="AH25" s="25" t="n">
        <v>76947.24307015464</v>
      </c>
      <c r="AI25" s="25" t="n">
        <v>34671.12216224002</v>
      </c>
      <c r="AJ25" s="25" t="n">
        <v>37625.635133155105</v>
      </c>
      <c r="AK25" s="25" t="n">
        <v>40278.21629191045</v>
      </c>
      <c r="AL25" s="25" t="n">
        <v>58050.42885747995</v>
      </c>
      <c r="AM25" s="25" t="n">
        <v>1244.361850085646</v>
      </c>
      <c r="AN25" s="25" t="n">
        <v>125970.30529238371</v>
      </c>
      <c r="AO25" s="25" t="n">
        <v>25710.12868462148</v>
      </c>
      <c r="AP25" s="25" t="n">
        <v>57794.16710828742</v>
      </c>
      <c r="AQ25" s="25" t="n">
        <v>37824.29060022202</v>
      </c>
      <c r="AR25" s="26" t="n">
        <v>32440.46446882321</v>
      </c>
    </row>
    <row r="26" customFormat="false" ht="15.6" hidden="false" customHeight="false" outlineLevel="0" collapsed="false">
      <c r="B26" s="27" t="s">
        <v>37</v>
      </c>
      <c r="C26" s="28" t="n">
        <f aca="false">SUM(C18:C25)</f>
        <v>155101.68851557528</v>
      </c>
      <c r="D26" s="29" t="n">
        <f aca="false">SUM(D18:D25)</f>
        <v>455122.9350395322</v>
      </c>
      <c r="E26" s="29" t="n">
        <f aca="false">SUM(E18:E25)</f>
        <v>258290.59154766702</v>
      </c>
      <c r="F26" s="29" t="n">
        <f aca="false">SUM(F18:F25)</f>
        <v>1242053.762233874</v>
      </c>
      <c r="G26" s="29" t="n">
        <f aca="false">SUM(G18:G25)</f>
        <v>546524.8244043742</v>
      </c>
      <c r="H26" s="29" t="n">
        <f aca="false">SUM(H18:H25)</f>
        <v>1191370.7808437066</v>
      </c>
      <c r="I26" s="29" t="n">
        <f aca="false">SUM(I18:I25)</f>
        <v>679296.1978607974</v>
      </c>
      <c r="J26" s="29" t="n">
        <f aca="false">SUM(J18:J25)</f>
        <v>1280067.0602542697</v>
      </c>
      <c r="K26" s="29" t="n">
        <f aca="false">SUM(K18:K25)</f>
        <v>1005719.768802685</v>
      </c>
      <c r="L26" s="29" t="n">
        <f aca="false">SUM(L18:L25)</f>
        <v>477459.42284012673</v>
      </c>
      <c r="M26" s="29" t="n">
        <f aca="false">SUM(M18:M25)</f>
        <v>910114.4084685148</v>
      </c>
      <c r="N26" s="29" t="n">
        <f aca="false">SUM(N18:N25)</f>
        <v>288489.5388147207</v>
      </c>
      <c r="Q26" s="27" t="s">
        <v>37</v>
      </c>
      <c r="R26" s="28" t="n">
        <f aca="false">SUM(R18:R25)</f>
        <v>1311349.5333466916</v>
      </c>
      <c r="S26" s="29" t="n">
        <f aca="false">SUM(S18:S25)</f>
        <v>1009518.7351750311</v>
      </c>
      <c r="T26" s="29" t="n">
        <f aca="false">SUM(T18:T25)</f>
        <v>509560.78354849946</v>
      </c>
      <c r="U26" s="29" t="n">
        <f aca="false">SUM(U18:U25)</f>
        <v>270556.4407089783</v>
      </c>
      <c r="V26" s="29" t="n">
        <f aca="false">SUM(V18:V25)</f>
        <v>584934.0110604798</v>
      </c>
      <c r="W26" s="29" t="n">
        <f aca="false">SUM(W18:W25)</f>
        <v>571093.4029659079</v>
      </c>
      <c r="X26" s="29" t="n">
        <f aca="false">SUM(X18:X25)</f>
        <v>112466.93957749325</v>
      </c>
      <c r="Y26" s="29" t="n">
        <f aca="false">SUM(Y18:Y25)</f>
        <v>1249469.1614171315</v>
      </c>
      <c r="Z26" s="29" t="n">
        <f aca="false">SUM(Z18:Z25)</f>
        <v>1608203.6078942777</v>
      </c>
      <c r="AA26" s="29" t="n">
        <f aca="false">SUM(AA18:AA25)</f>
        <v>1301432.9902580043</v>
      </c>
      <c r="AB26" s="29" t="n">
        <f aca="false">SUM(AB18:AB25)</f>
        <v>145324.63991808938</v>
      </c>
      <c r="AC26" s="29" t="n">
        <f aca="false">SUM(AC18:AC25)</f>
        <v>690092.2330346885</v>
      </c>
      <c r="AF26" s="27" t="s">
        <v>37</v>
      </c>
      <c r="AG26" s="28" t="n">
        <f aca="false">SUM(AG18:AG25)</f>
        <v>702292.520297724</v>
      </c>
      <c r="AH26" s="29" t="n">
        <f aca="false">SUM(AH18:AH25)</f>
        <v>214568.6088015965</v>
      </c>
      <c r="AI26" s="29" t="n">
        <f aca="false">SUM(AI18:AI25)</f>
        <v>1186094.8892039582</v>
      </c>
      <c r="AJ26" s="29" t="n">
        <f aca="false">SUM(AJ18:AJ25)</f>
        <v>1368340.7216383647</v>
      </c>
      <c r="AK26" s="29" t="n">
        <f aca="false">SUM(AK18:AK25)</f>
        <v>847327.500342864</v>
      </c>
      <c r="AL26" s="29" t="n">
        <f aca="false">SUM(AL18:AL25)</f>
        <v>797598.1739617919</v>
      </c>
      <c r="AM26" s="29" t="n">
        <f aca="false">SUM(AM18:AM25)</f>
        <v>1259160.7194952122</v>
      </c>
      <c r="AN26" s="29" t="n">
        <f aca="false">SUM(AN18:AN25)</f>
        <v>98192.21886451171</v>
      </c>
      <c r="AO26" s="29" t="n">
        <f aca="false">SUM(AO18:AO25)</f>
        <v>52346.575882504854</v>
      </c>
      <c r="AP26" s="29" t="n">
        <f aca="false">SUM(AP18:AP25)</f>
        <v>616680.2599739104</v>
      </c>
      <c r="AQ26" s="29" t="n">
        <f aca="false">SUM(AQ18:AQ25)</f>
        <v>1116681.561046483</v>
      </c>
      <c r="AR26" s="29" t="n">
        <f aca="false">SUM(AR18:AR25)</f>
        <v>509342.6754828514</v>
      </c>
    </row>
    <row r="27" customFormat="false" ht="15.6" hidden="false" customHeight="false" outlineLevel="0" collapsed="false">
      <c r="B27" s="27" t="s">
        <v>38</v>
      </c>
      <c r="C27" s="28" t="n">
        <v>16595.8326147148</v>
      </c>
      <c r="D27" s="29" t="n">
        <v>201541.16311509477</v>
      </c>
      <c r="E27" s="29" t="n">
        <v>248435.23134300965</v>
      </c>
      <c r="F27" s="29" t="n">
        <v>111261.48574272111</v>
      </c>
      <c r="G27" s="29" t="n">
        <v>127695.9357654601</v>
      </c>
      <c r="H27" s="29" t="n">
        <v>86930.8627093528</v>
      </c>
      <c r="I27" s="29" t="n">
        <v>7633.312262495512</v>
      </c>
      <c r="J27" s="29" t="n">
        <v>183297.14864671542</v>
      </c>
      <c r="K27" s="29" t="n">
        <v>403766.00847438263</v>
      </c>
      <c r="L27" s="29" t="n">
        <v>35260.11532288019</v>
      </c>
      <c r="M27" s="29" t="n">
        <v>143121.24826349306</v>
      </c>
      <c r="N27" s="29" t="n">
        <v>424696.64090328314</v>
      </c>
      <c r="Q27" s="27" t="s">
        <v>38</v>
      </c>
      <c r="R27" s="28" t="n">
        <v>185224.8417138879</v>
      </c>
      <c r="S27" s="29" t="n">
        <v>83011.105801678</v>
      </c>
      <c r="T27" s="29" t="n">
        <v>224820.44733194966</v>
      </c>
      <c r="U27" s="29" t="n">
        <v>115013.76495773604</v>
      </c>
      <c r="V27" s="29" t="n">
        <v>84301.29139370842</v>
      </c>
      <c r="W27" s="29" t="n">
        <v>172952.88638310996</v>
      </c>
      <c r="X27" s="29" t="n">
        <v>93756.39211319995</v>
      </c>
      <c r="Y27" s="29" t="n">
        <v>213457.3632412405</v>
      </c>
      <c r="Z27" s="29" t="n">
        <v>347164.15866848856</v>
      </c>
      <c r="AA27" s="29" t="n">
        <v>215601.1481722575</v>
      </c>
      <c r="AB27" s="29" t="n">
        <v>76164.91111324258</v>
      </c>
      <c r="AC27" s="29" t="n">
        <v>175801.90728845834</v>
      </c>
      <c r="AF27" s="27" t="s">
        <v>38</v>
      </c>
      <c r="AG27" s="28" t="n">
        <v>137640.1391605278</v>
      </c>
      <c r="AH27" s="29" t="n">
        <v>187577.21840885837</v>
      </c>
      <c r="AI27" s="29" t="n">
        <v>7775.498868984976</v>
      </c>
      <c r="AJ27" s="29" t="n">
        <v>57982.430722595345</v>
      </c>
      <c r="AK27" s="29" t="n">
        <v>18156.447628213955</v>
      </c>
      <c r="AL27" s="29" t="n">
        <v>70410.93281992408</v>
      </c>
      <c r="AM27" s="29" t="n">
        <v>323966.7697032522</v>
      </c>
      <c r="AN27" s="29" t="n">
        <v>107098.13072495985</v>
      </c>
      <c r="AO27" s="29" t="n">
        <v>37343.73263606826</v>
      </c>
      <c r="AP27" s="29" t="n">
        <v>281995.9600225519</v>
      </c>
      <c r="AQ27" s="29" t="n">
        <v>317191.42795378336</v>
      </c>
      <c r="AR27" s="29" t="n">
        <v>597377.6619494843</v>
      </c>
    </row>
    <row r="28" customFormat="false" ht="15.6" hidden="false" customHeight="false" outlineLevel="0" collapsed="false">
      <c r="B28" s="23" t="s">
        <v>39</v>
      </c>
      <c r="C28" s="8" t="n">
        <v>1160745.4282674775</v>
      </c>
      <c r="D28" s="8" t="n">
        <v>358409.8060571633</v>
      </c>
      <c r="E28" s="8" t="n">
        <v>37378.9790955961</v>
      </c>
      <c r="F28" s="8" t="n">
        <v>463145.73347106914</v>
      </c>
      <c r="G28" s="8" t="n">
        <v>200679.67373626123</v>
      </c>
      <c r="H28" s="8" t="n">
        <v>72402.74304648417</v>
      </c>
      <c r="I28" s="8" t="n">
        <v>160901.8511819343</v>
      </c>
      <c r="J28" s="8" t="n">
        <v>158600.48662322713</v>
      </c>
      <c r="K28" s="8" t="n">
        <v>107995.80916981141</v>
      </c>
      <c r="L28" s="8" t="n">
        <v>71178.55382639839</v>
      </c>
      <c r="M28" s="8" t="n">
        <v>886295.0124742616</v>
      </c>
      <c r="N28" s="8" t="n">
        <v>9872.899585720223</v>
      </c>
      <c r="Q28" s="23" t="s">
        <v>39</v>
      </c>
      <c r="R28" s="8" t="n">
        <v>627310.8239822814</v>
      </c>
      <c r="S28" s="8" t="n">
        <v>162214.505492944</v>
      </c>
      <c r="T28" s="8" t="n">
        <v>229778.64583691728</v>
      </c>
      <c r="U28" s="8" t="n">
        <v>469557.66693963495</v>
      </c>
      <c r="V28" s="8" t="n">
        <v>298350.1869882479</v>
      </c>
      <c r="W28" s="8" t="n">
        <v>164160.66863990118</v>
      </c>
      <c r="X28" s="8" t="n">
        <v>234397.2994567453</v>
      </c>
      <c r="Y28" s="8" t="n">
        <v>265985.3286559338</v>
      </c>
      <c r="Z28" s="8" t="n">
        <v>17338.135835443107</v>
      </c>
      <c r="AA28" s="8" t="n">
        <v>22704.93860783766</v>
      </c>
      <c r="AB28" s="8" t="n">
        <v>950117.335953388</v>
      </c>
      <c r="AC28" s="8" t="n">
        <v>10481.00580974397</v>
      </c>
      <c r="AF28" s="23" t="s">
        <v>39</v>
      </c>
      <c r="AG28" s="8" t="n">
        <v>1001427.0908399902</v>
      </c>
      <c r="AH28" s="8" t="n">
        <v>102263.45153178419</v>
      </c>
      <c r="AI28" s="8" t="n">
        <v>177694.35493810716</v>
      </c>
      <c r="AJ28" s="8" t="n">
        <v>36282.962054808755</v>
      </c>
      <c r="AK28" s="8" t="n">
        <v>391338.9924999131</v>
      </c>
      <c r="AL28" s="8" t="n">
        <v>97877.7542168051</v>
      </c>
      <c r="AM28" s="8" t="n">
        <v>317805.20437950385</v>
      </c>
      <c r="AN28" s="8" t="n">
        <v>549792.770429607</v>
      </c>
      <c r="AO28" s="8" t="n">
        <v>247959.96191497456</v>
      </c>
      <c r="AP28" s="8" t="n">
        <v>169518.26341121082</v>
      </c>
      <c r="AQ28" s="8" t="n">
        <v>983672.6757105056</v>
      </c>
      <c r="AR28" s="8" t="n">
        <v>40421.775612568716</v>
      </c>
    </row>
    <row r="29" customFormat="false" ht="15.6" hidden="false" customHeight="false" outlineLevel="0" collapsed="false">
      <c r="B29" s="23" t="s">
        <v>40</v>
      </c>
      <c r="C29" s="8" t="n">
        <v>14898.982421623034</v>
      </c>
      <c r="D29" s="8" t="n">
        <v>95201.06409372526</v>
      </c>
      <c r="E29" s="8" t="n">
        <v>444172.52881707257</v>
      </c>
      <c r="F29" s="8" t="n">
        <v>118883.64991687551</v>
      </c>
      <c r="G29" s="8" t="n">
        <v>40266.38230438335</v>
      </c>
      <c r="H29" s="8" t="n">
        <v>370457.3781667969</v>
      </c>
      <c r="I29" s="8" t="n">
        <v>347049.6245006766</v>
      </c>
      <c r="J29" s="8" t="n">
        <v>97362.49829824208</v>
      </c>
      <c r="K29" s="8" t="n">
        <v>400066.29355629964</v>
      </c>
      <c r="L29" s="8" t="n">
        <v>277962.75120699545</v>
      </c>
      <c r="M29" s="8" t="n">
        <v>568442.1066463072</v>
      </c>
      <c r="N29" s="8" t="n">
        <v>38200.64593660123</v>
      </c>
      <c r="Q29" s="23" t="s">
        <v>40</v>
      </c>
      <c r="R29" s="8" t="n">
        <v>72662.44657890708</v>
      </c>
      <c r="S29" s="8" t="n">
        <v>7110.145600731403</v>
      </c>
      <c r="T29" s="8" t="n">
        <v>440620.63160932914</v>
      </c>
      <c r="U29" s="8" t="n">
        <v>225081.9589257927</v>
      </c>
      <c r="V29" s="8" t="n">
        <v>2694.715267797508</v>
      </c>
      <c r="W29" s="8" t="n">
        <v>102681.23240817378</v>
      </c>
      <c r="X29" s="8" t="n">
        <v>307419.18454990204</v>
      </c>
      <c r="Y29" s="8" t="n">
        <v>269177.3490180809</v>
      </c>
      <c r="Z29" s="8" t="n">
        <v>627001.5170030824</v>
      </c>
      <c r="AA29" s="8" t="n">
        <v>122528.2174305281</v>
      </c>
      <c r="AB29" s="8" t="n">
        <v>369720.62734059116</v>
      </c>
      <c r="AC29" s="8" t="n">
        <v>17496.85020216593</v>
      </c>
      <c r="AF29" s="23" t="s">
        <v>40</v>
      </c>
      <c r="AG29" s="8" t="n">
        <v>28843.713860465898</v>
      </c>
      <c r="AH29" s="8" t="n">
        <v>73534.68872020116</v>
      </c>
      <c r="AI29" s="8" t="n">
        <v>125417.72329964023</v>
      </c>
      <c r="AJ29" s="8" t="n">
        <v>24434.024922577646</v>
      </c>
      <c r="AK29" s="8" t="n">
        <v>73931.28067592098</v>
      </c>
      <c r="AL29" s="8" t="n">
        <v>381666.4362850216</v>
      </c>
      <c r="AM29" s="8" t="n">
        <v>73060.3337434465</v>
      </c>
      <c r="AN29" s="8" t="n">
        <v>251941.8444361305</v>
      </c>
      <c r="AO29" s="8" t="n">
        <v>562922.4705103074</v>
      </c>
      <c r="AP29" s="8" t="n">
        <v>629533.4810505637</v>
      </c>
      <c r="AQ29" s="8" t="n">
        <v>382818.1702320918</v>
      </c>
      <c r="AR29" s="8" t="n">
        <v>25802.599839518633</v>
      </c>
    </row>
    <row r="30" customFormat="false" ht="15.6" hidden="false" customHeight="false" outlineLevel="0" collapsed="false">
      <c r="B30" s="23" t="s">
        <v>41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Q30" s="23" t="s">
        <v>41</v>
      </c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F30" s="23" t="s">
        <v>41</v>
      </c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</row>
    <row r="31" customFormat="false" ht="15.6" hidden="false" customHeight="false" outlineLevel="0" collapsed="false">
      <c r="B31" s="24" t="s">
        <v>42</v>
      </c>
      <c r="C31" s="25" t="n">
        <v>70512.94305239907</v>
      </c>
      <c r="D31" s="25" t="n">
        <v>12057.969387680381</v>
      </c>
      <c r="E31" s="25" t="n">
        <v>55188.24644478872</v>
      </c>
      <c r="F31" s="25" t="n">
        <v>53094.39629086346</v>
      </c>
      <c r="G31" s="25" t="n">
        <v>36645.69938816463</v>
      </c>
      <c r="H31" s="25" t="n">
        <v>70792.97235954914</v>
      </c>
      <c r="I31" s="25" t="n">
        <v>649.3246630719441</v>
      </c>
      <c r="J31" s="25" t="n">
        <v>54055.13813976054</v>
      </c>
      <c r="K31" s="25" t="n">
        <v>101282.37063966235</v>
      </c>
      <c r="L31" s="25" t="n">
        <v>165162.10109026913</v>
      </c>
      <c r="M31" s="25" t="n">
        <v>27558.347400596118</v>
      </c>
      <c r="N31" s="26" t="n">
        <v>106504.39876875367</v>
      </c>
      <c r="Q31" s="24" t="s">
        <v>42</v>
      </c>
      <c r="R31" s="25" t="n">
        <v>135062.1506188231</v>
      </c>
      <c r="S31" s="25" t="n">
        <v>7663.453479617005</v>
      </c>
      <c r="T31" s="25" t="n">
        <v>91669.4554078491</v>
      </c>
      <c r="U31" s="25" t="n">
        <v>77813.16543210956</v>
      </c>
      <c r="V31" s="25" t="n">
        <v>46837.36337461659</v>
      </c>
      <c r="W31" s="25" t="n">
        <v>7803.324701262022</v>
      </c>
      <c r="X31" s="25" t="n">
        <v>17742.207236851445</v>
      </c>
      <c r="Y31" s="25" t="n">
        <v>29774.228013284708</v>
      </c>
      <c r="Z31" s="25" t="n">
        <v>361237.4304492204</v>
      </c>
      <c r="AA31" s="25" t="n">
        <v>98038.60125156138</v>
      </c>
      <c r="AB31" s="25" t="n">
        <v>24879.020526884982</v>
      </c>
      <c r="AC31" s="26" t="n">
        <v>91273.08415851546</v>
      </c>
      <c r="AF31" s="24" t="s">
        <v>42</v>
      </c>
      <c r="AG31" s="25" t="n">
        <v>326216.47656198917</v>
      </c>
      <c r="AH31" s="25" t="n">
        <v>16348.039760686705</v>
      </c>
      <c r="AI31" s="25" t="n">
        <v>133874.67809062646</v>
      </c>
      <c r="AJ31" s="25" t="n">
        <v>158513.3307081764</v>
      </c>
      <c r="AK31" s="25" t="n">
        <v>13748.06954146358</v>
      </c>
      <c r="AL31" s="25" t="n">
        <v>39189.07195009132</v>
      </c>
      <c r="AM31" s="25" t="n">
        <v>748.2817756134208</v>
      </c>
      <c r="AN31" s="25" t="n">
        <v>45556.5598431086</v>
      </c>
      <c r="AO31" s="25" t="n">
        <v>328609.4654035434</v>
      </c>
      <c r="AP31" s="25" t="n">
        <v>98928.15897924746</v>
      </c>
      <c r="AQ31" s="25" t="n">
        <v>813.1670608508799</v>
      </c>
      <c r="AR31" s="26" t="n">
        <v>25053.835212857713</v>
      </c>
    </row>
    <row r="32" customFormat="false" ht="15.6" hidden="false" customHeight="false" outlineLevel="0" collapsed="false">
      <c r="B32" s="27" t="s">
        <v>43</v>
      </c>
      <c r="C32" s="29" t="n">
        <f aca="false">SUM(C28:C31)</f>
        <v>430554.1888140873</v>
      </c>
      <c r="D32" s="29" t="n">
        <f aca="false">SUM(D28:D31)</f>
        <v>480200.6347828888</v>
      </c>
      <c r="E32" s="29" t="n">
        <f aca="false">SUM(E28:E31)</f>
        <v>684373.4671795173</v>
      </c>
      <c r="F32" s="29" t="n">
        <f aca="false">SUM(F28:F31)</f>
        <v>614932.3951404198</v>
      </c>
      <c r="G32" s="29" t="n">
        <f aca="false">SUM(G28:G31)</f>
        <v>445914.5855412638</v>
      </c>
      <c r="H32" s="29" t="n">
        <f aca="false">SUM(H28:H31)</f>
        <v>319497.9777762317</v>
      </c>
      <c r="I32" s="29" t="n">
        <f aca="false">SUM(I28:I31)</f>
        <v>616616.7800133745</v>
      </c>
      <c r="J32" s="29" t="n">
        <f aca="false">SUM(J28:J31)</f>
        <v>312605.0854831044</v>
      </c>
      <c r="K32" s="29" t="n">
        <f aca="false">SUM(K28:K31)</f>
        <v>1650438.3579800585</v>
      </c>
      <c r="L32" s="29" t="n">
        <f aca="false">SUM(L28:L31)</f>
        <v>1242184.239923447</v>
      </c>
      <c r="M32" s="29" t="n">
        <f aca="false">SUM(M28:M31)</f>
        <v>124496.8034013273</v>
      </c>
      <c r="N32" s="29" t="n">
        <f aca="false">SUM(N28:N31)</f>
        <v>136393.57098369452</v>
      </c>
      <c r="Q32" s="27" t="s">
        <v>43</v>
      </c>
      <c r="R32" s="29" t="n">
        <f aca="false">SUM(R28:R31)</f>
        <v>651159.9473908781</v>
      </c>
      <c r="S32" s="29" t="n">
        <f aca="false">SUM(S28:S31)</f>
        <v>522844.3728700014</v>
      </c>
      <c r="T32" s="29" t="n">
        <f aca="false">SUM(T28:T31)</f>
        <v>328616.6753471563</v>
      </c>
      <c r="U32" s="29" t="n">
        <f aca="false">SUM(U28:U31)</f>
        <v>411294.61141208076</v>
      </c>
      <c r="V32" s="29" t="n">
        <f aca="false">SUM(V28:V31)</f>
        <v>314886.2738516877</v>
      </c>
      <c r="W32" s="29" t="n">
        <f aca="false">SUM(W28:W31)</f>
        <v>125630.1608105165</v>
      </c>
      <c r="X32" s="29" t="n">
        <f aca="false">SUM(X28:X31)</f>
        <v>292024.2937526723</v>
      </c>
      <c r="Y32" s="29" t="n">
        <f aca="false">SUM(Y28:Y31)</f>
        <v>197084.58464503585</v>
      </c>
      <c r="Z32" s="29" t="n">
        <f aca="false">SUM(Z28:Z31)</f>
        <v>557194.3150286976</v>
      </c>
      <c r="AA32" s="29" t="n">
        <f aca="false">SUM(AA28:AA31)</f>
        <v>1046635.1323749596</v>
      </c>
      <c r="AB32" s="29" t="n">
        <f aca="false">SUM(AB28:AB31)</f>
        <v>12030.357528854503</v>
      </c>
      <c r="AC32" s="29" t="n">
        <f aca="false">SUM(AC28:AC31)</f>
        <v>326280.0016225006</v>
      </c>
      <c r="AF32" s="27" t="s">
        <v>43</v>
      </c>
      <c r="AG32" s="29" t="n">
        <f aca="false">SUM(AG28:AG31)</f>
        <v>1718405.3527643278</v>
      </c>
      <c r="AH32" s="29" t="n">
        <f aca="false">SUM(AH28:AH31)</f>
        <v>643758.4591241789</v>
      </c>
      <c r="AI32" s="29" t="n">
        <f aca="false">SUM(AI28:AI31)</f>
        <v>563677.285356386</v>
      </c>
      <c r="AJ32" s="29" t="n">
        <f aca="false">SUM(AJ28:AJ31)</f>
        <v>637632.4775639944</v>
      </c>
      <c r="AK32" s="29" t="n">
        <f aca="false">SUM(AK28:AK31)</f>
        <v>131241.2131823076</v>
      </c>
      <c r="AL32" s="29" t="n">
        <f aca="false">SUM(AL28:AL31)</f>
        <v>107009.98658343738</v>
      </c>
      <c r="AM32" s="29" t="n">
        <f aca="false">SUM(AM28:AM31)</f>
        <v>833388.6136527003</v>
      </c>
      <c r="AN32" s="29" t="n">
        <f aca="false">SUM(AN28:AN31)</f>
        <v>185328.63336256403</v>
      </c>
      <c r="AO32" s="29" t="n">
        <f aca="false">SUM(AO28:AO31)</f>
        <v>12690.240613654756</v>
      </c>
      <c r="AP32" s="29" t="n">
        <f aca="false">SUM(AP28:AP31)</f>
        <v>1453020.0741413422</v>
      </c>
      <c r="AQ32" s="29" t="n">
        <f aca="false">SUM(AQ28:AQ31)</f>
        <v>1675353.170586008</v>
      </c>
      <c r="AR32" s="29" t="n">
        <f aca="false">SUM(AR28:AR31)</f>
        <v>190766.7749480961</v>
      </c>
    </row>
    <row r="33" customFormat="false" ht="15.6" hidden="false" customHeight="false" outlineLevel="0" collapsed="false">
      <c r="B33" s="30" t="s">
        <v>44</v>
      </c>
      <c r="C33" s="21" t="n">
        <f aca="false">SUM(C26,C27,C32)</f>
        <v>2911878.020415683</v>
      </c>
      <c r="D33" s="21" t="n">
        <f aca="false">SUM(D26,D27,D32)</f>
        <v>1891951.320973123</v>
      </c>
      <c r="E33" s="21" t="n">
        <f aca="false">SUM(E26,E27,E32)</f>
        <v>2916713.4819786786</v>
      </c>
      <c r="F33" s="21" t="n">
        <f aca="false">SUM(F26,F27,F32)</f>
        <v>209155.3687174099</v>
      </c>
      <c r="G33" s="21" t="n">
        <f aca="false">SUM(G26,G27,G32)</f>
        <v>1700166.8775864802</v>
      </c>
      <c r="H33" s="21" t="n">
        <f aca="false">SUM(H26,H27,H32)</f>
        <v>1912609.0351964217</v>
      </c>
      <c r="I33" s="21" t="n">
        <f aca="false">SUM(I26,I27,I32)</f>
        <v>652843.6210730093</v>
      </c>
      <c r="J33" s="21" t="n">
        <f aca="false">SUM(J26,J27,J32)</f>
        <v>656845.1500097667</v>
      </c>
      <c r="K33" s="21" t="n">
        <v>2338439.5382407573</v>
      </c>
      <c r="L33" s="21" t="n">
        <f aca="false">SUM(L26,L27,L32)</f>
        <v>2040535.0278093347</v>
      </c>
      <c r="M33" s="21" t="n">
        <f aca="false">SUM(M26,M27,M32)</f>
        <v>1485492.3449614795</v>
      </c>
      <c r="N33" s="21" t="n">
        <f aca="false">SUM(N26,N27,N32)</f>
        <v>2063959.1484445198</v>
      </c>
      <c r="Q33" s="30" t="s">
        <v>44</v>
      </c>
      <c r="R33" s="21" t="n">
        <f aca="false">SUM(R26,R27,R32)</f>
        <v>191708.30296429733</v>
      </c>
      <c r="S33" s="21" t="n">
        <f aca="false">SUM(S26,S27,S32)</f>
        <v>838723.4943418548</v>
      </c>
      <c r="T33" s="21" t="n">
        <f aca="false">SUM(T26,T27,T32)</f>
        <v>1748474.3069073062</v>
      </c>
      <c r="U33" s="21" t="n">
        <f aca="false">SUM(U26,U27,U32)</f>
        <v>2009355.3096333796</v>
      </c>
      <c r="V33" s="21" t="n">
        <f aca="false">SUM(V26,V27,V32)</f>
        <v>2067190.0230825196</v>
      </c>
      <c r="W33" s="21" t="n">
        <f aca="false">SUM(W26,W27,W32)</f>
        <v>2070719.9636319648</v>
      </c>
      <c r="X33" s="21" t="n">
        <f aca="false">SUM(X26,X27,X32)</f>
        <v>961351.8958960493</v>
      </c>
      <c r="Y33" s="21" t="n">
        <f aca="false">SUM(Y26,Y27,Y32)</f>
        <v>1239049.8931444285</v>
      </c>
      <c r="Z33" s="21" t="n">
        <v>2891314.418272786</v>
      </c>
      <c r="AA33" s="21" t="n">
        <f aca="false">SUM(AA26,AA27,AA32)</f>
        <v>2088384.8737197088</v>
      </c>
      <c r="AB33" s="21" t="n">
        <f aca="false">SUM(AB26,AB27,AB32)</f>
        <v>1584762.1298565858</v>
      </c>
      <c r="AC33" s="21" t="n">
        <f aca="false">SUM(AC26,AC27,AC32)</f>
        <v>370855.0737459858</v>
      </c>
      <c r="AF33" s="30" t="s">
        <v>44</v>
      </c>
      <c r="AG33" s="21" t="n">
        <f aca="false">SUM(AG26,AG27,AG32)</f>
        <v>3119720.1661696625</v>
      </c>
      <c r="AH33" s="21" t="n">
        <f aca="false">SUM(AH26,AH27,AH32)</f>
        <v>1746288.2203188913</v>
      </c>
      <c r="AI33" s="21" t="n">
        <f aca="false">SUM(AI26,AI27,AI32)</f>
        <v>235996.37333983992</v>
      </c>
      <c r="AJ33" s="21" t="n">
        <f aca="false">SUM(AJ26,AJ27,AJ32)</f>
        <v>914362.7770128456</v>
      </c>
      <c r="AK33" s="21" t="n">
        <f aca="false">SUM(AK26,AK27,AK32)</f>
        <v>1639519.6877550706</v>
      </c>
      <c r="AL33" s="21" t="n">
        <f aca="false">SUM(AL26,AL27,AL32)</f>
        <v>894576.5855754988</v>
      </c>
      <c r="AM33" s="21" t="n">
        <f aca="false">SUM(AM26,AM27,AM32)</f>
        <v>1330905.781106133</v>
      </c>
      <c r="AN33" s="21" t="n">
        <f aca="false">SUM(AN26,AN27,AN32)</f>
        <v>1105163.9694920043</v>
      </c>
      <c r="AO33" s="21" t="n">
        <v>3414427.0127488486</v>
      </c>
      <c r="AP33" s="21" t="n">
        <f aca="false">SUM(AP26,AP27,AP32)</f>
        <v>2851167.6632787534</v>
      </c>
      <c r="AQ33" s="21" t="n">
        <f aca="false">SUM(AQ26,AQ27,AQ32)</f>
        <v>1170337.2258390042</v>
      </c>
      <c r="AR33" s="21" t="n">
        <f aca="false">SUM(AR26,AR27,AR32)</f>
        <v>365716.95365769434</v>
      </c>
    </row>
    <row r="34" customFormat="false" ht="15.6" hidden="false" customHeight="false" outlineLevel="0" collapsed="false">
      <c r="B34" s="24" t="s">
        <v>45</v>
      </c>
      <c r="C34" s="25" t="n">
        <v>2255474.899181738</v>
      </c>
      <c r="D34" s="25" t="n">
        <v>3755676.06684979</v>
      </c>
      <c r="E34" s="25" t="n">
        <v>2695703.6982903006</v>
      </c>
      <c r="F34" s="25" t="n">
        <v>3866240.448960306</v>
      </c>
      <c r="G34" s="25" t="n">
        <v>1113679.8295354408</v>
      </c>
      <c r="H34" s="25" t="n">
        <v>1668714.41368193</v>
      </c>
      <c r="I34" s="25" t="n">
        <v>1347670.7952113093</v>
      </c>
      <c r="J34" s="25" t="n">
        <v>1377066.007513242</v>
      </c>
      <c r="K34" s="25" t="n">
        <v>144164.68036664193</v>
      </c>
      <c r="L34" s="25" t="n">
        <v>2793447.5397807574</v>
      </c>
      <c r="M34" s="25" t="n">
        <v>4203439.322521964</v>
      </c>
      <c r="N34" s="25" t="n">
        <v>710949.7436801392</v>
      </c>
      <c r="Q34" s="24" t="s">
        <v>45</v>
      </c>
      <c r="R34" s="25" t="n">
        <v>1480095.3075868443</v>
      </c>
      <c r="S34" s="25" t="n">
        <v>2841614.938293195</v>
      </c>
      <c r="T34" s="25" t="n">
        <v>625524.6335053692</v>
      </c>
      <c r="U34" s="25" t="n">
        <v>4050212.4127841974</v>
      </c>
      <c r="V34" s="25" t="n">
        <v>967113.6251382001</v>
      </c>
      <c r="W34" s="25" t="n">
        <v>1996535.2712143774</v>
      </c>
      <c r="X34" s="25" t="n">
        <v>118542.89652918262</v>
      </c>
      <c r="Y34" s="25" t="n">
        <v>4208228.870390948</v>
      </c>
      <c r="Z34" s="25" t="n">
        <v>4858664.918355096</v>
      </c>
      <c r="AA34" s="25" t="n">
        <v>3538344.480931766</v>
      </c>
      <c r="AB34" s="25" t="n">
        <v>4477346.767440193</v>
      </c>
      <c r="AC34" s="25" t="n">
        <v>919750.1009852481</v>
      </c>
      <c r="AF34" s="24" t="s">
        <v>45</v>
      </c>
      <c r="AG34" s="25" t="n">
        <v>2561669.728191004</v>
      </c>
      <c r="AH34" s="25" t="n">
        <v>243522.66518227156</v>
      </c>
      <c r="AI34" s="25" t="n">
        <v>727364.0669585143</v>
      </c>
      <c r="AJ34" s="25" t="n">
        <v>633140.0059985362</v>
      </c>
      <c r="AK34" s="25" t="n">
        <v>1759775.7934625803</v>
      </c>
      <c r="AL34" s="25" t="n">
        <v>2934678.529556684</v>
      </c>
      <c r="AM34" s="25" t="n">
        <v>2956288.10137806</v>
      </c>
      <c r="AN34" s="25" t="n">
        <v>1642009.6631998355</v>
      </c>
      <c r="AO34" s="25" t="n">
        <v>5964970.12370253</v>
      </c>
      <c r="AP34" s="25" t="n">
        <v>2211169.107421402</v>
      </c>
      <c r="AQ34" s="25" t="n">
        <v>5175566.452790301</v>
      </c>
      <c r="AR34" s="25" t="n">
        <v>1981261.1088596364</v>
      </c>
    </row>
    <row r="35" customFormat="false" ht="15.6" hidden="false" customHeight="false" outlineLevel="0" collapsed="false">
      <c r="B35" s="30" t="s">
        <v>46</v>
      </c>
      <c r="C35" s="21" t="n">
        <f aca="false">SUM(C34)</f>
        <v>98262.49209047193</v>
      </c>
      <c r="D35" s="21" t="n">
        <f aca="false">SUM(D34)</f>
        <v>644263.170695472</v>
      </c>
      <c r="E35" s="21" t="n">
        <f aca="false">SUM(E34)</f>
        <v>600555.8031542465</v>
      </c>
      <c r="F35" s="21" t="n">
        <f aca="false">SUM(F34)</f>
        <v>2349205.545113363</v>
      </c>
      <c r="G35" s="21" t="n">
        <f aca="false">SUM(G34)</f>
        <v>1341246.4470033399</v>
      </c>
      <c r="H35" s="21" t="n">
        <f aca="false">SUM(H34)</f>
        <v>2618618.808039475</v>
      </c>
      <c r="I35" s="21" t="n">
        <f aca="false">SUM(I34)</f>
        <v>547173.0361508848</v>
      </c>
      <c r="J35" s="21" t="n">
        <f aca="false">SUM(J34)</f>
        <v>2703856.5639740797</v>
      </c>
      <c r="K35" s="21" t="n">
        <f aca="false">SUM(K34)</f>
        <v>3994378.6658370476</v>
      </c>
      <c r="L35" s="21" t="n">
        <f aca="false">SUM(L34)</f>
        <v>5272503.946893104</v>
      </c>
      <c r="M35" s="21" t="n">
        <f aca="false">SUM(M34)</f>
        <v>2877471.2014219477</v>
      </c>
      <c r="N35" s="21" t="n">
        <f aca="false">SUM(N34)</f>
        <v>2569787.2435644474</v>
      </c>
      <c r="Q35" s="30" t="s">
        <v>46</v>
      </c>
      <c r="R35" s="21" t="n">
        <f aca="false">SUM(R34)</f>
        <v>3817588.1431090506</v>
      </c>
      <c r="S35" s="21" t="n">
        <f aca="false">SUM(S34)</f>
        <v>1814760.0636761037</v>
      </c>
      <c r="T35" s="21" t="n">
        <f aca="false">SUM(T34)</f>
        <v>4767822.596665293</v>
      </c>
      <c r="U35" s="21" t="n">
        <f aca="false">SUM(U34)</f>
        <v>2275387.6242596484</v>
      </c>
      <c r="V35" s="21" t="n">
        <f aca="false">SUM(V34)</f>
        <v>1945192.4191799848</v>
      </c>
      <c r="W35" s="21" t="n">
        <f aca="false">SUM(W34)</f>
        <v>1944015.1974752708</v>
      </c>
      <c r="X35" s="21" t="n">
        <f aca="false">SUM(X34)</f>
        <v>707102.6954787472</v>
      </c>
      <c r="Y35" s="21" t="n">
        <f aca="false">SUM(Y34)</f>
        <v>2639057.6405930184</v>
      </c>
      <c r="Z35" s="21" t="n">
        <f aca="false">SUM(Z34)</f>
        <v>1651459.9939057396</v>
      </c>
      <c r="AA35" s="21" t="n">
        <f aca="false">SUM(AA34)</f>
        <v>3272691.0796784335</v>
      </c>
      <c r="AB35" s="21" t="n">
        <f aca="false">SUM(AB34)</f>
        <v>4115581.976364362</v>
      </c>
      <c r="AC35" s="21" t="n">
        <f aca="false">SUM(AC34)</f>
        <v>2115226.5369242686</v>
      </c>
      <c r="AF35" s="30" t="s">
        <v>46</v>
      </c>
      <c r="AG35" s="21" t="n">
        <f aca="false">SUM(AG34)</f>
        <v>512262.05261976714</v>
      </c>
      <c r="AH35" s="21" t="n">
        <f aca="false">SUM(AH34)</f>
        <v>647880.6567401551</v>
      </c>
      <c r="AI35" s="21" t="n">
        <f aca="false">SUM(AI34)</f>
        <v>2683688.341525949</v>
      </c>
      <c r="AJ35" s="21" t="n">
        <f aca="false">SUM(AJ34)</f>
        <v>4791936.283643423</v>
      </c>
      <c r="AK35" s="21" t="n">
        <f aca="false">SUM(AK34)</f>
        <v>2054113.5726365452</v>
      </c>
      <c r="AL35" s="21" t="n">
        <f aca="false">SUM(AL34)</f>
        <v>2542495.9040140975</v>
      </c>
      <c r="AM35" s="21" t="n">
        <f aca="false">SUM(AM34)</f>
        <v>3358966.5689040227</v>
      </c>
      <c r="AN35" s="21" t="n">
        <f aca="false">SUM(AN34)</f>
        <v>3908665.6207176642</v>
      </c>
      <c r="AO35" s="21" t="n">
        <f aca="false">SUM(AO34)</f>
        <v>479936.7463844047</v>
      </c>
      <c r="AP35" s="21" t="n">
        <f aca="false">SUM(AP34)</f>
        <v>4730289.294892754</v>
      </c>
      <c r="AQ35" s="21" t="n">
        <f aca="false">SUM(AQ34)</f>
        <v>5382505.34339102</v>
      </c>
      <c r="AR35" s="21" t="n">
        <f aca="false">SUM(AR34)</f>
        <v>1056265.6516476497</v>
      </c>
    </row>
    <row r="36" customFormat="false" ht="15.6" hidden="false" customHeight="false" outlineLevel="0" collapsed="false">
      <c r="B36" s="24" t="s">
        <v>47</v>
      </c>
      <c r="C36" s="31" t="n">
        <v>160411.44822785133</v>
      </c>
      <c r="D36" s="25" t="n">
        <v>580586.6202445638</v>
      </c>
      <c r="E36" s="25" t="n">
        <v>1050779.192009576</v>
      </c>
      <c r="F36" s="25" t="n">
        <v>53150.40934204997</v>
      </c>
      <c r="G36" s="25" t="n">
        <v>315260.5841277996</v>
      </c>
      <c r="H36" s="25" t="n">
        <v>166841.99628708884</v>
      </c>
      <c r="I36" s="25" t="n">
        <v>245982.35347151733</v>
      </c>
      <c r="J36" s="25" t="n">
        <v>912956.1725319455</v>
      </c>
      <c r="K36" s="25" t="n">
        <v>500755.75882294256</v>
      </c>
      <c r="L36" s="25" t="n">
        <v>1042025.8879529446</v>
      </c>
      <c r="M36" s="25" t="n">
        <v>988284.4674760507</v>
      </c>
      <c r="N36" s="25" t="n">
        <v>137447.3481662151</v>
      </c>
      <c r="Q36" s="24" t="s">
        <v>47</v>
      </c>
      <c r="R36" s="31" t="n">
        <v>552897.2101587253</v>
      </c>
      <c r="S36" s="25" t="n">
        <v>346660.781153199</v>
      </c>
      <c r="T36" s="25" t="n">
        <v>304436.2408059365</v>
      </c>
      <c r="U36" s="25" t="n">
        <v>823877.9273177789</v>
      </c>
      <c r="V36" s="25" t="n">
        <v>952550.7053990562</v>
      </c>
      <c r="W36" s="25" t="n">
        <v>318165.57024524227</v>
      </c>
      <c r="X36" s="25" t="n">
        <v>648296.6922165372</v>
      </c>
      <c r="Y36" s="25" t="n">
        <v>70914.45307505294</v>
      </c>
      <c r="Z36" s="25" t="n">
        <v>413713.6076838723</v>
      </c>
      <c r="AA36" s="25" t="n">
        <v>315099.4672640928</v>
      </c>
      <c r="AB36" s="25" t="n">
        <v>1050945.153172448</v>
      </c>
      <c r="AC36" s="25" t="n">
        <v>453746.48242834315</v>
      </c>
      <c r="AF36" s="24" t="s">
        <v>47</v>
      </c>
      <c r="AG36" s="31" t="n">
        <v>1234939.3086670395</v>
      </c>
      <c r="AH36" s="25" t="n">
        <v>633306.1461087812</v>
      </c>
      <c r="AI36" s="25" t="n">
        <v>321499.4069548106</v>
      </c>
      <c r="AJ36" s="25" t="n">
        <v>40858.84772086872</v>
      </c>
      <c r="AK36" s="25" t="n">
        <v>288195.1247256099</v>
      </c>
      <c r="AL36" s="25" t="n">
        <v>345285.97752481076</v>
      </c>
      <c r="AM36" s="25" t="n">
        <v>533953.5695233778</v>
      </c>
      <c r="AN36" s="25" t="n">
        <v>563983.8171020708</v>
      </c>
      <c r="AO36" s="25" t="n">
        <v>570958.8038213614</v>
      </c>
      <c r="AP36" s="25" t="n">
        <v>624347.0477292894</v>
      </c>
      <c r="AQ36" s="25" t="n">
        <v>101563.01768094327</v>
      </c>
      <c r="AR36" s="25" t="n">
        <v>137109.32402659173</v>
      </c>
    </row>
    <row r="37" customFormat="false" ht="15.6" hidden="false" customHeight="false" outlineLevel="0" collapsed="false">
      <c r="B37" s="30" t="s">
        <v>48</v>
      </c>
      <c r="C37" s="21" t="n">
        <f aca="false">SUM(C36)</f>
        <v>94624.35563113607</v>
      </c>
      <c r="D37" s="21" t="n">
        <f aca="false">SUM(D36)</f>
        <v>1125547.1215438151</v>
      </c>
      <c r="E37" s="21" t="n">
        <f aca="false">SUM(E36)</f>
        <v>323172.7616788348</v>
      </c>
      <c r="F37" s="21" t="n">
        <f aca="false">SUM(F36)</f>
        <v>214270.67960215095</v>
      </c>
      <c r="G37" s="21" t="n">
        <f aca="false">SUM(G36)</f>
        <v>75246.84118880262</v>
      </c>
      <c r="H37" s="21" t="n">
        <f aca="false">SUM(H36)</f>
        <v>251606.75799533635</v>
      </c>
      <c r="I37" s="21" t="n">
        <f aca="false">SUM(I36)</f>
        <v>199776.86973019742</v>
      </c>
      <c r="J37" s="21" t="n">
        <f aca="false">SUM(J36)</f>
        <v>447059.89676517027</v>
      </c>
      <c r="K37" s="21" t="n">
        <f aca="false">SUM(K36)</f>
        <v>360599.4145884514</v>
      </c>
      <c r="L37" s="21" t="n">
        <f aca="false">SUM(L36)</f>
        <v>702649.4765356292</v>
      </c>
      <c r="M37" s="21" t="n">
        <f aca="false">SUM(M36)</f>
        <v>679907.9683474064</v>
      </c>
      <c r="N37" s="21" t="n">
        <f aca="false">SUM(N36)</f>
        <v>616456.7201082299</v>
      </c>
      <c r="Q37" s="30" t="s">
        <v>48</v>
      </c>
      <c r="R37" s="21" t="n">
        <f aca="false">SUM(R36)</f>
        <v>477522.38275730645</v>
      </c>
      <c r="S37" s="21" t="n">
        <f aca="false">SUM(S36)</f>
        <v>1181739.6326370204</v>
      </c>
      <c r="T37" s="21" t="n">
        <f aca="false">SUM(T36)</f>
        <v>711480.0287004465</v>
      </c>
      <c r="U37" s="21" t="n">
        <f aca="false">SUM(U36)</f>
        <v>21178.029801384073</v>
      </c>
      <c r="V37" s="21" t="n">
        <f aca="false">SUM(V36)</f>
        <v>762531.8645473587</v>
      </c>
      <c r="W37" s="21" t="n">
        <f aca="false">SUM(W36)</f>
        <v>503721.9592527693</v>
      </c>
      <c r="X37" s="21" t="n">
        <f aca="false">SUM(X36)</f>
        <v>21399.360340489995</v>
      </c>
      <c r="Y37" s="21" t="n">
        <f aca="false">SUM(Y36)</f>
        <v>1019653.4965751185</v>
      </c>
      <c r="Z37" s="21" t="n">
        <f aca="false">SUM(Z36)</f>
        <v>859301.5373869875</v>
      </c>
      <c r="AA37" s="21" t="n">
        <f aca="false">SUM(AA36)</f>
        <v>301161.09260762157</v>
      </c>
      <c r="AB37" s="21" t="n">
        <f aca="false">SUM(AB36)</f>
        <v>431857.25531896774</v>
      </c>
      <c r="AC37" s="21" t="n">
        <f aca="false">SUM(AC36)</f>
        <v>1079866.0957343369</v>
      </c>
      <c r="AF37" s="30" t="s">
        <v>48</v>
      </c>
      <c r="AG37" s="21" t="n">
        <f aca="false">SUM(AG36)</f>
        <v>1242563.2752684944</v>
      </c>
      <c r="AH37" s="21" t="n">
        <f aca="false">SUM(AH36)</f>
        <v>543457.8539224362</v>
      </c>
      <c r="AI37" s="21" t="n">
        <f aca="false">SUM(AI36)</f>
        <v>663092.6058875351</v>
      </c>
      <c r="AJ37" s="21" t="n">
        <f aca="false">SUM(AJ36)</f>
        <v>25242.110692339393</v>
      </c>
      <c r="AK37" s="21" t="n">
        <f aca="false">SUM(AK36)</f>
        <v>117988.48225887597</v>
      </c>
      <c r="AL37" s="21" t="n">
        <f aca="false">SUM(AL36)</f>
        <v>301958.88558657526</v>
      </c>
      <c r="AM37" s="21" t="n">
        <f aca="false">SUM(AM36)</f>
        <v>766128.0647427503</v>
      </c>
      <c r="AN37" s="21" t="n">
        <f aca="false">SUM(AN36)</f>
        <v>52823.15431610323</v>
      </c>
      <c r="AO37" s="21" t="n">
        <f aca="false">SUM(AO36)</f>
        <v>106938.49191036716</v>
      </c>
      <c r="AP37" s="21" t="n">
        <f aca="false">SUM(AP36)</f>
        <v>760025.5712079734</v>
      </c>
      <c r="AQ37" s="21" t="n">
        <f aca="false">SUM(AQ36)</f>
        <v>782690.3410141</v>
      </c>
      <c r="AR37" s="21" t="n">
        <f aca="false">SUM(AR36)</f>
        <v>383843.4664020857</v>
      </c>
    </row>
    <row r="38" customFormat="false" ht="15.6" hidden="false" customHeight="false" outlineLevel="0" collapsed="false">
      <c r="B38" s="32" t="s">
        <v>49</v>
      </c>
      <c r="C38" s="33" t="n">
        <f aca="false">SUM(C15,C17,C33,C35,C37)</f>
        <v>9902820.627779866</v>
      </c>
      <c r="D38" s="33" t="n">
        <f aca="false">SUM(D15,D17,D33,D35,D37)</f>
        <v>7164165.988537635</v>
      </c>
      <c r="E38" s="33" t="n">
        <f aca="false">SUM(E15,E17,E33,E35,E37)</f>
        <v>5620105.026317805</v>
      </c>
      <c r="F38" s="33" t="n">
        <f aca="false">SUM(F15,F17,F33,F35,F37)</f>
        <v>11507600.62053847</v>
      </c>
      <c r="G38" s="33" t="n">
        <f aca="false">SUM(G15,G17,G33,G35,G37)</f>
        <v>2606934.550341275</v>
      </c>
      <c r="H38" s="33" t="n">
        <f aca="false">SUM(H15,H17,H33,H35,H37)</f>
        <v>8445001.051860796</v>
      </c>
      <c r="I38" s="33" t="n">
        <f aca="false">SUM(I15,I17,I33,I35,I37)</f>
        <v>4611816.595609797</v>
      </c>
      <c r="J38" s="33" t="n">
        <f aca="false">SUM(J15,J17,J33,J35,J37)</f>
        <v>5312252.323801703</v>
      </c>
      <c r="K38" s="33" t="n">
        <f aca="false">SUM(K15,K17,K33,K35,K37)</f>
        <v>2662276.064023244</v>
      </c>
      <c r="L38" s="33" t="n">
        <f aca="false">SUM(L15,L17,L33,L35,L37)</f>
        <v>244789.28238063943</v>
      </c>
      <c r="M38" s="33" t="n">
        <f aca="false">SUM(M15,M17,M33,M35,M37)</f>
        <v>11178870.17835112</v>
      </c>
      <c r="N38" s="33" t="n">
        <f aca="false">SUM(N15,N17,N33,N35,N37)</f>
        <v>6382927.917963177</v>
      </c>
      <c r="Q38" s="32" t="s">
        <v>49</v>
      </c>
      <c r="R38" s="33" t="n">
        <f aca="false">SUM(R15,R17,R33,R35,R37)</f>
        <v>10697152.907151327</v>
      </c>
      <c r="S38" s="33" t="n">
        <f aca="false">SUM(S15,S17,S33,S35,S37)</f>
        <v>5160661.235854557</v>
      </c>
      <c r="T38" s="33" t="n">
        <f aca="false">SUM(T15,T17,T33,T35,T37)</f>
        <v>1917448.361222764</v>
      </c>
      <c r="U38" s="33" t="n">
        <f aca="false">SUM(U15,U17,U33,U35,U37)</f>
        <v>4405747.015051926</v>
      </c>
      <c r="V38" s="33" t="n">
        <f aca="false">SUM(V15,V17,V33,V35,V37)</f>
        <v>1131752.7642550296</v>
      </c>
      <c r="W38" s="33" t="n">
        <f aca="false">SUM(W15,W17,W33,W35,W37)</f>
        <v>8373769.571759163</v>
      </c>
      <c r="X38" s="33" t="n">
        <f aca="false">SUM(X15,X17,X33,X35,X37)</f>
        <v>8760122.430244582</v>
      </c>
      <c r="Y38" s="33" t="n">
        <f aca="false">SUM(Y15,Y17,Y33,Y35,Y37)</f>
        <v>3061238.3712965073</v>
      </c>
      <c r="Z38" s="33" t="n">
        <f aca="false">SUM(Z15,Z17,Z33,Z35,Z37)</f>
        <v>598296.7082316364</v>
      </c>
      <c r="AA38" s="33" t="n">
        <f aca="false">SUM(AA15,AA17,AA33,AA35,AA37)</f>
        <v>6611412.173973183</v>
      </c>
      <c r="AB38" s="33" t="n">
        <f aca="false">SUM(AB15,AB17,AB33,AB35,AB37)</f>
        <v>2697911.634754865</v>
      </c>
      <c r="AC38" s="33" t="n">
        <f aca="false">SUM(AC15,AC17,AC33,AC35,AC37)</f>
        <v>6459055.401868435</v>
      </c>
      <c r="AF38" s="32" t="s">
        <v>49</v>
      </c>
      <c r="AG38" s="33" t="n">
        <f aca="false">SUM(AG15,AG17,AG33,AG35,AG37)</f>
        <v>7292568.306263641</v>
      </c>
      <c r="AH38" s="33" t="n">
        <f aca="false">SUM(AH15,AH17,AH33,AH35,AH37)</f>
        <v>4221657.641771416</v>
      </c>
      <c r="AI38" s="33" t="n">
        <f aca="false">SUM(AI15,AI17,AI33,AI35,AI37)</f>
        <v>9237778.830075227</v>
      </c>
      <c r="AJ38" s="33" t="n">
        <f aca="false">SUM(AJ15,AJ17,AJ33,AJ35,AJ37)</f>
        <v>6164058.005164481</v>
      </c>
      <c r="AK38" s="33" t="n">
        <f aca="false">SUM(AK15,AK17,AK33,AK35,AK37)</f>
        <v>7620113.18704966</v>
      </c>
      <c r="AL38" s="33" t="n">
        <f aca="false">SUM(AL15,AL17,AL33,AL35,AL37)</f>
        <v>4895886.683428821</v>
      </c>
      <c r="AM38" s="33" t="n">
        <f aca="false">SUM(AM15,AM17,AM33,AM35,AM37)</f>
        <v>4045705.7442228417</v>
      </c>
      <c r="AN38" s="33" t="n">
        <f aca="false">SUM(AN15,AN17,AN33,AN35,AN37)</f>
        <v>1384149.6869285128</v>
      </c>
      <c r="AO38" s="33" t="n">
        <f aca="false">SUM(AO15,AO17,AO33,AO35,AO37)</f>
        <v>7574500.6028325735</v>
      </c>
      <c r="AP38" s="33" t="n">
        <f aca="false">SUM(AP15,AP17,AP33,AP35,AP37)</f>
        <v>6048454.018677354</v>
      </c>
      <c r="AQ38" s="33" t="n">
        <f aca="false">SUM(AQ15,AQ17,AQ33,AQ35,AQ37)</f>
        <v>9089534.509141533</v>
      </c>
      <c r="AR38" s="33" t="n">
        <f aca="false">SUM(AR15,AR17,AR33,AR35,AR37)</f>
        <v>6207982.060108463</v>
      </c>
    </row>
    <row r="39" customFormat="false" ht="15" hidden="false" customHeight="false" outlineLevel="0" collapsed="false"/>
    <row r="40" customFormat="false" ht="15" hidden="false" customHeight="false" outlineLevel="0" collapsed="false"/>
    <row r="41" customFormat="false" ht="29.85" hidden="false" customHeight="false" outlineLevel="0" collapsed="false">
      <c r="B41" s="3" t="s">
        <v>50</v>
      </c>
      <c r="C41" s="4" t="s">
        <v>4</v>
      </c>
      <c r="D41" s="5" t="s">
        <v>5</v>
      </c>
      <c r="E41" s="5" t="s">
        <v>6</v>
      </c>
      <c r="F41" s="5" t="s">
        <v>7</v>
      </c>
      <c r="G41" s="5" t="s">
        <v>8</v>
      </c>
      <c r="H41" s="5" t="s">
        <v>51</v>
      </c>
      <c r="I41" s="5" t="s">
        <v>10</v>
      </c>
      <c r="J41" s="5" t="s">
        <v>11</v>
      </c>
      <c r="K41" s="5" t="s">
        <v>12</v>
      </c>
      <c r="L41" s="5" t="s">
        <v>13</v>
      </c>
      <c r="M41" s="5" t="s">
        <v>14</v>
      </c>
      <c r="N41" s="5" t="s">
        <v>15</v>
      </c>
      <c r="Q41" s="3" t="s">
        <v>50</v>
      </c>
      <c r="R41" s="4" t="s">
        <v>4</v>
      </c>
      <c r="S41" s="5" t="s">
        <v>5</v>
      </c>
      <c r="T41" s="5" t="s">
        <v>6</v>
      </c>
      <c r="U41" s="5" t="s">
        <v>7</v>
      </c>
      <c r="V41" s="5" t="s">
        <v>8</v>
      </c>
      <c r="W41" s="5" t="s">
        <v>51</v>
      </c>
      <c r="X41" s="5" t="s">
        <v>10</v>
      </c>
      <c r="Y41" s="5" t="s">
        <v>11</v>
      </c>
      <c r="Z41" s="5" t="s">
        <v>12</v>
      </c>
      <c r="AA41" s="5" t="s">
        <v>13</v>
      </c>
      <c r="AB41" s="5" t="s">
        <v>14</v>
      </c>
      <c r="AC41" s="5" t="s">
        <v>15</v>
      </c>
      <c r="AF41" s="3" t="s">
        <v>50</v>
      </c>
      <c r="AG41" s="4" t="s">
        <v>4</v>
      </c>
      <c r="AH41" s="5" t="s">
        <v>5</v>
      </c>
      <c r="AI41" s="5" t="s">
        <v>6</v>
      </c>
      <c r="AJ41" s="5" t="s">
        <v>7</v>
      </c>
      <c r="AK41" s="5" t="s">
        <v>8</v>
      </c>
      <c r="AL41" s="5" t="s">
        <v>51</v>
      </c>
      <c r="AM41" s="5" t="s">
        <v>10</v>
      </c>
      <c r="AN41" s="5" t="s">
        <v>11</v>
      </c>
      <c r="AO41" s="5" t="s">
        <v>12</v>
      </c>
      <c r="AP41" s="5" t="s">
        <v>13</v>
      </c>
      <c r="AQ41" s="5" t="s">
        <v>14</v>
      </c>
      <c r="AR41" s="5" t="s">
        <v>15</v>
      </c>
    </row>
    <row r="42" customFormat="false" ht="15.6" hidden="false" customHeight="false" outlineLevel="0" collapsed="false">
      <c r="B42" s="7" t="s">
        <v>16</v>
      </c>
      <c r="C42" s="8" t="n">
        <v>98304.10463507057</v>
      </c>
      <c r="D42" s="8" t="n">
        <v>6274.632591124561</v>
      </c>
      <c r="E42" s="8" t="n">
        <v>75383.05916544097</v>
      </c>
      <c r="F42" s="8" t="n">
        <v>4584.612755304316</v>
      </c>
      <c r="G42" s="8" t="n">
        <v>64128.158408338786</v>
      </c>
      <c r="H42" s="8" t="n">
        <v>22284.53321155216</v>
      </c>
      <c r="I42" s="8" t="n">
        <v>52343.489772930145</v>
      </c>
      <c r="J42" s="8" t="n">
        <v>6449.883922404982</v>
      </c>
      <c r="K42" s="8" t="n">
        <v>230079.5452406277</v>
      </c>
      <c r="L42" s="8" t="n">
        <v>8888.354782719056</v>
      </c>
      <c r="M42" s="8" t="n">
        <v>84217.67666825428</v>
      </c>
      <c r="N42" s="34" t="n">
        <v>9010.705274856171</v>
      </c>
      <c r="Q42" s="7" t="s">
        <v>16</v>
      </c>
      <c r="R42" s="8" t="n">
        <v>25323.288101170558</v>
      </c>
      <c r="S42" s="8" t="n">
        <v>1519.1984778986894</v>
      </c>
      <c r="T42" s="8" t="n">
        <v>6641.134209073824</v>
      </c>
      <c r="U42" s="8" t="n">
        <v>4192.825887768088</v>
      </c>
      <c r="V42" s="8" t="n">
        <v>62663.79220145358</v>
      </c>
      <c r="W42" s="8" t="n">
        <v>34831.90894079817</v>
      </c>
      <c r="X42" s="8" t="n">
        <v>47654.558888237865</v>
      </c>
      <c r="Y42" s="8" t="n">
        <v>10.757358281882421</v>
      </c>
      <c r="Z42" s="8" t="n">
        <v>137334.1420040706</v>
      </c>
      <c r="AA42" s="8" t="n">
        <v>1915.453630566145</v>
      </c>
      <c r="AB42" s="8" t="n">
        <v>18676.119917318472</v>
      </c>
      <c r="AC42" s="34" t="n">
        <v>6973.025243327378</v>
      </c>
      <c r="AF42" s="7" t="s">
        <v>16</v>
      </c>
      <c r="AG42" s="8" t="n">
        <v>34960.21600695181</v>
      </c>
      <c r="AH42" s="8" t="n">
        <v>8179.689005267284</v>
      </c>
      <c r="AI42" s="8" t="n">
        <v>37082.49582242024</v>
      </c>
      <c r="AJ42" s="8" t="n">
        <v>319.07860940173924</v>
      </c>
      <c r="AK42" s="8" t="n">
        <v>156225.27967411123</v>
      </c>
      <c r="AL42" s="8" t="n">
        <v>6264.225168729289</v>
      </c>
      <c r="AM42" s="8" t="n">
        <v>35016.98195395191</v>
      </c>
      <c r="AN42" s="8" t="n">
        <v>11697.664550907699</v>
      </c>
      <c r="AO42" s="8" t="n">
        <v>208592.8241344329</v>
      </c>
      <c r="AP42" s="8" t="n">
        <v>10012.19892049127</v>
      </c>
      <c r="AQ42" s="8" t="n">
        <v>43932.037162016764</v>
      </c>
      <c r="AR42" s="34" t="n">
        <v>9499.814309287638</v>
      </c>
    </row>
    <row r="43" customFormat="false" ht="15.6" hidden="false" customHeight="false" outlineLevel="0" collapsed="false">
      <c r="B43" s="7" t="s">
        <v>17</v>
      </c>
      <c r="C43" s="8" t="n">
        <v>2086.535587626561</v>
      </c>
      <c r="D43" s="8" t="n">
        <v>27179.685576419775</v>
      </c>
      <c r="E43" s="8" t="n">
        <v>180375.3562379484</v>
      </c>
      <c r="F43" s="8" t="n">
        <v>91975.31718770959</v>
      </c>
      <c r="G43" s="8" t="n">
        <v>49927.51041375557</v>
      </c>
      <c r="H43" s="8" t="n">
        <v>564012.515251834</v>
      </c>
      <c r="I43" s="8" t="n">
        <v>148213.8885038792</v>
      </c>
      <c r="J43" s="8" t="n">
        <v>68117.84339639168</v>
      </c>
      <c r="K43" s="8" t="n">
        <v>123358.43345865986</v>
      </c>
      <c r="L43" s="8" t="n">
        <v>34694.244116859336</v>
      </c>
      <c r="M43" s="8" t="n">
        <v>48380.79472479124</v>
      </c>
      <c r="N43" s="8" t="n">
        <v>371064.15728056565</v>
      </c>
      <c r="Q43" s="7" t="s">
        <v>17</v>
      </c>
      <c r="R43" s="8" t="n">
        <v>19628.476262087588</v>
      </c>
      <c r="S43" s="8" t="n">
        <v>28169.77334946713</v>
      </c>
      <c r="T43" s="8" t="n">
        <v>113343.68760523171</v>
      </c>
      <c r="U43" s="8" t="n">
        <v>108652.03165910945</v>
      </c>
      <c r="V43" s="8" t="n">
        <v>21709.190457390574</v>
      </c>
      <c r="W43" s="8" t="n">
        <v>71816.00281734162</v>
      </c>
      <c r="X43" s="8" t="n">
        <v>32362.367637593794</v>
      </c>
      <c r="Y43" s="8" t="n">
        <v>126435.33822248198</v>
      </c>
      <c r="Z43" s="8" t="n">
        <v>18120.983528165907</v>
      </c>
      <c r="AA43" s="8" t="n">
        <v>111183.47457694038</v>
      </c>
      <c r="AB43" s="8" t="n">
        <v>200394.26074290098</v>
      </c>
      <c r="AC43" s="8" t="n">
        <v>148086.81466196233</v>
      </c>
      <c r="AF43" s="7" t="s">
        <v>17</v>
      </c>
      <c r="AG43" s="8" t="n">
        <v>66541.10516719546</v>
      </c>
      <c r="AH43" s="8" t="n">
        <v>907.5343014579095</v>
      </c>
      <c r="AI43" s="8" t="n">
        <v>132307.30969011065</v>
      </c>
      <c r="AJ43" s="8" t="n">
        <v>50125.44054553384</v>
      </c>
      <c r="AK43" s="8" t="n">
        <v>202176.3553998301</v>
      </c>
      <c r="AL43" s="8" t="n">
        <v>507485.54011403845</v>
      </c>
      <c r="AM43" s="8" t="n">
        <v>74657.9189827511</v>
      </c>
      <c r="AN43" s="8" t="n">
        <v>105078.78298983295</v>
      </c>
      <c r="AO43" s="8" t="n">
        <v>240811.30972969616</v>
      </c>
      <c r="AP43" s="8" t="n">
        <v>38492.91521147849</v>
      </c>
      <c r="AQ43" s="8" t="n">
        <v>276775.02488574607</v>
      </c>
      <c r="AR43" s="8" t="n">
        <v>6935.991029632047</v>
      </c>
    </row>
    <row r="44" customFormat="false" ht="15.6" hidden="false" customHeight="false" outlineLevel="0" collapsed="false">
      <c r="B44" s="7" t="s">
        <v>18</v>
      </c>
      <c r="C44" s="8" t="n">
        <v>28527.03572657472</v>
      </c>
      <c r="D44" s="8" t="n">
        <f aca="false">D10/(1+$A44)</f>
        <v>6.836927770864215</v>
      </c>
      <c r="E44" s="8" t="n">
        <v>510091.9172510313</v>
      </c>
      <c r="F44" s="8" t="n">
        <f aca="false">F10/(1+$A44)</f>
        <v>23774.957209692086</v>
      </c>
      <c r="G44" s="8" t="n">
        <v>154175.60656708092</v>
      </c>
      <c r="H44" s="8" t="n">
        <v>56789.20336122707</v>
      </c>
      <c r="I44" s="8" t="n">
        <v>89662.13919817144</v>
      </c>
      <c r="J44" s="8" t="n">
        <v>89590.23271589361</v>
      </c>
      <c r="K44" s="8" t="n">
        <v>233356.36422364155</v>
      </c>
      <c r="L44" s="8" t="n">
        <v>75383.59762445206</v>
      </c>
      <c r="M44" s="8" t="n">
        <v>80306.85375814776</v>
      </c>
      <c r="N44" s="8" t="n">
        <v>13141.905326451919</v>
      </c>
      <c r="Q44" s="7" t="s">
        <v>18</v>
      </c>
      <c r="R44" s="8" t="n">
        <v>542235.10541546</v>
      </c>
      <c r="S44" s="8" t="n">
        <f aca="false">S10/(1+$A44)</f>
        <v>38.044124644747754</v>
      </c>
      <c r="T44" s="8" t="n">
        <v>109857.40651122735</v>
      </c>
      <c r="U44" s="8" t="n">
        <f aca="false">U10/(1+$A44)</f>
        <v>9916.157578942551</v>
      </c>
      <c r="V44" s="8" t="n">
        <v>151491.40133138688</v>
      </c>
      <c r="W44" s="8" t="n">
        <v>18394.31952955777</v>
      </c>
      <c r="X44" s="8" t="n">
        <v>49913.132440652225</v>
      </c>
      <c r="Y44" s="8" t="n">
        <v>244398.96944891228</v>
      </c>
      <c r="Z44" s="8" t="n">
        <v>53065.21405443011</v>
      </c>
      <c r="AA44" s="8" t="n">
        <v>58605.03513128207</v>
      </c>
      <c r="AB44" s="8" t="n">
        <v>520347.9607462412</v>
      </c>
      <c r="AC44" s="8" t="n">
        <v>12043.129184728488</v>
      </c>
      <c r="AF44" s="7" t="s">
        <v>18</v>
      </c>
      <c r="AG44" s="8" t="n">
        <v>535295.1873135607</v>
      </c>
      <c r="AH44" s="8" t="n">
        <f aca="false">AH10/(1+$A44)</f>
        <v>9.379620233165312</v>
      </c>
      <c r="AI44" s="8" t="n">
        <v>246484.40954929232</v>
      </c>
      <c r="AJ44" s="8" t="n">
        <f aca="false">AJ10/(1+$A44)</f>
        <v>11593.75848255117</v>
      </c>
      <c r="AK44" s="8" t="n">
        <v>9258.53841135597</v>
      </c>
      <c r="AL44" s="8" t="n">
        <v>83665.81430428133</v>
      </c>
      <c r="AM44" s="8" t="n">
        <v>53872.65157851361</v>
      </c>
      <c r="AN44" s="8" t="n">
        <v>15169.808914099778</v>
      </c>
      <c r="AO44" s="8" t="n">
        <v>240745.4932120118</v>
      </c>
      <c r="AP44" s="8" t="n">
        <v>78944.20628251028</v>
      </c>
      <c r="AQ44" s="8" t="n">
        <v>98765.66953634875</v>
      </c>
      <c r="AR44" s="8" t="n">
        <v>26376.28278483338</v>
      </c>
    </row>
    <row r="45" customFormat="false" ht="15.6" hidden="false" customHeight="false" outlineLevel="0" collapsed="false">
      <c r="B45" s="7" t="s">
        <v>19</v>
      </c>
      <c r="C45" s="8" t="n">
        <v>353582.24340504437</v>
      </c>
      <c r="D45" s="8" t="n">
        <v>168575.6230541092</v>
      </c>
      <c r="E45" s="8" t="n">
        <v>84093.98667530212</v>
      </c>
      <c r="F45" s="8" t="n">
        <v>598990.6135021701</v>
      </c>
      <c r="G45" s="8" t="n">
        <v>52836.6790963853</v>
      </c>
      <c r="H45" s="8" t="n">
        <v>242410.66555720958</v>
      </c>
      <c r="I45" s="8" t="n">
        <v>204547.67787831125</v>
      </c>
      <c r="J45" s="8" t="n">
        <v>203932.60951100363</v>
      </c>
      <c r="K45" s="8" t="n">
        <v>251409.0696559052</v>
      </c>
      <c r="L45" s="8" t="n">
        <v>155604.47046622116</v>
      </c>
      <c r="M45" s="8" t="n">
        <v>154091.82667408106</v>
      </c>
      <c r="N45" s="8" t="n">
        <v>559466.6336105786</v>
      </c>
      <c r="Q45" s="7" t="s">
        <v>19</v>
      </c>
      <c r="R45" s="8" t="n">
        <v>279405.1329160663</v>
      </c>
      <c r="S45" s="8" t="n">
        <v>537612.4065553925</v>
      </c>
      <c r="T45" s="8" t="n">
        <v>75711.58767575533</v>
      </c>
      <c r="U45" s="8" t="n">
        <v>841193.7496873343</v>
      </c>
      <c r="V45" s="8" t="n">
        <v>88377.55044310403</v>
      </c>
      <c r="W45" s="8" t="n">
        <v>532285.0739205685</v>
      </c>
      <c r="X45" s="8" t="n">
        <v>176495.56982220442</v>
      </c>
      <c r="Y45" s="8" t="n">
        <v>234524.91932057627</v>
      </c>
      <c r="Z45" s="8" t="n">
        <v>215831.34427095015</v>
      </c>
      <c r="AA45" s="8" t="n">
        <v>187147.97376165827</v>
      </c>
      <c r="AB45" s="8" t="n">
        <v>80681.0786368037</v>
      </c>
      <c r="AC45" s="8" t="n">
        <v>375753.61292757967</v>
      </c>
      <c r="AF45" s="7" t="s">
        <v>19</v>
      </c>
      <c r="AG45" s="8" t="n">
        <v>530657.5079637293</v>
      </c>
      <c r="AH45" s="8" t="n">
        <v>146289.05160670695</v>
      </c>
      <c r="AI45" s="8" t="n">
        <v>49402.44717277899</v>
      </c>
      <c r="AJ45" s="8" t="n">
        <v>138920.62265574292</v>
      </c>
      <c r="AK45" s="8" t="n">
        <v>73896.29385551513</v>
      </c>
      <c r="AL45" s="8" t="n">
        <v>567080.8646890857</v>
      </c>
      <c r="AM45" s="8" t="n">
        <v>151965.71363726974</v>
      </c>
      <c r="AN45" s="8" t="n">
        <v>162386.0137790981</v>
      </c>
      <c r="AO45" s="8" t="n">
        <v>320894.1474356005</v>
      </c>
      <c r="AP45" s="8" t="n">
        <v>165313.89545664872</v>
      </c>
      <c r="AQ45" s="8" t="n">
        <v>7512.163966057236</v>
      </c>
      <c r="AR45" s="8" t="n">
        <v>329297.879254678</v>
      </c>
    </row>
    <row r="46" customFormat="false" ht="15.6" hidden="false" customHeight="false" outlineLevel="0" collapsed="false">
      <c r="B46" s="7" t="s">
        <v>20</v>
      </c>
      <c r="C46" s="8" t="n">
        <v>53798.88048255396</v>
      </c>
      <c r="D46" s="8" t="n">
        <v>60761.10705524068</v>
      </c>
      <c r="E46" s="8" t="n">
        <v>18544.624245952575</v>
      </c>
      <c r="F46" s="8" t="n">
        <v>28401.294503091507</v>
      </c>
      <c r="G46" s="8" t="n">
        <v>29432.98470538018</v>
      </c>
      <c r="H46" s="8" t="n">
        <v>32902.33594184959</v>
      </c>
      <c r="I46" s="8" t="n">
        <v>71984.61684849346</v>
      </c>
      <c r="J46" s="8" t="n">
        <v>40611.62043495645</v>
      </c>
      <c r="K46" s="8" t="n">
        <v>66601.21791317318</v>
      </c>
      <c r="L46" s="8" t="n">
        <v>71949.83803750214</v>
      </c>
      <c r="M46" s="8" t="n">
        <v>1472.4306420087187</v>
      </c>
      <c r="N46" s="8" t="n">
        <v>59055.03083146098</v>
      </c>
      <c r="Q46" s="7" t="s">
        <v>20</v>
      </c>
      <c r="R46" s="8" t="n">
        <v>1053.2114887226824</v>
      </c>
      <c r="S46" s="8" t="n">
        <v>50464.02160796468</v>
      </c>
      <c r="T46" s="8" t="n">
        <v>69416.33855205757</v>
      </c>
      <c r="U46" s="8" t="n">
        <v>82726.8269504691</v>
      </c>
      <c r="V46" s="8" t="n">
        <v>51910.139360132605</v>
      </c>
      <c r="W46" s="8" t="n">
        <v>90773.0875793663</v>
      </c>
      <c r="X46" s="8" t="n">
        <v>17410.15663009731</v>
      </c>
      <c r="Y46" s="8" t="n">
        <v>74217.48012287573</v>
      </c>
      <c r="Z46" s="8" t="n">
        <v>61267.599774448296</v>
      </c>
      <c r="AA46" s="8" t="n">
        <v>152.07272198288544</v>
      </c>
      <c r="AB46" s="8" t="n">
        <v>47001.808565790794</v>
      </c>
      <c r="AC46" s="8" t="n">
        <v>47748.61419662494</v>
      </c>
      <c r="AF46" s="7" t="s">
        <v>20</v>
      </c>
      <c r="AG46" s="8" t="n">
        <v>74860.46289024755</v>
      </c>
      <c r="AH46" s="8" t="n">
        <v>13101.694677935187</v>
      </c>
      <c r="AI46" s="8" t="n">
        <v>23830.74533234306</v>
      </c>
      <c r="AJ46" s="8" t="n">
        <v>57657.312847687776</v>
      </c>
      <c r="AK46" s="8" t="n">
        <v>84358.21734183471</v>
      </c>
      <c r="AL46" s="8" t="n">
        <v>50411.91730245998</v>
      </c>
      <c r="AM46" s="8" t="n">
        <v>33936.95931980662</v>
      </c>
      <c r="AN46" s="8" t="n">
        <v>50686.69715159456</v>
      </c>
      <c r="AO46" s="8" t="n">
        <v>35139.200272256094</v>
      </c>
      <c r="AP46" s="8" t="n">
        <v>24840.481718392155</v>
      </c>
      <c r="AQ46" s="8" t="n">
        <v>26149.40151628914</v>
      </c>
      <c r="AR46" s="8" t="n">
        <v>59206.0791815172</v>
      </c>
    </row>
    <row r="47" customFormat="false" ht="15.6" hidden="false" customHeight="false" outlineLevel="0" collapsed="false">
      <c r="B47" s="7" t="s">
        <v>21</v>
      </c>
      <c r="C47" s="8" t="n">
        <v>351984.88439148763</v>
      </c>
      <c r="D47" s="8" t="n">
        <v>536360.3160447767</v>
      </c>
      <c r="E47" s="8" t="n">
        <v>649946.9453057669</v>
      </c>
      <c r="F47" s="8" t="n">
        <v>347633.71203961695</v>
      </c>
      <c r="G47" s="8" t="n">
        <v>418338.6111802539</v>
      </c>
      <c r="H47" s="8" t="n">
        <v>814421.6676884906</v>
      </c>
      <c r="I47" s="8" t="n">
        <v>225641.6324221063</v>
      </c>
      <c r="J47" s="8" t="n">
        <v>240706.85512781242</v>
      </c>
      <c r="K47" s="8" t="n">
        <v>277924.2657782812</v>
      </c>
      <c r="L47" s="8" t="n">
        <v>65360.52167489434</v>
      </c>
      <c r="M47" s="8" t="n">
        <v>444687.87161802105</v>
      </c>
      <c r="N47" s="8" t="n">
        <v>698570.1167304728</v>
      </c>
      <c r="Q47" s="7" t="s">
        <v>21</v>
      </c>
      <c r="R47" s="8" t="n">
        <v>16092.871063565732</v>
      </c>
      <c r="S47" s="8" t="n">
        <v>497528.5932794693</v>
      </c>
      <c r="T47" s="8" t="n">
        <v>797195.0045606561</v>
      </c>
      <c r="U47" s="8" t="n">
        <v>62663.90969697872</v>
      </c>
      <c r="V47" s="8" t="n">
        <v>369943.3382113593</v>
      </c>
      <c r="W47" s="8" t="n">
        <v>893507.8410626231</v>
      </c>
      <c r="X47" s="8" t="n">
        <v>208579.7134748029</v>
      </c>
      <c r="Y47" s="8" t="n">
        <v>211145.9764513742</v>
      </c>
      <c r="Z47" s="8" t="n">
        <v>449438.87653553137</v>
      </c>
      <c r="AA47" s="8" t="n">
        <v>185793.8147710748</v>
      </c>
      <c r="AB47" s="8" t="n">
        <v>192698.02698238485</v>
      </c>
      <c r="AC47" s="8" t="n">
        <v>56646.49805720324</v>
      </c>
      <c r="AF47" s="7" t="s">
        <v>21</v>
      </c>
      <c r="AG47" s="8" t="n">
        <v>109240.26023754867</v>
      </c>
      <c r="AH47" s="8" t="n">
        <v>182857.46938117364</v>
      </c>
      <c r="AI47" s="8" t="n">
        <v>738912.5880563452</v>
      </c>
      <c r="AJ47" s="8" t="n">
        <v>71670.43715388088</v>
      </c>
      <c r="AK47" s="8" t="n">
        <v>411332.07505735377</v>
      </c>
      <c r="AL47" s="8" t="n">
        <v>646342.7353422536</v>
      </c>
      <c r="AM47" s="8" t="n">
        <v>431216.71529084793</v>
      </c>
      <c r="AN47" s="8" t="n">
        <v>203235.05583126345</v>
      </c>
      <c r="AO47" s="8" t="n">
        <v>297784.0887515805</v>
      </c>
      <c r="AP47" s="8" t="n">
        <v>249308.66838633246</v>
      </c>
      <c r="AQ47" s="8" t="n">
        <v>260298.415421453</v>
      </c>
      <c r="AR47" s="8" t="n">
        <v>110170.2772091001</v>
      </c>
    </row>
    <row r="48" customFormat="false" ht="15.6" hidden="false" customHeight="false" outlineLevel="0" collapsed="false">
      <c r="B48" s="7" t="s">
        <v>22</v>
      </c>
      <c r="C48" s="8" t="n">
        <v>41932.92443929464</v>
      </c>
      <c r="D48" s="8" t="n">
        <v>29.748306535782834</v>
      </c>
      <c r="E48" s="8" t="n">
        <v>128660.75747317697</v>
      </c>
      <c r="F48" s="8" t="n">
        <v>54246.17853012266</v>
      </c>
      <c r="G48" s="8" t="n">
        <v>12472.66602635226</v>
      </c>
      <c r="H48" s="8" t="n">
        <v>10746.092730168026</v>
      </c>
      <c r="I48" s="8" t="n">
        <v>860.6782358988705</v>
      </c>
      <c r="J48" s="8" t="n">
        <v>192469.84112924928</v>
      </c>
      <c r="K48" s="8" t="n">
        <v>10382.16855159691</v>
      </c>
      <c r="L48" s="8" t="n">
        <v>7721.83008749803</v>
      </c>
      <c r="M48" s="8" t="n">
        <v>74113.98447302014</v>
      </c>
      <c r="N48" s="8" t="n">
        <v>22281.504742612633</v>
      </c>
      <c r="Q48" s="7" t="s">
        <v>22</v>
      </c>
      <c r="R48" s="8" t="n">
        <v>98555.97411968675</v>
      </c>
      <c r="S48" s="8" t="n">
        <v>9.8754120450723</v>
      </c>
      <c r="T48" s="8" t="n">
        <v>238390.79080323983</v>
      </c>
      <c r="U48" s="8" t="n">
        <v>18546.274061994452</v>
      </c>
      <c r="V48" s="8" t="n">
        <v>146564.5492195858</v>
      </c>
      <c r="W48" s="8" t="n">
        <v>58943.49710235821</v>
      </c>
      <c r="X48" s="8" t="n">
        <v>13859.233894339774</v>
      </c>
      <c r="Y48" s="8" t="n">
        <v>24674.36014523777</v>
      </c>
      <c r="Z48" s="8" t="n">
        <v>66285.87101824714</v>
      </c>
      <c r="AA48" s="8" t="n">
        <v>35203.214115955314</v>
      </c>
      <c r="AB48" s="8" t="n">
        <v>73018.61634271692</v>
      </c>
      <c r="AC48" s="8" t="n">
        <v>27057.308316454186</v>
      </c>
      <c r="AF48" s="7" t="s">
        <v>22</v>
      </c>
      <c r="AG48" s="8" t="n">
        <v>36991.87973897116</v>
      </c>
      <c r="AH48" s="8" t="n">
        <v>36.40710340781615</v>
      </c>
      <c r="AI48" s="8" t="n">
        <v>23651.609367488676</v>
      </c>
      <c r="AJ48" s="8" t="n">
        <v>15887.15225254748</v>
      </c>
      <c r="AK48" s="8" t="n">
        <v>15070.777766857365</v>
      </c>
      <c r="AL48" s="8" t="n">
        <v>64213.80429237627</v>
      </c>
      <c r="AM48" s="8" t="n">
        <v>3264.0241983729666</v>
      </c>
      <c r="AN48" s="8" t="n">
        <v>95987.9705741036</v>
      </c>
      <c r="AO48" s="8" t="n">
        <v>279.6692335877376</v>
      </c>
      <c r="AP48" s="8" t="n">
        <v>20129.393499546743</v>
      </c>
      <c r="AQ48" s="8" t="n">
        <v>50915.98161886322</v>
      </c>
      <c r="AR48" s="8" t="n">
        <v>61524.45860015135</v>
      </c>
    </row>
    <row r="49" customFormat="false" ht="15.6" hidden="false" customHeight="false" outlineLevel="0" collapsed="false">
      <c r="B49" s="7" t="s">
        <v>23</v>
      </c>
      <c r="C49" s="8" t="n">
        <v>122428.45591592758</v>
      </c>
      <c r="D49" s="8" t="n">
        <v>3513.8827723041513</v>
      </c>
      <c r="E49" s="8" t="n">
        <v>1658.8643543654855</v>
      </c>
      <c r="F49" s="8" t="n">
        <v>1986.3149034928222</v>
      </c>
      <c r="G49" s="8" t="n">
        <v>22251.78331663356</v>
      </c>
      <c r="H49" s="8" t="n">
        <v>22873.19228079656</v>
      </c>
      <c r="I49" s="8" t="n">
        <v>15942.846803864959</v>
      </c>
      <c r="J49" s="8" t="n">
        <v>4576.6040073570175</v>
      </c>
      <c r="K49" s="8" t="n">
        <v>-3907.067940351432</v>
      </c>
      <c r="L49" s="8" t="n">
        <v>0.0</v>
      </c>
      <c r="M49" s="8" t="n">
        <v>17313.719646320293</v>
      </c>
      <c r="N49" s="8" t="n">
        <v>-5980.944965554168</v>
      </c>
      <c r="Q49" s="7" t="s">
        <v>23</v>
      </c>
      <c r="R49" s="8" t="n">
        <v>84481.30445831362</v>
      </c>
      <c r="S49" s="8" t="n">
        <v>2696.9139794588527</v>
      </c>
      <c r="T49" s="8" t="n">
        <v>3651.446655159652</v>
      </c>
      <c r="U49" s="8" t="n">
        <v>83353.02842435201</v>
      </c>
      <c r="V49" s="8" t="n">
        <v>23357.858154319583</v>
      </c>
      <c r="W49" s="8" t="n">
        <v>6818.207830029906</v>
      </c>
      <c r="X49" s="8" t="n">
        <v>55064.263709787796</v>
      </c>
      <c r="Y49" s="8" t="n">
        <v>65760.33247820233</v>
      </c>
      <c r="Z49" s="8" t="n">
        <v>-694.4043050266562</v>
      </c>
      <c r="AA49" s="8" t="n">
        <v>0.0</v>
      </c>
      <c r="AB49" s="8" t="n">
        <v>56555.688280147886</v>
      </c>
      <c r="AC49" s="8" t="n">
        <v>-2033.3174047523582</v>
      </c>
      <c r="AF49" s="7" t="s">
        <v>23</v>
      </c>
      <c r="AG49" s="8" t="n">
        <v>32562.771359650393</v>
      </c>
      <c r="AH49" s="8" t="n">
        <v>68.90223129506874</v>
      </c>
      <c r="AI49" s="8" t="n">
        <v>20.162793540068833</v>
      </c>
      <c r="AJ49" s="8" t="n">
        <v>10056.232749381534</v>
      </c>
      <c r="AK49" s="8" t="n">
        <v>17254.757450252935</v>
      </c>
      <c r="AL49" s="8" t="n">
        <v>55359.561330258446</v>
      </c>
      <c r="AM49" s="8" t="n">
        <v>60314.37826166101</v>
      </c>
      <c r="AN49" s="8" t="n">
        <v>41177.90830728757</v>
      </c>
      <c r="AO49" s="8" t="n">
        <v>-3812.7639274672265</v>
      </c>
      <c r="AP49" s="8" t="n">
        <v>0.0</v>
      </c>
      <c r="AQ49" s="8" t="n">
        <v>45284.821427419745</v>
      </c>
      <c r="AR49" s="8" t="n">
        <v>-5104.549919815603</v>
      </c>
    </row>
    <row r="50" customFormat="false" ht="15.6" hidden="false" customHeight="false" outlineLevel="0" collapsed="false">
      <c r="B50" s="7" t="s">
        <v>24</v>
      </c>
      <c r="C50" s="8" t="n">
        <v>182957.96016878722</v>
      </c>
      <c r="D50" s="8" t="n">
        <v>64530.80228612297</v>
      </c>
      <c r="E50" s="8" t="n">
        <v>4393.432413860819</v>
      </c>
      <c r="F50" s="8" t="n">
        <v>55073.11715687711</v>
      </c>
      <c r="G50" s="8" t="n">
        <v>29479.033148740415</v>
      </c>
      <c r="H50" s="8" t="n">
        <v>36129.49890272101</v>
      </c>
      <c r="I50" s="8" t="n">
        <v>-125.7927918227357</v>
      </c>
      <c r="J50" s="8" t="n">
        <v>20639.459503362697</v>
      </c>
      <c r="K50" s="8" t="n">
        <v>17588.60883180453</v>
      </c>
      <c r="L50" s="8" t="n">
        <v>34785.00886270566</v>
      </c>
      <c r="M50" s="8" t="n">
        <v>17773.498255972136</v>
      </c>
      <c r="N50" s="8" t="n">
        <v>32098.635277375855</v>
      </c>
      <c r="Q50" s="7" t="s">
        <v>24</v>
      </c>
      <c r="R50" s="8" t="n">
        <v>155214.650947856</v>
      </c>
      <c r="S50" s="8" t="n">
        <v>70197.78953987078</v>
      </c>
      <c r="T50" s="8" t="n">
        <v>10948.902108945103</v>
      </c>
      <c r="U50" s="8" t="n">
        <v>96006.34293803936</v>
      </c>
      <c r="V50" s="8" t="n">
        <v>18849.792772226894</v>
      </c>
      <c r="W50" s="8" t="n">
        <v>20522.47117592297</v>
      </c>
      <c r="X50" s="8" t="n">
        <v>-14.85452476586789</v>
      </c>
      <c r="Y50" s="8" t="n">
        <v>8182.916766294691</v>
      </c>
      <c r="Z50" s="8" t="n">
        <v>55305.704029989116</v>
      </c>
      <c r="AA50" s="8" t="n">
        <v>27653.895414429</v>
      </c>
      <c r="AB50" s="8" t="n">
        <v>25655.79920095246</v>
      </c>
      <c r="AC50" s="8" t="n">
        <v>24355.49431955491</v>
      </c>
      <c r="AF50" s="7" t="s">
        <v>24</v>
      </c>
      <c r="AG50" s="8" t="n">
        <v>99017.764733948</v>
      </c>
      <c r="AH50" s="8" t="n">
        <v>77928.38540119019</v>
      </c>
      <c r="AI50" s="8" t="n">
        <v>752.9246243836765</v>
      </c>
      <c r="AJ50" s="8" t="n">
        <v>84295.11902553671</v>
      </c>
      <c r="AK50" s="8" t="n">
        <v>22481.44484457099</v>
      </c>
      <c r="AL50" s="8" t="n">
        <v>4673.015074936818</v>
      </c>
      <c r="AM50" s="8" t="n">
        <v>-84.02167266308477</v>
      </c>
      <c r="AN50" s="8" t="n">
        <v>4175.183336532334</v>
      </c>
      <c r="AO50" s="8" t="n">
        <v>67502.21831050469</v>
      </c>
      <c r="AP50" s="8" t="n">
        <v>36562.61897511218</v>
      </c>
      <c r="AQ50" s="8" t="n">
        <v>89947.37487257952</v>
      </c>
      <c r="AR50" s="8" t="n">
        <v>27365.695695848866</v>
      </c>
    </row>
    <row r="51" customFormat="false" ht="15.6" hidden="false" customHeight="false" outlineLevel="0" collapsed="false">
      <c r="B51" s="7" t="s">
        <v>25</v>
      </c>
      <c r="C51" s="8" t="n">
        <v>214778.72037957967</v>
      </c>
      <c r="D51" s="8" t="n">
        <v>114564.83954021477</v>
      </c>
      <c r="E51" s="8" t="n">
        <v>15692.246893570351</v>
      </c>
      <c r="F51" s="8" t="n">
        <v>115648.95724185316</v>
      </c>
      <c r="G51" s="8" t="n">
        <v>173337.24559845345</v>
      </c>
      <c r="H51" s="8" t="n">
        <v>116400.45531262527</v>
      </c>
      <c r="I51" s="8" t="n">
        <v>49445.79878806011</v>
      </c>
      <c r="J51" s="8" t="n">
        <v>10739.238234926677</v>
      </c>
      <c r="K51" s="8" t="n">
        <v>80414.48715483629</v>
      </c>
      <c r="L51" s="8" t="n">
        <v>71277.42384834115</v>
      </c>
      <c r="M51" s="8" t="n">
        <v>29943.11202574915</v>
      </c>
      <c r="N51" s="8" t="n">
        <v>47572.29430388723</v>
      </c>
      <c r="Q51" s="7" t="s">
        <v>25</v>
      </c>
      <c r="R51" s="8" t="n">
        <v>166275.42016617872</v>
      </c>
      <c r="S51" s="8" t="n">
        <v>19431.292067315877</v>
      </c>
      <c r="T51" s="8" t="n">
        <v>149160.12983848088</v>
      </c>
      <c r="U51" s="8" t="n">
        <v>20375.503261934176</v>
      </c>
      <c r="V51" s="8" t="n">
        <v>169329.1002941013</v>
      </c>
      <c r="W51" s="8" t="n">
        <v>5248.419375383764</v>
      </c>
      <c r="X51" s="8" t="n">
        <v>49308.864226220896</v>
      </c>
      <c r="Y51" s="8" t="n">
        <v>41275.79708736164</v>
      </c>
      <c r="Z51" s="8" t="n">
        <v>26717.832614317187</v>
      </c>
      <c r="AA51" s="8" t="n">
        <v>74129.43138878755</v>
      </c>
      <c r="AB51" s="8" t="n">
        <v>22241.324021430595</v>
      </c>
      <c r="AC51" s="8" t="n">
        <v>54336.810510654424</v>
      </c>
      <c r="AF51" s="7" t="s">
        <v>25</v>
      </c>
      <c r="AG51" s="8" t="n">
        <v>52730.87733468851</v>
      </c>
      <c r="AH51" s="8" t="n">
        <v>9848.613487194303</v>
      </c>
      <c r="AI51" s="8" t="n">
        <v>8259.687615901836</v>
      </c>
      <c r="AJ51" s="8" t="n">
        <v>75412.69210896657</v>
      </c>
      <c r="AK51" s="8" t="n">
        <v>165889.65114565231</v>
      </c>
      <c r="AL51" s="8" t="n">
        <v>103673.46414073279</v>
      </c>
      <c r="AM51" s="8" t="n">
        <v>25330.31638858057</v>
      </c>
      <c r="AN51" s="8" t="n">
        <v>71085.70785487963</v>
      </c>
      <c r="AO51" s="8" t="n">
        <v>56206.34192444601</v>
      </c>
      <c r="AP51" s="8" t="n">
        <v>107413.68122663135</v>
      </c>
      <c r="AQ51" s="8" t="n">
        <v>21599.609238001038</v>
      </c>
      <c r="AR51" s="8" t="n">
        <v>9682.618206409317</v>
      </c>
    </row>
    <row r="52" customFormat="false" ht="15.6" hidden="false" customHeight="false" outlineLevel="0" collapsed="false">
      <c r="B52" s="7" t="s">
        <v>26</v>
      </c>
      <c r="C52" s="8" t="n">
        <v>24097.496978351468</v>
      </c>
      <c r="D52" s="8" t="n">
        <v>7502.769454084651</v>
      </c>
      <c r="E52" s="8" t="n">
        <v>204470.2475280325</v>
      </c>
      <c r="F52" s="8" t="n">
        <v>21174.78342513732</v>
      </c>
      <c r="G52" s="8" t="n">
        <v>130427.09137932614</v>
      </c>
      <c r="H52" s="8" t="n">
        <v>113048.45216610002</v>
      </c>
      <c r="I52" s="8" t="n">
        <v>16987.661038613714</v>
      </c>
      <c r="J52" s="8" t="n">
        <v>70999.18118080003</v>
      </c>
      <c r="K52" s="8" t="n">
        <v>84883.7093450683</v>
      </c>
      <c r="L52" s="8" t="n">
        <v>11297.641483793892</v>
      </c>
      <c r="M52" s="8" t="n">
        <v>25573.6701192289</v>
      </c>
      <c r="N52" s="8" t="n">
        <v>43954.231133202535</v>
      </c>
      <c r="Q52" s="7" t="s">
        <v>26</v>
      </c>
      <c r="R52" s="8" t="n">
        <v>40607.65272598921</v>
      </c>
      <c r="S52" s="8" t="n">
        <v>25728.523351095908</v>
      </c>
      <c r="T52" s="8" t="n">
        <v>208740.31047408754</v>
      </c>
      <c r="U52" s="8" t="n">
        <v>133453.76266832062</v>
      </c>
      <c r="V52" s="8" t="n">
        <v>113798.23841682427</v>
      </c>
      <c r="W52" s="8" t="n">
        <v>141470.71940542926</v>
      </c>
      <c r="X52" s="8" t="n">
        <v>73572.39686982414</v>
      </c>
      <c r="Y52" s="8" t="n">
        <v>33599.30354237514</v>
      </c>
      <c r="Z52" s="8" t="n">
        <v>20085.748675223298</v>
      </c>
      <c r="AA52" s="8" t="n">
        <v>13198.789455219343</v>
      </c>
      <c r="AB52" s="8" t="n">
        <v>10518.910704063803</v>
      </c>
      <c r="AC52" s="8" t="n">
        <v>7953.573956236974</v>
      </c>
      <c r="AF52" s="7" t="s">
        <v>26</v>
      </c>
      <c r="AG52" s="8" t="n">
        <v>63415.91142738954</v>
      </c>
      <c r="AH52" s="8" t="n">
        <v>39137.405442528834</v>
      </c>
      <c r="AI52" s="8" t="n">
        <v>172463.9038667187</v>
      </c>
      <c r="AJ52" s="8" t="n">
        <v>56352.300360928</v>
      </c>
      <c r="AK52" s="8" t="n">
        <v>131356.22114460394</v>
      </c>
      <c r="AL52" s="8" t="n">
        <v>32076.34037282454</v>
      </c>
      <c r="AM52" s="8" t="n">
        <v>67885.54459572313</v>
      </c>
      <c r="AN52" s="8" t="n">
        <v>59122.35521174935</v>
      </c>
      <c r="AO52" s="8" t="n">
        <v>11782.913296598477</v>
      </c>
      <c r="AP52" s="8" t="n">
        <v>69444.42839005598</v>
      </c>
      <c r="AQ52" s="8" t="n">
        <v>9012.509580157815</v>
      </c>
      <c r="AR52" s="8" t="n">
        <v>45425.46830586633</v>
      </c>
    </row>
    <row r="53" customFormat="false" ht="15.6" hidden="false" customHeight="false" outlineLevel="0" collapsed="false">
      <c r="B53" s="20" t="s">
        <v>27</v>
      </c>
      <c r="C53" s="21" t="n">
        <f aca="false">SUM(C42:C52)</f>
        <v>1698202.2658959283</v>
      </c>
      <c r="D53" s="21" t="n">
        <f aca="false">SUM(D42:D52)</f>
        <v>1439749.0579265782</v>
      </c>
      <c r="E53" s="21" t="n">
        <v>227626.57173767354</v>
      </c>
      <c r="F53" s="21" t="n">
        <v>1599513.7078184404</v>
      </c>
      <c r="G53" s="21" t="n">
        <f aca="false">SUM(G42:G52)</f>
        <v>1140988.6106189229</v>
      </c>
      <c r="H53" s="21" t="n">
        <v>2784702.129171218</v>
      </c>
      <c r="I53" s="21" t="n">
        <f aca="false">SUM(I42:I52)</f>
        <v>48987.29721665227</v>
      </c>
      <c r="J53" s="21" t="n">
        <f aca="false">SUM(J42:J52)</f>
        <v>184718.78982064847</v>
      </c>
      <c r="K53" s="21" t="n">
        <f aca="false">SUM(K42:K52)</f>
        <v>961837.2019104675</v>
      </c>
      <c r="L53" s="21" t="n">
        <f aca="false">SUM(L42:L52)</f>
        <v>761045.1617075856</v>
      </c>
      <c r="M53" s="21" t="n">
        <v>937987.0600656482</v>
      </c>
      <c r="N53" s="21" t="n">
        <f aca="false">SUM(N42:N52)</f>
        <v>741851.3215435494</v>
      </c>
      <c r="Q53" s="20" t="s">
        <v>27</v>
      </c>
      <c r="R53" s="21" t="n">
        <f aca="false">SUM(R42:R52)</f>
        <v>1489586.8568055155</v>
      </c>
      <c r="S53" s="21" t="n">
        <f aca="false">SUM(S42:S52)</f>
        <v>40843.94182237326</v>
      </c>
      <c r="T53" s="21" t="n">
        <v>887800.4897702592</v>
      </c>
      <c r="U53" s="21" t="n">
        <v>2297944.2828357965</v>
      </c>
      <c r="V53" s="21" t="n">
        <f aca="false">SUM(V42:V52)</f>
        <v>1681291.176788535</v>
      </c>
      <c r="W53" s="21" t="n">
        <v>1549717.2800312247</v>
      </c>
      <c r="X53" s="21" t="n">
        <f aca="false">SUM(X42:X52)</f>
        <v>1339300.0602036468</v>
      </c>
      <c r="Y53" s="21" t="n">
        <f aca="false">SUM(Y42:Y52)</f>
        <v>296929.8264053309</v>
      </c>
      <c r="Z53" s="21" t="n">
        <f aca="false">SUM(Z42:Z52)</f>
        <v>2044924.3293325512</v>
      </c>
      <c r="AA53" s="21" t="n">
        <f aca="false">SUM(AA42:AA52)</f>
        <v>790006.2125693815</v>
      </c>
      <c r="AB53" s="21" t="n">
        <v>1303010.3248091186</v>
      </c>
      <c r="AC53" s="21" t="n">
        <f aca="false">SUM(AC42:AC52)</f>
        <v>1145767.2490790542</v>
      </c>
      <c r="AF53" s="20" t="s">
        <v>27</v>
      </c>
      <c r="AG53" s="21" t="n">
        <f aca="false">SUM(AG42:AG52)</f>
        <v>1431270.0307312445</v>
      </c>
      <c r="AH53" s="21" t="n">
        <f aca="false">SUM(AH42:AH52)</f>
        <v>1390801.4950143986</v>
      </c>
      <c r="AI53" s="21" t="n">
        <v>2057428.3925931551</v>
      </c>
      <c r="AJ53" s="21" t="n">
        <v>340827.0998204471</v>
      </c>
      <c r="AK53" s="21" t="n">
        <f aca="false">SUM(AK42:AK52)</f>
        <v>1792997.0194028658</v>
      </c>
      <c r="AL53" s="21" t="n">
        <v>596961.8651363136</v>
      </c>
      <c r="AM53" s="21" t="n">
        <f aca="false">SUM(AM42:AM52)</f>
        <v>1455863.998516381</v>
      </c>
      <c r="AN53" s="21" t="n">
        <f aca="false">SUM(AN42:AN52)</f>
        <v>527186.5871713482</v>
      </c>
      <c r="AO53" s="21" t="n">
        <f aca="false">SUM(AO42:AO52)</f>
        <v>267861.1812107205</v>
      </c>
      <c r="AP53" s="21" t="n">
        <f aca="false">SUM(AP42:AP52)</f>
        <v>964074.9454440787</v>
      </c>
      <c r="AQ53" s="21" t="n">
        <v>165827.96505036298</v>
      </c>
      <c r="AR53" s="21" t="n">
        <f aca="false">SUM(AR42:AR52)</f>
        <v>3328.245699777031</v>
      </c>
    </row>
    <row r="54" customFormat="false" ht="15.6" hidden="false" customHeight="false" outlineLevel="0" collapsed="false">
      <c r="B54" s="7" t="s">
        <v>28</v>
      </c>
      <c r="C54" s="8" t="n">
        <v>165912.887726935</v>
      </c>
      <c r="D54" s="8" t="n">
        <v>183627.20040357017</v>
      </c>
      <c r="E54" s="8" t="n">
        <v>311881.0389129855</v>
      </c>
      <c r="F54" s="8" t="n">
        <v>103622.00248907815</v>
      </c>
      <c r="G54" s="8" t="n">
        <v>174492.50404310247</v>
      </c>
      <c r="H54" s="8" t="n">
        <v>95794.82135777689</v>
      </c>
      <c r="I54" s="8" t="n">
        <v>8077.624011090419</v>
      </c>
      <c r="J54" s="8" t="n">
        <v>176369.74300904069</v>
      </c>
      <c r="K54" s="8" t="n">
        <v>47425.94945207103</v>
      </c>
      <c r="L54" s="8" t="n">
        <v>179114.53966238894</v>
      </c>
      <c r="M54" s="8" t="n">
        <f aca="false">M20/(1+$A54)</f>
        <v>467382.1149686579</v>
      </c>
      <c r="N54" s="8" t="n">
        <v>69065.80885874984</v>
      </c>
      <c r="Q54" s="7" t="s">
        <v>28</v>
      </c>
      <c r="R54" s="8" t="n">
        <v>106758.057891556</v>
      </c>
      <c r="S54" s="8" t="n">
        <v>9793.139986335531</v>
      </c>
      <c r="T54" s="8" t="n">
        <v>344638.1938159962</v>
      </c>
      <c r="U54" s="8" t="n">
        <v>136582.08979542027</v>
      </c>
      <c r="V54" s="8" t="n">
        <v>218129.82783910888</v>
      </c>
      <c r="W54" s="8" t="n">
        <v>43840.5299939016</v>
      </c>
      <c r="X54" s="8" t="n">
        <v>106644.78922450927</v>
      </c>
      <c r="Y54" s="8" t="n">
        <v>145923.14585876733</v>
      </c>
      <c r="Z54" s="8" t="n">
        <v>11739.01058829589</v>
      </c>
      <c r="AA54" s="8" t="n">
        <v>135223.94075853965</v>
      </c>
      <c r="AB54" s="8" t="n">
        <f aca="false">AB20/(1+$A54)</f>
        <v>83230.89979433721</v>
      </c>
      <c r="AC54" s="8" t="n">
        <v>168979.14010573452</v>
      </c>
      <c r="AF54" s="7" t="s">
        <v>28</v>
      </c>
      <c r="AG54" s="8" t="n">
        <v>241687.95046685822</v>
      </c>
      <c r="AH54" s="8" t="n">
        <v>216780.43757985075</v>
      </c>
      <c r="AI54" s="8" t="n">
        <v>313612.1159112715</v>
      </c>
      <c r="AJ54" s="8" t="n">
        <v>180764.23071925493</v>
      </c>
      <c r="AK54" s="8" t="n">
        <v>185378.32126450478</v>
      </c>
      <c r="AL54" s="8" t="n">
        <v>147762.02476198386</v>
      </c>
      <c r="AM54" s="8" t="n">
        <v>166380.07937418408</v>
      </c>
      <c r="AN54" s="8" t="n">
        <v>157977.09747580337</v>
      </c>
      <c r="AO54" s="8" t="n">
        <v>26222.9166218709</v>
      </c>
      <c r="AP54" s="8" t="n">
        <v>74099.96795661825</v>
      </c>
      <c r="AQ54" s="8" t="n">
        <f aca="false">AQ20/(1+$A54)</f>
        <v>86507.73205416187</v>
      </c>
      <c r="AR54" s="8" t="n">
        <v>135948.97308461083</v>
      </c>
    </row>
    <row r="55" customFormat="false" ht="15.6" hidden="false" customHeight="false" outlineLevel="0" collapsed="false">
      <c r="B55" s="20" t="s">
        <v>28</v>
      </c>
      <c r="C55" s="21" t="n">
        <f aca="false">SUM(C54)</f>
        <v>16487.70795092935</v>
      </c>
      <c r="D55" s="21" t="n">
        <f aca="false">SUM(D54)</f>
        <v>9909.50174207214</v>
      </c>
      <c r="E55" s="21" t="n">
        <f aca="false">SUM(E54)</f>
        <v>186911.986012605</v>
      </c>
      <c r="F55" s="21" t="n">
        <f aca="false">SUM(F54)</f>
        <v>45665.04438526484</v>
      </c>
      <c r="G55" s="21" t="n">
        <f aca="false">SUM(G54)</f>
        <v>225219.18740720858</v>
      </c>
      <c r="H55" s="21" t="n">
        <f aca="false">SUM(H54)</f>
        <v>81628.68516903916</v>
      </c>
      <c r="I55" s="21" t="n">
        <f aca="false">SUM(I54)</f>
        <v>193887.88042374124</v>
      </c>
      <c r="J55" s="21" t="n">
        <f aca="false">SUM(J54)</f>
        <v>123721.15244807453</v>
      </c>
      <c r="K55" s="21" t="n">
        <f aca="false">SUM(K54)</f>
        <v>137409.05279707495</v>
      </c>
      <c r="L55" s="21" t="n">
        <f aca="false">SUM(L54)</f>
        <v>139140.62955507843</v>
      </c>
      <c r="M55" s="21" t="n">
        <f aca="false">SUM(M54)</f>
        <v>45908.165535069864</v>
      </c>
      <c r="N55" s="21" t="n">
        <f aca="false">SUM(N54)</f>
        <v>182201.74801314896</v>
      </c>
      <c r="Q55" s="20" t="s">
        <v>28</v>
      </c>
      <c r="R55" s="21" t="n">
        <f aca="false">SUM(R54)</f>
        <v>16792.357812093192</v>
      </c>
      <c r="S55" s="21" t="n">
        <f aca="false">SUM(S54)</f>
        <v>15881.371423484632</v>
      </c>
      <c r="T55" s="21" t="n">
        <f aca="false">SUM(T54)</f>
        <v>145508.37596968937</v>
      </c>
      <c r="U55" s="21" t="n">
        <f aca="false">SUM(U54)</f>
        <v>11458.092450020415</v>
      </c>
      <c r="V55" s="21" t="n">
        <f aca="false">SUM(V54)</f>
        <v>254312.60728118315</v>
      </c>
      <c r="W55" s="21" t="n">
        <f aca="false">SUM(W54)</f>
        <v>188139.59504169796</v>
      </c>
      <c r="X55" s="21" t="n">
        <f aca="false">SUM(X54)</f>
        <v>29345.195214366635</v>
      </c>
      <c r="Y55" s="21" t="n">
        <f aca="false">SUM(Y54)</f>
        <v>198945.15753006193</v>
      </c>
      <c r="Z55" s="21" t="n">
        <f aca="false">SUM(Z54)</f>
        <v>76788.8905724243</v>
      </c>
      <c r="AA55" s="21" t="n">
        <f aca="false">SUM(AA54)</f>
        <v>94196.92952502094</v>
      </c>
      <c r="AB55" s="21" t="n">
        <f aca="false">SUM(AB54)</f>
        <v>453097.5045669624</v>
      </c>
      <c r="AC55" s="21" t="n">
        <f aca="false">SUM(AC54)</f>
        <v>75125.25859782465</v>
      </c>
      <c r="AF55" s="20" t="s">
        <v>28</v>
      </c>
      <c r="AG55" s="21" t="n">
        <f aca="false">SUM(AG54)</f>
        <v>240396.3365575337</v>
      </c>
      <c r="AH55" s="21" t="n">
        <f aca="false">SUM(AH54)</f>
        <v>56249.762014724125</v>
      </c>
      <c r="AI55" s="21" t="n">
        <f aca="false">SUM(AI54)</f>
        <v>375117.66916893364</v>
      </c>
      <c r="AJ55" s="21" t="n">
        <f aca="false">SUM(AJ54)</f>
        <v>222978.75946235697</v>
      </c>
      <c r="AK55" s="21" t="n">
        <f aca="false">SUM(AK54)</f>
        <v>86805.49493830332</v>
      </c>
      <c r="AL55" s="21" t="n">
        <f aca="false">SUM(AL54)</f>
        <v>166937.15932212502</v>
      </c>
      <c r="AM55" s="21" t="n">
        <f aca="false">SUM(AM54)</f>
        <v>206843.5167267662</v>
      </c>
      <c r="AN55" s="21" t="n">
        <f aca="false">SUM(AN54)</f>
        <v>75778.61730455564</v>
      </c>
      <c r="AO55" s="21" t="n">
        <f aca="false">SUM(AO54)</f>
        <v>91920.66463253656</v>
      </c>
      <c r="AP55" s="21" t="n">
        <f aca="false">SUM(AP54)</f>
        <v>106881.16689148532</v>
      </c>
      <c r="AQ55" s="21" t="n">
        <f aca="false">SUM(AQ54)</f>
        <v>389261.44722765405</v>
      </c>
      <c r="AR55" s="21" t="n">
        <f aca="false">SUM(AR54)</f>
        <v>176306.9789791233</v>
      </c>
    </row>
    <row r="56" customFormat="false" ht="15.6" hidden="false" customHeight="false" outlineLevel="0" collapsed="false">
      <c r="B56" s="23" t="s">
        <v>29</v>
      </c>
      <c r="C56" s="8" t="n">
        <v>169801.12357397797</v>
      </c>
      <c r="D56" s="8" t="n">
        <v>275187.06445027184</v>
      </c>
      <c r="E56" s="8" t="n">
        <v>102770.1950777751</v>
      </c>
      <c r="F56" s="8" t="n">
        <v>44474.713773878204</v>
      </c>
      <c r="G56" s="8" t="n">
        <v>78967.5030291279</v>
      </c>
      <c r="H56" s="8" t="n">
        <v>130466.96081922246</v>
      </c>
      <c r="I56" s="8" t="n">
        <v>45083.78379039613</v>
      </c>
      <c r="J56" s="8" t="n">
        <v>15091.181901683172</v>
      </c>
      <c r="K56" s="8" t="n">
        <v>170370.17452583922</v>
      </c>
      <c r="L56" s="8" t="n">
        <v>165916.78291170337</v>
      </c>
      <c r="M56" s="8" t="n">
        <v>78092.60976503708</v>
      </c>
      <c r="N56" s="8" t="n">
        <v>5557.4872994599245</v>
      </c>
      <c r="Q56" s="23" t="s">
        <v>29</v>
      </c>
      <c r="R56" s="8" t="n">
        <v>43469.13817202888</v>
      </c>
      <c r="S56" s="8" t="n">
        <v>260548.43365636704</v>
      </c>
      <c r="T56" s="8" t="n">
        <v>156058.09006847077</v>
      </c>
      <c r="U56" s="8" t="n">
        <v>88193.46357661688</v>
      </c>
      <c r="V56" s="8" t="n">
        <v>117360.5574313394</v>
      </c>
      <c r="W56" s="8" t="n">
        <v>123583.10516017111</v>
      </c>
      <c r="X56" s="8" t="n">
        <v>181445.32038088728</v>
      </c>
      <c r="Y56" s="8" t="n">
        <v>572.5906480840773</v>
      </c>
      <c r="Z56" s="8" t="n">
        <v>4573.819244402443</v>
      </c>
      <c r="AA56" s="8" t="n">
        <v>1648.1080395783972</v>
      </c>
      <c r="AB56" s="8" t="n">
        <v>64650.006525973535</v>
      </c>
      <c r="AC56" s="8" t="n">
        <v>2065.886891136889</v>
      </c>
      <c r="AF56" s="23" t="s">
        <v>29</v>
      </c>
      <c r="AG56" s="8" t="n">
        <v>89627.44059371848</v>
      </c>
      <c r="AH56" s="8" t="n">
        <v>200646.76860035872</v>
      </c>
      <c r="AI56" s="8" t="n">
        <v>138446.53728388879</v>
      </c>
      <c r="AJ56" s="8" t="n">
        <v>129349.56181815013</v>
      </c>
      <c r="AK56" s="8" t="n">
        <v>34531.940632836944</v>
      </c>
      <c r="AL56" s="8" t="n">
        <v>44794.244919413984</v>
      </c>
      <c r="AM56" s="8" t="n">
        <v>72718.88365463351</v>
      </c>
      <c r="AN56" s="8" t="n">
        <v>24527.486168060797</v>
      </c>
      <c r="AO56" s="8" t="n">
        <v>139700.0011014847</v>
      </c>
      <c r="AP56" s="8" t="n">
        <v>90652.50415771516</v>
      </c>
      <c r="AQ56" s="8" t="n">
        <v>41615.89907483052</v>
      </c>
      <c r="AR56" s="8" t="n">
        <v>4810.607339586846</v>
      </c>
    </row>
    <row r="57" customFormat="false" ht="15.6" hidden="false" customHeight="false" outlineLevel="0" collapsed="false">
      <c r="B57" s="23" t="s">
        <v>30</v>
      </c>
      <c r="C57" s="8" t="n">
        <v>63152.79986399594</v>
      </c>
      <c r="D57" s="8" t="n">
        <v>21606.70422902115</v>
      </c>
      <c r="E57" s="8" t="n">
        <v>86253.58317359278</v>
      </c>
      <c r="F57" s="8" t="n">
        <v>122279.33794893541</v>
      </c>
      <c r="G57" s="8" t="n">
        <v>140222.88461841366</v>
      </c>
      <c r="H57" s="8" t="n">
        <v>257229.5755761935</v>
      </c>
      <c r="I57" s="8" t="n">
        <v>224404.6509159694</v>
      </c>
      <c r="J57" s="8" t="n">
        <v>169783.77880131738</v>
      </c>
      <c r="K57" s="8" t="n">
        <v>281828.12055022985</v>
      </c>
      <c r="L57" s="8" t="n">
        <v>488500.5749234312</v>
      </c>
      <c r="M57" s="8" t="n">
        <v>27450.470574350176</v>
      </c>
      <c r="N57" s="8" t="n">
        <v>177329.49926236251</v>
      </c>
      <c r="Q57" s="23" t="s">
        <v>30</v>
      </c>
      <c r="R57" s="8" t="n">
        <v>472976.5184617117</v>
      </c>
      <c r="S57" s="8" t="n">
        <v>9237.483314779465</v>
      </c>
      <c r="T57" s="8" t="n">
        <v>277605.55884544656</v>
      </c>
      <c r="U57" s="8" t="n">
        <v>112894.45813698771</v>
      </c>
      <c r="V57" s="8" t="n">
        <v>152133.99050439493</v>
      </c>
      <c r="W57" s="8" t="n">
        <v>168851.52195846365</v>
      </c>
      <c r="X57" s="8" t="n">
        <v>23001.778617495984</v>
      </c>
      <c r="Y57" s="8" t="n">
        <v>241657.26217712264</v>
      </c>
      <c r="Z57" s="8" t="n">
        <v>284473.3754973671</v>
      </c>
      <c r="AA57" s="8" t="n">
        <v>298120.0145485824</v>
      </c>
      <c r="AB57" s="8" t="n">
        <v>142065.02545256872</v>
      </c>
      <c r="AC57" s="8" t="n">
        <v>282303.64868848555</v>
      </c>
      <c r="AF57" s="23" t="s">
        <v>30</v>
      </c>
      <c r="AG57" s="8" t="n">
        <v>265901.9221318077</v>
      </c>
      <c r="AH57" s="8" t="n">
        <v>23502.93576739122</v>
      </c>
      <c r="AI57" s="8" t="n">
        <v>57673.08340311503</v>
      </c>
      <c r="AJ57" s="8" t="n">
        <v>212357.41187989994</v>
      </c>
      <c r="AK57" s="8" t="n">
        <v>155069.22623106148</v>
      </c>
      <c r="AL57" s="8" t="n">
        <v>163384.53584669466</v>
      </c>
      <c r="AM57" s="8" t="n">
        <v>21978.28946928682</v>
      </c>
      <c r="AN57" s="8" t="n">
        <v>367359.37800842745</v>
      </c>
      <c r="AO57" s="8" t="n">
        <v>99842.51437620609</v>
      </c>
      <c r="AP57" s="8" t="n">
        <v>176232.3432771687</v>
      </c>
      <c r="AQ57" s="8" t="n">
        <v>226347.73541990557</v>
      </c>
      <c r="AR57" s="8" t="n">
        <v>212100.98151859987</v>
      </c>
    </row>
    <row r="58" customFormat="false" ht="15.6" hidden="false" customHeight="false" outlineLevel="0" collapsed="false">
      <c r="B58" s="23" t="s">
        <v>31</v>
      </c>
      <c r="C58" s="8" t="n">
        <v>11158.08948070994</v>
      </c>
      <c r="D58" s="8" t="n">
        <v>102872.1533462999</v>
      </c>
      <c r="E58" s="8" t="n">
        <v>199909.10269098572</v>
      </c>
      <c r="F58" s="8" t="n">
        <v>262754.4947311227</v>
      </c>
      <c r="G58" s="8" t="n">
        <v>119071.35993638333</v>
      </c>
      <c r="H58" s="8" t="n">
        <v>407409.8365392836</v>
      </c>
      <c r="I58" s="8" t="n">
        <v>303973.80273673806</v>
      </c>
      <c r="J58" s="8" t="n">
        <v>449032.65887691657</v>
      </c>
      <c r="K58" s="8" t="n">
        <v>96354.06546919562</v>
      </c>
      <c r="L58" s="8" t="n">
        <v>7807.731896983141</v>
      </c>
      <c r="M58" s="8" t="n">
        <v>342752.2559655416</v>
      </c>
      <c r="N58" s="8" t="n">
        <v>175417.78313038938</v>
      </c>
      <c r="Q58" s="23" t="s">
        <v>31</v>
      </c>
      <c r="R58" s="8" t="n">
        <v>274285.1818058659</v>
      </c>
      <c r="S58" s="8" t="n">
        <v>63361.235776279194</v>
      </c>
      <c r="T58" s="8" t="n">
        <v>19759.17848918499</v>
      </c>
      <c r="U58" s="8" t="n">
        <v>117621.45132052939</v>
      </c>
      <c r="V58" s="8" t="n">
        <v>362962.7872166312</v>
      </c>
      <c r="W58" s="8" t="n">
        <v>124281.12851482339</v>
      </c>
      <c r="X58" s="8" t="n">
        <v>104851.70585442621</v>
      </c>
      <c r="Y58" s="8" t="n">
        <v>427183.01182630606</v>
      </c>
      <c r="Z58" s="8" t="n">
        <v>285910.2726135985</v>
      </c>
      <c r="AA58" s="8" t="n">
        <v>30617.476145298286</v>
      </c>
      <c r="AB58" s="8" t="n">
        <v>350835.0307973726</v>
      </c>
      <c r="AC58" s="8" t="n">
        <v>148094.52804164667</v>
      </c>
      <c r="AF58" s="23" t="s">
        <v>31</v>
      </c>
      <c r="AG58" s="8" t="n">
        <v>90342.84725987412</v>
      </c>
      <c r="AH58" s="8" t="n">
        <v>299151.0088961839</v>
      </c>
      <c r="AI58" s="8" t="n">
        <v>291521.12134082196</v>
      </c>
      <c r="AJ58" s="8" t="n">
        <v>262756.9079109729</v>
      </c>
      <c r="AK58" s="8" t="n">
        <v>66333.89779472539</v>
      </c>
      <c r="AL58" s="8" t="n">
        <v>42938.78647643515</v>
      </c>
      <c r="AM58" s="8" t="n">
        <v>283850.15495215566</v>
      </c>
      <c r="AN58" s="8" t="n">
        <v>424062.4986221621</v>
      </c>
      <c r="AO58" s="8" t="n">
        <v>290080.7780828505</v>
      </c>
      <c r="AP58" s="8" t="n">
        <v>246741.82863444107</v>
      </c>
      <c r="AQ58" s="8" t="n">
        <v>254771.01282709063</v>
      </c>
      <c r="AR58" s="8" t="n">
        <v>60128.57840536919</v>
      </c>
    </row>
    <row r="59" customFormat="false" ht="15.6" hidden="false" customHeight="false" outlineLevel="0" collapsed="false">
      <c r="B59" s="23" t="s">
        <v>32</v>
      </c>
      <c r="C59" s="8" t="n">
        <v>25196.619443297706</v>
      </c>
      <c r="D59" s="8" t="n">
        <v>22624.203770667493</v>
      </c>
      <c r="E59" s="8" t="n">
        <v>787.9266471719159</v>
      </c>
      <c r="F59" s="8" t="n">
        <v>3436.8063905088834</v>
      </c>
      <c r="G59" s="8" t="n">
        <v>12894.552520562913</v>
      </c>
      <c r="H59" s="8" t="n">
        <v>11828.995866156245</v>
      </c>
      <c r="I59" s="8" t="n">
        <v>1398.1562140588683</v>
      </c>
      <c r="J59" s="8" t="n">
        <v>8575.464491898048</v>
      </c>
      <c r="K59" s="8" t="n">
        <v>8242.687347197669</v>
      </c>
      <c r="L59" s="8" t="n">
        <v>33106.01649461401</v>
      </c>
      <c r="M59" s="8" t="n">
        <v>37686.37616642877</v>
      </c>
      <c r="N59" s="8" t="n">
        <v>13467.65701518801</v>
      </c>
      <c r="Q59" s="23" t="s">
        <v>32</v>
      </c>
      <c r="R59" s="8" t="n">
        <v>3031.474216398708</v>
      </c>
      <c r="S59" s="8" t="n">
        <v>15581.258478390082</v>
      </c>
      <c r="T59" s="8" t="n">
        <v>15143.9944705877</v>
      </c>
      <c r="U59" s="8" t="n">
        <v>30847.572687651835</v>
      </c>
      <c r="V59" s="8" t="n">
        <v>22883.682542033013</v>
      </c>
      <c r="W59" s="8" t="n">
        <v>39377.095127919114</v>
      </c>
      <c r="X59" s="8" t="n">
        <v>43909.00810435949</v>
      </c>
      <c r="Y59" s="8" t="n">
        <v>17133.0802923099</v>
      </c>
      <c r="Z59" s="8" t="n">
        <v>8694.22607794941</v>
      </c>
      <c r="AA59" s="8" t="n">
        <v>26351.135995070843</v>
      </c>
      <c r="AB59" s="8" t="n">
        <v>21515.729055127296</v>
      </c>
      <c r="AC59" s="8" t="n">
        <v>9071.832255876887</v>
      </c>
      <c r="AF59" s="23" t="s">
        <v>32</v>
      </c>
      <c r="AG59" s="8" t="n">
        <v>41156.496285597226</v>
      </c>
      <c r="AH59" s="8" t="n">
        <v>16836.00372065529</v>
      </c>
      <c r="AI59" s="8" t="n">
        <v>28199.82649332194</v>
      </c>
      <c r="AJ59" s="8" t="n">
        <v>3270.6954448585097</v>
      </c>
      <c r="AK59" s="8" t="n">
        <v>7662.980962989541</v>
      </c>
      <c r="AL59" s="8" t="n">
        <v>428.6993894915395</v>
      </c>
      <c r="AM59" s="8" t="n">
        <v>17393.019115084648</v>
      </c>
      <c r="AN59" s="8" t="n">
        <v>5359.566500840052</v>
      </c>
      <c r="AO59" s="8" t="n">
        <v>17454.141210966427</v>
      </c>
      <c r="AP59" s="8" t="n">
        <v>17829.760243147364</v>
      </c>
      <c r="AQ59" s="8" t="n">
        <v>2160.4482091191735</v>
      </c>
      <c r="AR59" s="8" t="n">
        <v>18011.327260074555</v>
      </c>
    </row>
    <row r="60" customFormat="false" ht="15.6" hidden="false" customHeight="false" outlineLevel="0" collapsed="false">
      <c r="B60" s="23" t="s">
        <v>33</v>
      </c>
      <c r="C60" s="8" t="n">
        <v>62482.1389138232</v>
      </c>
      <c r="D60" s="8" t="n">
        <v>3792.0280475389272</v>
      </c>
      <c r="E60" s="8" t="n">
        <v>84473.94937329474</v>
      </c>
      <c r="F60" s="8" t="n">
        <v>13749.872080647549</v>
      </c>
      <c r="G60" s="8" t="n">
        <v>19834.546532600547</v>
      </c>
      <c r="H60" s="8" t="n">
        <v>21429.186701569794</v>
      </c>
      <c r="I60" s="8" t="n">
        <v>140915.97472878452</v>
      </c>
      <c r="J60" s="8" t="n">
        <v>40975.04326982395</v>
      </c>
      <c r="K60" s="8" t="n">
        <v>10472.162590536007</v>
      </c>
      <c r="L60" s="8" t="n">
        <v>51158.624479667706</v>
      </c>
      <c r="M60" s="8" t="n">
        <v>58598.71636909943</v>
      </c>
      <c r="N60" s="8" t="n">
        <v>26690.343582377114</v>
      </c>
      <c r="Q60" s="23" t="s">
        <v>33</v>
      </c>
      <c r="R60" s="8" t="n">
        <v>59148.51629862405</v>
      </c>
      <c r="S60" s="8" t="n">
        <v>51432.491063781075</v>
      </c>
      <c r="T60" s="8" t="n">
        <v>99109.32666432187</v>
      </c>
      <c r="U60" s="8" t="n">
        <v>3586.88018044398</v>
      </c>
      <c r="V60" s="8" t="n">
        <v>25050.979594783475</v>
      </c>
      <c r="W60" s="8" t="n">
        <v>43532.157008616974</v>
      </c>
      <c r="X60" s="8" t="n">
        <v>14909.997118011968</v>
      </c>
      <c r="Y60" s="8" t="n">
        <v>19356.43926323172</v>
      </c>
      <c r="Z60" s="8" t="n">
        <v>38342.9644829668</v>
      </c>
      <c r="AA60" s="8" t="n">
        <v>31748.619127285656</v>
      </c>
      <c r="AB60" s="8" t="n">
        <v>3603.150843364738</v>
      </c>
      <c r="AC60" s="8" t="n">
        <v>37431.13665869774</v>
      </c>
      <c r="AF60" s="23" t="s">
        <v>33</v>
      </c>
      <c r="AG60" s="8" t="n">
        <v>18993.996746113353</v>
      </c>
      <c r="AH60" s="8" t="n">
        <v>29292.626345748056</v>
      </c>
      <c r="AI60" s="8" t="n">
        <v>9574.503923101816</v>
      </c>
      <c r="AJ60" s="8" t="n">
        <v>42611.733275005536</v>
      </c>
      <c r="AK60" s="8" t="n">
        <v>3993.6169133540416</v>
      </c>
      <c r="AL60" s="8" t="n">
        <v>48827.66835072606</v>
      </c>
      <c r="AM60" s="8" t="n">
        <v>23821.837061460275</v>
      </c>
      <c r="AN60" s="8" t="n">
        <v>30327.84240871055</v>
      </c>
      <c r="AO60" s="8" t="n">
        <v>25682.575913443026</v>
      </c>
      <c r="AP60" s="8" t="n">
        <v>7953.360280758631</v>
      </c>
      <c r="AQ60" s="8" t="n">
        <v>38783.00145715955</v>
      </c>
      <c r="AR60" s="8" t="n">
        <v>10591.532997521044</v>
      </c>
    </row>
    <row r="61" customFormat="false" ht="15.6" hidden="false" customHeight="false" outlineLevel="0" collapsed="false">
      <c r="B61" s="23" t="s">
        <v>34</v>
      </c>
      <c r="C61" s="8" t="n">
        <v>56111.98843431112</v>
      </c>
      <c r="D61" s="8" t="n">
        <v>-66.20323893417567</v>
      </c>
      <c r="E61" s="8" t="n">
        <v>2769.9416003645324</v>
      </c>
      <c r="F61" s="8" t="n">
        <v>15489.30834157269</v>
      </c>
      <c r="G61" s="8" t="n">
        <v>22261.323042154356</v>
      </c>
      <c r="H61" s="8" t="n">
        <v>2613.717361265588</v>
      </c>
      <c r="I61" s="8" t="n">
        <v>543.767675967886</v>
      </c>
      <c r="J61" s="8" t="n">
        <v>0.0</v>
      </c>
      <c r="K61" s="8" t="n">
        <v>464.2713816374172</v>
      </c>
      <c r="L61" s="8" t="n">
        <v>-1258.0512684815924</v>
      </c>
      <c r="M61" s="8" t="n">
        <v>40952.49763142836</v>
      </c>
      <c r="N61" s="8" t="n">
        <v>-13989.4476607302</v>
      </c>
      <c r="Q61" s="23" t="s">
        <v>34</v>
      </c>
      <c r="R61" s="8" t="n">
        <v>11629.864366225775</v>
      </c>
      <c r="S61" s="8" t="n">
        <v>-208.01276542488543</v>
      </c>
      <c r="T61" s="8" t="n">
        <v>518.0636228975995</v>
      </c>
      <c r="U61" s="8" t="n">
        <v>41716.87559813344</v>
      </c>
      <c r="V61" s="8" t="n">
        <v>9.2130311159365</v>
      </c>
      <c r="W61" s="8" t="n">
        <v>1900.8175784703908</v>
      </c>
      <c r="X61" s="8" t="n">
        <v>277.70686112854065</v>
      </c>
      <c r="Y61" s="8" t="n">
        <v>0.0</v>
      </c>
      <c r="Z61" s="8" t="n">
        <v>881.8671913156367</v>
      </c>
      <c r="AA61" s="8" t="n">
        <v>-1186.4989073721565</v>
      </c>
      <c r="AB61" s="8" t="n">
        <v>30204.32609139924</v>
      </c>
      <c r="AC61" s="8" t="n">
        <v>-323.0997165846573</v>
      </c>
      <c r="AF61" s="23" t="s">
        <v>34</v>
      </c>
      <c r="AG61" s="8" t="n">
        <v>47601.30818717532</v>
      </c>
      <c r="AH61" s="8" t="n">
        <v>-20.746582128692204</v>
      </c>
      <c r="AI61" s="8" t="n">
        <v>4831.625787455025</v>
      </c>
      <c r="AJ61" s="8" t="n">
        <v>2203.461537311254</v>
      </c>
      <c r="AK61" s="8" t="n">
        <v>3231.3690184070674</v>
      </c>
      <c r="AL61" s="8" t="n">
        <v>137.94027067684632</v>
      </c>
      <c r="AM61" s="8" t="n">
        <v>200.15547890271648</v>
      </c>
      <c r="AN61" s="8" t="n">
        <v>0.0</v>
      </c>
      <c r="AO61" s="8" t="n">
        <v>1724.4932276038076</v>
      </c>
      <c r="AP61" s="8" t="n">
        <v>-617.4237235594222</v>
      </c>
      <c r="AQ61" s="8" t="n">
        <v>55689.40160754001</v>
      </c>
      <c r="AR61" s="8" t="n">
        <v>-16112.060948932862</v>
      </c>
    </row>
    <row r="62" customFormat="false" ht="15.6" hidden="false" customHeight="false" outlineLevel="0" collapsed="false">
      <c r="B62" s="23" t="s">
        <v>35</v>
      </c>
      <c r="C62" s="8" t="n">
        <v>72818.7212388842</v>
      </c>
      <c r="D62" s="8" t="n">
        <v>85203.03012950615</v>
      </c>
      <c r="E62" s="8" t="n">
        <v>3106.1140682605533</v>
      </c>
      <c r="F62" s="8" t="n">
        <v>86742.07294565823</v>
      </c>
      <c r="G62" s="8" t="n">
        <v>21536.002607636943</v>
      </c>
      <c r="H62" s="8" t="n">
        <v>52468.269016331404</v>
      </c>
      <c r="I62" s="8" t="n">
        <v>11437.969666332143</v>
      </c>
      <c r="J62" s="8" t="n">
        <v>20876.77663144902</v>
      </c>
      <c r="K62" s="8" t="n">
        <v>159053.11081409903</v>
      </c>
      <c r="L62" s="8" t="n">
        <v>751.3192087658224</v>
      </c>
      <c r="M62" s="8" t="n">
        <v>141557.93052414665</v>
      </c>
      <c r="N62" s="8" t="n">
        <v>73582.4196686468</v>
      </c>
      <c r="Q62" s="23" t="s">
        <v>35</v>
      </c>
      <c r="R62" s="8" t="n">
        <v>15709.585304998318</v>
      </c>
      <c r="S62" s="8" t="n">
        <v>134244.1313435797</v>
      </c>
      <c r="T62" s="8" t="n">
        <v>25418.711268866347</v>
      </c>
      <c r="U62" s="8" t="n">
        <v>79433.36375107041</v>
      </c>
      <c r="V62" s="8" t="n">
        <v>103425.75403719669</v>
      </c>
      <c r="W62" s="8" t="n">
        <v>4258.766390222119</v>
      </c>
      <c r="X62" s="8" t="n">
        <v>56284.09804637427</v>
      </c>
      <c r="Y62" s="8" t="n">
        <v>7982.267559149012</v>
      </c>
      <c r="Z62" s="8" t="n">
        <v>2754.138612732606</v>
      </c>
      <c r="AA62" s="8" t="n">
        <v>56914.9125613789</v>
      </c>
      <c r="AB62" s="8" t="n">
        <v>136968.8570869811</v>
      </c>
      <c r="AC62" s="8" t="n">
        <v>12219.067980499629</v>
      </c>
      <c r="AF62" s="23" t="s">
        <v>35</v>
      </c>
      <c r="AG62" s="8" t="n">
        <v>55179.66635386585</v>
      </c>
      <c r="AH62" s="8" t="n">
        <v>118312.89738132777</v>
      </c>
      <c r="AI62" s="8" t="n">
        <v>90843.5091298091</v>
      </c>
      <c r="AJ62" s="8" t="n">
        <v>59919.25262816121</v>
      </c>
      <c r="AK62" s="8" t="n">
        <v>86519.34724940988</v>
      </c>
      <c r="AL62" s="8" t="n">
        <v>73.87462512475811</v>
      </c>
      <c r="AM62" s="8" t="n">
        <v>105228.87740039686</v>
      </c>
      <c r="AN62" s="8" t="n">
        <v>26049.733871382377</v>
      </c>
      <c r="AO62" s="8" t="n">
        <v>160211.0890560805</v>
      </c>
      <c r="AP62" s="8" t="n">
        <v>86039.33781747494</v>
      </c>
      <c r="AQ62" s="8" t="n">
        <v>100342.40025509628</v>
      </c>
      <c r="AR62" s="8" t="n">
        <v>29434.407326978453</v>
      </c>
    </row>
    <row r="63" customFormat="false" ht="15.6" hidden="false" customHeight="false" outlineLevel="0" collapsed="false">
      <c r="B63" s="24" t="s">
        <v>36</v>
      </c>
      <c r="C63" s="25" t="n">
        <v>53331.73420947382</v>
      </c>
      <c r="D63" s="25" t="n">
        <v>20570.86745111226</v>
      </c>
      <c r="E63" s="25" t="n">
        <v>21447.337561387045</v>
      </c>
      <c r="F63" s="25" t="n">
        <v>6596.638771692206</v>
      </c>
      <c r="G63" s="25" t="n">
        <v>121568.62471367497</v>
      </c>
      <c r="H63" s="25" t="n">
        <v>22427.541424791936</v>
      </c>
      <c r="I63" s="25" t="n">
        <v>89186.57594056088</v>
      </c>
      <c r="J63" s="25" t="n">
        <v>69644.70415479773</v>
      </c>
      <c r="K63" s="25" t="n">
        <v>98156.2918615829</v>
      </c>
      <c r="L63" s="25" t="n">
        <v>149565.67450896124</v>
      </c>
      <c r="M63" s="25" t="n">
        <v>9765.167302917687</v>
      </c>
      <c r="N63" s="25" t="n">
        <v>12599.012929611385</v>
      </c>
      <c r="Q63" s="24" t="s">
        <v>36</v>
      </c>
      <c r="R63" s="25" t="n">
        <v>38052.927642978335</v>
      </c>
      <c r="S63" s="25" t="n">
        <v>74298.44610582752</v>
      </c>
      <c r="T63" s="25" t="n">
        <v>19743.347166342464</v>
      </c>
      <c r="U63" s="25" t="n">
        <v>5856.854378307713</v>
      </c>
      <c r="V63" s="25" t="n">
        <v>7801.843276476392</v>
      </c>
      <c r="W63" s="25" t="n">
        <v>25651.83791811703</v>
      </c>
      <c r="X63" s="25" t="n">
        <v>127808.66752451303</v>
      </c>
      <c r="Y63" s="25" t="n">
        <v>66503.56050929525</v>
      </c>
      <c r="Z63" s="25" t="n">
        <v>59140.520845479696</v>
      </c>
      <c r="AA63" s="25" t="n">
        <v>126504.7627205215</v>
      </c>
      <c r="AB63" s="25" t="n">
        <v>334.77688421499636</v>
      </c>
      <c r="AC63" s="25" t="n">
        <v>63269.54328145234</v>
      </c>
      <c r="AF63" s="24" t="s">
        <v>36</v>
      </c>
      <c r="AG63" s="25" t="n">
        <v>18812.430563796133</v>
      </c>
      <c r="AH63" s="25" t="n">
        <v>26175.716275456187</v>
      </c>
      <c r="AI63" s="25" t="n">
        <v>18803.87731014949</v>
      </c>
      <c r="AJ63" s="25" t="n">
        <v>13247.788639510984</v>
      </c>
      <c r="AK63" s="25" t="n">
        <v>99041.7945822156</v>
      </c>
      <c r="AL63" s="25" t="n">
        <v>71739.51755767461</v>
      </c>
      <c r="AM63" s="25" t="n">
        <v>109415.20959078008</v>
      </c>
      <c r="AN63" s="25" t="n">
        <v>77775.04060098725</v>
      </c>
      <c r="AO63" s="25" t="n">
        <v>19266.471469167776</v>
      </c>
      <c r="AP63" s="25" t="n">
        <v>109072.17516273183</v>
      </c>
      <c r="AQ63" s="25" t="n">
        <v>6439.430907643413</v>
      </c>
      <c r="AR63" s="25" t="n">
        <v>2580.01181648721</v>
      </c>
    </row>
    <row r="64" customFormat="false" ht="15.6" hidden="false" customHeight="false" outlineLevel="0" collapsed="false">
      <c r="B64" s="27" t="s">
        <v>37</v>
      </c>
      <c r="C64" s="28" t="n">
        <f aca="false">SUM(C56:C63)</f>
        <v>780089.7697865241</v>
      </c>
      <c r="D64" s="29" t="n">
        <f aca="false">SUM(D56:D63)</f>
        <v>588335.0782651772</v>
      </c>
      <c r="E64" s="29" t="n">
        <f aca="false">SUM(E56:E63)</f>
        <v>126875.30894485631</v>
      </c>
      <c r="F64" s="29" t="n">
        <f aca="false">SUM(F56:F63)</f>
        <v>1129027.7524432656</v>
      </c>
      <c r="G64" s="29" t="n">
        <f aca="false">SUM(G56:G63)</f>
        <v>212075.83449756983</v>
      </c>
      <c r="H64" s="29" t="n">
        <f aca="false">SUM(H56:H63)</f>
        <v>143366.70359207471</v>
      </c>
      <c r="I64" s="29" t="n">
        <f aca="false">SUM(I56:I63)</f>
        <v>76075.8903681428</v>
      </c>
      <c r="J64" s="29" t="n">
        <f aca="false">SUM(J56:J63)</f>
        <v>10046.881518640694</v>
      </c>
      <c r="K64" s="29" t="n">
        <f aca="false">SUM(K56:K63)</f>
        <v>1291368.8692694576</v>
      </c>
      <c r="L64" s="29" t="n">
        <f aca="false">SUM(L56:L63)</f>
        <v>626047.2550690373</v>
      </c>
      <c r="M64" s="29" t="n">
        <f aca="false">SUM(M56:M63)</f>
        <v>613109.4916809154</v>
      </c>
      <c r="N64" s="35" t="n">
        <f aca="false">SUM(N56:N63)</f>
        <v>445567.36202519626</v>
      </c>
      <c r="Q64" s="27" t="s">
        <v>37</v>
      </c>
      <c r="R64" s="28" t="n">
        <f aca="false">SUM(R56:R63)</f>
        <v>218396.17800737525</v>
      </c>
      <c r="S64" s="29" t="n">
        <f aca="false">SUM(S56:S63)</f>
        <v>978551.6387425765</v>
      </c>
      <c r="T64" s="29" t="n">
        <f aca="false">SUM(T56:T63)</f>
        <v>404153.7339917714</v>
      </c>
      <c r="U64" s="29" t="n">
        <f aca="false">SUM(U56:U63)</f>
        <v>460437.9906826416</v>
      </c>
      <c r="V64" s="29" t="n">
        <f aca="false">SUM(V56:V63)</f>
        <v>23268.89226994717</v>
      </c>
      <c r="W64" s="29" t="n">
        <f aca="false">SUM(W56:W63)</f>
        <v>1278595.0532789219</v>
      </c>
      <c r="X64" s="29" t="n">
        <f aca="false">SUM(X56:X63)</f>
        <v>824059.9061227433</v>
      </c>
      <c r="Y64" s="29" t="n">
        <f aca="false">SUM(Y56:Y63)</f>
        <v>950636.2426550204</v>
      </c>
      <c r="Z64" s="29" t="n">
        <f aca="false">SUM(Z56:Z63)</f>
        <v>1360282.999596238</v>
      </c>
      <c r="AA64" s="29" t="n">
        <f aca="false">SUM(AA56:AA63)</f>
        <v>1544083.094770938</v>
      </c>
      <c r="AB64" s="29" t="n">
        <f aca="false">SUM(AB56:AB63)</f>
        <v>1198181.749325687</v>
      </c>
      <c r="AC64" s="35" t="n">
        <f aca="false">SUM(AC56:AC63)</f>
        <v>342250.0329717565</v>
      </c>
      <c r="AF64" s="27" t="s">
        <v>37</v>
      </c>
      <c r="AG64" s="28" t="n">
        <f aca="false">SUM(AG56:AG63)</f>
        <v>76199.78517315735</v>
      </c>
      <c r="AH64" s="29" t="n">
        <f aca="false">SUM(AH56:AH63)</f>
        <v>847484.3793910521</v>
      </c>
      <c r="AI64" s="29" t="n">
        <f aca="false">SUM(AI56:AI63)</f>
        <v>1023695.9539821016</v>
      </c>
      <c r="AJ64" s="29" t="n">
        <f aca="false">SUM(AJ56:AJ63)</f>
        <v>868112.9168159193</v>
      </c>
      <c r="AK64" s="29" t="n">
        <f aca="false">SUM(AK56:AK63)</f>
        <v>376812.4391529951</v>
      </c>
      <c r="AL64" s="29" t="n">
        <f aca="false">SUM(AL56:AL63)</f>
        <v>792248.6866807336</v>
      </c>
      <c r="AM64" s="29" t="n">
        <f aca="false">SUM(AM56:AM63)</f>
        <v>832073.6950019497</v>
      </c>
      <c r="AN64" s="29" t="n">
        <f aca="false">SUM(AN56:AN63)</f>
        <v>284984.0311243632</v>
      </c>
      <c r="AO64" s="29" t="n">
        <f aca="false">SUM(AO56:AO63)</f>
        <v>1438389.2087772866</v>
      </c>
      <c r="AP64" s="29" t="n">
        <f aca="false">SUM(AP56:AP63)</f>
        <v>8950.19609425731</v>
      </c>
      <c r="AQ64" s="29" t="n">
        <f aca="false">SUM(AQ56:AQ63)</f>
        <v>730672.2935457156</v>
      </c>
      <c r="AR64" s="35" t="n">
        <f aca="false">SUM(AR56:AR63)</f>
        <v>776981.5123245268</v>
      </c>
    </row>
    <row r="65" customFormat="false" ht="15.6" hidden="false" customHeight="false" outlineLevel="0" collapsed="false">
      <c r="B65" s="27" t="s">
        <v>38</v>
      </c>
      <c r="C65" s="28" t="n">
        <v>69209.71412744938</v>
      </c>
      <c r="D65" s="29" t="n">
        <v>57625.25553851</v>
      </c>
      <c r="E65" s="29" t="n">
        <v>94356.99161724503</v>
      </c>
      <c r="F65" s="29" t="n">
        <v>38907.804888908395</v>
      </c>
      <c r="G65" s="29" t="n">
        <v>121590.32497642495</v>
      </c>
      <c r="H65" s="29" t="n">
        <v>96657.03015599887</v>
      </c>
      <c r="I65" s="29" t="n">
        <v>76006.5671600569</v>
      </c>
      <c r="J65" s="29" t="n">
        <v>150973.20214886917</v>
      </c>
      <c r="K65" s="29" t="n">
        <v>263323.6090657495</v>
      </c>
      <c r="L65" s="29" t="n">
        <v>57256.32970576189</v>
      </c>
      <c r="M65" s="29" t="n">
        <v>7799.55541448842</v>
      </c>
      <c r="N65" s="29" t="n">
        <v>426517.2052944267</v>
      </c>
      <c r="Q65" s="27" t="s">
        <v>38</v>
      </c>
      <c r="R65" s="28" t="n">
        <v>111664.5658314181</v>
      </c>
      <c r="S65" s="29" t="n">
        <v>7496.975557777632</v>
      </c>
      <c r="T65" s="29" t="n">
        <v>225299.28124717096</v>
      </c>
      <c r="U65" s="29" t="n">
        <v>47948.14755097413</v>
      </c>
      <c r="V65" s="29" t="n">
        <v>12525.410314868952</v>
      </c>
      <c r="W65" s="29" t="n">
        <v>358.7214833450674</v>
      </c>
      <c r="X65" s="29" t="n">
        <v>199570.58835875214</v>
      </c>
      <c r="Y65" s="29" t="n">
        <v>58880.580636489016</v>
      </c>
      <c r="Z65" s="29" t="n">
        <v>148781.8144015023</v>
      </c>
      <c r="AA65" s="29" t="n">
        <v>345214.7940089889</v>
      </c>
      <c r="AB65" s="29" t="n">
        <v>198465.41552586222</v>
      </c>
      <c r="AC65" s="29" t="n">
        <v>166090.30572794503</v>
      </c>
      <c r="AF65" s="27" t="s">
        <v>38</v>
      </c>
      <c r="AG65" s="28" t="n">
        <v>87299.70331228992</v>
      </c>
      <c r="AH65" s="29" t="n">
        <v>27759.139852743298</v>
      </c>
      <c r="AI65" s="29" t="n">
        <v>243856.4892606816</v>
      </c>
      <c r="AJ65" s="29" t="n">
        <v>12541.967757921666</v>
      </c>
      <c r="AK65" s="29" t="n">
        <v>75659.08984117133</v>
      </c>
      <c r="AL65" s="29" t="n">
        <v>224144.43409870242</v>
      </c>
      <c r="AM65" s="29" t="n">
        <v>52509.23133172597</v>
      </c>
      <c r="AN65" s="29" t="n">
        <v>87200.03780529286</v>
      </c>
      <c r="AO65" s="29" t="n">
        <v>45171.179352842155</v>
      </c>
      <c r="AP65" s="29" t="n">
        <v>89881.4852684702</v>
      </c>
      <c r="AQ65" s="29" t="n">
        <v>247725.1289164137</v>
      </c>
      <c r="AR65" s="29" t="n">
        <v>518300.0884599625</v>
      </c>
    </row>
    <row r="66" customFormat="false" ht="15.6" hidden="false" customHeight="false" outlineLevel="0" collapsed="false">
      <c r="B66" s="23" t="s">
        <v>39</v>
      </c>
      <c r="C66" s="8" t="n">
        <v>1062041.260993984</v>
      </c>
      <c r="D66" s="8" t="n">
        <v>466074.2529742052</v>
      </c>
      <c r="E66" s="8" t="n">
        <v>306954.27255709027</v>
      </c>
      <c r="F66" s="8" t="n">
        <v>201532.77355437243</v>
      </c>
      <c r="G66" s="8" t="n">
        <v>14073.341402065053</v>
      </c>
      <c r="H66" s="8" t="n">
        <v>124474.58395665388</v>
      </c>
      <c r="I66" s="8" t="n">
        <v>271498.95655613445</v>
      </c>
      <c r="J66" s="8" t="n">
        <v>188805.06071981715</v>
      </c>
      <c r="K66" s="8" t="n">
        <v>218982.49461839235</v>
      </c>
      <c r="L66" s="8" t="n">
        <v>41817.463452831405</v>
      </c>
      <c r="M66" s="8" t="n">
        <v>287389.65522093355</v>
      </c>
      <c r="N66" s="8" t="n">
        <v>18631.776414077132</v>
      </c>
      <c r="Q66" s="23" t="s">
        <v>39</v>
      </c>
      <c r="R66" s="8" t="n">
        <v>926681.255440001</v>
      </c>
      <c r="S66" s="8" t="n">
        <v>230488.40075560438</v>
      </c>
      <c r="T66" s="8" t="n">
        <v>57191.52193917384</v>
      </c>
      <c r="U66" s="8" t="n">
        <v>176580.129921563</v>
      </c>
      <c r="V66" s="8" t="n">
        <v>331938.52752114297</v>
      </c>
      <c r="W66" s="8" t="n">
        <v>335826.4849725829</v>
      </c>
      <c r="X66" s="8" t="n">
        <v>354729.0716872886</v>
      </c>
      <c r="Y66" s="8" t="n">
        <v>176142.68043280285</v>
      </c>
      <c r="Z66" s="8" t="n">
        <v>233989.36165956076</v>
      </c>
      <c r="AA66" s="8" t="n">
        <v>354969.6621155871</v>
      </c>
      <c r="AB66" s="8" t="n">
        <v>582685.9073367646</v>
      </c>
      <c r="AC66" s="8" t="n">
        <v>31179.24018001754</v>
      </c>
      <c r="AF66" s="23" t="s">
        <v>39</v>
      </c>
      <c r="AG66" s="8" t="n">
        <v>85630.48057587848</v>
      </c>
      <c r="AH66" s="8" t="n">
        <v>411848.66634949483</v>
      </c>
      <c r="AI66" s="8" t="n">
        <v>173820.39475295332</v>
      </c>
      <c r="AJ66" s="8" t="n">
        <v>1003.7410727882141</v>
      </c>
      <c r="AK66" s="8" t="n">
        <v>125585.82028168115</v>
      </c>
      <c r="AL66" s="8" t="n">
        <v>128267.89755320184</v>
      </c>
      <c r="AM66" s="8" t="n">
        <v>315047.16055270645</v>
      </c>
      <c r="AN66" s="8" t="n">
        <v>323094.59925062425</v>
      </c>
      <c r="AO66" s="8" t="n">
        <v>33247.82413966698</v>
      </c>
      <c r="AP66" s="8" t="n">
        <v>91061.55402098599</v>
      </c>
      <c r="AQ66" s="8" t="n">
        <v>512995.4140683849</v>
      </c>
      <c r="AR66" s="8" t="n">
        <v>47472.21201107288</v>
      </c>
    </row>
    <row r="67" customFormat="false" ht="15.6" hidden="false" customHeight="false" outlineLevel="0" collapsed="false">
      <c r="B67" s="23" t="s">
        <v>40</v>
      </c>
      <c r="C67" s="8" t="n">
        <v>100087.11736772623</v>
      </c>
      <c r="D67" s="8" t="n">
        <v>45036.09808378497</v>
      </c>
      <c r="E67" s="8" t="n">
        <v>194449.9863053436</v>
      </c>
      <c r="F67" s="8" t="n">
        <v>177374.58447347902</v>
      </c>
      <c r="G67" s="8" t="n">
        <v>30259.511933759568</v>
      </c>
      <c r="H67" s="8" t="n">
        <v>69128.50172614725</v>
      </c>
      <c r="I67" s="8" t="n">
        <v>91786.93620311905</v>
      </c>
      <c r="J67" s="8" t="n">
        <v>23408.586465464472</v>
      </c>
      <c r="K67" s="8" t="n">
        <v>500126.97147640155</v>
      </c>
      <c r="L67" s="8" t="n">
        <v>176111.81950894027</v>
      </c>
      <c r="M67" s="8" t="n">
        <v>334774.58097820665</v>
      </c>
      <c r="N67" s="8" t="n">
        <v>92151.95666277235</v>
      </c>
      <c r="Q67" s="23" t="s">
        <v>40</v>
      </c>
      <c r="R67" s="8" t="n">
        <v>114203.272853389</v>
      </c>
      <c r="S67" s="8" t="n">
        <v>85043.27432812411</v>
      </c>
      <c r="T67" s="8" t="n">
        <v>242561.4212131773</v>
      </c>
      <c r="U67" s="8" t="n">
        <v>241711.1635592558</v>
      </c>
      <c r="V67" s="8" t="n">
        <v>95170.93827029644</v>
      </c>
      <c r="W67" s="8" t="n">
        <v>34279.24805773417</v>
      </c>
      <c r="X67" s="8" t="n">
        <v>113517.9276586763</v>
      </c>
      <c r="Y67" s="8" t="n">
        <v>55073.84239564205</v>
      </c>
      <c r="Z67" s="8" t="n">
        <v>162386.86510458362</v>
      </c>
      <c r="AA67" s="8" t="n">
        <v>312997.7838845634</v>
      </c>
      <c r="AB67" s="8" t="n">
        <v>292010.3415039152</v>
      </c>
      <c r="AC67" s="8" t="n">
        <v>80248.38577193621</v>
      </c>
      <c r="AF67" s="23" t="s">
        <v>40</v>
      </c>
      <c r="AG67" s="8" t="n">
        <v>88241.56917786857</v>
      </c>
      <c r="AH67" s="8" t="n">
        <v>193953.56560291178</v>
      </c>
      <c r="AI67" s="8" t="n">
        <v>576876.1713767167</v>
      </c>
      <c r="AJ67" s="8" t="n">
        <v>233803.1734216152</v>
      </c>
      <c r="AK67" s="8" t="n">
        <v>19344.45189817595</v>
      </c>
      <c r="AL67" s="8" t="n">
        <v>5882.422237213963</v>
      </c>
      <c r="AM67" s="8" t="n">
        <v>164352.7500575877</v>
      </c>
      <c r="AN67" s="8" t="n">
        <v>136317.01978047585</v>
      </c>
      <c r="AO67" s="8" t="n">
        <v>653973.8172749099</v>
      </c>
      <c r="AP67" s="8" t="n">
        <v>355340.92969582893</v>
      </c>
      <c r="AQ67" s="8" t="n">
        <v>187618.01885071115</v>
      </c>
      <c r="AR67" s="8" t="n">
        <v>131476.79690441367</v>
      </c>
    </row>
    <row r="68" customFormat="false" ht="15.6" hidden="false" customHeight="false" outlineLevel="0" collapsed="false">
      <c r="B68" s="23" t="s">
        <v>41</v>
      </c>
      <c r="C68" s="8"/>
      <c r="D68" s="8" t="n">
        <f aca="false">D34/(1+$A68)</f>
        <v>4694429.184124365</v>
      </c>
      <c r="E68" s="8" t="n">
        <f aca="false">E34/(1+A68)</f>
        <v>2628293.016075337</v>
      </c>
      <c r="F68" s="8"/>
      <c r="G68" s="8"/>
      <c r="H68" s="8"/>
      <c r="I68" s="8"/>
      <c r="J68" s="8" t="n">
        <v>0.0</v>
      </c>
      <c r="K68" s="8" t="n">
        <v>0.0</v>
      </c>
      <c r="L68" s="8" t="n">
        <f aca="false">L34/(1+$A68)</f>
        <v>380464.4389185139</v>
      </c>
      <c r="M68" s="8" t="n">
        <f aca="false">M34/(1+$A68)</f>
        <v>1951610.7551188536</v>
      </c>
      <c r="N68" s="8" t="n">
        <f aca="false">N34/(1+$A68)</f>
        <v>2432743.8179261712</v>
      </c>
      <c r="Q68" s="23" t="s">
        <v>41</v>
      </c>
      <c r="R68" s="8"/>
      <c r="S68" s="8" t="n">
        <f aca="false">S34/(1+$A68)</f>
        <v>2747240.14961505</v>
      </c>
      <c r="T68" s="8" t="n">
        <f aca="false">T34/(1+P68)</f>
        <v>2144878.6153475684</v>
      </c>
      <c r="U68" s="8"/>
      <c r="V68" s="8"/>
      <c r="W68" s="8"/>
      <c r="X68" s="8"/>
      <c r="Y68" s="8" t="n">
        <v>0.0</v>
      </c>
      <c r="Z68" s="8" t="n">
        <v>0.0</v>
      </c>
      <c r="AA68" s="8" t="n">
        <f aca="false">AA34/(1+$A68)</f>
        <v>2345653.4159157583</v>
      </c>
      <c r="AB68" s="8" t="n">
        <f aca="false">AB34/(1+$A68)</f>
        <v>1111776.6314311675</v>
      </c>
      <c r="AC68" s="8" t="n">
        <f aca="false">AC34/(1+$A68)</f>
        <v>1375673.154033775</v>
      </c>
      <c r="AF68" s="23" t="s">
        <v>41</v>
      </c>
      <c r="AG68" s="8"/>
      <c r="AH68" s="8" t="n">
        <f aca="false">AH34/(1+$A68)</f>
        <v>3107548.097394091</v>
      </c>
      <c r="AI68" s="8" t="n">
        <f aca="false">AI34/(1+AE68)</f>
        <v>145234.60131129593</v>
      </c>
      <c r="AJ68" s="8"/>
      <c r="AK68" s="8"/>
      <c r="AL68" s="8"/>
      <c r="AM68" s="8"/>
      <c r="AN68" s="8" t="n">
        <v>0.0</v>
      </c>
      <c r="AO68" s="8" t="n">
        <v>0.0</v>
      </c>
      <c r="AP68" s="8" t="n">
        <f aca="false">AP34/(1+$A68)</f>
        <v>2873531.277393752</v>
      </c>
      <c r="AQ68" s="8" t="n">
        <f aca="false">AQ34/(1+$A68)</f>
        <v>1137568.5540202935</v>
      </c>
      <c r="AR68" s="8" t="n">
        <f aca="false">AR34/(1+$A68)</f>
        <v>37266.09497981138</v>
      </c>
    </row>
    <row r="69" customFormat="false" ht="15.6" hidden="false" customHeight="false" outlineLevel="0" collapsed="false">
      <c r="B69" s="24" t="s">
        <v>42</v>
      </c>
      <c r="C69" s="36" t="n">
        <v>298241.8119891689</v>
      </c>
      <c r="D69" s="25" t="n">
        <v>16672.49536073721</v>
      </c>
      <c r="E69" s="25" t="n">
        <v>69576.36756603651</v>
      </c>
      <c r="F69" s="25" t="n">
        <v>128321.98442696822</v>
      </c>
      <c r="G69" s="25" t="n">
        <v>25366.098329009</v>
      </c>
      <c r="H69" s="25" t="n">
        <v>71410.35692078076</v>
      </c>
      <c r="I69" s="25" t="n">
        <v>39158.72259931674</v>
      </c>
      <c r="J69" s="25" t="n">
        <v>65254.778853884</v>
      </c>
      <c r="K69" s="25" t="n">
        <v>62956.427413880774</v>
      </c>
      <c r="L69" s="25" t="n">
        <v>164203.57791741542</v>
      </c>
      <c r="M69" s="25" t="n">
        <v>22805.05336695812</v>
      </c>
      <c r="N69" s="25" t="n">
        <v>121489.0763107933</v>
      </c>
      <c r="Q69" s="24" t="s">
        <v>42</v>
      </c>
      <c r="R69" s="36" t="n">
        <v>2532.4567827786977</v>
      </c>
      <c r="S69" s="25" t="n">
        <v>16571.72380461569</v>
      </c>
      <c r="T69" s="25" t="n">
        <v>102754.9521502249</v>
      </c>
      <c r="U69" s="25" t="n">
        <v>167920.55629556894</v>
      </c>
      <c r="V69" s="25" t="n">
        <v>32134.687421364906</v>
      </c>
      <c r="W69" s="25" t="n">
        <v>32292.14832324454</v>
      </c>
      <c r="X69" s="25" t="n">
        <v>51506.06138751121</v>
      </c>
      <c r="Y69" s="25" t="n">
        <v>76.49089509685224</v>
      </c>
      <c r="Z69" s="25" t="n">
        <v>263972.54267212626</v>
      </c>
      <c r="AA69" s="25" t="n">
        <v>62943.82253379584</v>
      </c>
      <c r="AB69" s="25" t="n">
        <v>27055.062547938844</v>
      </c>
      <c r="AC69" s="25" t="n">
        <v>122851.84646017506</v>
      </c>
      <c r="AF69" s="24" t="s">
        <v>42</v>
      </c>
      <c r="AG69" s="36" t="n">
        <v>84242.77794212529</v>
      </c>
      <c r="AH69" s="25" t="n">
        <v>19268.289409145513</v>
      </c>
      <c r="AI69" s="25" t="n">
        <v>80098.9105354005</v>
      </c>
      <c r="AJ69" s="25" t="n">
        <v>160005.3205006836</v>
      </c>
      <c r="AK69" s="25" t="n">
        <v>26235.527468531578</v>
      </c>
      <c r="AL69" s="25" t="n">
        <v>73985.96702096741</v>
      </c>
      <c r="AM69" s="25" t="n">
        <v>15640.136611679549</v>
      </c>
      <c r="AN69" s="25" t="n">
        <v>62068.66236168955</v>
      </c>
      <c r="AO69" s="25" t="n">
        <v>225613.99541099867</v>
      </c>
      <c r="AP69" s="25" t="n">
        <v>140880.12323503452</v>
      </c>
      <c r="AQ69" s="25" t="n">
        <v>20125.77265845069</v>
      </c>
      <c r="AR69" s="25" t="n">
        <v>17563.705179698176</v>
      </c>
    </row>
    <row r="70" customFormat="false" ht="15.6" hidden="false" customHeight="false" outlineLevel="0" collapsed="false">
      <c r="B70" s="27" t="s">
        <v>43</v>
      </c>
      <c r="C70" s="29" t="n">
        <f aca="false">SUM(C66:C69)</f>
        <v>565591.2441546267</v>
      </c>
      <c r="D70" s="29" t="n">
        <f aca="false">SUM(D66:D69)</f>
        <v>2672541.5413166624</v>
      </c>
      <c r="E70" s="29" t="n">
        <f aca="false">SUM(E66:E69)</f>
        <v>1921869.614028968</v>
      </c>
      <c r="F70" s="29" t="n">
        <f aca="false">SUM(F66:F69)</f>
        <v>753257.1383272788</v>
      </c>
      <c r="G70" s="29" t="n">
        <f aca="false">SUM(G66:G69)</f>
        <v>407208.1575665826</v>
      </c>
      <c r="H70" s="29" t="n">
        <f aca="false">SUM(H66:H69)</f>
        <v>174957.3359769866</v>
      </c>
      <c r="I70" s="29" t="n">
        <f aca="false">SUM(I66:I69)</f>
        <v>609150.3239532663</v>
      </c>
      <c r="J70" s="29" t="n">
        <f aca="false">SUM(J66:J69)</f>
        <v>441117.60769569967</v>
      </c>
      <c r="K70" s="29" t="n">
        <f aca="false">SUM(K66:K69)</f>
        <v>405750.67861658504</v>
      </c>
      <c r="L70" s="29" t="n">
        <f aca="false">SUM(L66:L69)</f>
        <v>3486182.0603613867</v>
      </c>
      <c r="M70" s="29" t="n">
        <f aca="false">SUM(M66:M69)</f>
        <v>6655851.687872267</v>
      </c>
      <c r="N70" s="29" t="n">
        <f aca="false">SUM(N66:N69)</f>
        <v>952855.240271104</v>
      </c>
      <c r="Q70" s="27" t="s">
        <v>43</v>
      </c>
      <c r="R70" s="29" t="n">
        <f aca="false">SUM(R66:R69)</f>
        <v>977663.1991535149</v>
      </c>
      <c r="S70" s="29" t="n">
        <f aca="false">SUM(S66:S69)</f>
        <v>3302038.0799949756</v>
      </c>
      <c r="T70" s="29" t="n">
        <f aca="false">SUM(T66:T69)</f>
        <v>5025101.184503507</v>
      </c>
      <c r="U70" s="29" t="n">
        <f aca="false">SUM(U66:U69)</f>
        <v>746994.4344830038</v>
      </c>
      <c r="V70" s="29" t="n">
        <f aca="false">SUM(V66:V69)</f>
        <v>361564.2252673086</v>
      </c>
      <c r="W70" s="29" t="n">
        <f aca="false">SUM(W66:W69)</f>
        <v>4948.951940748965</v>
      </c>
      <c r="X70" s="29" t="n">
        <f aca="false">SUM(X66:X69)</f>
        <v>426856.424208115</v>
      </c>
      <c r="Y70" s="29" t="n">
        <f aca="false">SUM(Y66:Y69)</f>
        <v>406998.42036288587</v>
      </c>
      <c r="Z70" s="29" t="n">
        <f aca="false">SUM(Z66:Z69)</f>
        <v>339057.04111221444</v>
      </c>
      <c r="AA70" s="29" t="n">
        <f aca="false">SUM(AA66:AA69)</f>
        <v>2012098.530837874</v>
      </c>
      <c r="AB70" s="29" t="n">
        <f aca="false">SUM(AB66:AB69)</f>
        <v>571538.6632744636</v>
      </c>
      <c r="AC70" s="29" t="n">
        <f aca="false">SUM(AC66:AC69)</f>
        <v>2162726.4682899998</v>
      </c>
      <c r="AF70" s="27" t="s">
        <v>43</v>
      </c>
      <c r="AG70" s="29" t="n">
        <f aca="false">SUM(AG66:AG69)</f>
        <v>1611630.222514953</v>
      </c>
      <c r="AH70" s="29" t="n">
        <f aca="false">SUM(AH66:AH69)</f>
        <v>339442.0037825138</v>
      </c>
      <c r="AI70" s="29" t="n">
        <f aca="false">SUM(AI66:AI69)</f>
        <v>647274.7917650403</v>
      </c>
      <c r="AJ70" s="29" t="n">
        <f aca="false">SUM(AJ66:AJ69)</f>
        <v>737233.678154856</v>
      </c>
      <c r="AK70" s="29" t="n">
        <f aca="false">SUM(AK66:AK69)</f>
        <v>48062.48375628715</v>
      </c>
      <c r="AL70" s="29" t="n">
        <f aca="false">SUM(AL66:AL69)</f>
        <v>359254.57506582845</v>
      </c>
      <c r="AM70" s="29" t="n">
        <f aca="false">SUM(AM66:AM69)</f>
        <v>389684.24104968907</v>
      </c>
      <c r="AN70" s="29" t="n">
        <f aca="false">SUM(AN66:AN69)</f>
        <v>706935.9103701189</v>
      </c>
      <c r="AO70" s="29" t="n">
        <f aca="false">SUM(AO66:AO69)</f>
        <v>1012709.5048346752</v>
      </c>
      <c r="AP70" s="29" t="n">
        <f aca="false">SUM(AP66:AP69)</f>
        <v>3495943.5738553633</v>
      </c>
      <c r="AQ70" s="29" t="n">
        <f aca="false">SUM(AQ66:AQ69)</f>
        <v>4321446.092316934</v>
      </c>
      <c r="AR70" s="29" t="n">
        <f aca="false">SUM(AR66:AR69)</f>
        <v>2501945.9101774576</v>
      </c>
    </row>
    <row r="71" customFormat="false" ht="15.6" hidden="false" customHeight="false" outlineLevel="0" collapsed="false">
      <c r="B71" s="30" t="s">
        <v>44</v>
      </c>
      <c r="C71" s="21" t="n">
        <f aca="false">SUM(C64,C65,C70)</f>
        <v>495188.92029275943</v>
      </c>
      <c r="D71" s="21" t="n">
        <f aca="false">SUM(D64,D65,D70)-1783</f>
        <v>1817287.1090900116</v>
      </c>
      <c r="E71" s="21" t="n">
        <f aca="false">SUM(E64,E65,E70)</f>
        <v>709073.5023609665</v>
      </c>
      <c r="F71" s="21" t="n">
        <f aca="false">SUM(F64,F65,F70)</f>
        <v>1598014.3360256806</v>
      </c>
      <c r="G71" s="21" t="n">
        <f aca="false">SUM(G64,G65,G70)-510</f>
        <v>1338501.8878973213</v>
      </c>
      <c r="H71" s="21" t="n">
        <f aca="false">SUM(H64,H65,H70)</f>
        <v>756354.7860212272</v>
      </c>
      <c r="I71" s="21" t="n">
        <f aca="false">SUM(I64,I65,I70)</f>
        <v>443032.11904241354</v>
      </c>
      <c r="J71" s="21" t="n">
        <f aca="false">SUM(J64,J65,J70)</f>
        <v>757066.723695074</v>
      </c>
      <c r="K71" s="21" t="n">
        <f aca="false">SUM(K64,K65,K70)-450</f>
        <v>93263.04885686039</v>
      </c>
      <c r="L71" s="21" t="n">
        <f aca="false">SUM(L64,L65,L70)</f>
        <v>8295714.375158443</v>
      </c>
      <c r="M71" s="21" t="n">
        <f aca="false">SUM(M64,M65,M70)</f>
        <v>2734244.2757958123</v>
      </c>
      <c r="N71" s="21" t="n">
        <f aca="false">SUM(N64,N65,N70)-1591</f>
        <v>3760660.755127766</v>
      </c>
      <c r="Q71" s="30" t="s">
        <v>44</v>
      </c>
      <c r="R71" s="21" t="n">
        <f aca="false">SUM(R64,R65,R70)</f>
        <v>2863974.902588211</v>
      </c>
      <c r="S71" s="21" t="n">
        <f aca="false">SUM(S64,S65,S70)-1783</f>
        <v>5655253.450488516</v>
      </c>
      <c r="T71" s="21" t="n">
        <f aca="false">SUM(T64,T65,T70)</f>
        <v>4847703.299299929</v>
      </c>
      <c r="U71" s="21" t="n">
        <f aca="false">SUM(U64,U65,U70)</f>
        <v>1352736.544081403</v>
      </c>
      <c r="V71" s="21" t="n">
        <f aca="false">SUM(V64,V65,V70)-510</f>
        <v>1055527.9456534334</v>
      </c>
      <c r="W71" s="21" t="n">
        <f aca="false">SUM(W64,W65,W70)</f>
        <v>1268504.6802602746</v>
      </c>
      <c r="X71" s="21" t="n">
        <f aca="false">SUM(X64,X65,X70)</f>
        <v>2133924.425419246</v>
      </c>
      <c r="Y71" s="21" t="n">
        <f aca="false">SUM(Y64,Y65,Y70)</f>
        <v>1092525.7522505978</v>
      </c>
      <c r="Z71" s="21" t="n">
        <f aca="false">SUM(Z64,Z65,Z70)-450</f>
        <v>1121332.8913135992</v>
      </c>
      <c r="AA71" s="21" t="n">
        <f aca="false">SUM(AA64,AA65,AA70)</f>
        <v>6951663.437385097</v>
      </c>
      <c r="AB71" s="21" t="n">
        <f aca="false">SUM(AB64,AB65,AB70)</f>
        <v>1661972.2683700572</v>
      </c>
      <c r="AC71" s="21" t="n">
        <f aca="false">SUM(AC64,AC65,AC70)-1591</f>
        <v>2133538.667829813</v>
      </c>
      <c r="AF71" s="30" t="s">
        <v>44</v>
      </c>
      <c r="AG71" s="21" t="n">
        <f aca="false">SUM(AG64,AG65,AG70)</f>
        <v>3017474.43629635</v>
      </c>
      <c r="AH71" s="21" t="n">
        <f aca="false">SUM(AH64,AH65,AH70)-1783</f>
        <v>2326092.768669953</v>
      </c>
      <c r="AI71" s="21" t="n">
        <f aca="false">SUM(AI64,AI65,AI70)</f>
        <v>2392768.2625691216</v>
      </c>
      <c r="AJ71" s="21" t="n">
        <f aca="false">SUM(AJ64,AJ65,AJ70)</f>
        <v>1372275.1883443885</v>
      </c>
      <c r="AK71" s="21" t="n">
        <f aca="false">SUM(AK64,AK65,AK70)-510</f>
        <v>491753.3043065892</v>
      </c>
      <c r="AL71" s="21" t="n">
        <f aca="false">SUM(AL64,AL65,AL70)</f>
        <v>900898.2092766071</v>
      </c>
      <c r="AM71" s="21" t="n">
        <f aca="false">SUM(AM64,AM65,AM70)</f>
        <v>1100444.8994032536</v>
      </c>
      <c r="AN71" s="21" t="n">
        <f aca="false">SUM(AN64,AN65,AN70)</f>
        <v>1105894.8791550086</v>
      </c>
      <c r="AO71" s="21" t="n">
        <f aca="false">SUM(AO64,AO65,AO70)-450</f>
        <v>2558298.1571524423</v>
      </c>
      <c r="AP71" s="21" t="n">
        <f aca="false">SUM(AP64,AP65,AP70)</f>
        <v>1812232.689064877</v>
      </c>
      <c r="AQ71" s="21" t="n">
        <f aca="false">SUM(AQ64,AQ65,AQ70)</f>
        <v>5434120.715604064</v>
      </c>
      <c r="AR71" s="21" t="n">
        <f aca="false">SUM(AR64,AR65,AR70)-1591</f>
        <v>1645800.2926110518</v>
      </c>
    </row>
    <row r="72" customFormat="false" ht="15.6" hidden="false" customHeight="false" outlineLevel="0" collapsed="false">
      <c r="B72" s="24" t="s">
        <v>45</v>
      </c>
      <c r="C72" s="31" t="n">
        <v>570329.0394019904</v>
      </c>
      <c r="D72" s="25" t="n">
        <v>4216578.821683382</v>
      </c>
      <c r="E72" s="25" t="n">
        <v>3646262.5104986937</v>
      </c>
      <c r="F72" s="25" t="n">
        <v>2325646.3418289227</v>
      </c>
      <c r="G72" s="25" t="n">
        <v>1731156.1597577962</v>
      </c>
      <c r="H72" s="25" t="n">
        <v>445070.05177575245</v>
      </c>
      <c r="I72" s="25" t="n">
        <v>837594.1791179267</v>
      </c>
      <c r="J72" s="25" t="n">
        <v>1475942.1820686979</v>
      </c>
      <c r="K72" s="25" t="n">
        <v>3075931.905628422</v>
      </c>
      <c r="L72" s="25" t="n">
        <v>4199814.564944191</v>
      </c>
      <c r="M72" s="25" t="n">
        <v>3832417.4037061622</v>
      </c>
      <c r="N72" s="25" t="n">
        <v>1839512.0656647151</v>
      </c>
      <c r="Q72" s="24" t="s">
        <v>45</v>
      </c>
      <c r="R72" s="31" t="n">
        <v>2484125.4458496654</v>
      </c>
      <c r="S72" s="25" t="n">
        <v>3984066.83579673</v>
      </c>
      <c r="T72" s="25" t="n">
        <v>951676.6990879275</v>
      </c>
      <c r="U72" s="25" t="n">
        <v>3700451.2731937654</v>
      </c>
      <c r="V72" s="25" t="n">
        <v>1081177.026315417</v>
      </c>
      <c r="W72" s="25" t="n">
        <v>2579769.3245434337</v>
      </c>
      <c r="X72" s="25" t="n">
        <v>3973804.5929003004</v>
      </c>
      <c r="Y72" s="25" t="n">
        <v>2039155.3447025854</v>
      </c>
      <c r="Z72" s="25" t="n">
        <v>3716456.7609315026</v>
      </c>
      <c r="AA72" s="25" t="n">
        <v>1577228.4958215104</v>
      </c>
      <c r="AB72" s="25" t="n">
        <v>456173.0515402357</v>
      </c>
      <c r="AC72" s="25" t="n">
        <v>3479140.747665463</v>
      </c>
      <c r="AF72" s="24" t="s">
        <v>45</v>
      </c>
      <c r="AG72" s="31" t="n">
        <v>2754456.609507424</v>
      </c>
      <c r="AH72" s="25" t="n">
        <v>2837929.9042930244</v>
      </c>
      <c r="AI72" s="25" t="n">
        <v>73701.37635984745</v>
      </c>
      <c r="AJ72" s="25" t="n">
        <v>3050604.081860182</v>
      </c>
      <c r="AK72" s="25" t="n">
        <v>272594.56743296725</v>
      </c>
      <c r="AL72" s="25" t="n">
        <v>2774561.098953063</v>
      </c>
      <c r="AM72" s="25" t="n">
        <v>2182348.757151308</v>
      </c>
      <c r="AN72" s="25" t="n">
        <v>3325840.3821144234</v>
      </c>
      <c r="AO72" s="25" t="n">
        <v>4574164.221648791</v>
      </c>
      <c r="AP72" s="25" t="n">
        <v>1400024.932923856</v>
      </c>
      <c r="AQ72" s="25" t="n">
        <v>3772663.9981572535</v>
      </c>
      <c r="AR72" s="25" t="n">
        <v>604030.4717813684</v>
      </c>
    </row>
    <row r="73" customFormat="false" ht="15.6" hidden="false" customHeight="false" outlineLevel="0" collapsed="false">
      <c r="B73" s="30" t="s">
        <v>46</v>
      </c>
      <c r="C73" s="21" t="n">
        <f aca="false">SUM(C72)</f>
        <v>1151264.2707503694</v>
      </c>
      <c r="D73" s="21" t="n">
        <f aca="false">SUM(D72)</f>
        <v>2591730.8705504234</v>
      </c>
      <c r="E73" s="21" t="n">
        <f aca="false">SUM(E72)</f>
        <v>3553682.31182122</v>
      </c>
      <c r="F73" s="21" t="n">
        <f aca="false">SUM(F72)</f>
        <v>3430677.814459245</v>
      </c>
      <c r="G73" s="21" t="n">
        <f aca="false">SUM(G72)</f>
        <v>988385.8754284742</v>
      </c>
      <c r="H73" s="21" t="n">
        <f aca="false">SUM(H72)</f>
        <v>810939.3437657478</v>
      </c>
      <c r="I73" s="21" t="n">
        <f aca="false">SUM(I72)</f>
        <v>1762178.3888665205</v>
      </c>
      <c r="J73" s="21" t="n">
        <f aca="false">SUM(J72)</f>
        <v>3712850.523700352</v>
      </c>
      <c r="K73" s="21" t="n">
        <f aca="false">SUM(K72)</f>
        <v>4092166.177355369</v>
      </c>
      <c r="L73" s="21" t="n">
        <f aca="false">SUM(L72)</f>
        <v>874509.6464625174</v>
      </c>
      <c r="M73" s="21" t="n">
        <f aca="false">SUM(M72)</f>
        <v>2734747.66689993</v>
      </c>
      <c r="N73" s="21" t="n">
        <f aca="false">SUM(N72)</f>
        <v>33187.135028635064</v>
      </c>
      <c r="Q73" s="30" t="s">
        <v>46</v>
      </c>
      <c r="R73" s="21" t="n">
        <f aca="false">SUM(R72)</f>
        <v>1297960.048700547</v>
      </c>
      <c r="S73" s="21" t="n">
        <f aca="false">SUM(S72)</f>
        <v>4359478.405025228</v>
      </c>
      <c r="T73" s="21" t="n">
        <f aca="false">SUM(T72)</f>
        <v>418548.45366515307</v>
      </c>
      <c r="U73" s="21" t="n">
        <f aca="false">SUM(U72)</f>
        <v>4246780.346035941</v>
      </c>
      <c r="V73" s="21" t="n">
        <f aca="false">SUM(V72)</f>
        <v>569356.002899361</v>
      </c>
      <c r="W73" s="21" t="n">
        <f aca="false">SUM(W72)</f>
        <v>1521658.8904743094</v>
      </c>
      <c r="X73" s="21" t="n">
        <f aca="false">SUM(X72)</f>
        <v>1871002.8055531648</v>
      </c>
      <c r="Y73" s="21" t="n">
        <f aca="false">SUM(Y72)</f>
        <v>1841113.005194742</v>
      </c>
      <c r="Z73" s="21" t="n">
        <f aca="false">SUM(Z72)</f>
        <v>610560.9459355298</v>
      </c>
      <c r="AA73" s="21" t="n">
        <f aca="false">SUM(AA72)</f>
        <v>94186.96693016138</v>
      </c>
      <c r="AB73" s="21" t="n">
        <f aca="false">SUM(AB72)</f>
        <v>4325975.522588782</v>
      </c>
      <c r="AC73" s="21" t="n">
        <f aca="false">SUM(AC72)</f>
        <v>1485893.74576732</v>
      </c>
      <c r="AF73" s="30" t="s">
        <v>46</v>
      </c>
      <c r="AG73" s="21" t="n">
        <f aca="false">SUM(AG72)</f>
        <v>639912.6514801689</v>
      </c>
      <c r="AH73" s="21" t="n">
        <f aca="false">SUM(AH72)</f>
        <v>111223.71220639265</v>
      </c>
      <c r="AI73" s="21" t="n">
        <f aca="false">SUM(AI72)</f>
        <v>2031176.0255557445</v>
      </c>
      <c r="AJ73" s="21" t="n">
        <f aca="false">SUM(AJ72)</f>
        <v>2495835.7323755096</v>
      </c>
      <c r="AK73" s="21" t="n">
        <f aca="false">SUM(AK72)</f>
        <v>1400569.6830394575</v>
      </c>
      <c r="AL73" s="21" t="n">
        <f aca="false">SUM(AL72)</f>
        <v>467077.5251518995</v>
      </c>
      <c r="AM73" s="21" t="n">
        <f aca="false">SUM(AM72)</f>
        <v>1181448.2919300052</v>
      </c>
      <c r="AN73" s="21" t="n">
        <f aca="false">SUM(AN72)</f>
        <v>1844240.8622412414</v>
      </c>
      <c r="AO73" s="21" t="n">
        <f aca="false">SUM(AO72)</f>
        <v>1332375.8220318714</v>
      </c>
      <c r="AP73" s="21" t="n">
        <f aca="false">SUM(AP72)</f>
        <v>681314.7722276646</v>
      </c>
      <c r="AQ73" s="21" t="n">
        <f aca="false">SUM(AQ72)</f>
        <v>1203196.7893116712</v>
      </c>
      <c r="AR73" s="21" t="n">
        <f aca="false">SUM(AR72)</f>
        <v>4128171.751416527</v>
      </c>
    </row>
    <row r="74" customFormat="false" ht="15.6" hidden="false" customHeight="false" outlineLevel="0" collapsed="false">
      <c r="B74" s="24" t="s">
        <v>47</v>
      </c>
      <c r="C74" s="31" t="n">
        <v>896567.5886163079</v>
      </c>
      <c r="D74" s="25" t="n">
        <v>158509.77143069732</v>
      </c>
      <c r="E74" s="25" t="n">
        <v>697116.9324031222</v>
      </c>
      <c r="F74" s="25" t="n">
        <v>880294.1542637051</v>
      </c>
      <c r="G74" s="25" t="n">
        <v>1158342.893718976</v>
      </c>
      <c r="H74" s="25" t="n">
        <v>540531.3335554387</v>
      </c>
      <c r="I74" s="25" t="n">
        <v>102779.05390850175</v>
      </c>
      <c r="J74" s="25" t="n">
        <v>457984.6126076101</v>
      </c>
      <c r="K74" s="25" t="n">
        <v>949682.1423661694</v>
      </c>
      <c r="L74" s="25" t="n">
        <v>16979.0118804724</v>
      </c>
      <c r="M74" s="25" t="n">
        <v>983508.646798579</v>
      </c>
      <c r="N74" s="25" t="n">
        <v>192657.51719668572</v>
      </c>
      <c r="Q74" s="24" t="s">
        <v>47</v>
      </c>
      <c r="R74" s="31" t="n">
        <v>687251.453458974</v>
      </c>
      <c r="S74" s="25" t="n">
        <v>18942.5309238621</v>
      </c>
      <c r="T74" s="25" t="n">
        <v>966539.0958488401</v>
      </c>
      <c r="U74" s="25" t="n">
        <v>407989.4308779689</v>
      </c>
      <c r="V74" s="25" t="n">
        <v>1120945.7242531898</v>
      </c>
      <c r="W74" s="25" t="n">
        <v>769424.7136028529</v>
      </c>
      <c r="X74" s="25" t="n">
        <v>847357.9681687054</v>
      </c>
      <c r="Y74" s="25" t="n">
        <v>164642.58988035834</v>
      </c>
      <c r="Z74" s="25" t="n">
        <v>600144.8651352853</v>
      </c>
      <c r="AA74" s="25" t="n">
        <v>387481.98025531747</v>
      </c>
      <c r="AB74" s="25" t="n">
        <v>58297.133117842175</v>
      </c>
      <c r="AC74" s="25" t="n">
        <v>101613.86817629014</v>
      </c>
      <c r="AF74" s="24" t="s">
        <v>47</v>
      </c>
      <c r="AG74" s="31" t="n">
        <v>184492.30797082756</v>
      </c>
      <c r="AH74" s="25" t="n">
        <v>298058.0556593595</v>
      </c>
      <c r="AI74" s="25" t="n">
        <v>737308.9428819886</v>
      </c>
      <c r="AJ74" s="25" t="n">
        <v>436898.89031725563</v>
      </c>
      <c r="AK74" s="25" t="n">
        <v>198318.09213982377</v>
      </c>
      <c r="AL74" s="25" t="n">
        <v>618002.3768521815</v>
      </c>
      <c r="AM74" s="25" t="n">
        <v>589891.0297670123</v>
      </c>
      <c r="AN74" s="25" t="n">
        <v>131211.801285971</v>
      </c>
      <c r="AO74" s="25" t="n">
        <v>878364.9554147576</v>
      </c>
      <c r="AP74" s="25" t="n">
        <v>117452.20044064868</v>
      </c>
      <c r="AQ74" s="25" t="n">
        <v>813631.4102604578</v>
      </c>
      <c r="AR74" s="25" t="n">
        <v>931019.6245624733</v>
      </c>
    </row>
    <row r="75" customFormat="false" ht="15.6" hidden="false" customHeight="false" outlineLevel="0" collapsed="false">
      <c r="B75" s="30" t="s">
        <v>48</v>
      </c>
      <c r="C75" s="21" t="n">
        <f aca="false">SUM(C74)</f>
        <v>1111591.409956652</v>
      </c>
      <c r="D75" s="21" t="n">
        <f aca="false">SUM(D74)</f>
        <v>672828.8758643079</v>
      </c>
      <c r="E75" s="21" t="n">
        <f aca="false">SUM(E74)</f>
        <v>1120918.5769339202</v>
      </c>
      <c r="F75" s="21" t="n">
        <f aca="false">SUM(F74)</f>
        <v>463679.5358214265</v>
      </c>
      <c r="G75" s="21" t="n">
        <f aca="false">SUM(G74)</f>
        <v>908369.9050366835</v>
      </c>
      <c r="H75" s="21" t="n">
        <f aca="false">SUM(H74)</f>
        <v>423337.6055474748</v>
      </c>
      <c r="I75" s="21" t="n">
        <f aca="false">SUM(I74)</f>
        <v>165561.503274358</v>
      </c>
      <c r="J75" s="21" t="n">
        <f aca="false">SUM(J74)</f>
        <v>574469.0411119193</v>
      </c>
      <c r="K75" s="21" t="n">
        <f aca="false">SUM(K74)</f>
        <v>839131.2516824906</v>
      </c>
      <c r="L75" s="21" t="n">
        <f aca="false">SUM(L74)</f>
        <v>380617.493909056</v>
      </c>
      <c r="M75" s="21" t="n">
        <f aca="false">SUM(M74)</f>
        <v>449632.7591633058</v>
      </c>
      <c r="N75" s="21" t="n">
        <f aca="false">SUM(N74)</f>
        <v>264240.5016987465</v>
      </c>
      <c r="Q75" s="30" t="s">
        <v>48</v>
      </c>
      <c r="R75" s="21" t="n">
        <f aca="false">SUM(R74)</f>
        <v>1099482.1303160738</v>
      </c>
      <c r="S75" s="21" t="n">
        <f aca="false">SUM(S74)</f>
        <v>474085.3605048405</v>
      </c>
      <c r="T75" s="21" t="n">
        <f aca="false">SUM(T74)</f>
        <v>186055.21835558192</v>
      </c>
      <c r="U75" s="21" t="n">
        <f aca="false">SUM(U74)</f>
        <v>70476.94681420694</v>
      </c>
      <c r="V75" s="21" t="n">
        <f aca="false">SUM(V74)</f>
        <v>699596.7836966276</v>
      </c>
      <c r="W75" s="21" t="n">
        <f aca="false">SUM(W74)</f>
        <v>506087.4375007571</v>
      </c>
      <c r="X75" s="21" t="n">
        <f aca="false">SUM(X74)</f>
        <v>312869.4254185389</v>
      </c>
      <c r="Y75" s="21" t="n">
        <f aca="false">SUM(Y74)</f>
        <v>372890.699268889</v>
      </c>
      <c r="Z75" s="21" t="n">
        <f aca="false">SUM(Z74)</f>
        <v>323581.84931832674</v>
      </c>
      <c r="AA75" s="21" t="n">
        <f aca="false">SUM(AA74)</f>
        <v>592234.3680834752</v>
      </c>
      <c r="AB75" s="21" t="n">
        <f aca="false">SUM(AB74)</f>
        <v>950541.0824240188</v>
      </c>
      <c r="AC75" s="21" t="n">
        <f aca="false">SUM(AC74)</f>
        <v>62814.951207294864</v>
      </c>
      <c r="AF75" s="30" t="s">
        <v>48</v>
      </c>
      <c r="AG75" s="21" t="n">
        <f aca="false">SUM(AG74)</f>
        <v>656607.7106232874</v>
      </c>
      <c r="AH75" s="21" t="n">
        <f aca="false">SUM(AH74)</f>
        <v>1092605.3591714818</v>
      </c>
      <c r="AI75" s="21" t="n">
        <f aca="false">SUM(AI74)</f>
        <v>351000.12343517045</v>
      </c>
      <c r="AJ75" s="21" t="n">
        <f aca="false">SUM(AJ74)</f>
        <v>654176.8330058217</v>
      </c>
      <c r="AK75" s="21" t="n">
        <f aca="false">SUM(AK74)</f>
        <v>458693.1455129014</v>
      </c>
      <c r="AL75" s="21" t="n">
        <f aca="false">SUM(AL74)</f>
        <v>608179.9685289072</v>
      </c>
      <c r="AM75" s="21" t="n">
        <f aca="false">SUM(AM74)</f>
        <v>326176.1044154379</v>
      </c>
      <c r="AN75" s="21" t="n">
        <f aca="false">SUM(AN74)</f>
        <v>343863.03053604416</v>
      </c>
      <c r="AO75" s="21" t="n">
        <f aca="false">SUM(AO74)</f>
        <v>355329.5549598629</v>
      </c>
      <c r="AP75" s="21" t="n">
        <f aca="false">SUM(AP74)</f>
        <v>762195.5488332561</v>
      </c>
      <c r="AQ75" s="21" t="n">
        <f aca="false">SUM(AQ74)</f>
        <v>289532.14935240766</v>
      </c>
      <c r="AR75" s="21" t="n">
        <f aca="false">SUM(AR74)</f>
        <v>781063.3988165497</v>
      </c>
    </row>
    <row r="76" customFormat="false" ht="15.6" hidden="false" customHeight="false" outlineLevel="0" collapsed="false">
      <c r="B76" s="32" t="s">
        <v>49</v>
      </c>
      <c r="C76" s="33" t="n">
        <f aca="false">SUM(C53,C55,C71,C73,C75)</f>
        <v>202914.1050633088</v>
      </c>
      <c r="D76" s="33" t="n">
        <f aca="false">SUM(D53,D55,D71,D73,D75)</f>
        <v>10203221.809087591</v>
      </c>
      <c r="E76" s="33" t="n">
        <f aca="false">SUM(E53,E55,E71,E73,E75)</f>
        <v>12979978.529389195</v>
      </c>
      <c r="F76" s="33" t="n">
        <f aca="false">SUM(F53,F55,F71,F73,F75)</f>
        <v>3939242.594402934</v>
      </c>
      <c r="G76" s="33" t="n">
        <f aca="false">SUM(G53,G55,G71,G73,G75)</f>
        <v>553457.6155602041</v>
      </c>
      <c r="H76" s="33" t="n">
        <f aca="false">SUM(H53,H55,H71,H73,H75)</f>
        <v>6482964.369045972</v>
      </c>
      <c r="I76" s="33" t="n">
        <f aca="false">SUM(I53,I55,I71,I73,I75)</f>
        <v>7957757.02465201</v>
      </c>
      <c r="J76" s="33" t="n">
        <f aca="false">SUM(J53,J55,J71,J73,J75)</f>
        <v>7121182.697430587</v>
      </c>
      <c r="K76" s="33" t="n">
        <f aca="false">SUM(K53,K55,K71,K73,K75)</f>
        <v>4797789.687674596</v>
      </c>
      <c r="L76" s="33" t="n">
        <f aca="false">SUM(L53,L55,L71,L73,L75)</f>
        <v>4357892.159269801</v>
      </c>
      <c r="M76" s="33" t="n">
        <f aca="false">SUM(M53,M55,M71,M73,M75)</f>
        <v>7384280.864193379</v>
      </c>
      <c r="N76" s="33" t="n">
        <f aca="false">SUM(N53,N55,N71,N73,N75)</f>
        <v>11289188.794985417</v>
      </c>
      <c r="Q76" s="32" t="s">
        <v>49</v>
      </c>
      <c r="R76" s="33" t="n">
        <f aca="false">SUM(R53,R55,R71,R73,R75)</f>
        <v>331858.67531252676</v>
      </c>
      <c r="S76" s="33" t="n">
        <f aca="false">SUM(S53,S55,S71,S73,S75)</f>
        <v>9890273.414299684</v>
      </c>
      <c r="T76" s="33" t="n">
        <f aca="false">SUM(T53,T55,T71,T73,T75)</f>
        <v>4348991.87429673</v>
      </c>
      <c r="U76" s="33" t="n">
        <f aca="false">SUM(U53,U55,U71,U73,U75)</f>
        <v>2062535.8446181167</v>
      </c>
      <c r="V76" s="33" t="n">
        <f aca="false">SUM(V53,V55,V71,V73,V75)</f>
        <v>3095237.9520874918</v>
      </c>
      <c r="W76" s="33" t="n">
        <f aca="false">SUM(W53,W55,W71,W73,W75)</f>
        <v>5842641.995011649</v>
      </c>
      <c r="X76" s="33" t="n">
        <f aca="false">SUM(X53,X55,X71,X73,X75)</f>
        <v>5908417.994488233</v>
      </c>
      <c r="Y76" s="33" t="n">
        <f aca="false">SUM(Y53,Y55,Y71,Y73,Y75)</f>
        <v>5504387.717733673</v>
      </c>
      <c r="Z76" s="33" t="n">
        <f aca="false">SUM(Z53,Z55,Z71,Z73,Z75)</f>
        <v>7950386.154853451</v>
      </c>
      <c r="AA76" s="33" t="n">
        <f aca="false">SUM(AA53,AA55,AA71,AA73,AA75)</f>
        <v>12903090.517857695</v>
      </c>
      <c r="AB76" s="33" t="n">
        <f aca="false">SUM(AB53,AB55,AB71,AB73,AB75)</f>
        <v>7726446.024978448</v>
      </c>
      <c r="AC76" s="33" t="n">
        <f aca="false">SUM(AC53,AC55,AC71,AC73,AC75)</f>
        <v>554478.4753851527</v>
      </c>
      <c r="AF76" s="32" t="s">
        <v>49</v>
      </c>
      <c r="AG76" s="33" t="n">
        <f aca="false">SUM(AG53,AG55,AG71,AG73,AG75)</f>
        <v>8999931.06579804</v>
      </c>
      <c r="AH76" s="33" t="n">
        <f aca="false">SUM(AH53,AH55,AH71,AH73,AH75)</f>
        <v>6897609.890220577</v>
      </c>
      <c r="AI76" s="33" t="n">
        <f aca="false">SUM(AI53,AI55,AI71,AI73,AI75)</f>
        <v>5830970.316011098</v>
      </c>
      <c r="AJ76" s="33" t="n">
        <f aca="false">SUM(AJ53,AJ55,AJ71,AJ73,AJ75)</f>
        <v>4160261.809592493</v>
      </c>
      <c r="AK76" s="33" t="n">
        <f aca="false">SUM(AK53,AK55,AK71,AK73,AK75)</f>
        <v>950505.6286205391</v>
      </c>
      <c r="AL76" s="33" t="n">
        <f aca="false">SUM(AL53,AL55,AL71,AL73,AL75)</f>
        <v>9804024.614444729</v>
      </c>
      <c r="AM76" s="33" t="n">
        <f aca="false">SUM(AM53,AM55,AM71,AM73,AM75)</f>
        <v>8933872.080685118</v>
      </c>
      <c r="AN76" s="33" t="n">
        <f aca="false">SUM(AN53,AN55,AN71,AN73,AN75)</f>
        <v>577394.4135633599</v>
      </c>
      <c r="AO76" s="33" t="n">
        <f aca="false">SUM(AO53,AO55,AO71,AO73,AO75)</f>
        <v>5650035.828153366</v>
      </c>
      <c r="AP76" s="33" t="n">
        <f aca="false">SUM(AP53,AP55,AP71,AP73,AP75)</f>
        <v>7332797.592101446</v>
      </c>
      <c r="AQ76" s="33" t="n">
        <f aca="false">SUM(AQ53,AQ55,AQ71,AQ73,AQ75)</f>
        <v>13080724.05573731</v>
      </c>
      <c r="AR76" s="33" t="n">
        <f aca="false">SUM(AR53,AR55,AR71,AR73,AR75)</f>
        <v>12346422.492523775</v>
      </c>
    </row>
    <row r="77" customFormat="false" ht="15" hidden="false" customHeight="false" outlineLevel="0" collapsed="false"/>
    <row r="78" customFormat="false" ht="15" hidden="false" customHeight="false" outlineLevel="0" collapsed="false"/>
    <row r="79" customFormat="false" ht="29.85" hidden="false" customHeight="false" outlineLevel="0" collapsed="false">
      <c r="B79" s="3" t="s">
        <v>52</v>
      </c>
      <c r="C79" s="4" t="s">
        <v>4</v>
      </c>
      <c r="D79" s="5" t="s">
        <v>5</v>
      </c>
      <c r="E79" s="5" t="s">
        <v>6</v>
      </c>
      <c r="F79" s="5" t="s">
        <v>7</v>
      </c>
      <c r="G79" s="5" t="s">
        <v>8</v>
      </c>
      <c r="H79" s="5" t="s">
        <v>51</v>
      </c>
      <c r="I79" s="5" t="s">
        <v>10</v>
      </c>
      <c r="J79" s="5" t="s">
        <v>11</v>
      </c>
      <c r="K79" s="5" t="s">
        <v>12</v>
      </c>
      <c r="L79" s="5" t="s">
        <v>13</v>
      </c>
      <c r="M79" s="5" t="s">
        <v>14</v>
      </c>
      <c r="N79" s="5" t="s">
        <v>15</v>
      </c>
      <c r="Q79" s="3" t="s">
        <v>52</v>
      </c>
      <c r="R79" s="4" t="s">
        <v>4</v>
      </c>
      <c r="S79" s="5" t="s">
        <v>5</v>
      </c>
      <c r="T79" s="5" t="s">
        <v>6</v>
      </c>
      <c r="U79" s="5" t="s">
        <v>7</v>
      </c>
      <c r="V79" s="5" t="s">
        <v>8</v>
      </c>
      <c r="W79" s="5" t="s">
        <v>51</v>
      </c>
      <c r="X79" s="5" t="s">
        <v>10</v>
      </c>
      <c r="Y79" s="5" t="s">
        <v>11</v>
      </c>
      <c r="Z79" s="5" t="s">
        <v>12</v>
      </c>
      <c r="AA79" s="5" t="s">
        <v>13</v>
      </c>
      <c r="AB79" s="5" t="s">
        <v>14</v>
      </c>
      <c r="AC79" s="5" t="s">
        <v>15</v>
      </c>
      <c r="AF79" s="3" t="s">
        <v>52</v>
      </c>
      <c r="AG79" s="4" t="s">
        <v>4</v>
      </c>
      <c r="AH79" s="5" t="s">
        <v>5</v>
      </c>
      <c r="AI79" s="5" t="s">
        <v>6</v>
      </c>
      <c r="AJ79" s="5" t="s">
        <v>7</v>
      </c>
      <c r="AK79" s="5" t="s">
        <v>8</v>
      </c>
      <c r="AL79" s="5" t="s">
        <v>51</v>
      </c>
      <c r="AM79" s="5" t="s">
        <v>10</v>
      </c>
      <c r="AN79" s="5" t="s">
        <v>11</v>
      </c>
      <c r="AO79" s="5" t="s">
        <v>12</v>
      </c>
      <c r="AP79" s="5" t="s">
        <v>13</v>
      </c>
      <c r="AQ79" s="5" t="s">
        <v>14</v>
      </c>
      <c r="AR79" s="5" t="s">
        <v>15</v>
      </c>
    </row>
    <row r="80" customFormat="false" ht="15.6" hidden="false" customHeight="false" outlineLevel="0" collapsed="false">
      <c r="B80" s="7" t="s">
        <v>16</v>
      </c>
      <c r="C80" s="8" t="n">
        <v>113141.91673169742</v>
      </c>
      <c r="D80" s="8" t="n">
        <v>11827.80518562974</v>
      </c>
      <c r="E80" s="8" t="n">
        <v>7524.205226546152</v>
      </c>
      <c r="F80" s="8" t="n">
        <v>8472.911513198906</v>
      </c>
      <c r="G80" s="8" t="n">
        <v>192124.0173052985</v>
      </c>
      <c r="H80" s="8" t="n">
        <v>28649.54252118911</v>
      </c>
      <c r="I80" s="8" t="n">
        <v>68234.25403522248</v>
      </c>
      <c r="J80" s="8" t="n">
        <v>298.08041933637696</v>
      </c>
      <c r="K80" s="8" t="n">
        <v>13279.882598982602</v>
      </c>
      <c r="L80" s="8" t="n">
        <v>1226.6383317075201</v>
      </c>
      <c r="M80" s="8" t="n">
        <v>1747.622105589901</v>
      </c>
      <c r="N80" s="34" t="n">
        <v>15745.364886790378</v>
      </c>
      <c r="Q80" s="7" t="s">
        <v>16</v>
      </c>
      <c r="R80" s="8" t="n">
        <v>67723.3556017501</v>
      </c>
      <c r="S80" s="8" t="n">
        <v>4338.133505289607</v>
      </c>
      <c r="T80" s="8" t="n">
        <v>60547.28555610203</v>
      </c>
      <c r="U80" s="8" t="n">
        <v>6204.973864825852</v>
      </c>
      <c r="V80" s="8" t="n">
        <v>46880.932633697565</v>
      </c>
      <c r="W80" s="8" t="n">
        <v>13149.481930670578</v>
      </c>
      <c r="X80" s="8" t="n">
        <v>69833.48016847765</v>
      </c>
      <c r="Y80" s="8" t="n">
        <v>1632.7238701964095</v>
      </c>
      <c r="Z80" s="8" t="n">
        <v>69714.36316747835</v>
      </c>
      <c r="AA80" s="8" t="n">
        <v>4749.917606390818</v>
      </c>
      <c r="AB80" s="8" t="n">
        <v>17079.556044926925</v>
      </c>
      <c r="AC80" s="34" t="n">
        <v>3497.2498659096022</v>
      </c>
      <c r="AF80" s="7" t="s">
        <v>16</v>
      </c>
      <c r="AG80" s="8" t="n">
        <v>44929.223030182075</v>
      </c>
      <c r="AH80" s="8" t="n">
        <v>3089.817731173584</v>
      </c>
      <c r="AI80" s="8" t="n">
        <v>77386.7644291164</v>
      </c>
      <c r="AJ80" s="8" t="n">
        <v>398.6076218468633</v>
      </c>
      <c r="AK80" s="8" t="n">
        <v>161660.63090296832</v>
      </c>
      <c r="AL80" s="8" t="n">
        <v>37949.10531449244</v>
      </c>
      <c r="AM80" s="8" t="n">
        <v>84683.06653270416</v>
      </c>
      <c r="AN80" s="8" t="n">
        <v>7466.7224268035425</v>
      </c>
      <c r="AO80" s="8" t="n">
        <v>204173.38803430056</v>
      </c>
      <c r="AP80" s="8" t="n">
        <v>6288.756542186028</v>
      </c>
      <c r="AQ80" s="8" t="n">
        <v>71878.86124031681</v>
      </c>
      <c r="AR80" s="34" t="n">
        <v>12639.615884757348</v>
      </c>
    </row>
    <row r="81" customFormat="false" ht="15.6" hidden="false" customHeight="false" outlineLevel="0" collapsed="false">
      <c r="B81" s="7" t="s">
        <v>17</v>
      </c>
      <c r="C81" s="8" t="n">
        <v>58435.31579764213</v>
      </c>
      <c r="D81" s="8" t="n">
        <v>32675.05003928286</v>
      </c>
      <c r="E81" s="8" t="n">
        <v>94530.08721647755</v>
      </c>
      <c r="F81" s="8" t="n">
        <v>207633.7526258086</v>
      </c>
      <c r="G81" s="8" t="n">
        <v>241754.02499366723</v>
      </c>
      <c r="H81" s="8" t="n">
        <v>688686.1502589062</v>
      </c>
      <c r="I81" s="8" t="n">
        <v>40947.649505871384</v>
      </c>
      <c r="J81" s="8" t="n">
        <v>127415.17994710126</v>
      </c>
      <c r="K81" s="8" t="n">
        <v>213863.54464746214</v>
      </c>
      <c r="L81" s="8" t="n">
        <v>162545.92107287399</v>
      </c>
      <c r="M81" s="8" t="n">
        <v>411925.8261028764</v>
      </c>
      <c r="N81" s="8" t="n">
        <v>350951.73005635245</v>
      </c>
      <c r="Q81" s="7" t="s">
        <v>17</v>
      </c>
      <c r="R81" s="8" t="n">
        <v>3660.536182243198</v>
      </c>
      <c r="S81" s="8" t="n">
        <v>15121.626010008127</v>
      </c>
      <c r="T81" s="8" t="n">
        <v>119356.93775854928</v>
      </c>
      <c r="U81" s="8" t="n">
        <v>54063.16787052079</v>
      </c>
      <c r="V81" s="8" t="n">
        <v>16502.842116908818</v>
      </c>
      <c r="W81" s="8" t="n">
        <v>236727.64152963497</v>
      </c>
      <c r="X81" s="8" t="n">
        <v>78830.61281106937</v>
      </c>
      <c r="Y81" s="8" t="n">
        <v>164261.28138496078</v>
      </c>
      <c r="Z81" s="8" t="n">
        <v>246848.73324408862</v>
      </c>
      <c r="AA81" s="8" t="n">
        <v>122423.88009838843</v>
      </c>
      <c r="AB81" s="8" t="n">
        <v>275411.3325446979</v>
      </c>
      <c r="AC81" s="8" t="n">
        <v>7793.503210230369</v>
      </c>
      <c r="AF81" s="7" t="s">
        <v>17</v>
      </c>
      <c r="AG81" s="8" t="n">
        <v>45942.541161893394</v>
      </c>
      <c r="AH81" s="8" t="n">
        <v>34800.85178258877</v>
      </c>
      <c r="AI81" s="8" t="n">
        <v>168303.80082841424</v>
      </c>
      <c r="AJ81" s="8" t="n">
        <v>27378.323652859883</v>
      </c>
      <c r="AK81" s="8" t="n">
        <v>60727.21818555097</v>
      </c>
      <c r="AL81" s="8" t="n">
        <v>505187.1376305527</v>
      </c>
      <c r="AM81" s="8" t="n">
        <v>61069.38478092386</v>
      </c>
      <c r="AN81" s="8" t="n">
        <v>168442.07951125162</v>
      </c>
      <c r="AO81" s="8" t="n">
        <v>237477.58805194512</v>
      </c>
      <c r="AP81" s="8" t="n">
        <v>80994.04166331035</v>
      </c>
      <c r="AQ81" s="8" t="n">
        <v>315597.0839506092</v>
      </c>
      <c r="AR81" s="8" t="n">
        <v>152756.52800405666</v>
      </c>
    </row>
    <row r="82" customFormat="false" ht="15.6" hidden="false" customHeight="false" outlineLevel="0" collapsed="false">
      <c r="B82" s="7" t="s">
        <v>18</v>
      </c>
      <c r="C82" s="8" t="n">
        <v>182449.63870756456</v>
      </c>
      <c r="D82" s="8" t="n">
        <f aca="false">D44/(1+$A82)</f>
        <v>4.165554709726749</v>
      </c>
      <c r="E82" s="8" t="n">
        <v>117249.70938934301</v>
      </c>
      <c r="F82" s="8" t="n">
        <f aca="false">F44/(1+$A82)</f>
        <v>42896.400103527514</v>
      </c>
      <c r="G82" s="8" t="n">
        <v>143612.5794446102</v>
      </c>
      <c r="H82" s="8" t="n">
        <v>31266.217795605164</v>
      </c>
      <c r="I82" s="8" t="n">
        <v>119266.50445861982</v>
      </c>
      <c r="J82" s="8" t="n">
        <v>103392.11152957137</v>
      </c>
      <c r="K82" s="8" t="n">
        <v>264054.3615386763</v>
      </c>
      <c r="L82" s="8" t="n">
        <v>67353.84400472014</v>
      </c>
      <c r="M82" s="8" t="n">
        <v>8438.235120419024</v>
      </c>
      <c r="N82" s="8" t="n">
        <v>13746.129863451166</v>
      </c>
      <c r="Q82" s="7" t="s">
        <v>18</v>
      </c>
      <c r="R82" s="8" t="n">
        <v>593909.5255266681</v>
      </c>
      <c r="S82" s="8" t="n">
        <f aca="false">S44/(1+$A82)</f>
        <v>0.7335299719602582</v>
      </c>
      <c r="T82" s="8" t="n">
        <v>531036.887970591</v>
      </c>
      <c r="U82" s="8" t="n">
        <f aca="false">U44/(1+$A82)</f>
        <v>36483.10043456769</v>
      </c>
      <c r="V82" s="8" t="n">
        <v>127791.40906270592</v>
      </c>
      <c r="W82" s="8" t="n">
        <v>5604.996260135379</v>
      </c>
      <c r="X82" s="8" t="n">
        <v>203269.03102548397</v>
      </c>
      <c r="Y82" s="8" t="n">
        <v>134629.2764231767</v>
      </c>
      <c r="Z82" s="8" t="n">
        <v>281231.2909680831</v>
      </c>
      <c r="AA82" s="8" t="n">
        <v>29140.330893926664</v>
      </c>
      <c r="AB82" s="8" t="n">
        <v>262898.9511226387</v>
      </c>
      <c r="AC82" s="8" t="n">
        <v>45920.93705830672</v>
      </c>
      <c r="AF82" s="7" t="s">
        <v>18</v>
      </c>
      <c r="AG82" s="8" t="n">
        <v>218173.79135612765</v>
      </c>
      <c r="AH82" s="8" t="n">
        <f aca="false">AH44/(1+$A82)</f>
        <v>8.663277374674252</v>
      </c>
      <c r="AI82" s="8" t="n">
        <v>516993.97639506793</v>
      </c>
      <c r="AJ82" s="8" t="n">
        <f aca="false">AJ44/(1+$A82)</f>
        <v>12616.347157156111</v>
      </c>
      <c r="AK82" s="8" t="n">
        <v>130526.95592665263</v>
      </c>
      <c r="AL82" s="8" t="n">
        <v>43354.4365470449</v>
      </c>
      <c r="AM82" s="8" t="n">
        <v>229363.17332013207</v>
      </c>
      <c r="AN82" s="8" t="n">
        <v>117219.23456343183</v>
      </c>
      <c r="AO82" s="8" t="n">
        <v>10824.656989072018</v>
      </c>
      <c r="AP82" s="8" t="n">
        <v>37937.66495310004</v>
      </c>
      <c r="AQ82" s="8" t="n">
        <v>48500.16464039108</v>
      </c>
      <c r="AR82" s="8" t="n">
        <v>13525.466911592417</v>
      </c>
    </row>
    <row r="83" customFormat="false" ht="15.6" hidden="false" customHeight="false" outlineLevel="0" collapsed="false">
      <c r="B83" s="7" t="s">
        <v>19</v>
      </c>
      <c r="C83" s="8" t="n">
        <v>147561.85005028392</v>
      </c>
      <c r="D83" s="8" t="n">
        <v>329107.7296568926</v>
      </c>
      <c r="E83" s="8" t="n">
        <v>100716.25820016807</v>
      </c>
      <c r="F83" s="8" t="n">
        <v>294428.90790006105</v>
      </c>
      <c r="G83" s="8" t="n">
        <v>119112.98619606238</v>
      </c>
      <c r="H83" s="8" t="n">
        <v>606450.56769134</v>
      </c>
      <c r="I83" s="8" t="n">
        <v>313123.15323697426</v>
      </c>
      <c r="J83" s="8" t="n">
        <v>430092.0290349916</v>
      </c>
      <c r="K83" s="8" t="n">
        <v>359798.9758053258</v>
      </c>
      <c r="L83" s="8" t="n">
        <v>210012.51460105</v>
      </c>
      <c r="M83" s="8" t="n">
        <v>43476.013057334516</v>
      </c>
      <c r="N83" s="8" t="n">
        <v>307606.4841939236</v>
      </c>
      <c r="Q83" s="7" t="s">
        <v>19</v>
      </c>
      <c r="R83" s="8" t="n">
        <v>8099.260890894386</v>
      </c>
      <c r="S83" s="8" t="n">
        <v>133559.1647832054</v>
      </c>
      <c r="T83" s="8" t="n">
        <v>10344.563494292765</v>
      </c>
      <c r="U83" s="8" t="n">
        <v>901961.7269789162</v>
      </c>
      <c r="V83" s="8" t="n">
        <v>26139.27089626255</v>
      </c>
      <c r="W83" s="8" t="n">
        <v>474250.2318725644</v>
      </c>
      <c r="X83" s="8" t="n">
        <v>2976.587692927432</v>
      </c>
      <c r="Y83" s="8" t="n">
        <v>362813.1364512172</v>
      </c>
      <c r="Z83" s="8" t="n">
        <v>134321.64426318937</v>
      </c>
      <c r="AA83" s="8" t="n">
        <v>87921.99077764463</v>
      </c>
      <c r="AB83" s="8" t="n">
        <v>19817.96824765588</v>
      </c>
      <c r="AC83" s="8" t="n">
        <v>538840.1193290049</v>
      </c>
      <c r="AF83" s="7" t="s">
        <v>19</v>
      </c>
      <c r="AG83" s="8" t="n">
        <v>603941.2569504983</v>
      </c>
      <c r="AH83" s="8" t="n">
        <v>528569.1769699374</v>
      </c>
      <c r="AI83" s="8" t="n">
        <v>93224.9462600543</v>
      </c>
      <c r="AJ83" s="8" t="n">
        <v>361822.78419075726</v>
      </c>
      <c r="AK83" s="8" t="n">
        <v>146605.694666083</v>
      </c>
      <c r="AL83" s="8" t="n">
        <v>578127.0466155659</v>
      </c>
      <c r="AM83" s="8" t="n">
        <v>261915.48850734328</v>
      </c>
      <c r="AN83" s="8" t="n">
        <v>177734.9437478701</v>
      </c>
      <c r="AO83" s="8" t="n">
        <v>201997.46486307422</v>
      </c>
      <c r="AP83" s="8" t="n">
        <v>99261.52176111015</v>
      </c>
      <c r="AQ83" s="8" t="n">
        <v>73577.52619387608</v>
      </c>
      <c r="AR83" s="8" t="n">
        <v>487096.99823983165</v>
      </c>
    </row>
    <row r="84" customFormat="false" ht="15.6" hidden="false" customHeight="false" outlineLevel="0" collapsed="false">
      <c r="B84" s="7" t="s">
        <v>20</v>
      </c>
      <c r="C84" s="8" t="n">
        <v>77913.23741750226</v>
      </c>
      <c r="D84" s="8" t="n">
        <v>67609.0922614758</v>
      </c>
      <c r="E84" s="8" t="n">
        <v>16365.143445390464</v>
      </c>
      <c r="F84" s="8" t="n">
        <v>61492.558855112286</v>
      </c>
      <c r="G84" s="8" t="n">
        <v>38428.29944259088</v>
      </c>
      <c r="H84" s="8" t="n">
        <v>68916.85381099112</v>
      </c>
      <c r="I84" s="8" t="n">
        <v>45462.25560713459</v>
      </c>
      <c r="J84" s="8" t="n">
        <v>67706.03832497881</v>
      </c>
      <c r="K84" s="8" t="n">
        <v>33246.69775075786</v>
      </c>
      <c r="L84" s="8" t="n">
        <v>75691.40148952477</v>
      </c>
      <c r="M84" s="8" t="n">
        <v>42765.129187226165</v>
      </c>
      <c r="N84" s="8" t="n">
        <v>17569.39644904586</v>
      </c>
      <c r="Q84" s="7" t="s">
        <v>20</v>
      </c>
      <c r="R84" s="8" t="n">
        <v>57284.81931113526</v>
      </c>
      <c r="S84" s="8" t="n">
        <v>40719.6694997307</v>
      </c>
      <c r="T84" s="8" t="n">
        <v>87619.90979237393</v>
      </c>
      <c r="U84" s="8" t="n">
        <v>53203.68396287659</v>
      </c>
      <c r="V84" s="8" t="n">
        <v>72467.76042130176</v>
      </c>
      <c r="W84" s="8" t="n">
        <v>103620.59446870565</v>
      </c>
      <c r="X84" s="8" t="n">
        <v>13003.084393501615</v>
      </c>
      <c r="Y84" s="8" t="n">
        <v>25807.37300114994</v>
      </c>
      <c r="Z84" s="8" t="n">
        <v>66126.23341848407</v>
      </c>
      <c r="AA84" s="8" t="n">
        <v>49372.456012690374</v>
      </c>
      <c r="AB84" s="8" t="n">
        <v>4663.872182597699</v>
      </c>
      <c r="AC84" s="8" t="n">
        <v>98206.1076859554</v>
      </c>
      <c r="AF84" s="7" t="s">
        <v>20</v>
      </c>
      <c r="AG84" s="8" t="n">
        <v>10716.413475220363</v>
      </c>
      <c r="AH84" s="8" t="n">
        <v>9253.93338611071</v>
      </c>
      <c r="AI84" s="8" t="n">
        <v>128084.14358786923</v>
      </c>
      <c r="AJ84" s="8" t="n">
        <v>29139.184659350944</v>
      </c>
      <c r="AK84" s="8" t="n">
        <v>19047.153775997678</v>
      </c>
      <c r="AL84" s="8" t="n">
        <v>45293.60358201032</v>
      </c>
      <c r="AM84" s="8" t="n">
        <v>2112.032248661525</v>
      </c>
      <c r="AN84" s="8" t="n">
        <v>35435.48164753068</v>
      </c>
      <c r="AO84" s="8" t="n">
        <v>43343.30071725548</v>
      </c>
      <c r="AP84" s="8" t="n">
        <v>26316.313505377235</v>
      </c>
      <c r="AQ84" s="8" t="n">
        <v>20691.518207301473</v>
      </c>
      <c r="AR84" s="8" t="n">
        <v>9653.08478937503</v>
      </c>
    </row>
    <row r="85" customFormat="false" ht="15.6" hidden="false" customHeight="false" outlineLevel="0" collapsed="false">
      <c r="B85" s="7" t="s">
        <v>21</v>
      </c>
      <c r="C85" s="8" t="n">
        <v>311895.00901220256</v>
      </c>
      <c r="D85" s="8" t="n">
        <v>353677.1944181348</v>
      </c>
      <c r="E85" s="8" t="n">
        <v>317930.2096061007</v>
      </c>
      <c r="F85" s="8" t="n">
        <v>87453.4402147031</v>
      </c>
      <c r="G85" s="8" t="n">
        <v>77834.32970032585</v>
      </c>
      <c r="H85" s="8" t="n">
        <v>890205.816443525</v>
      </c>
      <c r="I85" s="8" t="n">
        <v>11404.63992828229</v>
      </c>
      <c r="J85" s="8" t="n">
        <v>82269.29935570672</v>
      </c>
      <c r="K85" s="8" t="n">
        <v>520325.48594852164</v>
      </c>
      <c r="L85" s="8" t="n">
        <v>150549.32527540287</v>
      </c>
      <c r="M85" s="8" t="n">
        <v>450956.65894034435</v>
      </c>
      <c r="N85" s="8" t="n">
        <v>205737.7938205597</v>
      </c>
      <c r="Q85" s="7" t="s">
        <v>21</v>
      </c>
      <c r="R85" s="8" t="n">
        <v>1621.601732485104</v>
      </c>
      <c r="S85" s="8" t="n">
        <v>532352.4123909335</v>
      </c>
      <c r="T85" s="8" t="n">
        <v>461474.04839431436</v>
      </c>
      <c r="U85" s="8" t="n">
        <v>221826.0844003537</v>
      </c>
      <c r="V85" s="8" t="n">
        <v>228508.27593121395</v>
      </c>
      <c r="W85" s="8" t="n">
        <v>409230.79324372124</v>
      </c>
      <c r="X85" s="8" t="n">
        <v>238017.14570267734</v>
      </c>
      <c r="Y85" s="8" t="n">
        <v>164104.11353842006</v>
      </c>
      <c r="Z85" s="8" t="n">
        <v>305166.8092930165</v>
      </c>
      <c r="AA85" s="8" t="n">
        <v>5415.690917728112</v>
      </c>
      <c r="AB85" s="8" t="n">
        <v>577768.4370667596</v>
      </c>
      <c r="AC85" s="8" t="n">
        <v>389505.28475046327</v>
      </c>
      <c r="AF85" s="7" t="s">
        <v>21</v>
      </c>
      <c r="AG85" s="8" t="n">
        <v>351048.7202376111</v>
      </c>
      <c r="AH85" s="8" t="n">
        <v>278958.9748487721</v>
      </c>
      <c r="AI85" s="8" t="n">
        <v>428039.1954917377</v>
      </c>
      <c r="AJ85" s="8" t="n">
        <v>399286.05675746716</v>
      </c>
      <c r="AK85" s="8" t="n">
        <v>260087.37921193708</v>
      </c>
      <c r="AL85" s="8" t="n">
        <v>308202.6698436137</v>
      </c>
      <c r="AM85" s="8" t="n">
        <v>182145.39081037228</v>
      </c>
      <c r="AN85" s="8" t="n">
        <v>75549.18936173766</v>
      </c>
      <c r="AO85" s="8" t="n">
        <v>360086.5701393414</v>
      </c>
      <c r="AP85" s="8" t="n">
        <v>60638.504620916035</v>
      </c>
      <c r="AQ85" s="8" t="n">
        <v>288920.1025944648</v>
      </c>
      <c r="AR85" s="8" t="n">
        <v>146810.31170827348</v>
      </c>
    </row>
    <row r="86" customFormat="false" ht="15.6" hidden="false" customHeight="false" outlineLevel="0" collapsed="false">
      <c r="B86" s="7" t="s">
        <v>22</v>
      </c>
      <c r="C86" s="8" t="n">
        <v>76551.6572730405</v>
      </c>
      <c r="D86" s="8" t="n">
        <v>13.750729442940528</v>
      </c>
      <c r="E86" s="8" t="n">
        <v>273631.8699352075</v>
      </c>
      <c r="F86" s="8" t="n">
        <v>59936.87718989671</v>
      </c>
      <c r="G86" s="8" t="n">
        <v>40470.86208729887</v>
      </c>
      <c r="H86" s="8" t="n">
        <v>49470.46514161926</v>
      </c>
      <c r="I86" s="8" t="n">
        <v>10948.524936305743</v>
      </c>
      <c r="J86" s="8" t="n">
        <v>131742.343332578</v>
      </c>
      <c r="K86" s="8" t="n">
        <v>98057.38864950508</v>
      </c>
      <c r="L86" s="8" t="n">
        <v>36576.85568491089</v>
      </c>
      <c r="M86" s="8" t="n">
        <v>45241.811448684355</v>
      </c>
      <c r="N86" s="8" t="n">
        <v>201197.6217888736</v>
      </c>
      <c r="Q86" s="7" t="s">
        <v>22</v>
      </c>
      <c r="R86" s="8" t="n">
        <v>22667.335234348437</v>
      </c>
      <c r="S86" s="8" t="n">
        <v>29.867200025134043</v>
      </c>
      <c r="T86" s="8" t="n">
        <v>256506.4415298877</v>
      </c>
      <c r="U86" s="8" t="n">
        <v>33557.90408474745</v>
      </c>
      <c r="V86" s="8" t="n">
        <v>31484.93460502491</v>
      </c>
      <c r="W86" s="8" t="n">
        <v>2623.773398727666</v>
      </c>
      <c r="X86" s="8" t="n">
        <v>12066.068416737038</v>
      </c>
      <c r="Y86" s="8" t="n">
        <v>20449.338898059705</v>
      </c>
      <c r="Z86" s="8" t="n">
        <v>13289.743966135573</v>
      </c>
      <c r="AA86" s="8" t="n">
        <v>15436.98850418283</v>
      </c>
      <c r="AB86" s="8" t="n">
        <v>29932.10492397366</v>
      </c>
      <c r="AC86" s="8" t="n">
        <v>115779.94278457253</v>
      </c>
      <c r="AF86" s="7" t="s">
        <v>22</v>
      </c>
      <c r="AG86" s="8" t="n">
        <v>98778.48894846934</v>
      </c>
      <c r="AH86" s="8" t="n">
        <v>7.980249394566403</v>
      </c>
      <c r="AI86" s="8" t="n">
        <v>225202.92608922406</v>
      </c>
      <c r="AJ86" s="8" t="n">
        <v>6384.82800365636</v>
      </c>
      <c r="AK86" s="8" t="n">
        <v>59956.019199924995</v>
      </c>
      <c r="AL86" s="8" t="n">
        <v>71889.99189132314</v>
      </c>
      <c r="AM86" s="8" t="n">
        <v>10647.271771418238</v>
      </c>
      <c r="AN86" s="8" t="n">
        <v>102632.21345900804</v>
      </c>
      <c r="AO86" s="8" t="n">
        <v>70693.02882182875</v>
      </c>
      <c r="AP86" s="8" t="n">
        <v>30907.336224488387</v>
      </c>
      <c r="AQ86" s="8" t="n">
        <v>47784.85761262039</v>
      </c>
      <c r="AR86" s="8" t="n">
        <v>72536.1223646347</v>
      </c>
    </row>
    <row r="87" customFormat="false" ht="15.6" hidden="false" customHeight="false" outlineLevel="0" collapsed="false">
      <c r="B87" s="7" t="s">
        <v>23</v>
      </c>
      <c r="C87" s="8" t="n">
        <v>59223.00663385954</v>
      </c>
      <c r="D87" s="8" t="n">
        <v>569.1725124134296</v>
      </c>
      <c r="E87" s="8" t="n">
        <v>2538.7626179624103</v>
      </c>
      <c r="F87" s="8" t="n">
        <v>41607.66432177113</v>
      </c>
      <c r="G87" s="8" t="n">
        <v>8944.724886376609</v>
      </c>
      <c r="H87" s="8" t="n">
        <v>26682.72825035408</v>
      </c>
      <c r="I87" s="8" t="n">
        <v>27281.407506482654</v>
      </c>
      <c r="J87" s="8" t="n">
        <v>15209.974535886007</v>
      </c>
      <c r="K87" s="8" t="n">
        <v>-4623.456306982376</v>
      </c>
      <c r="L87" s="8" t="n">
        <v>0.0</v>
      </c>
      <c r="M87" s="8" t="n">
        <v>18573.923391047916</v>
      </c>
      <c r="N87" s="8" t="n">
        <v>-7436.8920495163675</v>
      </c>
      <c r="Q87" s="7" t="s">
        <v>23</v>
      </c>
      <c r="R87" s="8" t="n">
        <v>11821.641131775308</v>
      </c>
      <c r="S87" s="8" t="n">
        <v>1562.8562914044435</v>
      </c>
      <c r="T87" s="8" t="n">
        <v>3078.5147108281976</v>
      </c>
      <c r="U87" s="8" t="n">
        <v>90886.88934742588</v>
      </c>
      <c r="V87" s="8" t="n">
        <v>28707.06827318998</v>
      </c>
      <c r="W87" s="8" t="n">
        <v>8403.686013127777</v>
      </c>
      <c r="X87" s="8" t="n">
        <v>62829.74789042317</v>
      </c>
      <c r="Y87" s="8" t="n">
        <v>33987.93913920735</v>
      </c>
      <c r="Z87" s="8" t="n">
        <v>-3057.282723522582</v>
      </c>
      <c r="AA87" s="8" t="n">
        <v>0.0</v>
      </c>
      <c r="AB87" s="8" t="n">
        <v>20404.858030563002</v>
      </c>
      <c r="AC87" s="8" t="n">
        <v>-422.225295674741</v>
      </c>
      <c r="AF87" s="7" t="s">
        <v>23</v>
      </c>
      <c r="AG87" s="8" t="n">
        <v>149379.61933156036</v>
      </c>
      <c r="AH87" s="8" t="n">
        <v>1086.9764404317655</v>
      </c>
      <c r="AI87" s="8" t="n">
        <v>3965.638999308718</v>
      </c>
      <c r="AJ87" s="8" t="n">
        <v>48120.83669018072</v>
      </c>
      <c r="AK87" s="8" t="n">
        <v>16467.981002373326</v>
      </c>
      <c r="AL87" s="8" t="n">
        <v>4255.067170937449</v>
      </c>
      <c r="AM87" s="8" t="n">
        <v>34970.063680086285</v>
      </c>
      <c r="AN87" s="8" t="n">
        <v>37864.152827860096</v>
      </c>
      <c r="AO87" s="8" t="n">
        <v>-7787.244989274434</v>
      </c>
      <c r="AP87" s="8" t="n">
        <v>0.0</v>
      </c>
      <c r="AQ87" s="8" t="n">
        <v>69059.03041525642</v>
      </c>
      <c r="AR87" s="8" t="n">
        <v>-4195.233558481043</v>
      </c>
    </row>
    <row r="88" customFormat="false" ht="15.6" hidden="false" customHeight="false" outlineLevel="0" collapsed="false">
      <c r="B88" s="7" t="s">
        <v>24</v>
      </c>
      <c r="C88" s="8" t="n">
        <v>90440.17536105351</v>
      </c>
      <c r="D88" s="8" t="n">
        <v>84596.12336788177</v>
      </c>
      <c r="E88" s="8" t="n">
        <v>1957.626205546607</v>
      </c>
      <c r="F88" s="8" t="n">
        <v>55917.94696843879</v>
      </c>
      <c r="G88" s="8" t="n">
        <v>22841.474956382837</v>
      </c>
      <c r="H88" s="8" t="n">
        <v>13247.57237259308</v>
      </c>
      <c r="I88" s="8" t="n">
        <v>-62.29477370758079</v>
      </c>
      <c r="J88" s="8" t="n">
        <v>14944.963320447641</v>
      </c>
      <c r="K88" s="8" t="n">
        <v>44188.07428880916</v>
      </c>
      <c r="L88" s="8" t="n">
        <v>40784.071097089305</v>
      </c>
      <c r="M88" s="8" t="n">
        <v>68085.52360048179</v>
      </c>
      <c r="N88" s="8" t="n">
        <v>38493.46700151531</v>
      </c>
      <c r="Q88" s="7" t="s">
        <v>24</v>
      </c>
      <c r="R88" s="8" t="n">
        <v>118983.71084094509</v>
      </c>
      <c r="S88" s="8" t="n">
        <v>7879.492627421977</v>
      </c>
      <c r="T88" s="8" t="n">
        <v>10927.214481201458</v>
      </c>
      <c r="U88" s="8" t="n">
        <v>62212.21322177098</v>
      </c>
      <c r="V88" s="8" t="n">
        <v>35010.44902411968</v>
      </c>
      <c r="W88" s="8" t="n">
        <v>6270.880681718353</v>
      </c>
      <c r="X88" s="8" t="n">
        <v>-2.5220473301176356</v>
      </c>
      <c r="Y88" s="8" t="n">
        <v>351.98497411882516</v>
      </c>
      <c r="Z88" s="8" t="n">
        <v>72741.77797319493</v>
      </c>
      <c r="AA88" s="8" t="n">
        <v>29022.378738535946</v>
      </c>
      <c r="AB88" s="8" t="n">
        <v>38409.706817054175</v>
      </c>
      <c r="AC88" s="8" t="n">
        <v>23915.246218542394</v>
      </c>
      <c r="AF88" s="7" t="s">
        <v>24</v>
      </c>
      <c r="AG88" s="8" t="n">
        <v>171266.39594590315</v>
      </c>
      <c r="AH88" s="8" t="n">
        <v>27464.533973936723</v>
      </c>
      <c r="AI88" s="8" t="n">
        <v>8409.372116408573</v>
      </c>
      <c r="AJ88" s="8" t="n">
        <v>77585.99390510046</v>
      </c>
      <c r="AK88" s="8" t="n">
        <v>40225.69061002431</v>
      </c>
      <c r="AL88" s="8" t="n">
        <v>26055.26374126359</v>
      </c>
      <c r="AM88" s="8" t="n">
        <v>-5.761063274395885</v>
      </c>
      <c r="AN88" s="8" t="n">
        <v>16964.145269703287</v>
      </c>
      <c r="AO88" s="8" t="n">
        <v>15860.788017512024</v>
      </c>
      <c r="AP88" s="8" t="n">
        <v>54612.76428977327</v>
      </c>
      <c r="AQ88" s="8" t="n">
        <v>46729.63342017687</v>
      </c>
      <c r="AR88" s="8" t="n">
        <v>22777.6083962189</v>
      </c>
    </row>
    <row r="89" customFormat="false" ht="15.6" hidden="false" customHeight="false" outlineLevel="0" collapsed="false">
      <c r="B89" s="7" t="s">
        <v>25</v>
      </c>
      <c r="C89" s="8" t="n">
        <v>149619.18323127629</v>
      </c>
      <c r="D89" s="8" t="n">
        <v>28674.40395056147</v>
      </c>
      <c r="E89" s="8" t="n">
        <v>167664.56368401597</v>
      </c>
      <c r="F89" s="8" t="n">
        <v>58173.11612321923</v>
      </c>
      <c r="G89" s="8" t="n">
        <v>128154.70299047412</v>
      </c>
      <c r="H89" s="8" t="n">
        <v>124779.62414303473</v>
      </c>
      <c r="I89" s="8" t="n">
        <v>64262.01125663786</v>
      </c>
      <c r="J89" s="8" t="n">
        <v>85749.09673335082</v>
      </c>
      <c r="K89" s="8" t="n">
        <v>52588.64855624137</v>
      </c>
      <c r="L89" s="8" t="n">
        <v>68733.2011633418</v>
      </c>
      <c r="M89" s="8" t="n">
        <v>9781.32734867218</v>
      </c>
      <c r="N89" s="8" t="n">
        <v>20515.339396811378</v>
      </c>
      <c r="Q89" s="7" t="s">
        <v>25</v>
      </c>
      <c r="R89" s="8" t="n">
        <v>194125.7596923986</v>
      </c>
      <c r="S89" s="8" t="n">
        <v>82762.60070020499</v>
      </c>
      <c r="T89" s="8" t="n">
        <v>47536.82770126814</v>
      </c>
      <c r="U89" s="8" t="n">
        <v>48243.439816954226</v>
      </c>
      <c r="V89" s="8" t="n">
        <v>55271.592589523876</v>
      </c>
      <c r="W89" s="8" t="n">
        <v>52705.594134558814</v>
      </c>
      <c r="X89" s="8" t="n">
        <v>81773.26465154486</v>
      </c>
      <c r="Y89" s="8" t="n">
        <v>26903.30988707678</v>
      </c>
      <c r="Z89" s="8" t="n">
        <v>47272.78801281467</v>
      </c>
      <c r="AA89" s="8" t="n">
        <v>95676.62711288335</v>
      </c>
      <c r="AB89" s="8" t="n">
        <v>29071.89372238734</v>
      </c>
      <c r="AC89" s="8" t="n">
        <v>13225.68686356364</v>
      </c>
      <c r="AF89" s="7" t="s">
        <v>25</v>
      </c>
      <c r="AG89" s="8" t="n">
        <v>151044.13765339812</v>
      </c>
      <c r="AH89" s="8" t="n">
        <v>35576.39693189196</v>
      </c>
      <c r="AI89" s="8" t="n">
        <v>155095.27697466512</v>
      </c>
      <c r="AJ89" s="8" t="n">
        <v>34331.57499277125</v>
      </c>
      <c r="AK89" s="8" t="n">
        <v>166661.71292768308</v>
      </c>
      <c r="AL89" s="8" t="n">
        <v>13029.642054548664</v>
      </c>
      <c r="AM89" s="8" t="n">
        <v>64557.13646497606</v>
      </c>
      <c r="AN89" s="8" t="n">
        <v>6615.600809528955</v>
      </c>
      <c r="AO89" s="8" t="n">
        <v>126419.79936782674</v>
      </c>
      <c r="AP89" s="8" t="n">
        <v>9254.255109106563</v>
      </c>
      <c r="AQ89" s="8" t="n">
        <v>7454.970735815002</v>
      </c>
      <c r="AR89" s="8" t="n">
        <v>44915.613869862944</v>
      </c>
    </row>
    <row r="90" customFormat="false" ht="15.6" hidden="false" customHeight="false" outlineLevel="0" collapsed="false">
      <c r="B90" s="7" t="s">
        <v>26</v>
      </c>
      <c r="C90" s="8" t="n">
        <v>25663.283902584953</v>
      </c>
      <c r="D90" s="8" t="n">
        <v>28320.564999851224</v>
      </c>
      <c r="E90" s="8" t="n">
        <v>24445.04898646956</v>
      </c>
      <c r="F90" s="8" t="n">
        <v>33054.95134508473</v>
      </c>
      <c r="G90" s="8" t="n">
        <v>80307.4384090988</v>
      </c>
      <c r="H90" s="8" t="n">
        <v>145088.24387804104</v>
      </c>
      <c r="I90" s="8" t="n">
        <v>79701.72893906898</v>
      </c>
      <c r="J90" s="8" t="n">
        <v>82390.33994896642</v>
      </c>
      <c r="K90" s="8" t="n">
        <v>60616.01368258902</v>
      </c>
      <c r="L90" s="8" t="n">
        <v>42792.66350318257</v>
      </c>
      <c r="M90" s="8" t="n">
        <v>18351.153710243536</v>
      </c>
      <c r="N90" s="8" t="n">
        <v>9652.134158642006</v>
      </c>
      <c r="Q90" s="7" t="s">
        <v>26</v>
      </c>
      <c r="R90" s="8" t="n">
        <v>9855.74654918601</v>
      </c>
      <c r="S90" s="8" t="n">
        <v>18104.564807070743</v>
      </c>
      <c r="T90" s="8" t="n">
        <v>37860.33713466203</v>
      </c>
      <c r="U90" s="8" t="n">
        <v>93328.77451646228</v>
      </c>
      <c r="V90" s="8" t="n">
        <v>137421.3999325525</v>
      </c>
      <c r="W90" s="8" t="n">
        <v>18419.12522670403</v>
      </c>
      <c r="X90" s="8" t="n">
        <v>67822.23594999887</v>
      </c>
      <c r="Y90" s="8" t="n">
        <v>62554.577306527586</v>
      </c>
      <c r="Z90" s="8" t="n">
        <v>39854.89195604517</v>
      </c>
      <c r="AA90" s="8" t="n">
        <v>45078.693274205856</v>
      </c>
      <c r="AB90" s="8" t="n">
        <v>30808.0589873566</v>
      </c>
      <c r="AC90" s="8" t="n">
        <v>68145.73558598361</v>
      </c>
      <c r="AF90" s="7" t="s">
        <v>26</v>
      </c>
      <c r="AG90" s="8" t="n">
        <v>12605.84521895333</v>
      </c>
      <c r="AH90" s="8" t="n">
        <v>14529.490973576128</v>
      </c>
      <c r="AI90" s="8" t="n">
        <v>200088.6024807739</v>
      </c>
      <c r="AJ90" s="8" t="n">
        <v>43169.674146180456</v>
      </c>
      <c r="AK90" s="8" t="n">
        <v>25126.979279358846</v>
      </c>
      <c r="AL90" s="8" t="n">
        <v>13697.509381561931</v>
      </c>
      <c r="AM90" s="8" t="n">
        <v>65821.9377388228</v>
      </c>
      <c r="AN90" s="8" t="n">
        <v>8383.40893404983</v>
      </c>
      <c r="AO90" s="8" t="n">
        <v>17552.13757395552</v>
      </c>
      <c r="AP90" s="8" t="n">
        <v>34333.14624845444</v>
      </c>
      <c r="AQ90" s="8" t="n">
        <v>13352.748406071869</v>
      </c>
      <c r="AR90" s="8" t="n">
        <v>9631.159107241441</v>
      </c>
    </row>
    <row r="91" customFormat="false" ht="15.6" hidden="false" customHeight="false" outlineLevel="0" collapsed="false">
      <c r="B91" s="20" t="s">
        <v>27</v>
      </c>
      <c r="C91" s="21" t="n">
        <f aca="false">SUM(C80:C90)</f>
        <v>1027907.4309578602</v>
      </c>
      <c r="D91" s="21" t="n">
        <f aca="false">SUM(D80:D90)</f>
        <v>602880.3655435457</v>
      </c>
      <c r="E91" s="21" t="n">
        <v>887328.5391093056</v>
      </c>
      <c r="F91" s="21" t="n">
        <v>1971961.1079453481</v>
      </c>
      <c r="G91" s="21" t="n">
        <f aca="false">SUM(G80:G90)</f>
        <v>1440397.0171355694</v>
      </c>
      <c r="H91" s="21" t="n">
        <v>2911844.59627141</v>
      </c>
      <c r="I91" s="21" t="n">
        <f aca="false">SUM(I80:I90)</f>
        <v>147255.67451248414</v>
      </c>
      <c r="J91" s="21" t="n">
        <f aca="false">SUM(J80:J90)</f>
        <v>500572.23709421855</v>
      </c>
      <c r="K91" s="21" t="n">
        <f aca="false">SUM(K80:K90)</f>
        <v>475760.25648087135</v>
      </c>
      <c r="L91" s="21" t="n">
        <f aca="false">SUM(L80:L90)</f>
        <v>663425.2119862519</v>
      </c>
      <c r="M91" s="21" t="n">
        <v>91943.95186749818</v>
      </c>
      <c r="N91" s="21" t="n">
        <f aca="false">SUM(N80:N90)</f>
        <v>1879635.1973798107</v>
      </c>
      <c r="Q91" s="20" t="s">
        <v>27</v>
      </c>
      <c r="R91" s="21" t="n">
        <f aca="false">SUM(R80:R90)</f>
        <v>1332289.6528586776</v>
      </c>
      <c r="S91" s="21" t="n">
        <f aca="false">SUM(S80:S90)</f>
        <v>179042.54383415775</v>
      </c>
      <c r="T91" s="21" t="n">
        <v>2735349.034959099</v>
      </c>
      <c r="U91" s="21" t="n">
        <v>90781.02346537962</v>
      </c>
      <c r="V91" s="21" t="n">
        <f aca="false">SUM(V80:V90)</f>
        <v>1494188.9432037969</v>
      </c>
      <c r="W91" s="21" t="n">
        <v>1224418.7067925956</v>
      </c>
      <c r="X91" s="21" t="n">
        <f aca="false">SUM(X80:X90)</f>
        <v>392278.7077462716</v>
      </c>
      <c r="Y91" s="21" t="n">
        <f aca="false">SUM(Y80:Y90)</f>
        <v>1341665.8977335012</v>
      </c>
      <c r="Z91" s="21" t="n">
        <f aca="false">SUM(Z80:Z90)</f>
        <v>658261.7696344531</v>
      </c>
      <c r="AA91" s="21" t="n">
        <f aca="false">SUM(AA80:AA90)</f>
        <v>189192.02692634432</v>
      </c>
      <c r="AB91" s="21" t="n">
        <v>216764.60821258547</v>
      </c>
      <c r="AC91" s="21" t="n">
        <f aca="false">SUM(AC80:AC90)</f>
        <v>1796789.299479147</v>
      </c>
      <c r="AF91" s="20" t="s">
        <v>27</v>
      </c>
      <c r="AG91" s="21" t="n">
        <f aca="false">SUM(AG80:AG90)</f>
        <v>2332027.783097628</v>
      </c>
      <c r="AH91" s="21" t="n">
        <f aca="false">SUM(AH80:AH90)</f>
        <v>598017.0415963496</v>
      </c>
      <c r="AI91" s="21" t="n">
        <v>1609534.374941216</v>
      </c>
      <c r="AJ91" s="21" t="n">
        <v>587695.7874976983</v>
      </c>
      <c r="AK91" s="21" t="n">
        <f aca="false">SUM(AK80:AK90)</f>
        <v>412878.8034735943</v>
      </c>
      <c r="AL91" s="21" t="n">
        <v>2228110.352204261</v>
      </c>
      <c r="AM91" s="21" t="n">
        <f aca="false">SUM(AM80:AM90)</f>
        <v>470033.8877236464</v>
      </c>
      <c r="AN91" s="21" t="n">
        <f aca="false">SUM(AN80:AN90)</f>
        <v>73042.72848901257</v>
      </c>
      <c r="AO91" s="21" t="n">
        <f aca="false">SUM(AO80:AO90)</f>
        <v>1197392.5846275329</v>
      </c>
      <c r="AP91" s="21" t="n">
        <f aca="false">SUM(AP80:AP90)</f>
        <v>702068.5891342547</v>
      </c>
      <c r="AQ91" s="21" t="n">
        <v>1911650.367919382</v>
      </c>
      <c r="AR91" s="21" t="n">
        <f aca="false">SUM(AR80:AR90)</f>
        <v>2263159.12129642</v>
      </c>
    </row>
    <row r="92" customFormat="false" ht="15.6" hidden="false" customHeight="false" outlineLevel="0" collapsed="false">
      <c r="B92" s="7" t="s">
        <v>28</v>
      </c>
      <c r="C92" s="8" t="n">
        <v>157495.71374085575</v>
      </c>
      <c r="D92" s="8" t="n">
        <v>108679.6103675957</v>
      </c>
      <c r="E92" s="8" t="n">
        <v>332287.5982010119</v>
      </c>
      <c r="F92" s="8" t="n">
        <v>96812.5814531139</v>
      </c>
      <c r="G92" s="8" t="n">
        <v>271102.2726084157</v>
      </c>
      <c r="H92" s="8" t="n">
        <v>52500.963282907505</v>
      </c>
      <c r="I92" s="8" t="n">
        <v>188821.19376541063</v>
      </c>
      <c r="J92" s="8" t="n">
        <v>237583.22886355934</v>
      </c>
      <c r="K92" s="8" t="n">
        <v>106998.61271979447</v>
      </c>
      <c r="L92" s="8" t="n">
        <v>76281.04881876471</v>
      </c>
      <c r="M92" s="8" t="n">
        <f aca="false">M54/(1+$A92)</f>
        <v>67602.10988437054</v>
      </c>
      <c r="N92" s="8" t="n">
        <v>73963.16376409461</v>
      </c>
      <c r="Q92" s="7" t="s">
        <v>28</v>
      </c>
      <c r="R92" s="8" t="n">
        <v>85753.11924513233</v>
      </c>
      <c r="S92" s="8" t="n">
        <v>89604.18833984694</v>
      </c>
      <c r="T92" s="8" t="n">
        <v>244874.3646187825</v>
      </c>
      <c r="U92" s="8" t="n">
        <v>224798.28987447187</v>
      </c>
      <c r="V92" s="8" t="n">
        <v>241383.19498070396</v>
      </c>
      <c r="W92" s="8" t="n">
        <v>40058.731093440634</v>
      </c>
      <c r="X92" s="8" t="n">
        <v>98557.34758371742</v>
      </c>
      <c r="Y92" s="8" t="n">
        <v>180914.0767252648</v>
      </c>
      <c r="Z92" s="8" t="n">
        <v>83805.67559427481</v>
      </c>
      <c r="AA92" s="8" t="n">
        <v>233185.12545980045</v>
      </c>
      <c r="AB92" s="8" t="n">
        <f aca="false">AB54/(1+$A92)</f>
        <v>19219.187386858906</v>
      </c>
      <c r="AC92" s="8" t="n">
        <v>121724.41099641599</v>
      </c>
      <c r="AF92" s="7" t="s">
        <v>28</v>
      </c>
      <c r="AG92" s="8" t="n">
        <v>244902.98506572083</v>
      </c>
      <c r="AH92" s="8" t="n">
        <v>54093.36644323836</v>
      </c>
      <c r="AI92" s="8" t="n">
        <v>211920.15988126554</v>
      </c>
      <c r="AJ92" s="8" t="n">
        <v>72206.54872200679</v>
      </c>
      <c r="AK92" s="8" t="n">
        <v>222002.8676325753</v>
      </c>
      <c r="AL92" s="8" t="n">
        <v>103533.81464298039</v>
      </c>
      <c r="AM92" s="8" t="n">
        <v>170727.32812877945</v>
      </c>
      <c r="AN92" s="8" t="n">
        <v>63382.7395407769</v>
      </c>
      <c r="AO92" s="8" t="n">
        <v>27793.86490576025</v>
      </c>
      <c r="AP92" s="8" t="n">
        <v>207353.3564457874</v>
      </c>
      <c r="AQ92" s="8" t="n">
        <f aca="false">AQ54/(1+$A92)</f>
        <v>298295.1577363049</v>
      </c>
      <c r="AR92" s="8" t="n">
        <v>84699.63728125533</v>
      </c>
    </row>
    <row r="93" customFormat="false" ht="15.6" hidden="false" customHeight="false" outlineLevel="0" collapsed="false">
      <c r="B93" s="20" t="s">
        <v>28</v>
      </c>
      <c r="C93" s="21" t="n">
        <f aca="false">SUM(C92)</f>
        <v>112926.6606478355</v>
      </c>
      <c r="D93" s="21" t="n">
        <f aca="false">SUM(D92)</f>
        <v>220224.06270026247</v>
      </c>
      <c r="E93" s="21" t="n">
        <f aca="false">SUM(E92)</f>
        <v>14915.053894637442</v>
      </c>
      <c r="F93" s="21" t="n">
        <f aca="false">SUM(F92)</f>
        <v>117148.90381426137</v>
      </c>
      <c r="G93" s="21" t="n">
        <f aca="false">SUM(G92)</f>
        <v>214623.6115000078</v>
      </c>
      <c r="H93" s="21" t="n">
        <f aca="false">SUM(H92)</f>
        <v>232942.0013011915</v>
      </c>
      <c r="I93" s="21" t="n">
        <f aca="false">SUM(I92)</f>
        <v>209219.70633709198</v>
      </c>
      <c r="J93" s="21" t="n">
        <f aca="false">SUM(J92)</f>
        <v>83179.22802368882</v>
      </c>
      <c r="K93" s="21" t="n">
        <f aca="false">SUM(K92)</f>
        <v>28577.864973910393</v>
      </c>
      <c r="L93" s="21" t="n">
        <f aca="false">SUM(L92)</f>
        <v>72582.41384553895</v>
      </c>
      <c r="M93" s="21" t="n">
        <f aca="false">SUM(M92)</f>
        <v>313825.8240785027</v>
      </c>
      <c r="N93" s="21" t="n">
        <f aca="false">SUM(N92)</f>
        <v>189691.14565141854</v>
      </c>
      <c r="Q93" s="20" t="s">
        <v>28</v>
      </c>
      <c r="R93" s="21" t="n">
        <f aca="false">SUM(R92)</f>
        <v>151254.5531503288</v>
      </c>
      <c r="S93" s="21" t="n">
        <f aca="false">SUM(S92)</f>
        <v>159000.29126378847</v>
      </c>
      <c r="T93" s="21" t="n">
        <f aca="false">SUM(T92)</f>
        <v>306349.12387660745</v>
      </c>
      <c r="U93" s="21" t="n">
        <f aca="false">SUM(U92)</f>
        <v>147371.9898259419</v>
      </c>
      <c r="V93" s="21" t="n">
        <f aca="false">SUM(V92)</f>
        <v>31830.11018583244</v>
      </c>
      <c r="W93" s="21" t="n">
        <f aca="false">SUM(W92)</f>
        <v>214482.76693490136</v>
      </c>
      <c r="X93" s="21" t="n">
        <f aca="false">SUM(X92)</f>
        <v>34005.98941374526</v>
      </c>
      <c r="Y93" s="21" t="n">
        <f aca="false">SUM(Y92)</f>
        <v>174087.6592646128</v>
      </c>
      <c r="Z93" s="21" t="n">
        <f aca="false">SUM(Z92)</f>
        <v>1193.5704851982111</v>
      </c>
      <c r="AA93" s="21" t="n">
        <f aca="false">SUM(AA92)</f>
        <v>135212.48866580552</v>
      </c>
      <c r="AB93" s="21" t="n">
        <f aca="false">SUM(AB92)</f>
        <v>421722.0414968856</v>
      </c>
      <c r="AC93" s="21" t="n">
        <f aca="false">SUM(AC92)</f>
        <v>155981.46890733868</v>
      </c>
      <c r="AF93" s="20" t="s">
        <v>28</v>
      </c>
      <c r="AG93" s="21" t="n">
        <f aca="false">SUM(AG92)</f>
        <v>151724.06761084177</v>
      </c>
      <c r="AH93" s="21" t="n">
        <f aca="false">SUM(AH92)</f>
        <v>19603.465458791292</v>
      </c>
      <c r="AI93" s="21" t="n">
        <f aca="false">SUM(AI92)</f>
        <v>247815.25117201632</v>
      </c>
      <c r="AJ93" s="21" t="n">
        <f aca="false">SUM(AJ92)</f>
        <v>94568.62760925665</v>
      </c>
      <c r="AK93" s="21" t="n">
        <f aca="false">SUM(AK92)</f>
        <v>242384.50406461544</v>
      </c>
      <c r="AL93" s="21" t="n">
        <f aca="false">SUM(AL92)</f>
        <v>207111.44040739146</v>
      </c>
      <c r="AM93" s="21" t="n">
        <f aca="false">SUM(AM92)</f>
        <v>8740.899836118278</v>
      </c>
      <c r="AN93" s="21" t="n">
        <f aca="false">SUM(AN92)</f>
        <v>272933.22264786606</v>
      </c>
      <c r="AO93" s="21" t="n">
        <f aca="false">SUM(AO92)</f>
        <v>6274.858719076806</v>
      </c>
      <c r="AP93" s="21" t="n">
        <f aca="false">SUM(AP92)</f>
        <v>16129.232227429879</v>
      </c>
      <c r="AQ93" s="21" t="n">
        <f aca="false">SUM(AQ92)</f>
        <v>330979.7598403526</v>
      </c>
      <c r="AR93" s="21" t="n">
        <f aca="false">SUM(AR92)</f>
        <v>66033.7734606073</v>
      </c>
    </row>
    <row r="94" customFormat="false" ht="15.6" hidden="false" customHeight="false" outlineLevel="0" collapsed="false">
      <c r="B94" s="23" t="s">
        <v>29</v>
      </c>
      <c r="C94" s="8" t="n">
        <v>54935.303692891386</v>
      </c>
      <c r="D94" s="8" t="n">
        <v>94812.71663813156</v>
      </c>
      <c r="E94" s="8" t="n">
        <v>86967.69016917275</v>
      </c>
      <c r="F94" s="8" t="n">
        <v>134476.31294361647</v>
      </c>
      <c r="G94" s="8" t="n">
        <v>106739.2135975058</v>
      </c>
      <c r="H94" s="8" t="n">
        <v>145861.4531530264</v>
      </c>
      <c r="I94" s="8" t="n">
        <v>108386.3838681037</v>
      </c>
      <c r="J94" s="8" t="n">
        <v>2995.231794175406</v>
      </c>
      <c r="K94" s="8" t="n">
        <v>29887.19369973009</v>
      </c>
      <c r="L94" s="8" t="n">
        <v>136789.0424733846</v>
      </c>
      <c r="M94" s="8" t="n">
        <v>57564.63568490237</v>
      </c>
      <c r="N94" s="8" t="n">
        <v>9312.709442784499</v>
      </c>
      <c r="Q94" s="23" t="s">
        <v>29</v>
      </c>
      <c r="R94" s="8" t="n">
        <v>186582.484622271</v>
      </c>
      <c r="S94" s="8" t="n">
        <v>246386.16539950552</v>
      </c>
      <c r="T94" s="8" t="n">
        <v>184611.4461685386</v>
      </c>
      <c r="U94" s="8" t="n">
        <v>86097.2173154629</v>
      </c>
      <c r="V94" s="8" t="n">
        <v>37246.87711341282</v>
      </c>
      <c r="W94" s="8" t="n">
        <v>46637.57320762116</v>
      </c>
      <c r="X94" s="8" t="n">
        <v>69411.892939128</v>
      </c>
      <c r="Y94" s="8" t="n">
        <v>30790.762698786966</v>
      </c>
      <c r="Z94" s="8" t="n">
        <v>66962.13709189498</v>
      </c>
      <c r="AA94" s="8" t="n">
        <v>5568.600967942219</v>
      </c>
      <c r="AB94" s="8" t="n">
        <v>14699.67675668905</v>
      </c>
      <c r="AC94" s="8" t="n">
        <v>4685.2445601167865</v>
      </c>
      <c r="AF94" s="23" t="s">
        <v>29</v>
      </c>
      <c r="AG94" s="8" t="n">
        <v>206967.81835960495</v>
      </c>
      <c r="AH94" s="8" t="n">
        <v>85243.16756818809</v>
      </c>
      <c r="AI94" s="8" t="n">
        <v>176685.43830450912</v>
      </c>
      <c r="AJ94" s="8" t="n">
        <v>183696.2868006439</v>
      </c>
      <c r="AK94" s="8" t="n">
        <v>179416.95783410416</v>
      </c>
      <c r="AL94" s="8" t="n">
        <v>24217.569361329875</v>
      </c>
      <c r="AM94" s="8" t="n">
        <v>42058.89646094862</v>
      </c>
      <c r="AN94" s="8" t="n">
        <v>43144.29516023837</v>
      </c>
      <c r="AO94" s="8" t="n">
        <v>35178.98935418347</v>
      </c>
      <c r="AP94" s="8" t="n">
        <v>42743.757419499525</v>
      </c>
      <c r="AQ94" s="8" t="n">
        <v>55321.779246970334</v>
      </c>
      <c r="AR94" s="8" t="n">
        <v>3036.5103190325485</v>
      </c>
    </row>
    <row r="95" customFormat="false" ht="15.6" hidden="false" customHeight="false" outlineLevel="0" collapsed="false">
      <c r="B95" s="23" t="s">
        <v>30</v>
      </c>
      <c r="C95" s="8" t="n">
        <v>11316.640698683126</v>
      </c>
      <c r="D95" s="8" t="n">
        <v>28829.73401412556</v>
      </c>
      <c r="E95" s="8" t="n">
        <v>261211.73993627567</v>
      </c>
      <c r="F95" s="8" t="n">
        <v>133203.60899915596</v>
      </c>
      <c r="G95" s="8" t="n">
        <v>104694.26742912258</v>
      </c>
      <c r="H95" s="8" t="n">
        <v>287322.11092085805</v>
      </c>
      <c r="I95" s="8" t="n">
        <v>211878.54489678895</v>
      </c>
      <c r="J95" s="8" t="n">
        <v>371257.47073802404</v>
      </c>
      <c r="K95" s="8" t="n">
        <v>122222.77516948945</v>
      </c>
      <c r="L95" s="8" t="n">
        <v>153283.52715742448</v>
      </c>
      <c r="M95" s="8" t="n">
        <v>238984.16115951494</v>
      </c>
      <c r="N95" s="8" t="n">
        <v>315821.7619669927</v>
      </c>
      <c r="Q95" s="23" t="s">
        <v>30</v>
      </c>
      <c r="R95" s="8" t="n">
        <v>338066.1486690186</v>
      </c>
      <c r="S95" s="8" t="n">
        <v>24807.80861390446</v>
      </c>
      <c r="T95" s="8" t="n">
        <v>6095.109777745504</v>
      </c>
      <c r="U95" s="8" t="n">
        <v>82881.26699495681</v>
      </c>
      <c r="V95" s="8" t="n">
        <v>26120.4303850046</v>
      </c>
      <c r="W95" s="8" t="n">
        <v>203239.5023595171</v>
      </c>
      <c r="X95" s="8" t="n">
        <v>119125.9666217843</v>
      </c>
      <c r="Y95" s="8" t="n">
        <v>408005.3059400878</v>
      </c>
      <c r="Z95" s="8" t="n">
        <v>32444.95672891999</v>
      </c>
      <c r="AA95" s="8" t="n">
        <v>342310.6867944134</v>
      </c>
      <c r="AB95" s="8" t="n">
        <v>324757.29996378376</v>
      </c>
      <c r="AC95" s="8" t="n">
        <v>83094.0232819852</v>
      </c>
      <c r="AF95" s="23" t="s">
        <v>30</v>
      </c>
      <c r="AG95" s="8" t="n">
        <v>11889.184196139231</v>
      </c>
      <c r="AH95" s="8" t="n">
        <v>18299.172464105763</v>
      </c>
      <c r="AI95" s="8" t="n">
        <v>297092.86203459284</v>
      </c>
      <c r="AJ95" s="8" t="n">
        <v>103125.67977639206</v>
      </c>
      <c r="AK95" s="8" t="n">
        <v>48683.763574647935</v>
      </c>
      <c r="AL95" s="8" t="n">
        <v>221257.2125839271</v>
      </c>
      <c r="AM95" s="8" t="n">
        <v>217607.0187600966</v>
      </c>
      <c r="AN95" s="8" t="n">
        <v>37985.34733050964</v>
      </c>
      <c r="AO95" s="8" t="n">
        <v>161076.778003224</v>
      </c>
      <c r="AP95" s="8" t="n">
        <v>465455.5975507869</v>
      </c>
      <c r="AQ95" s="8" t="n">
        <v>314595.17544067494</v>
      </c>
      <c r="AR95" s="8" t="n">
        <v>370447.1990788613</v>
      </c>
    </row>
    <row r="96" customFormat="false" ht="15.6" hidden="false" customHeight="false" outlineLevel="0" collapsed="false">
      <c r="B96" s="23" t="s">
        <v>31</v>
      </c>
      <c r="C96" s="8" t="n">
        <v>31262.231550713306</v>
      </c>
      <c r="D96" s="8" t="n">
        <v>187265.18461765876</v>
      </c>
      <c r="E96" s="8" t="n">
        <v>195293.06422475286</v>
      </c>
      <c r="F96" s="8" t="n">
        <v>471451.6663013751</v>
      </c>
      <c r="G96" s="8" t="n">
        <v>385952.33857629116</v>
      </c>
      <c r="H96" s="8" t="n">
        <v>313131.41025438363</v>
      </c>
      <c r="I96" s="8" t="n">
        <v>295350.35013605905</v>
      </c>
      <c r="J96" s="8" t="n">
        <v>18471.012840298987</v>
      </c>
      <c r="K96" s="8" t="n">
        <v>66102.04673568193</v>
      </c>
      <c r="L96" s="8" t="n">
        <v>609.2829373368817</v>
      </c>
      <c r="M96" s="8" t="n">
        <v>151762.25139206284</v>
      </c>
      <c r="N96" s="8" t="n">
        <v>25890.128197488633</v>
      </c>
      <c r="Q96" s="23" t="s">
        <v>31</v>
      </c>
      <c r="R96" s="8" t="n">
        <v>365724.2146251722</v>
      </c>
      <c r="S96" s="8" t="n">
        <v>122240.47448031256</v>
      </c>
      <c r="T96" s="8" t="n">
        <v>204559.00698561434</v>
      </c>
      <c r="U96" s="8" t="n">
        <v>462663.59944826894</v>
      </c>
      <c r="V96" s="8" t="n">
        <v>23202.953747625736</v>
      </c>
      <c r="W96" s="8" t="n">
        <v>142251.79703917116</v>
      </c>
      <c r="X96" s="8" t="n">
        <v>41375.363625022015</v>
      </c>
      <c r="Y96" s="8" t="n">
        <v>361363.13097264624</v>
      </c>
      <c r="Z96" s="8" t="n">
        <v>170993.82809968686</v>
      </c>
      <c r="AA96" s="8" t="n">
        <v>72868.35673571473</v>
      </c>
      <c r="AB96" s="8" t="n">
        <v>295936.13461867836</v>
      </c>
      <c r="AC96" s="8" t="n">
        <v>226041.00028018493</v>
      </c>
      <c r="AF96" s="23" t="s">
        <v>31</v>
      </c>
      <c r="AG96" s="8" t="n">
        <v>122991.65058229785</v>
      </c>
      <c r="AH96" s="8" t="n">
        <v>130861.6447320926</v>
      </c>
      <c r="AI96" s="8" t="n">
        <v>226395.87298060497</v>
      </c>
      <c r="AJ96" s="8" t="n">
        <v>381344.22718812816</v>
      </c>
      <c r="AK96" s="8" t="n">
        <v>322991.02517679246</v>
      </c>
      <c r="AL96" s="8" t="n">
        <v>311813.6049305937</v>
      </c>
      <c r="AM96" s="8" t="n">
        <v>381166.81635933125</v>
      </c>
      <c r="AN96" s="8" t="n">
        <v>198209.96008281797</v>
      </c>
      <c r="AO96" s="8" t="n">
        <v>167913.04118950546</v>
      </c>
      <c r="AP96" s="8" t="n">
        <v>186041.85999607886</v>
      </c>
      <c r="AQ96" s="8" t="n">
        <v>140993.77049429598</v>
      </c>
      <c r="AR96" s="8" t="n">
        <v>225080.8109515539</v>
      </c>
    </row>
    <row r="97" customFormat="false" ht="15.6" hidden="false" customHeight="false" outlineLevel="0" collapsed="false">
      <c r="B97" s="23" t="s">
        <v>32</v>
      </c>
      <c r="C97" s="8" t="n">
        <v>191.83307180653685</v>
      </c>
      <c r="D97" s="8" t="n">
        <v>2339.5473686929677</v>
      </c>
      <c r="E97" s="8" t="n">
        <v>4699.389635580076</v>
      </c>
      <c r="F97" s="8" t="n">
        <v>2198.035482169597</v>
      </c>
      <c r="G97" s="8" t="n">
        <v>10087.46811786664</v>
      </c>
      <c r="H97" s="8" t="n">
        <v>681.013180809508</v>
      </c>
      <c r="I97" s="8" t="n">
        <v>14037.45254550876</v>
      </c>
      <c r="J97" s="8" t="n">
        <v>4890.334310706382</v>
      </c>
      <c r="K97" s="8" t="n">
        <v>4448.021182717948</v>
      </c>
      <c r="L97" s="8" t="n">
        <v>5518.838481399749</v>
      </c>
      <c r="M97" s="8" t="n">
        <v>22509.050032312494</v>
      </c>
      <c r="N97" s="8" t="n">
        <v>7514.975712245317</v>
      </c>
      <c r="Q97" s="23" t="s">
        <v>32</v>
      </c>
      <c r="R97" s="8" t="n">
        <v>31760.566984697376</v>
      </c>
      <c r="S97" s="8" t="n">
        <v>539.8261623893189</v>
      </c>
      <c r="T97" s="8" t="n">
        <v>14056.882666773994</v>
      </c>
      <c r="U97" s="8" t="n">
        <v>24853.844729499113</v>
      </c>
      <c r="V97" s="8" t="n">
        <v>10151.194187869878</v>
      </c>
      <c r="W97" s="8" t="n">
        <v>3307.7468154640583</v>
      </c>
      <c r="X97" s="8" t="n">
        <v>5203.448381289826</v>
      </c>
      <c r="Y97" s="8" t="n">
        <v>18.666342355395788</v>
      </c>
      <c r="Z97" s="8" t="n">
        <v>11450.688629195756</v>
      </c>
      <c r="AA97" s="8" t="n">
        <v>51955.47932247272</v>
      </c>
      <c r="AB97" s="8" t="n">
        <v>25729.019293231577</v>
      </c>
      <c r="AC97" s="8" t="n">
        <v>7686.800787189072</v>
      </c>
      <c r="AF97" s="23" t="s">
        <v>32</v>
      </c>
      <c r="AG97" s="8" t="n">
        <v>20563.825996639123</v>
      </c>
      <c r="AH97" s="8" t="n">
        <v>7004.174193377198</v>
      </c>
      <c r="AI97" s="8" t="n">
        <v>27223.92883075973</v>
      </c>
      <c r="AJ97" s="8" t="n">
        <v>20121.963494766766</v>
      </c>
      <c r="AK97" s="8" t="n">
        <v>16814.787866737268</v>
      </c>
      <c r="AL97" s="8" t="n">
        <v>21571.662112472743</v>
      </c>
      <c r="AM97" s="8" t="n">
        <v>16434.34464836307</v>
      </c>
      <c r="AN97" s="8" t="n">
        <v>2188.5703772796114</v>
      </c>
      <c r="AO97" s="8" t="n">
        <v>15468.674790979523</v>
      </c>
      <c r="AP97" s="8" t="n">
        <v>51169.373565917</v>
      </c>
      <c r="AQ97" s="8" t="n">
        <v>28231.991507337993</v>
      </c>
      <c r="AR97" s="8" t="n">
        <v>10646.109070199002</v>
      </c>
    </row>
    <row r="98" customFormat="false" ht="15.6" hidden="false" customHeight="false" outlineLevel="0" collapsed="false">
      <c r="B98" s="23" t="s">
        <v>33</v>
      </c>
      <c r="C98" s="8" t="n">
        <v>16046.152029175339</v>
      </c>
      <c r="D98" s="8" t="n">
        <v>46681.03142549718</v>
      </c>
      <c r="E98" s="8" t="n">
        <v>5063.475493856413</v>
      </c>
      <c r="F98" s="8" t="n">
        <v>69116.45098281116</v>
      </c>
      <c r="G98" s="8" t="n">
        <v>7628.084249417528</v>
      </c>
      <c r="H98" s="8" t="n">
        <v>1245.9465831019131</v>
      </c>
      <c r="I98" s="8" t="n">
        <v>90521.97276552784</v>
      </c>
      <c r="J98" s="8" t="n">
        <v>7484.060289492323</v>
      </c>
      <c r="K98" s="8" t="n">
        <v>13211.20143670778</v>
      </c>
      <c r="L98" s="8" t="n">
        <v>33257.61652933965</v>
      </c>
      <c r="M98" s="8" t="n">
        <v>17167.512562817225</v>
      </c>
      <c r="N98" s="8" t="n">
        <v>9700.049842109187</v>
      </c>
      <c r="Q98" s="23" t="s">
        <v>33</v>
      </c>
      <c r="R98" s="8" t="n">
        <v>70709.02631332881</v>
      </c>
      <c r="S98" s="8" t="n">
        <v>42159.15902892336</v>
      </c>
      <c r="T98" s="8" t="n">
        <v>21381.571727611285</v>
      </c>
      <c r="U98" s="8" t="n">
        <v>1142.5228424445195</v>
      </c>
      <c r="V98" s="8" t="n">
        <v>34281.30683248797</v>
      </c>
      <c r="W98" s="8" t="n">
        <v>8645.031377383133</v>
      </c>
      <c r="X98" s="8" t="n">
        <v>68040.8950627602</v>
      </c>
      <c r="Y98" s="8" t="n">
        <v>44202.99096504359</v>
      </c>
      <c r="Z98" s="8" t="n">
        <v>53545.403328115965</v>
      </c>
      <c r="AA98" s="8" t="n">
        <v>45389.99067243071</v>
      </c>
      <c r="AB98" s="8" t="n">
        <v>47757.02669187021</v>
      </c>
      <c r="AC98" s="8" t="n">
        <v>15138.629170014377</v>
      </c>
      <c r="AF98" s="23" t="s">
        <v>33</v>
      </c>
      <c r="AG98" s="8" t="n">
        <v>13242.966156215936</v>
      </c>
      <c r="AH98" s="8" t="n">
        <v>34738.33061276966</v>
      </c>
      <c r="AI98" s="8" t="n">
        <v>37023.846532227304</v>
      </c>
      <c r="AJ98" s="8" t="n">
        <v>29476.001838261247</v>
      </c>
      <c r="AK98" s="8" t="n">
        <v>25135.2767632196</v>
      </c>
      <c r="AL98" s="8" t="n">
        <v>43669.061499591924</v>
      </c>
      <c r="AM98" s="8" t="n">
        <v>45162.31843669567</v>
      </c>
      <c r="AN98" s="8" t="n">
        <v>37679.60525359135</v>
      </c>
      <c r="AO98" s="8" t="n">
        <v>50180.451637970524</v>
      </c>
      <c r="AP98" s="8" t="n">
        <v>12634.682763841129</v>
      </c>
      <c r="AQ98" s="8" t="n">
        <v>25197.453729717527</v>
      </c>
      <c r="AR98" s="8" t="n">
        <v>37122.41948016369</v>
      </c>
    </row>
    <row r="99" customFormat="false" ht="15.6" hidden="false" customHeight="false" outlineLevel="0" collapsed="false">
      <c r="B99" s="23" t="s">
        <v>34</v>
      </c>
      <c r="C99" s="8" t="n">
        <v>43345.09573765749</v>
      </c>
      <c r="D99" s="8" t="n">
        <v>-277.4590236778617</v>
      </c>
      <c r="E99" s="8" t="n">
        <v>3158.0873990474424</v>
      </c>
      <c r="F99" s="8" t="n">
        <v>22276.83416334267</v>
      </c>
      <c r="G99" s="8" t="n">
        <v>6611.560095228777</v>
      </c>
      <c r="H99" s="8" t="n">
        <v>827.4691831708526</v>
      </c>
      <c r="I99" s="8" t="n">
        <v>820.3217925462213</v>
      </c>
      <c r="J99" s="8" t="n">
        <v>0.0</v>
      </c>
      <c r="K99" s="8" t="n">
        <v>1953.8438634936924</v>
      </c>
      <c r="L99" s="8" t="n">
        <v>-1922.3606351624312</v>
      </c>
      <c r="M99" s="8" t="n">
        <v>14831.892084700601</v>
      </c>
      <c r="N99" s="8" t="n">
        <v>-12886.505569807478</v>
      </c>
      <c r="Q99" s="23" t="s">
        <v>34</v>
      </c>
      <c r="R99" s="8" t="n">
        <v>46598.8317825975</v>
      </c>
      <c r="S99" s="8" t="n">
        <v>-411.77566851779306</v>
      </c>
      <c r="T99" s="8" t="n">
        <v>1611.0098200219547</v>
      </c>
      <c r="U99" s="8" t="n">
        <v>11043.986704245557</v>
      </c>
      <c r="V99" s="8" t="n">
        <v>15123.256633076197</v>
      </c>
      <c r="W99" s="8" t="n">
        <v>2217.2574952396426</v>
      </c>
      <c r="X99" s="8" t="n">
        <v>305.87452758479833</v>
      </c>
      <c r="Y99" s="8" t="n">
        <v>0.0</v>
      </c>
      <c r="Z99" s="8" t="n">
        <v>631.7152509890037</v>
      </c>
      <c r="AA99" s="8" t="n">
        <v>-716.4354037019652</v>
      </c>
      <c r="AB99" s="8" t="n">
        <v>44006.33034415804</v>
      </c>
      <c r="AC99" s="8" t="n">
        <v>-13768.459315067399</v>
      </c>
      <c r="AF99" s="23" t="s">
        <v>34</v>
      </c>
      <c r="AG99" s="8" t="n">
        <v>43214.07184872693</v>
      </c>
      <c r="AH99" s="8" t="n">
        <v>-150.23355104918562</v>
      </c>
      <c r="AI99" s="8" t="n">
        <v>2925.87898752379</v>
      </c>
      <c r="AJ99" s="8" t="n">
        <v>15754.897711976288</v>
      </c>
      <c r="AK99" s="8" t="n">
        <v>17731.752206156732</v>
      </c>
      <c r="AL99" s="8" t="n">
        <v>1312.2875271459754</v>
      </c>
      <c r="AM99" s="8" t="n">
        <v>381.3133321453428</v>
      </c>
      <c r="AN99" s="8" t="n">
        <v>0.0</v>
      </c>
      <c r="AO99" s="8" t="n">
        <v>1030.5171694038654</v>
      </c>
      <c r="AP99" s="8" t="n">
        <v>-829.91525617816</v>
      </c>
      <c r="AQ99" s="8" t="n">
        <v>2063.420936598657</v>
      </c>
      <c r="AR99" s="8" t="n">
        <v>-13107.36941095305</v>
      </c>
    </row>
    <row r="100" customFormat="false" ht="15.6" hidden="false" customHeight="false" outlineLevel="0" collapsed="false">
      <c r="B100" s="23" t="s">
        <v>35</v>
      </c>
      <c r="C100" s="8" t="n">
        <v>77259.91266249557</v>
      </c>
      <c r="D100" s="8" t="n">
        <v>95438.1853227328</v>
      </c>
      <c r="E100" s="8" t="n">
        <v>28494.123047582827</v>
      </c>
      <c r="F100" s="8" t="n">
        <v>52980.170957952025</v>
      </c>
      <c r="G100" s="8" t="n">
        <v>49756.086889801954</v>
      </c>
      <c r="H100" s="8" t="n">
        <v>9183.706566791732</v>
      </c>
      <c r="I100" s="8" t="n">
        <v>46036.25268141411</v>
      </c>
      <c r="J100" s="8" t="n">
        <v>10560.201713266759</v>
      </c>
      <c r="K100" s="8" t="n">
        <v>129633.85885405196</v>
      </c>
      <c r="L100" s="8" t="n">
        <v>23775.984293735346</v>
      </c>
      <c r="M100" s="8" t="n">
        <v>132787.5294557952</v>
      </c>
      <c r="N100" s="8" t="n">
        <v>19553.367139175833</v>
      </c>
      <c r="Q100" s="23" t="s">
        <v>35</v>
      </c>
      <c r="R100" s="8" t="n">
        <v>79994.48704627051</v>
      </c>
      <c r="S100" s="8" t="n">
        <v>54109.07088107862</v>
      </c>
      <c r="T100" s="8" t="n">
        <v>10328.863009954697</v>
      </c>
      <c r="U100" s="8" t="n">
        <v>51660.60727053353</v>
      </c>
      <c r="V100" s="8" t="n">
        <v>107106.6449270962</v>
      </c>
      <c r="W100" s="8" t="n">
        <v>55719.472775089</v>
      </c>
      <c r="X100" s="8" t="n">
        <v>23354.84485085056</v>
      </c>
      <c r="Y100" s="8" t="n">
        <v>2713.176344881717</v>
      </c>
      <c r="Z100" s="8" t="n">
        <v>159094.3338126445</v>
      </c>
      <c r="AA100" s="8" t="n">
        <v>94743.9848608032</v>
      </c>
      <c r="AB100" s="8" t="n">
        <v>34900.60807853467</v>
      </c>
      <c r="AC100" s="8" t="n">
        <v>6207.297071498594</v>
      </c>
      <c r="AF100" s="23" t="s">
        <v>35</v>
      </c>
      <c r="AG100" s="8" t="n">
        <v>190356.80350391616</v>
      </c>
      <c r="AH100" s="8" t="n">
        <v>74362.89063481982</v>
      </c>
      <c r="AI100" s="8" t="n">
        <v>21238.08429197233</v>
      </c>
      <c r="AJ100" s="8" t="n">
        <v>31838.968780598843</v>
      </c>
      <c r="AK100" s="8" t="n">
        <v>22931.50478189813</v>
      </c>
      <c r="AL100" s="8" t="n">
        <v>51302.56556145908</v>
      </c>
      <c r="AM100" s="8" t="n">
        <v>92177.12664614178</v>
      </c>
      <c r="AN100" s="8" t="n">
        <v>38018.23709319793</v>
      </c>
      <c r="AO100" s="8" t="n">
        <v>163318.9014579988</v>
      </c>
      <c r="AP100" s="8" t="n">
        <v>138572.2543109026</v>
      </c>
      <c r="AQ100" s="8" t="n">
        <v>183726.05714136417</v>
      </c>
      <c r="AR100" s="8" t="n">
        <v>29121.547932384685</v>
      </c>
    </row>
    <row r="101" customFormat="false" ht="15.6" hidden="false" customHeight="false" outlineLevel="0" collapsed="false">
      <c r="B101" s="24" t="s">
        <v>36</v>
      </c>
      <c r="C101" s="25" t="n">
        <v>34970.261084435435</v>
      </c>
      <c r="D101" s="25" t="n">
        <v>83348.66870927232</v>
      </c>
      <c r="E101" s="25" t="n">
        <v>6790.083624889963</v>
      </c>
      <c r="F101" s="25" t="n">
        <v>5125.345882223726</v>
      </c>
      <c r="G101" s="25" t="n">
        <v>102614.36888139296</v>
      </c>
      <c r="H101" s="25" t="n">
        <v>137987.06601572136</v>
      </c>
      <c r="I101" s="25" t="n">
        <v>59721.29357021274</v>
      </c>
      <c r="J101" s="25" t="n">
        <v>20930.402749942936</v>
      </c>
      <c r="K101" s="25" t="n">
        <v>40079.990985695425</v>
      </c>
      <c r="L101" s="25" t="n">
        <v>92240.99809104869</v>
      </c>
      <c r="M101" s="25" t="n">
        <v>7237.943023658653</v>
      </c>
      <c r="N101" s="25" t="n">
        <v>39719.75322870948</v>
      </c>
      <c r="Q101" s="24" t="s">
        <v>36</v>
      </c>
      <c r="R101" s="25" t="n">
        <v>89247.08138027809</v>
      </c>
      <c r="S101" s="25" t="n">
        <v>33979.498969179986</v>
      </c>
      <c r="T101" s="25" t="n">
        <v>1348.3785021817087</v>
      </c>
      <c r="U101" s="25" t="n">
        <v>25599.087638356195</v>
      </c>
      <c r="V101" s="25" t="n">
        <v>26180.724416964047</v>
      </c>
      <c r="W101" s="25" t="n">
        <v>2821.2898126987507</v>
      </c>
      <c r="X101" s="25" t="n">
        <v>79085.2698853489</v>
      </c>
      <c r="Y101" s="25" t="n">
        <v>129781.65871662686</v>
      </c>
      <c r="Z101" s="25" t="n">
        <v>120313.47792585357</v>
      </c>
      <c r="AA101" s="25" t="n">
        <v>127294.95198548939</v>
      </c>
      <c r="AB101" s="25" t="n">
        <v>29963.172171152335</v>
      </c>
      <c r="AC101" s="25" t="n">
        <v>16342.515382610592</v>
      </c>
      <c r="AF101" s="24" t="s">
        <v>36</v>
      </c>
      <c r="AG101" s="25" t="n">
        <v>19398.416969290527</v>
      </c>
      <c r="AH101" s="25" t="n">
        <v>9163.22237612169</v>
      </c>
      <c r="AI101" s="25" t="n">
        <v>25078.240286682296</v>
      </c>
      <c r="AJ101" s="25" t="n">
        <v>23531.631753534533</v>
      </c>
      <c r="AK101" s="25" t="n">
        <v>2678.250288519867</v>
      </c>
      <c r="AL101" s="25" t="n">
        <v>139324.0340667411</v>
      </c>
      <c r="AM101" s="25" t="n">
        <v>144589.29456337626</v>
      </c>
      <c r="AN101" s="25" t="n">
        <v>58221.131198974836</v>
      </c>
      <c r="AO101" s="25" t="n">
        <v>121130.99510926972</v>
      </c>
      <c r="AP101" s="25" t="n">
        <v>7820.413999036022</v>
      </c>
      <c r="AQ101" s="25" t="n">
        <v>29567.876159113926</v>
      </c>
      <c r="AR101" s="25" t="n">
        <v>33573.8766761447</v>
      </c>
    </row>
    <row r="102" customFormat="false" ht="15.6" hidden="false" customHeight="false" outlineLevel="0" collapsed="false">
      <c r="B102" s="27" t="s">
        <v>37</v>
      </c>
      <c r="C102" s="28" t="n">
        <f aca="false">SUM(C94:C101)</f>
        <v>328918.65514571965</v>
      </c>
      <c r="D102" s="29" t="n">
        <f aca="false">SUM(D94:D101)</f>
        <v>172497.16090419085</v>
      </c>
      <c r="E102" s="29" t="n">
        <f aca="false">SUM(E94:E101)</f>
        <v>1186529.430858931</v>
      </c>
      <c r="F102" s="29" t="n">
        <f aca="false">SUM(F94:F101)</f>
        <v>530051.5707447964</v>
      </c>
      <c r="G102" s="29" t="n">
        <f aca="false">SUM(G94:G101)</f>
        <v>438715.13742676</v>
      </c>
      <c r="H102" s="29" t="n">
        <f aca="false">SUM(H94:H101)</f>
        <v>986100.47325475</v>
      </c>
      <c r="I102" s="29" t="n">
        <f aca="false">SUM(I94:I101)</f>
        <v>447287.91178171145</v>
      </c>
      <c r="J102" s="29" t="n">
        <f aca="false">SUM(J94:J101)</f>
        <v>815210.4956915808</v>
      </c>
      <c r="K102" s="29" t="n">
        <f aca="false">SUM(K94:K101)</f>
        <v>344382.1561065469</v>
      </c>
      <c r="L102" s="29" t="n">
        <f aca="false">SUM(L94:L101)</f>
        <v>598393.0079879002</v>
      </c>
      <c r="M102" s="29" t="n">
        <f aca="false">SUM(M94:M101)</f>
        <v>378333.4755967494</v>
      </c>
      <c r="N102" s="35" t="n">
        <f aca="false">SUM(N94:N101)</f>
        <v>801536.6010895052</v>
      </c>
      <c r="Q102" s="27" t="s">
        <v>37</v>
      </c>
      <c r="R102" s="28" t="n">
        <f aca="false">SUM(R94:R101)</f>
        <v>918181.6918365775</v>
      </c>
      <c r="S102" s="29" t="n">
        <f aca="false">SUM(S94:S101)</f>
        <v>100971.75946878594</v>
      </c>
      <c r="T102" s="29" t="n">
        <f aca="false">SUM(T94:T101)</f>
        <v>1088145.6725066819</v>
      </c>
      <c r="U102" s="29" t="n">
        <f aca="false">SUM(U94:U101)</f>
        <v>1105939.7156718245</v>
      </c>
      <c r="V102" s="29" t="n">
        <f aca="false">SUM(V94:V101)</f>
        <v>15495.59723724235</v>
      </c>
      <c r="W102" s="29" t="n">
        <f aca="false">SUM(W94:W101)</f>
        <v>163245.12711863572</v>
      </c>
      <c r="X102" s="29" t="n">
        <f aca="false">SUM(X94:X101)</f>
        <v>803686.8475492712</v>
      </c>
      <c r="Y102" s="29" t="n">
        <f aca="false">SUM(Y94:Y101)</f>
        <v>1318834.875411644</v>
      </c>
      <c r="Z102" s="29" t="n">
        <f aca="false">SUM(Z94:Z101)</f>
        <v>1361173.841657531</v>
      </c>
      <c r="AA102" s="29" t="n">
        <f aca="false">SUM(AA94:AA101)</f>
        <v>1248767.2459018817</v>
      </c>
      <c r="AB102" s="29" t="n">
        <f aca="false">SUM(AB94:AB101)</f>
        <v>232913.57713179325</v>
      </c>
      <c r="AC102" s="35" t="n">
        <f aca="false">SUM(AC94:AC101)</f>
        <v>566415.1026216969</v>
      </c>
      <c r="AF102" s="27" t="s">
        <v>37</v>
      </c>
      <c r="AG102" s="28" t="n">
        <f aca="false">SUM(AG94:AG101)</f>
        <v>315057.20040686696</v>
      </c>
      <c r="AH102" s="29" t="n">
        <f aca="false">SUM(AH94:AH101)</f>
        <v>736542.1088390604</v>
      </c>
      <c r="AI102" s="29" t="n">
        <f aca="false">SUM(AI94:AI101)</f>
        <v>641119.5818857363</v>
      </c>
      <c r="AJ102" s="29" t="n">
        <f aca="false">SUM(AJ94:AJ101)</f>
        <v>1075446.8396743303</v>
      </c>
      <c r="AK102" s="29" t="n">
        <f aca="false">SUM(AK94:AK101)</f>
        <v>23369.392609249786</v>
      </c>
      <c r="AL102" s="29" t="n">
        <f aca="false">SUM(AL94:AL101)</f>
        <v>178693.05368959554</v>
      </c>
      <c r="AM102" s="29" t="n">
        <f aca="false">SUM(AM94:AM101)</f>
        <v>1331396.5920420713</v>
      </c>
      <c r="AN102" s="29" t="n">
        <f aca="false">SUM(AN94:AN101)</f>
        <v>953914.9481242216</v>
      </c>
      <c r="AO102" s="29" t="n">
        <f aca="false">SUM(AO94:AO101)</f>
        <v>419942.6335736433</v>
      </c>
      <c r="AP102" s="29" t="n">
        <f aca="false">SUM(AP94:AP101)</f>
        <v>157397.49635103185</v>
      </c>
      <c r="AQ102" s="29" t="n">
        <f aca="false">SUM(AQ94:AQ101)</f>
        <v>966207.6343161735</v>
      </c>
      <c r="AR102" s="35" t="n">
        <f aca="false">SUM(AR94:AR101)</f>
        <v>609773.5904814238</v>
      </c>
    </row>
    <row r="103" customFormat="false" ht="15.6" hidden="false" customHeight="false" outlineLevel="0" collapsed="false">
      <c r="B103" s="27" t="s">
        <v>38</v>
      </c>
      <c r="C103" s="28" t="n">
        <v>85824.36807127656</v>
      </c>
      <c r="D103" s="29" t="n">
        <v>61310.49103280403</v>
      </c>
      <c r="E103" s="29" t="n">
        <v>41704.87551399242</v>
      </c>
      <c r="F103" s="29" t="n">
        <v>15217.6184314012</v>
      </c>
      <c r="G103" s="29" t="n">
        <v>98751.8467725578</v>
      </c>
      <c r="H103" s="29" t="n">
        <v>205009.95643387444</v>
      </c>
      <c r="I103" s="29" t="n">
        <v>175926.39107190055</v>
      </c>
      <c r="J103" s="29" t="n">
        <v>39061.0963616475</v>
      </c>
      <c r="K103" s="29" t="n">
        <v>261852.0466827945</v>
      </c>
      <c r="L103" s="29" t="n">
        <v>42237.11587529212</v>
      </c>
      <c r="M103" s="29" t="n">
        <v>352204.98568472423</v>
      </c>
      <c r="N103" s="29" t="n">
        <v>359824.05177358637</v>
      </c>
      <c r="Q103" s="27" t="s">
        <v>38</v>
      </c>
      <c r="R103" s="28" t="n">
        <v>50876.65896053704</v>
      </c>
      <c r="S103" s="29" t="n">
        <v>14953.119678920391</v>
      </c>
      <c r="T103" s="29" t="n">
        <v>243721.10384292903</v>
      </c>
      <c r="U103" s="29" t="n">
        <v>29204.08152473227</v>
      </c>
      <c r="V103" s="29" t="n">
        <v>36489.076612672456</v>
      </c>
      <c r="W103" s="29" t="n">
        <v>229020.43391387456</v>
      </c>
      <c r="X103" s="29" t="n">
        <v>41690.13279078879</v>
      </c>
      <c r="Y103" s="29" t="n">
        <v>68381.8736965672</v>
      </c>
      <c r="Z103" s="29" t="n">
        <v>225709.98863651164</v>
      </c>
      <c r="AA103" s="29" t="n">
        <v>250552.58138955946</v>
      </c>
      <c r="AB103" s="29" t="n">
        <v>60398.96729183974</v>
      </c>
      <c r="AC103" s="29" t="n">
        <v>425658.82937477226</v>
      </c>
      <c r="AF103" s="27" t="s">
        <v>38</v>
      </c>
      <c r="AG103" s="28" t="n">
        <v>35597.493677943</v>
      </c>
      <c r="AH103" s="29" t="n">
        <v>8051.763657466081</v>
      </c>
      <c r="AI103" s="29" t="n">
        <v>98366.06480226101</v>
      </c>
      <c r="AJ103" s="29" t="n">
        <v>37480.30950803271</v>
      </c>
      <c r="AK103" s="29" t="n">
        <v>146769.94781442572</v>
      </c>
      <c r="AL103" s="29" t="n">
        <v>87754.44500098428</v>
      </c>
      <c r="AM103" s="29" t="n">
        <v>46491.93262692779</v>
      </c>
      <c r="AN103" s="29" t="n">
        <v>83943.04648439249</v>
      </c>
      <c r="AO103" s="29" t="n">
        <v>311046.5518345972</v>
      </c>
      <c r="AP103" s="29" t="n">
        <v>122080.3878710516</v>
      </c>
      <c r="AQ103" s="29" t="n">
        <v>202366.99145965863</v>
      </c>
      <c r="AR103" s="29" t="n">
        <v>19148.857566880073</v>
      </c>
    </row>
    <row r="104" customFormat="false" ht="15.6" hidden="false" customHeight="false" outlineLevel="0" collapsed="false">
      <c r="B104" s="23" t="s">
        <v>39</v>
      </c>
      <c r="C104" s="8" t="n">
        <v>185971.86277775167</v>
      </c>
      <c r="D104" s="8" t="n">
        <v>264568.39722395706</v>
      </c>
      <c r="E104" s="8" t="n">
        <v>230394.77497878642</v>
      </c>
      <c r="F104" s="8" t="n">
        <v>222636.4362092174</v>
      </c>
      <c r="G104" s="8" t="n">
        <v>405342.2002043923</v>
      </c>
      <c r="H104" s="8" t="n">
        <v>228757.04911669658</v>
      </c>
      <c r="I104" s="8" t="n">
        <v>298756.3038186712</v>
      </c>
      <c r="J104" s="8" t="n">
        <v>138071.53517361067</v>
      </c>
      <c r="K104" s="8" t="n">
        <v>160778.83766687047</v>
      </c>
      <c r="L104" s="8" t="n">
        <v>1433.593531629867</v>
      </c>
      <c r="M104" s="8" t="n">
        <v>236389.6432945152</v>
      </c>
      <c r="N104" s="8" t="n">
        <v>62132.88482152985</v>
      </c>
      <c r="Q104" s="23" t="s">
        <v>39</v>
      </c>
      <c r="R104" s="8" t="n">
        <v>256058.86848989123</v>
      </c>
      <c r="S104" s="8" t="n">
        <v>416795.0754959134</v>
      </c>
      <c r="T104" s="8" t="n">
        <v>333944.98459641816</v>
      </c>
      <c r="U104" s="8" t="n">
        <v>397370.8952433097</v>
      </c>
      <c r="V104" s="8" t="n">
        <v>14038.424090151975</v>
      </c>
      <c r="W104" s="8" t="n">
        <v>413482.51461589837</v>
      </c>
      <c r="X104" s="8" t="n">
        <v>260203.04963558397</v>
      </c>
      <c r="Y104" s="8" t="n">
        <v>308583.7038649149</v>
      </c>
      <c r="Z104" s="8" t="n">
        <v>112820.95997252331</v>
      </c>
      <c r="AA104" s="8" t="n">
        <v>286856.4527737191</v>
      </c>
      <c r="AB104" s="8" t="n">
        <v>314075.5217838283</v>
      </c>
      <c r="AC104" s="8" t="n">
        <v>28588.239537656635</v>
      </c>
      <c r="AF104" s="23" t="s">
        <v>39</v>
      </c>
      <c r="AG104" s="8" t="n">
        <v>986576.2262603601</v>
      </c>
      <c r="AH104" s="8" t="n">
        <v>81875.33359280793</v>
      </c>
      <c r="AI104" s="8" t="n">
        <v>94215.9498381062</v>
      </c>
      <c r="AJ104" s="8" t="n">
        <v>309404.2474585096</v>
      </c>
      <c r="AK104" s="8" t="n">
        <v>166946.08981849853</v>
      </c>
      <c r="AL104" s="8" t="n">
        <v>80968.53714933927</v>
      </c>
      <c r="AM104" s="8" t="n">
        <v>23340.33946866607</v>
      </c>
      <c r="AN104" s="8" t="n">
        <v>152476.96221634842</v>
      </c>
      <c r="AO104" s="8" t="n">
        <v>209809.70719239855</v>
      </c>
      <c r="AP104" s="8" t="n">
        <v>174266.95632440667</v>
      </c>
      <c r="AQ104" s="8" t="n">
        <v>559960.2848662753</v>
      </c>
      <c r="AR104" s="8" t="n">
        <v>83244.29127429501</v>
      </c>
    </row>
    <row r="105" customFormat="false" ht="15.6" hidden="false" customHeight="false" outlineLevel="0" collapsed="false">
      <c r="B105" s="23" t="s">
        <v>40</v>
      </c>
      <c r="C105" s="8" t="n">
        <v>132019.4125731487</v>
      </c>
      <c r="D105" s="8" t="n">
        <v>182656.3507136083</v>
      </c>
      <c r="E105" s="8" t="n">
        <v>425643.0488485158</v>
      </c>
      <c r="F105" s="8" t="n">
        <v>297359.31614043587</v>
      </c>
      <c r="G105" s="8" t="n">
        <v>44084.82655246958</v>
      </c>
      <c r="H105" s="8" t="n">
        <v>315791.188364221</v>
      </c>
      <c r="I105" s="8" t="n">
        <v>90268.05962698103</v>
      </c>
      <c r="J105" s="8" t="n">
        <v>252971.24526755168</v>
      </c>
      <c r="K105" s="8" t="n">
        <v>228474.2554574749</v>
      </c>
      <c r="L105" s="8" t="n">
        <v>389387.316301153</v>
      </c>
      <c r="M105" s="8" t="n">
        <v>286361.7013120394</v>
      </c>
      <c r="N105" s="8" t="n">
        <v>6962.496167742337</v>
      </c>
      <c r="Q105" s="23" t="s">
        <v>40</v>
      </c>
      <c r="R105" s="8" t="n">
        <v>157620.8163152056</v>
      </c>
      <c r="S105" s="8" t="n">
        <v>2949.2997671062512</v>
      </c>
      <c r="T105" s="8" t="n">
        <v>201132.60772827122</v>
      </c>
      <c r="U105" s="8" t="n">
        <v>37101.20835194834</v>
      </c>
      <c r="V105" s="8" t="n">
        <v>85997.42928003047</v>
      </c>
      <c r="W105" s="8" t="n">
        <v>398332.02638725954</v>
      </c>
      <c r="X105" s="8" t="n">
        <v>11338.031621278782</v>
      </c>
      <c r="Y105" s="8" t="n">
        <v>153487.15904058813</v>
      </c>
      <c r="Z105" s="8" t="n">
        <v>558771.1408143158</v>
      </c>
      <c r="AA105" s="8" t="n">
        <v>489963.2059414176</v>
      </c>
      <c r="AB105" s="8" t="n">
        <v>211232.6515199971</v>
      </c>
      <c r="AC105" s="8" t="n">
        <v>87735.38589665476</v>
      </c>
      <c r="AF105" s="23" t="s">
        <v>40</v>
      </c>
      <c r="AG105" s="8" t="n">
        <v>63752.12663154059</v>
      </c>
      <c r="AH105" s="8" t="n">
        <v>173983.22610410457</v>
      </c>
      <c r="AI105" s="8" t="n">
        <v>27348.12030148065</v>
      </c>
      <c r="AJ105" s="8" t="n">
        <v>222808.5235337403</v>
      </c>
      <c r="AK105" s="8" t="n">
        <v>46976.76437413062</v>
      </c>
      <c r="AL105" s="8" t="n">
        <v>57174.47453600648</v>
      </c>
      <c r="AM105" s="8" t="n">
        <v>16010.090574373578</v>
      </c>
      <c r="AN105" s="8" t="n">
        <v>181548.61748595955</v>
      </c>
      <c r="AO105" s="8" t="n">
        <v>248223.32669505925</v>
      </c>
      <c r="AP105" s="8" t="n">
        <v>194041.43621230885</v>
      </c>
      <c r="AQ105" s="8" t="n">
        <v>282271.7907039142</v>
      </c>
      <c r="AR105" s="8" t="n">
        <v>120199.52492853726</v>
      </c>
    </row>
    <row r="106" customFormat="false" ht="15.6" hidden="false" customHeight="false" outlineLevel="0" collapsed="false">
      <c r="B106" s="23" t="s">
        <v>41</v>
      </c>
      <c r="C106" s="8"/>
      <c r="D106" s="8" t="n">
        <f aca="false">D68/(1+$A106)</f>
        <v>1315226.5346266266</v>
      </c>
      <c r="E106" s="8" t="n">
        <f aca="false">E68/(1+A106)</f>
        <v>2255165.5387626276</v>
      </c>
      <c r="F106" s="8"/>
      <c r="G106" s="8"/>
      <c r="H106" s="8"/>
      <c r="I106" s="8"/>
      <c r="J106" s="8" t="n">
        <v>0.0</v>
      </c>
      <c r="K106" s="8" t="n">
        <v>0.0</v>
      </c>
      <c r="L106" s="8" t="n">
        <f aca="false">L68/(1+$A106)</f>
        <v>4864787.406557234</v>
      </c>
      <c r="M106" s="8" t="n">
        <f aca="false">M68/(1+$A106)</f>
        <v>3278651.80436924</v>
      </c>
      <c r="N106" s="8" t="n">
        <f aca="false">N68/(1+$A106)</f>
        <v>1251990.844609716</v>
      </c>
      <c r="Q106" s="23" t="s">
        <v>41</v>
      </c>
      <c r="R106" s="8"/>
      <c r="S106" s="8" t="n">
        <f aca="false">S68/(1+$A106)</f>
        <v>4409562.013480483</v>
      </c>
      <c r="T106" s="8" t="n">
        <f aca="false">T68/(1+P106)</f>
        <v>639896.9935293816</v>
      </c>
      <c r="U106" s="8"/>
      <c r="V106" s="8"/>
      <c r="W106" s="8"/>
      <c r="X106" s="8"/>
      <c r="Y106" s="8" t="n">
        <v>0.0</v>
      </c>
      <c r="Z106" s="8" t="n">
        <v>0.0</v>
      </c>
      <c r="AA106" s="8" t="n">
        <f aca="false">AA68/(1+$A106)</f>
        <v>4112555.5253192387</v>
      </c>
      <c r="AB106" s="8" t="n">
        <f aca="false">AB68/(1+$A106)</f>
        <v>1275449.024451237</v>
      </c>
      <c r="AC106" s="8" t="n">
        <f aca="false">AC68/(1+$A106)</f>
        <v>3180745.246620302</v>
      </c>
      <c r="AF106" s="23" t="s">
        <v>41</v>
      </c>
      <c r="AG106" s="8"/>
      <c r="AH106" s="8" t="n">
        <f aca="false">AH68/(1+$A106)</f>
        <v>2486469.8740239074</v>
      </c>
      <c r="AI106" s="8" t="n">
        <f aca="false">AI68/(1+AE106)</f>
        <v>3672058.604736785</v>
      </c>
      <c r="AJ106" s="8"/>
      <c r="AK106" s="8"/>
      <c r="AL106" s="8"/>
      <c r="AM106" s="8"/>
      <c r="AN106" s="8" t="n">
        <v>0.0</v>
      </c>
      <c r="AO106" s="8" t="n">
        <v>0.0</v>
      </c>
      <c r="AP106" s="8" t="n">
        <f aca="false">AP68/(1+$A106)</f>
        <v>2233797.1413527364</v>
      </c>
      <c r="AQ106" s="8" t="n">
        <f aca="false">AQ68/(1+$A106)</f>
        <v>3186682.974950596</v>
      </c>
      <c r="AR106" s="8" t="n">
        <f aca="false">AR68/(1+$A106)</f>
        <v>1018020.9640914432</v>
      </c>
    </row>
    <row r="107" customFormat="false" ht="15.6" hidden="false" customHeight="false" outlineLevel="0" collapsed="false">
      <c r="B107" s="24" t="s">
        <v>42</v>
      </c>
      <c r="C107" s="36" t="n">
        <v>31811.42452292447</v>
      </c>
      <c r="D107" s="25" t="n">
        <v>24508.798562265398</v>
      </c>
      <c r="E107" s="25" t="n">
        <v>862.2913065626087</v>
      </c>
      <c r="F107" s="25" t="n">
        <v>157504.88823502773</v>
      </c>
      <c r="G107" s="25" t="n">
        <v>21243.586871998545</v>
      </c>
      <c r="H107" s="25" t="n">
        <v>75036.02160839306</v>
      </c>
      <c r="I107" s="25" t="n">
        <v>11544.345872699765</v>
      </c>
      <c r="J107" s="25" t="n">
        <v>58869.870373720674</v>
      </c>
      <c r="K107" s="25" t="n">
        <v>37487.24543933873</v>
      </c>
      <c r="L107" s="25" t="n">
        <v>124435.5717314686</v>
      </c>
      <c r="M107" s="25" t="n">
        <v>29181.56360577974</v>
      </c>
      <c r="N107" s="25" t="n">
        <v>151207.170416976</v>
      </c>
      <c r="Q107" s="24" t="s">
        <v>42</v>
      </c>
      <c r="R107" s="36" t="n">
        <v>254220.53326334234</v>
      </c>
      <c r="S107" s="25" t="n">
        <v>19136.170620102814</v>
      </c>
      <c r="T107" s="25" t="n">
        <v>119549.81899725227</v>
      </c>
      <c r="U107" s="25" t="n">
        <v>24663.500457886654</v>
      </c>
      <c r="V107" s="25" t="n">
        <v>28199.425448620255</v>
      </c>
      <c r="W107" s="25" t="n">
        <v>54292.47060010209</v>
      </c>
      <c r="X107" s="25" t="n">
        <v>50290.695373212584</v>
      </c>
      <c r="Y107" s="25" t="n">
        <v>70210.65704505375</v>
      </c>
      <c r="Z107" s="25" t="n">
        <v>280616.7878335924</v>
      </c>
      <c r="AA107" s="25" t="n">
        <v>67027.40871772963</v>
      </c>
      <c r="AB107" s="25" t="n">
        <v>8634.855586893329</v>
      </c>
      <c r="AC107" s="25" t="n">
        <v>41181.43523708707</v>
      </c>
      <c r="AF107" s="24" t="s">
        <v>42</v>
      </c>
      <c r="AG107" s="36" t="n">
        <v>167478.48083970783</v>
      </c>
      <c r="AH107" s="25" t="n">
        <v>17816.86064015256</v>
      </c>
      <c r="AI107" s="25" t="n">
        <v>56930.49466572297</v>
      </c>
      <c r="AJ107" s="25" t="n">
        <v>145408.69324234943</v>
      </c>
      <c r="AK107" s="25" t="n">
        <v>51076.12159633334</v>
      </c>
      <c r="AL107" s="25" t="n">
        <v>645.7728765723974</v>
      </c>
      <c r="AM107" s="25" t="n">
        <v>58786.77552767992</v>
      </c>
      <c r="AN107" s="25" t="n">
        <v>26669.69898785701</v>
      </c>
      <c r="AO107" s="25" t="n">
        <v>344551.6669871588</v>
      </c>
      <c r="AP107" s="25" t="n">
        <v>34490.071717199986</v>
      </c>
      <c r="AQ107" s="25" t="n">
        <v>4878.50232850563</v>
      </c>
      <c r="AR107" s="25" t="n">
        <v>143095.91400508294</v>
      </c>
    </row>
    <row r="108" customFormat="false" ht="15.6" hidden="false" customHeight="false" outlineLevel="0" collapsed="false">
      <c r="B108" s="27" t="s">
        <v>43</v>
      </c>
      <c r="C108" s="29" t="n">
        <f aca="false">SUM(C104:C107)</f>
        <v>834864.3238488825</v>
      </c>
      <c r="D108" s="29" t="n">
        <f aca="false">SUM(D104:D107)</f>
        <v>1224330.6172986464</v>
      </c>
      <c r="E108" s="29" t="n">
        <f aca="false">SUM(E104:E107)</f>
        <v>547999.2988517514</v>
      </c>
      <c r="F108" s="29" t="n">
        <f aca="false">SUM(F104:F107)</f>
        <v>231990.62301998818</v>
      </c>
      <c r="G108" s="29" t="n">
        <f aca="false">SUM(G104:G107)</f>
        <v>623616.1166379874</v>
      </c>
      <c r="H108" s="29" t="n">
        <f aca="false">SUM(H104:H107)</f>
        <v>528601.5908072134</v>
      </c>
      <c r="I108" s="29" t="n">
        <f aca="false">SUM(I104:I107)</f>
        <v>436484.0174582773</v>
      </c>
      <c r="J108" s="29" t="n">
        <f aca="false">SUM(J104:J107)</f>
        <v>443259.9760005395</v>
      </c>
      <c r="K108" s="29" t="n">
        <f aca="false">SUM(K104:K107)</f>
        <v>155896.3424944109</v>
      </c>
      <c r="L108" s="29" t="n">
        <f aca="false">SUM(L104:L107)</f>
        <v>1876540.582255023</v>
      </c>
      <c r="M108" s="29" t="n">
        <f aca="false">SUM(M104:M107)</f>
        <v>6296196.965658917</v>
      </c>
      <c r="N108" s="29" t="n">
        <f aca="false">SUM(N104:N107)</f>
        <v>5707386.8689614255</v>
      </c>
      <c r="Q108" s="27" t="s">
        <v>43</v>
      </c>
      <c r="R108" s="29" t="n">
        <f aca="false">SUM(R104:R107)</f>
        <v>926942.1805980869</v>
      </c>
      <c r="S108" s="29" t="n">
        <f aca="false">SUM(S104:S107)</f>
        <v>178613.52707915238</v>
      </c>
      <c r="T108" s="29" t="n">
        <f aca="false">SUM(T104:T107)</f>
        <v>3196319.273911016</v>
      </c>
      <c r="U108" s="29" t="n">
        <f aca="false">SUM(U104:U107)</f>
        <v>579312.3864998664</v>
      </c>
      <c r="V108" s="29" t="n">
        <f aca="false">SUM(V104:V107)</f>
        <v>547486.9841149524</v>
      </c>
      <c r="W108" s="29" t="n">
        <f aca="false">SUM(W104:W107)</f>
        <v>124683.73263601387</v>
      </c>
      <c r="X108" s="29" t="n">
        <f aca="false">SUM(X104:X107)</f>
        <v>166459.9743327955</v>
      </c>
      <c r="Y108" s="29" t="n">
        <f aca="false">SUM(Y104:Y107)</f>
        <v>119512.2423449637</v>
      </c>
      <c r="Z108" s="29" t="n">
        <f aca="false">SUM(Z104:Z107)</f>
        <v>997660.3440380845</v>
      </c>
      <c r="AA108" s="29" t="n">
        <f aca="false">SUM(AA104:AA107)</f>
        <v>1913899.5805489786</v>
      </c>
      <c r="AB108" s="29" t="n">
        <f aca="false">SUM(AB104:AB107)</f>
        <v>6625219.136164969</v>
      </c>
      <c r="AC108" s="29" t="n">
        <f aca="false">SUM(AC104:AC107)</f>
        <v>2017669.3510726162</v>
      </c>
      <c r="AF108" s="27" t="s">
        <v>43</v>
      </c>
      <c r="AG108" s="29" t="n">
        <f aca="false">SUM(AG104:AG107)</f>
        <v>1324025.0939517508</v>
      </c>
      <c r="AH108" s="29" t="n">
        <f aca="false">SUM(AH104:AH107)</f>
        <v>217750.29323619153</v>
      </c>
      <c r="AI108" s="29" t="n">
        <f aca="false">SUM(AI104:AI107)</f>
        <v>288240.0949185801</v>
      </c>
      <c r="AJ108" s="29" t="n">
        <f aca="false">SUM(AJ104:AJ107)</f>
        <v>210684.56066667452</v>
      </c>
      <c r="AK108" s="29" t="n">
        <f aca="false">SUM(AK104:AK107)</f>
        <v>272207.2493562216</v>
      </c>
      <c r="AL108" s="29" t="n">
        <f aca="false">SUM(AL104:AL107)</f>
        <v>720369.4324611387</v>
      </c>
      <c r="AM108" s="29" t="n">
        <f aca="false">SUM(AM104:AM107)</f>
        <v>701076.0527526974</v>
      </c>
      <c r="AN108" s="29" t="n">
        <f aca="false">SUM(AN104:AN107)</f>
        <v>76928.53733028</v>
      </c>
      <c r="AO108" s="29" t="n">
        <f aca="false">SUM(AO104:AO107)</f>
        <v>895283.1946557747</v>
      </c>
      <c r="AP108" s="29" t="n">
        <f aca="false">SUM(AP104:AP107)</f>
        <v>3459340.7842421103</v>
      </c>
      <c r="AQ108" s="29" t="n">
        <f aca="false">SUM(AQ104:AQ107)</f>
        <v>4551147.129840616</v>
      </c>
      <c r="AR108" s="29" t="n">
        <f aca="false">SUM(AR104:AR107)</f>
        <v>4731103.148873535</v>
      </c>
    </row>
    <row r="109" customFormat="false" ht="15.6" hidden="false" customHeight="false" outlineLevel="0" collapsed="false">
      <c r="B109" s="30" t="s">
        <v>44</v>
      </c>
      <c r="C109" s="21" t="n">
        <f aca="false">SUM(C102,C103,C108)</f>
        <v>1968053.2251694119</v>
      </c>
      <c r="D109" s="21" t="n">
        <f aca="false">SUM(D102,D103,D108)-1783</f>
        <v>4565612.242381574</v>
      </c>
      <c r="E109" s="21" t="n">
        <f aca="false">SUM(E102,E103,E108)</f>
        <v>7347955.026763183</v>
      </c>
      <c r="F109" s="21" t="n">
        <f aca="false">SUM(F102,F103,F108)</f>
        <v>1069278.2341457708</v>
      </c>
      <c r="G109" s="21" t="n">
        <f aca="false">SUM(G102,G103,G108)-510</f>
        <v>917663.5185457865</v>
      </c>
      <c r="H109" s="21" t="n">
        <f aca="false">SUM(H102,H103,H108)</f>
        <v>358681.6968845686</v>
      </c>
      <c r="I109" s="21" t="n">
        <f aca="false">SUM(I102,I103,I108)</f>
        <v>1577066.8202280623</v>
      </c>
      <c r="J109" s="21" t="n">
        <f aca="false">SUM(J102,J103,J108)</f>
        <v>489813.0601705861</v>
      </c>
      <c r="K109" s="21" t="n">
        <f aca="false">SUM(K102,K103,K108)-450</f>
        <v>2153683.834588345</v>
      </c>
      <c r="L109" s="21" t="n">
        <f aca="false">SUM(L102,L103,L108)</f>
        <v>4651555.447834635</v>
      </c>
      <c r="M109" s="21" t="n">
        <f aca="false">SUM(M102,M103,M108)</f>
        <v>5265390.902692789</v>
      </c>
      <c r="N109" s="21" t="n">
        <f aca="false">SUM(N102,N103,N108)-1591</f>
        <v>5399814.264052325</v>
      </c>
      <c r="Q109" s="30" t="s">
        <v>44</v>
      </c>
      <c r="R109" s="21" t="n">
        <f aca="false">SUM(R102,R103,R108)</f>
        <v>3305470.8467064803</v>
      </c>
      <c r="S109" s="21" t="n">
        <f aca="false">SUM(S102,S103,S108)-1783</f>
        <v>685982.3271753176</v>
      </c>
      <c r="T109" s="21" t="n">
        <f aca="false">SUM(T102,T103,T108)</f>
        <v>6244452.309165195</v>
      </c>
      <c r="U109" s="21" t="n">
        <f aca="false">SUM(U102,U103,U108)</f>
        <v>999884.304832786</v>
      </c>
      <c r="V109" s="21" t="n">
        <f aca="false">SUM(V102,V103,V108)-510</f>
        <v>376561.99686963815</v>
      </c>
      <c r="W109" s="21" t="n">
        <f aca="false">SUM(W102,W103,W108)</f>
        <v>124569.7148530961</v>
      </c>
      <c r="X109" s="21" t="n">
        <f aca="false">SUM(X102,X103,X108)</f>
        <v>802844.9012667229</v>
      </c>
      <c r="Y109" s="21" t="n">
        <f aca="false">SUM(Y102,Y103,Y108)</f>
        <v>1890906.4559578279</v>
      </c>
      <c r="Z109" s="21" t="n">
        <f aca="false">SUM(Z102,Z103,Z108)-450</f>
        <v>1948546.529371518</v>
      </c>
      <c r="AA109" s="21" t="n">
        <f aca="false">SUM(AA102,AA103,AA108)</f>
        <v>4466683.519060122</v>
      </c>
      <c r="AB109" s="21" t="n">
        <f aca="false">SUM(AB102,AB103,AB108)</f>
        <v>4660891.641351488</v>
      </c>
      <c r="AC109" s="21" t="n">
        <f aca="false">SUM(AC102,AC103,AC108)-1591</f>
        <v>3187407.6562403846</v>
      </c>
      <c r="AF109" s="30" t="s">
        <v>44</v>
      </c>
      <c r="AG109" s="21" t="n">
        <f aca="false">SUM(AG102,AG103,AG108)</f>
        <v>3474468.3124911934</v>
      </c>
      <c r="AH109" s="21" t="n">
        <f aca="false">SUM(AH102,AH103,AH108)-1783</f>
        <v>3437189.4831619253</v>
      </c>
      <c r="AI109" s="21" t="n">
        <f aca="false">SUM(AI102,AI103,AI108)</f>
        <v>3185039.1341584763</v>
      </c>
      <c r="AJ109" s="21" t="n">
        <f aca="false">SUM(AJ102,AJ103,AJ108)</f>
        <v>754372.2608485164</v>
      </c>
      <c r="AK109" s="21" t="n">
        <f aca="false">SUM(AK102,AK103,AK108)-510</f>
        <v>1224535.3854675153</v>
      </c>
      <c r="AL109" s="21" t="n">
        <f aca="false">SUM(AL102,AL103,AL108)</f>
        <v>439707.5465562919</v>
      </c>
      <c r="AM109" s="21" t="n">
        <f aca="false">SUM(AM102,AM103,AM108)</f>
        <v>2372986.958092877</v>
      </c>
      <c r="AN109" s="21" t="n">
        <f aca="false">SUM(AN102,AN103,AN108)</f>
        <v>402442.22094231454</v>
      </c>
      <c r="AO109" s="21" t="n">
        <f aca="false">SUM(AO102,AO103,AO108)-450</f>
        <v>1798455.4856607483</v>
      </c>
      <c r="AP109" s="21" t="n">
        <f aca="false">SUM(AP102,AP103,AP108)</f>
        <v>6355835.181445528</v>
      </c>
      <c r="AQ109" s="21" t="n">
        <f aca="false">SUM(AQ102,AQ103,AQ108)</f>
        <v>537009.6582419983</v>
      </c>
      <c r="AR109" s="21" t="n">
        <f aca="false">SUM(AR102,AR103,AR108)-1591</f>
        <v>6029540.136236746</v>
      </c>
    </row>
    <row r="110" customFormat="false" ht="15.6" hidden="false" customHeight="false" outlineLevel="0" collapsed="false">
      <c r="B110" s="24" t="s">
        <v>45</v>
      </c>
      <c r="C110" s="31" t="n">
        <v>1494.4178929595155</v>
      </c>
      <c r="D110" s="25" t="n">
        <v>3168903.477358997</v>
      </c>
      <c r="E110" s="25" t="n">
        <v>648134.6595451056</v>
      </c>
      <c r="F110" s="25" t="n">
        <v>730832.453632018</v>
      </c>
      <c r="G110" s="25" t="n">
        <v>292879.4810738003</v>
      </c>
      <c r="H110" s="25" t="n">
        <v>112503.88867524498</v>
      </c>
      <c r="I110" s="25" t="n">
        <v>3227668.8275332493</v>
      </c>
      <c r="J110" s="25" t="n">
        <v>1998780.0102282807</v>
      </c>
      <c r="K110" s="25" t="n">
        <v>1126146.450877734</v>
      </c>
      <c r="L110" s="25" t="n">
        <v>3596213.426427384</v>
      </c>
      <c r="M110" s="25" t="n">
        <v>1937906.6894023824</v>
      </c>
      <c r="N110" s="25" t="n">
        <v>1753570.4302231013</v>
      </c>
      <c r="Q110" s="24" t="s">
        <v>45</v>
      </c>
      <c r="R110" s="31" t="n">
        <v>1864623.7678805576</v>
      </c>
      <c r="S110" s="25" t="n">
        <v>1820128.8416955639</v>
      </c>
      <c r="T110" s="25" t="n">
        <v>244122.16071265054</v>
      </c>
      <c r="U110" s="25" t="n">
        <v>2910072.0181197254</v>
      </c>
      <c r="V110" s="25" t="n">
        <v>1146362.0004873741</v>
      </c>
      <c r="W110" s="25" t="n">
        <v>851218.7042925492</v>
      </c>
      <c r="X110" s="25" t="n">
        <v>2540300.513623328</v>
      </c>
      <c r="Y110" s="25" t="n">
        <v>3601309.706627434</v>
      </c>
      <c r="Z110" s="25" t="n">
        <v>2644383.4720395016</v>
      </c>
      <c r="AA110" s="25" t="n">
        <v>929420.6058455436</v>
      </c>
      <c r="AB110" s="25" t="n">
        <v>3198083.2726352</v>
      </c>
      <c r="AC110" s="25" t="n">
        <v>3630360.9553122846</v>
      </c>
      <c r="AF110" s="24" t="s">
        <v>45</v>
      </c>
      <c r="AG110" s="31" t="n">
        <v>254182.1455426754</v>
      </c>
      <c r="AH110" s="25" t="n">
        <v>1584101.406812739</v>
      </c>
      <c r="AI110" s="25" t="n">
        <v>1096922.8614548682</v>
      </c>
      <c r="AJ110" s="25" t="n">
        <v>1549456.3905416592</v>
      </c>
      <c r="AK110" s="25" t="n">
        <v>961658.8798347331</v>
      </c>
      <c r="AL110" s="25" t="n">
        <v>2457229.776467307</v>
      </c>
      <c r="AM110" s="25" t="n">
        <v>2432678.7701487863</v>
      </c>
      <c r="AN110" s="25" t="n">
        <v>254972.99306930834</v>
      </c>
      <c r="AO110" s="25" t="n">
        <v>4342505.269332881</v>
      </c>
      <c r="AP110" s="25" t="n">
        <v>3281420.640205799</v>
      </c>
      <c r="AQ110" s="25" t="n">
        <v>2775011.688347758</v>
      </c>
      <c r="AR110" s="25" t="n">
        <v>3820248.167764322</v>
      </c>
    </row>
    <row r="111" customFormat="false" ht="15.6" hidden="false" customHeight="false" outlineLevel="0" collapsed="false">
      <c r="B111" s="30" t="s">
        <v>46</v>
      </c>
      <c r="C111" s="21" t="n">
        <f aca="false">SUM(C110)</f>
        <v>2761563.4778313464</v>
      </c>
      <c r="D111" s="21" t="n">
        <f aca="false">SUM(D110)</f>
        <v>1540339.232140428</v>
      </c>
      <c r="E111" s="21" t="n">
        <f aca="false">SUM(E110)</f>
        <v>564562.7429495985</v>
      </c>
      <c r="F111" s="21" t="n">
        <f aca="false">SUM(F110)</f>
        <v>66749.50762462076</v>
      </c>
      <c r="G111" s="21" t="n">
        <f aca="false">SUM(G110)</f>
        <v>673304.5473659714</v>
      </c>
      <c r="H111" s="21" t="n">
        <f aca="false">SUM(H110)</f>
        <v>517967.7366148251</v>
      </c>
      <c r="I111" s="21" t="n">
        <f aca="false">SUM(I110)</f>
        <v>3975767.4024028094</v>
      </c>
      <c r="J111" s="21" t="n">
        <f aca="false">SUM(J110)</f>
        <v>1123065.6321381186</v>
      </c>
      <c r="K111" s="21" t="n">
        <f aca="false">SUM(K110)</f>
        <v>3862755.2655366817</v>
      </c>
      <c r="L111" s="21" t="n">
        <f aca="false">SUM(L110)</f>
        <v>3796218.832521252</v>
      </c>
      <c r="M111" s="21" t="n">
        <f aca="false">SUM(M110)</f>
        <v>1792631.706429193</v>
      </c>
      <c r="N111" s="21" t="n">
        <f aca="false">SUM(N110)</f>
        <v>981293.5085272582</v>
      </c>
      <c r="Q111" s="30" t="s">
        <v>46</v>
      </c>
      <c r="R111" s="21" t="n">
        <f aca="false">SUM(R110)</f>
        <v>854394.5227360372</v>
      </c>
      <c r="S111" s="21" t="n">
        <f aca="false">SUM(S110)</f>
        <v>1777833.921128661</v>
      </c>
      <c r="T111" s="21" t="n">
        <f aca="false">SUM(T110)</f>
        <v>2604640.3967940863</v>
      </c>
      <c r="U111" s="21" t="n">
        <f aca="false">SUM(U110)</f>
        <v>3130285.5670793713</v>
      </c>
      <c r="V111" s="21" t="n">
        <f aca="false">SUM(V110)</f>
        <v>108215.15166179325</v>
      </c>
      <c r="W111" s="21" t="n">
        <f aca="false">SUM(W110)</f>
        <v>1418102.8194727458</v>
      </c>
      <c r="X111" s="21" t="n">
        <f aca="false">SUM(X110)</f>
        <v>1835303.3852704463</v>
      </c>
      <c r="Y111" s="21" t="n">
        <f aca="false">SUM(Y110)</f>
        <v>3070144.1799865062</v>
      </c>
      <c r="Z111" s="21" t="n">
        <f aca="false">SUM(Z110)</f>
        <v>3787813.453673956</v>
      </c>
      <c r="AA111" s="21" t="n">
        <f aca="false">SUM(AA110)</f>
        <v>1681537.5945511367</v>
      </c>
      <c r="AB111" s="21" t="n">
        <f aca="false">SUM(AB110)</f>
        <v>2189632.821333562</v>
      </c>
      <c r="AC111" s="21" t="n">
        <f aca="false">SUM(AC110)</f>
        <v>313635.24643591465</v>
      </c>
      <c r="AF111" s="30" t="s">
        <v>46</v>
      </c>
      <c r="AG111" s="21" t="n">
        <f aca="false">SUM(AG110)</f>
        <v>84928.11651944331</v>
      </c>
      <c r="AH111" s="21" t="n">
        <f aca="false">SUM(AH110)</f>
        <v>2037626.0229697642</v>
      </c>
      <c r="AI111" s="21" t="n">
        <f aca="false">SUM(AI110)</f>
        <v>1171571.382106797</v>
      </c>
      <c r="AJ111" s="21" t="n">
        <f aca="false">SUM(AJ110)</f>
        <v>821536.4061888744</v>
      </c>
      <c r="AK111" s="21" t="n">
        <f aca="false">SUM(AK110)</f>
        <v>317488.29223113606</v>
      </c>
      <c r="AL111" s="21" t="n">
        <f aca="false">SUM(AL110)</f>
        <v>2344633.847447139</v>
      </c>
      <c r="AM111" s="21" t="n">
        <f aca="false">SUM(AM110)</f>
        <v>2610547.0194499968</v>
      </c>
      <c r="AN111" s="21" t="n">
        <f aca="false">SUM(AN110)</f>
        <v>180170.0204921586</v>
      </c>
      <c r="AO111" s="21" t="n">
        <f aca="false">SUM(AO110)</f>
        <v>3241318.5008385377</v>
      </c>
      <c r="AP111" s="21" t="n">
        <f aca="false">SUM(AP110)</f>
        <v>3851467.4129457627</v>
      </c>
      <c r="AQ111" s="21" t="n">
        <f aca="false">SUM(AQ110)</f>
        <v>3111831.3264681953</v>
      </c>
      <c r="AR111" s="21" t="n">
        <f aca="false">SUM(AR110)</f>
        <v>49934.797670246386</v>
      </c>
    </row>
    <row r="112" customFormat="false" ht="15.6" hidden="false" customHeight="false" outlineLevel="0" collapsed="false">
      <c r="B112" s="24" t="s">
        <v>47</v>
      </c>
      <c r="C112" s="31" t="n">
        <v>74776.40149823531</v>
      </c>
      <c r="D112" s="25" t="n">
        <v>791432.1300600695</v>
      </c>
      <c r="E112" s="25" t="n">
        <v>877116.9381302957</v>
      </c>
      <c r="F112" s="25" t="n">
        <v>544302.1327712036</v>
      </c>
      <c r="G112" s="25" t="n">
        <v>845116.4815151389</v>
      </c>
      <c r="H112" s="25" t="n">
        <v>794604.7663495374</v>
      </c>
      <c r="I112" s="25" t="n">
        <v>650067.9881095552</v>
      </c>
      <c r="J112" s="25" t="n">
        <v>866271.5614094423</v>
      </c>
      <c r="K112" s="25" t="n">
        <v>277345.5823479099</v>
      </c>
      <c r="L112" s="25" t="n">
        <v>98879.96618093229</v>
      </c>
      <c r="M112" s="25" t="n">
        <v>328028.8892800139</v>
      </c>
      <c r="N112" s="25" t="n">
        <v>688977.2478720293</v>
      </c>
      <c r="Q112" s="24" t="s">
        <v>47</v>
      </c>
      <c r="R112" s="31" t="n">
        <v>496697.21940230107</v>
      </c>
      <c r="S112" s="25" t="n">
        <v>520404.06171672634</v>
      </c>
      <c r="T112" s="25" t="n">
        <v>444631.39587488986</v>
      </c>
      <c r="U112" s="25" t="n">
        <v>945233.8234479789</v>
      </c>
      <c r="V112" s="25" t="n">
        <v>951027.521811135</v>
      </c>
      <c r="W112" s="25" t="n">
        <v>245757.2244363754</v>
      </c>
      <c r="X112" s="25" t="n">
        <v>227302.7680537378</v>
      </c>
      <c r="Y112" s="25" t="n">
        <v>78936.53565008144</v>
      </c>
      <c r="Z112" s="25" t="n">
        <v>244299.06486813418</v>
      </c>
      <c r="AA112" s="25" t="n">
        <v>1026209.0463856527</v>
      </c>
      <c r="AB112" s="25" t="n">
        <v>67140.1848767354</v>
      </c>
      <c r="AC112" s="25" t="n">
        <v>468195.3104774412</v>
      </c>
      <c r="AF112" s="24" t="s">
        <v>47</v>
      </c>
      <c r="AG112" s="31" t="n">
        <v>1065317.0936706185</v>
      </c>
      <c r="AH112" s="25" t="n">
        <v>360479.59597553563</v>
      </c>
      <c r="AI112" s="25" t="n">
        <v>778453.2021711603</v>
      </c>
      <c r="AJ112" s="25" t="n">
        <v>4707.876654511022</v>
      </c>
      <c r="AK112" s="25" t="n">
        <v>330525.2428065279</v>
      </c>
      <c r="AL112" s="25" t="n">
        <v>234898.64343077686</v>
      </c>
      <c r="AM112" s="25" t="n">
        <v>306108.54015178536</v>
      </c>
      <c r="AN112" s="25" t="n">
        <v>631920.2630825497</v>
      </c>
      <c r="AO112" s="25" t="n">
        <v>441642.0052967895</v>
      </c>
      <c r="AP112" s="25" t="n">
        <v>1036776.8739752935</v>
      </c>
      <c r="AQ112" s="25" t="n">
        <v>752063.6757546674</v>
      </c>
      <c r="AR112" s="25" t="n">
        <v>538950.7732530339</v>
      </c>
    </row>
    <row r="113" customFormat="false" ht="15.6" hidden="false" customHeight="false" outlineLevel="0" collapsed="false">
      <c r="B113" s="30" t="s">
        <v>48</v>
      </c>
      <c r="C113" s="21" t="n">
        <f aca="false">SUM(C112)</f>
        <v>1061618.6067807043</v>
      </c>
      <c r="D113" s="21" t="n">
        <f aca="false">SUM(D112)</f>
        <v>482662.6592664679</v>
      </c>
      <c r="E113" s="21" t="n">
        <f aca="false">SUM(E112)</f>
        <v>815623.385205256</v>
      </c>
      <c r="F113" s="21" t="n">
        <f aca="false">SUM(F112)</f>
        <v>350092.2642640287</v>
      </c>
      <c r="G113" s="21" t="n">
        <f aca="false">SUM(G112)</f>
        <v>1107489.2421895566</v>
      </c>
      <c r="H113" s="21" t="n">
        <f aca="false">SUM(H112)</f>
        <v>865656.6109159457</v>
      </c>
      <c r="I113" s="21" t="n">
        <f aca="false">SUM(I112)</f>
        <v>665156.9370589103</v>
      </c>
      <c r="J113" s="21" t="n">
        <f aca="false">SUM(J112)</f>
        <v>137073.0788631572</v>
      </c>
      <c r="K113" s="21" t="n">
        <f aca="false">SUM(K112)</f>
        <v>727002.4869231374</v>
      </c>
      <c r="L113" s="21" t="n">
        <f aca="false">SUM(L112)</f>
        <v>649452.4838885403</v>
      </c>
      <c r="M113" s="21" t="n">
        <f aca="false">SUM(M112)</f>
        <v>804389.745846055</v>
      </c>
      <c r="N113" s="21" t="n">
        <f aca="false">SUM(N112)</f>
        <v>126936.25588839874</v>
      </c>
      <c r="Q113" s="30" t="s">
        <v>48</v>
      </c>
      <c r="R113" s="21" t="n">
        <f aca="false">SUM(R112)</f>
        <v>446068.18782118044</v>
      </c>
      <c r="S113" s="21" t="n">
        <f aca="false">SUM(S112)</f>
        <v>539312.5123014951</v>
      </c>
      <c r="T113" s="21" t="n">
        <f aca="false">SUM(T112)</f>
        <v>645698.7105471097</v>
      </c>
      <c r="U113" s="21" t="n">
        <f aca="false">SUM(U112)</f>
        <v>861031.7485292905</v>
      </c>
      <c r="V113" s="21" t="n">
        <f aca="false">SUM(V112)</f>
        <v>735440.6773817098</v>
      </c>
      <c r="W113" s="21" t="n">
        <f aca="false">SUM(W112)</f>
        <v>176013.14618174202</v>
      </c>
      <c r="X113" s="21" t="n">
        <f aca="false">SUM(X112)</f>
        <v>195555.89159953393</v>
      </c>
      <c r="Y113" s="21" t="n">
        <f aca="false">SUM(Y112)</f>
        <v>718594.2400850331</v>
      </c>
      <c r="Z113" s="21" t="n">
        <f aca="false">SUM(Z112)</f>
        <v>969319.2842526509</v>
      </c>
      <c r="AA113" s="21" t="n">
        <f aca="false">SUM(AA112)</f>
        <v>22823.785520885736</v>
      </c>
      <c r="AB113" s="21" t="n">
        <f aca="false">SUM(AB112)</f>
        <v>35559.37491157951</v>
      </c>
      <c r="AC113" s="21" t="n">
        <f aca="false">SUM(AC112)</f>
        <v>119472.01271792139</v>
      </c>
      <c r="AF113" s="30" t="s">
        <v>48</v>
      </c>
      <c r="AG113" s="21" t="n">
        <f aca="false">SUM(AG112)</f>
        <v>478726.74640571617</v>
      </c>
      <c r="AH113" s="21" t="n">
        <f aca="false">SUM(AH112)</f>
        <v>616469.0639279835</v>
      </c>
      <c r="AI113" s="21" t="n">
        <f aca="false">SUM(AI112)</f>
        <v>544633.5166029749</v>
      </c>
      <c r="AJ113" s="21" t="n">
        <f aca="false">SUM(AJ112)</f>
        <v>746475.6628310014</v>
      </c>
      <c r="AK113" s="21" t="n">
        <f aca="false">SUM(AK112)</f>
        <v>267703.77997266466</v>
      </c>
      <c r="AL113" s="21" t="n">
        <f aca="false">SUM(AL112)</f>
        <v>392743.0040646518</v>
      </c>
      <c r="AM113" s="21" t="n">
        <f aca="false">SUM(AM112)</f>
        <v>514234.6009318188</v>
      </c>
      <c r="AN113" s="21" t="n">
        <f aca="false">SUM(AN112)</f>
        <v>386783.40426683746</v>
      </c>
      <c r="AO113" s="21" t="n">
        <f aca="false">SUM(AO112)</f>
        <v>305304.9048954107</v>
      </c>
      <c r="AP113" s="21" t="n">
        <f aca="false">SUM(AP112)</f>
        <v>332589.3441978459</v>
      </c>
      <c r="AQ113" s="21" t="n">
        <f aca="false">SUM(AQ112)</f>
        <v>208221.58770704147</v>
      </c>
      <c r="AR113" s="21" t="n">
        <f aca="false">SUM(AR112)</f>
        <v>653574.6482171335</v>
      </c>
    </row>
    <row r="114" customFormat="false" ht="15.6" hidden="false" customHeight="false" outlineLevel="0" collapsed="false">
      <c r="B114" s="32" t="s">
        <v>49</v>
      </c>
      <c r="C114" s="33" t="n">
        <f aca="false">SUM(C91,C93,C109,C111,C113)</f>
        <v>8187814.461009169</v>
      </c>
      <c r="D114" s="33" t="n">
        <f aca="false">SUM(D91,D93,D109,D111,D113)</f>
        <v>5172555.594803558</v>
      </c>
      <c r="E114" s="33" t="n">
        <f aca="false">SUM(E91,E93,E109,E111,E113)</f>
        <v>6663404.055751687</v>
      </c>
      <c r="F114" s="33" t="n">
        <f aca="false">SUM(F91,F93,F109,F111,F113)</f>
        <v>154926.53470663136</v>
      </c>
      <c r="G114" s="33" t="n">
        <f aca="false">SUM(G91,G93,G109,G111,G113)</f>
        <v>6600318.931475845</v>
      </c>
      <c r="H114" s="33" t="n">
        <f aca="false">SUM(H91,H93,H109,H111,H113)</f>
        <v>5145868.00773403</v>
      </c>
      <c r="I114" s="33" t="n">
        <f aca="false">SUM(I91,I93,I109,I111,I113)</f>
        <v>980639.1788090109</v>
      </c>
      <c r="J114" s="33" t="n">
        <f aca="false">SUM(J91,J93,J109,J111,J113)</f>
        <v>3593230.997143139</v>
      </c>
      <c r="K114" s="33" t="n">
        <f aca="false">SUM(K91,K93,K109,K111,K113)</f>
        <v>4572297.482784028</v>
      </c>
      <c r="L114" s="33" t="n">
        <f aca="false">SUM(L91,L93,L109,L111,L113)</f>
        <v>4845843.029303651</v>
      </c>
      <c r="M114" s="33" t="n">
        <f aca="false">SUM(M91,M93,M109,M111,M113)</f>
        <v>7619121.175246969</v>
      </c>
      <c r="N114" s="33" t="n">
        <f aca="false">SUM(N91,N93,N109,N111,N113)</f>
        <v>12550255.49202582</v>
      </c>
      <c r="Q114" s="32" t="s">
        <v>49</v>
      </c>
      <c r="R114" s="33" t="n">
        <f aca="false">SUM(R91,R93,R109,R111,R113)</f>
        <v>9414366.455656992</v>
      </c>
      <c r="S114" s="33" t="n">
        <f aca="false">SUM(S91,S93,S109,S111,S113)</f>
        <v>1262223.6182504382</v>
      </c>
      <c r="T114" s="33" t="n">
        <f aca="false">SUM(T91,T93,T109,T111,T113)</f>
        <v>6989872.72060036</v>
      </c>
      <c r="U114" s="33" t="n">
        <f aca="false">SUM(U91,U93,U109,U111,U113)</f>
        <v>2226257.1001846213</v>
      </c>
      <c r="V114" s="33" t="n">
        <f aca="false">SUM(V91,V93,V109,V111,V113)</f>
        <v>158030.64345327104</v>
      </c>
      <c r="W114" s="33" t="n">
        <f aca="false">SUM(W91,W93,W109,W111,W113)</f>
        <v>7265674.189717659</v>
      </c>
      <c r="X114" s="33" t="n">
        <f aca="false">SUM(X91,X93,X109,X111,X113)</f>
        <v>5860433.131853977</v>
      </c>
      <c r="Y114" s="33" t="n">
        <f aca="false">SUM(Y91,Y93,Y109,Y111,Y113)</f>
        <v>5086404.267398594</v>
      </c>
      <c r="Z114" s="33" t="n">
        <f aca="false">SUM(Z91,Z93,Z109,Z111,Z113)</f>
        <v>1408062.1486006195</v>
      </c>
      <c r="AA114" s="33" t="n">
        <f aca="false">SUM(AA91,AA93,AA109,AA111,AA113)</f>
        <v>1910301.6175067532</v>
      </c>
      <c r="AB114" s="33" t="n">
        <f aca="false">SUM(AB91,AB93,AB109,AB111,AB113)</f>
        <v>5119271.048098992</v>
      </c>
      <c r="AC114" s="33" t="n">
        <f aca="false">SUM(AC91,AC93,AC109,AC111,AC113)</f>
        <v>2305232.245527968</v>
      </c>
      <c r="AF114" s="32" t="s">
        <v>49</v>
      </c>
      <c r="AG114" s="33" t="n">
        <f aca="false">SUM(AG91,AG93,AG109,AG111,AG113)</f>
        <v>3294601.6525780233</v>
      </c>
      <c r="AH114" s="33" t="n">
        <f aca="false">SUM(AH91,AH93,AH109,AH111,AH113)</f>
        <v>5098664.985367204</v>
      </c>
      <c r="AI114" s="33" t="n">
        <f aca="false">SUM(AI91,AI93,AI109,AI111,AI113)</f>
        <v>10193895.610708972</v>
      </c>
      <c r="AJ114" s="33" t="n">
        <f aca="false">SUM(AJ91,AJ93,AJ109,AJ111,AJ113)</f>
        <v>5064943.691043534</v>
      </c>
      <c r="AK114" s="33" t="n">
        <f aca="false">SUM(AK91,AK93,AK109,AK111,AK113)</f>
        <v>661476.6340862818</v>
      </c>
      <c r="AL114" s="33" t="n">
        <f aca="false">SUM(AL91,AL93,AL109,AL111,AL113)</f>
        <v>3272333.433629492</v>
      </c>
      <c r="AM114" s="33" t="n">
        <f aca="false">SUM(AM91,AM93,AM109,AM111,AM113)</f>
        <v>1760916.9546283633</v>
      </c>
      <c r="AN114" s="33" t="n">
        <f aca="false">SUM(AN91,AN93,AN109,AN111,AN113)</f>
        <v>4923640.740308372</v>
      </c>
      <c r="AO114" s="33" t="n">
        <f aca="false">SUM(AO91,AO93,AO109,AO111,AO113)</f>
        <v>5113769.996610048</v>
      </c>
      <c r="AP114" s="33" t="n">
        <f aca="false">SUM(AP91,AP93,AP109,AP111,AP113)</f>
        <v>14595947.623031652</v>
      </c>
      <c r="AQ114" s="33" t="n">
        <f aca="false">SUM(AQ91,AQ93,AQ109,AQ111,AQ113)</f>
        <v>4679606.03800865</v>
      </c>
      <c r="AR114" s="33" t="n">
        <f aca="false">SUM(AR91,AR93,AR109,AR111,AR113)</f>
        <v>7921477.937468235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Roman,標準"&amp;Kffffff&amp;A</oddHeader>
    <oddFooter>&amp;C&amp;"Times New Roman,標準"&amp;Kffffff頁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e4eeec4-96dd-485d-aa7b-65b42b0d338e">
      <UserInfo>
        <DisplayName/>
        <AccountId xsi:nil="true"/>
        <AccountType/>
      </UserInfo>
    </SharedWithUsers>
    <TaxCatchAll xmlns="be4eeec4-96dd-485d-aa7b-65b42b0d338e" xsi:nil="true"/>
    <lcf76f155ced4ddcb4097134ff3c332f xmlns="d0564250-7597-4f8b-b87a-508c3355767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A5F72461414C4189D07FC70434A6A9" ma:contentTypeVersion="20" ma:contentTypeDescription="Create a new document." ma:contentTypeScope="" ma:versionID="b54bcb4f31d55f7f404e93c32ad474ff">
  <xsd:schema xmlns:xsd="http://www.w3.org/2001/XMLSchema" xmlns:xs="http://www.w3.org/2001/XMLSchema" xmlns:p="http://schemas.microsoft.com/office/2006/metadata/properties" xmlns:ns2="d0564250-7597-4f8b-b87a-508c3355767b" xmlns:ns3="be4eeec4-96dd-485d-aa7b-65b42b0d338e" targetNamespace="http://schemas.microsoft.com/office/2006/metadata/properties" ma:root="true" ma:fieldsID="33047875bac67331a4421c8d62e60124" ns2:_="" ns3:_="">
    <xsd:import namespace="d0564250-7597-4f8b-b87a-508c3355767b"/>
    <xsd:import namespace="be4eeec4-96dd-485d-aa7b-65b42b0d33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564250-7597-4f8b-b87a-508c335576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e15a081-2575-47e7-8e6e-84af88367f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4eeec4-96dd-485d-aa7b-65b42b0d33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2811697-e9d3-479e-8a00-5b8e4f549161}" ma:internalName="TaxCatchAll" ma:showField="CatchAllData" ma:web="be4eeec4-96dd-485d-aa7b-65b42b0d33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314EB3-3838-461E-B38C-124FAF20F2C1}">
  <ds:schemaRefs>
    <ds:schemaRef ds:uri="http://schemas.microsoft.com/office/2006/metadata/properties"/>
    <ds:schemaRef ds:uri="http://schemas.microsoft.com/office/infopath/2007/PartnerControls"/>
    <ds:schemaRef ds:uri="be4eeec4-96dd-485d-aa7b-65b42b0d338e"/>
    <ds:schemaRef ds:uri="d0564250-7597-4f8b-b87a-508c3355767b"/>
  </ds:schemaRefs>
</ds:datastoreItem>
</file>

<file path=customXml/itemProps2.xml><?xml version="1.0" encoding="utf-8"?>
<ds:datastoreItem xmlns:ds="http://schemas.openxmlformats.org/officeDocument/2006/customXml" ds:itemID="{DEED0654-3E0F-4F0F-9AC0-3109ADA465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564250-7597-4f8b-b87a-508c3355767b"/>
    <ds:schemaRef ds:uri="be4eeec4-96dd-485d-aa7b-65b42b0d33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4A4507-F47A-4862-883E-69860E77B0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2016-12-12T01:55:00Z</dcterms:created>
  <dc:creator>Levise Lee</dc:creator>
  <dc:description/>
  <dc:language>zh-TW</dc:language>
  <cp:lastModifiedBy/>
  <dcterms:modified xsi:type="dcterms:W3CDTF">2026-03-30T14:48:07Z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0x010100D6A5F72461414C4189D07FC70434A6A9</vt:lpwstr>
  </property>
  <property fmtid="{D5CDD505-2E9C-101B-9397-08002B2CF9AE}" pid="4" name="MediaServiceImageTags">
    <vt:lpwstr/>
  </property>
  <property fmtid="{D5CDD505-2E9C-101B-9397-08002B2CF9AE}" pid="5" name="Order">
    <vt:r8>4759800</vt:r8>
  </property>
  <property fmtid="{D5CDD505-2E9C-101B-9397-08002B2CF9AE}" pid="6" name="TemplateUrl">
    <vt:lpwstr/>
  </property>
  <property fmtid="{D5CDD505-2E9C-101B-9397-08002B2CF9AE}" pid="7" name="xd_ProgID">
    <vt:lpwstr/>
  </property>
  <property fmtid="{D5CDD505-2E9C-101B-9397-08002B2CF9AE}" pid="8" name="xd_Signature">
    <vt:bool>0</vt:bool>
  </property>
</Properties>
</file>