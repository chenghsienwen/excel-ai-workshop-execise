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3" sheetId="1" state="visible" r:id="rId2"/>
  </sheets>
  <definedNames>
    <definedName function="false" hidden="false" name="COUNT" vbProcedure="false">#REF!</definedName>
    <definedName function="false" hidden="false" name="D" vbProcedure="false">#REF!</definedName>
    <definedName function="false" hidden="false" name="GF" vbProcedure="false">"圖片 1"</definedName>
    <definedName function="false" hidden="false" name="QUOT1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<sst xmlns="http://schemas.openxmlformats.org/spreadsheetml/2006/main" count="435" uniqueCount="53">
  <si>
    <t xml:space="preserve">actual</t>
  </si>
  <si>
    <t xml:space="preserve">forecast</t>
  </si>
  <si>
    <t xml:space="preserve">budget</t>
  </si>
  <si>
    <t xml:space="preserve">Gross Sales ($K)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</si>
  <si>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</si>
  <si>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</si>
  <si>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</si>
  <si>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</si>
  <si>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</si>
  <si>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</si>
  <si>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</si>
  <si>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</si>
  <si>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</si>
  <si>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</si>
  <si>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</si>
  <si>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</si>
  <si>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AZ</t>
  </si>
  <si>
    <t xml:space="preserve">BD+</t>
  </si>
  <si>
    <t xml:space="preserve">ID</t>
  </si>
  <si>
    <t xml:space="preserve">IN</t>
  </si>
  <si>
    <t xml:space="preserve">JP</t>
  </si>
  <si>
    <t xml:space="preserve">KR</t>
  </si>
  <si>
    <t xml:space="preserve">MY</t>
  </si>
  <si>
    <t xml:space="preserve">PH</t>
  </si>
  <si>
    <t xml:space="preserve">SG</t>
  </si>
  <si>
    <t xml:space="preserve">TH</t>
  </si>
  <si>
    <t xml:space="preserve">VN</t>
  </si>
  <si>
    <t xml:space="preserve">TTL VSI</t>
  </si>
  <si>
    <t xml:space="preserve">TW</t>
  </si>
  <si>
    <t xml:space="preserve">UK</t>
  </si>
  <si>
    <t xml:space="preserve">FR</t>
  </si>
  <si>
    <t xml:space="preserve">DE</t>
  </si>
  <si>
    <t xml:space="preserve">CH</t>
  </si>
  <si>
    <t xml:space="preserve">ES </t>
  </si>
  <si>
    <t xml:space="preserve">IT</t>
  </si>
  <si>
    <t xml:space="preserve">NR</t>
  </si>
  <si>
    <t xml:space="preserve">NL</t>
  </si>
  <si>
    <t xml:space="preserve">TTL VSEW</t>
  </si>
  <si>
    <t xml:space="preserve">DC</t>
  </si>
  <si>
    <t xml:space="preserve">TR</t>
  </si>
  <si>
    <t xml:space="preserve">CE</t>
  </si>
  <si>
    <t xml:space="preserve">RU</t>
  </si>
  <si>
    <t xml:space="preserve">MA</t>
  </si>
  <si>
    <t xml:space="preserve">TTL VSEE</t>
  </si>
  <si>
    <t xml:space="preserve">TTL VSE</t>
  </si>
  <si>
    <t xml:space="preserve">VSA</t>
  </si>
  <si>
    <t xml:space="preserve">TTL VSA</t>
  </si>
  <si>
    <t xml:space="preserve">VSCN</t>
  </si>
  <si>
    <t xml:space="preserve">TTL VSCN</t>
  </si>
  <si>
    <t xml:space="preserve">VSC</t>
  </si>
  <si>
    <t xml:space="preserve">Net Sales ($K)</t>
  </si>
  <si>
    <t xml:space="preserve">Jun </t>
  </si>
  <si>
    <t xml:space="preserve">OP Sales ($K)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</si>
</sst>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[$€-2]* #,##0.00_);_([$€-2]* \(#,##0.00\);_([$€-2]* \-??_)"/>
    <numFmt numFmtId="166" formatCode="\$#,##0,;[RED]&quot;($&quot;#,##0,\)"/>
  </numFmts>
  <fonts count="21">
    <font>
      <sz val="12"/>
      <color rgb="FF000000"/>
      <name val="新細明體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9"/>
      <name val="Geneva"/>
      <family val="2"/>
      <charset val="1"/>
    </font>
    <font>
      <sz val="11"/>
      <color rgb="FF000000"/>
      <name val="Calibri"/>
      <family val="2"/>
      <charset val="1"/>
    </font>
    <font>
      <sz val="11"/>
      <name val="돋움"/>
      <family val="2"/>
      <charset val="1"/>
    </font>
    <font>
      <sz val="12"/>
      <name val="Times New Roman"/>
      <family val="1"/>
      <charset val="1"/>
    </font>
    <font>
      <sz val="11"/>
      <name val="돋움"/>
      <family val="2"/>
      <charset val="129"/>
    </font>
    <font>
      <sz val="10"/>
      <color rgb="FF000000"/>
      <name val="Arial"/>
      <family val="2"/>
      <charset val="1"/>
    </font>
    <font>
      <sz val="11"/>
      <color rgb="FF000000"/>
      <name val="宋体"/>
      <family val="3"/>
      <charset val="134"/>
    </font>
    <font>
      <sz val="11"/>
      <color rgb="FF000000"/>
      <name val="新細明體"/>
      <family val="1"/>
      <charset val="136"/>
    </font>
    <font>
      <sz val="12"/>
      <color rgb="FF000000"/>
      <name val="新細明體"/>
      <family val="1"/>
      <charset val="1"/>
    </font>
    <font>
      <sz val="11"/>
      <color rgb="FF000000"/>
      <name val="宋体"/>
      <family val="3"/>
      <charset val="136"/>
    </font>
    <font>
      <sz val="11"/>
      <color rgb="FF000000"/>
      <name val="Czcionka tekstu podstawowego"/>
      <family val="2"/>
      <charset val="238"/>
    </font>
    <font>
      <b val="true"/>
      <sz val="12"/>
      <color rgb="FF000000"/>
      <name val="新細明體"/>
      <family val="2"/>
      <charset val="136"/>
    </font>
    <font>
      <b val="true"/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color rgb="FFFFFFFF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CCCCFF"/>
        <bgColor rgb="FFDAEEF3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DAEEF3"/>
      </patternFill>
    </fill>
    <fill>
      <patternFill patternType="solid">
        <fgColor rgb="FFFFCC99"/>
        <bgColor rgb="FFEBF1DE"/>
      </patternFill>
    </fill>
    <fill>
      <patternFill patternType="solid">
        <fgColor rgb="FF99CCFF"/>
        <bgColor rgb="FF93C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EBF1DE"/>
      </patternFill>
    </fill>
    <fill>
      <patternFill patternType="solid">
        <fgColor rgb="FFEBF1DE"/>
        <bgColor rgb="FFDBEEF4"/>
      </patternFill>
    </fill>
    <fill>
      <patternFill patternType="solid">
        <fgColor rgb="FFDBEEF4"/>
        <bgColor rgb="FFDAEEF3"/>
      </patternFill>
    </fill>
    <fill>
      <patternFill patternType="solid">
        <fgColor rgb="FFDAEEF3"/>
        <bgColor rgb="FFDBEEF4"/>
      </patternFill>
    </fill>
    <fill>
      <patternFill patternType="solid">
        <fgColor rgb="FF93CDDD"/>
        <bgColor rgb="FF99CCFF"/>
      </patternFill>
    </fill>
    <fill>
      <patternFill patternType="solid">
        <fgColor rgb="FF1F5174"/>
        <bgColor rgb="FF003366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/>
      <bottom style="thin"/>
      <diagonal/>
    </border>
  </borders>
  <cellStyleXfs count="155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3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16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1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3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5174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_x0002_._x0011__x0002_._x001b__x0002_ _x0015_%_x0018__x0001_" xfId="20"/>
    <cellStyle name="&#10;386grabber=M" xfId="21"/>
    <cellStyle name=" 1" xfId="22"/>
    <cellStyle name=" 1 2" xfId="23"/>
    <cellStyle name="0,0&#10;&#10;NA&#10;&#10;" xfId="24"/>
    <cellStyle name="0,0&#10;&#10;NA&#10;&#10; 2" xfId="25"/>
    <cellStyle name="0,0&#10;&#10;NA&#10;&#10; 3" xfId="26"/>
    <cellStyle name="0,0&#13;&#10;NA&#13;&#10;" xfId="27"/>
    <cellStyle name="0,0&#13;&#10;NA&#13;&#10; 2" xfId="28"/>
    <cellStyle name="0,0&#13;&#10;NA&#13;&#10; 3" xfId="29"/>
    <cellStyle name="20 % - Markeringsfarve1" xfId="30"/>
    <cellStyle name="20 % - Markeringsfarve1 2" xfId="31"/>
    <cellStyle name="20 % - Markeringsfarve2" xfId="32"/>
    <cellStyle name="20 % - Markeringsfarve2 2" xfId="33"/>
    <cellStyle name="20 % - Markeringsfarve3" xfId="34"/>
    <cellStyle name="20 % - Markeringsfarve3 2" xfId="35"/>
    <cellStyle name="20 % - Markeringsfarve4" xfId="36"/>
    <cellStyle name="20 % - Markeringsfarve4 2" xfId="37"/>
    <cellStyle name="20 % - Markeringsfarve5" xfId="38"/>
    <cellStyle name="20 % - Markeringsfarve5 2" xfId="39"/>
    <cellStyle name="20 % - Markeringsfarve6" xfId="40"/>
    <cellStyle name="20 % - Markeringsfarve6 2" xfId="41"/>
    <cellStyle name="20% - Accent1" xfId="42"/>
    <cellStyle name="20% - Accent1 10" xfId="43"/>
    <cellStyle name="20% - Accent1 10 2" xfId="44"/>
    <cellStyle name="20% - Accent1 10 2 2" xfId="45"/>
    <cellStyle name="20% - Accent1 10 3" xfId="46"/>
    <cellStyle name="20% - Accent1 10 3 2" xfId="47"/>
    <cellStyle name="20% - Accent1 10 4" xfId="48"/>
    <cellStyle name="20% - Accent1 11" xfId="49"/>
    <cellStyle name="20% - Accent1 11 2" xfId="50"/>
    <cellStyle name="20% - Accent1 11 2 2" xfId="51"/>
    <cellStyle name="20% - Accent1 11 3" xfId="52"/>
    <cellStyle name="20% - Accent1 11 3 2" xfId="53"/>
    <cellStyle name="20% - Accent1 11 4" xfId="54"/>
    <cellStyle name="20% - Accent1 12" xfId="55"/>
    <cellStyle name="20% - Accent1 12 2" xfId="56"/>
    <cellStyle name="20% - Accent1 12 2 2" xfId="57"/>
    <cellStyle name="20% - Accent1 13" xfId="58"/>
    <cellStyle name="20% - Accent1 13 2" xfId="59"/>
    <cellStyle name="20% - Accent1 13 2 2" xfId="60"/>
    <cellStyle name="20% - Accent1 14" xfId="61"/>
    <cellStyle name="20% - Accent1 14 2" xfId="62"/>
    <cellStyle name="20% - Accent1 14 2 2" xfId="63"/>
    <cellStyle name="20% - Accent1 15" xfId="64"/>
    <cellStyle name="20% - Accent1 15 2" xfId="65"/>
    <cellStyle name="20% - Accent1 15 2 2" xfId="66"/>
    <cellStyle name="20% - Accent1 16" xfId="67"/>
    <cellStyle name="20% - Accent1 16 2" xfId="68"/>
    <cellStyle name="20% - Accent1 16 2 2" xfId="69"/>
    <cellStyle name="20% - Accent1 17" xfId="70"/>
    <cellStyle name="20% - Accent1 17 2" xfId="71"/>
    <cellStyle name="20% - Accent1 17 2 2" xfId="72"/>
    <cellStyle name="20% - Accent1 18" xfId="73"/>
    <cellStyle name="20% - Accent1 18 2" xfId="74"/>
    <cellStyle name="20% - Accent1 18 2 2" xfId="75"/>
    <cellStyle name="20% - Accent1 19" xfId="76"/>
    <cellStyle name="20% - Accent1 19 2" xfId="77"/>
    <cellStyle name="20% - Accent1 19 2 2" xfId="78"/>
    <cellStyle name="20% - Accent1 2" xfId="79"/>
    <cellStyle name="20% - Accent1 2 10" xfId="80"/>
    <cellStyle name="20% - Accent1 2 11" xfId="81"/>
    <cellStyle name="20% - Accent1 2 12" xfId="82"/>
    <cellStyle name="20% - Accent1 2 13" xfId="83"/>
    <cellStyle name="20% - Accent1 2 14" xfId="84"/>
    <cellStyle name="20% - Accent1 2 15" xfId="85"/>
    <cellStyle name="20% - Accent1 2 16" xfId="86"/>
    <cellStyle name="20% - Accent1 2 17" xfId="87"/>
    <cellStyle name="20% - Accent1 2 18" xfId="88"/>
    <cellStyle name="20% - Accent1 2 19" xfId="89"/>
    <cellStyle name="20% - Accent1 2 2" xfId="90"/>
    <cellStyle name="20% - Accent1 2 2 2" xfId="91"/>
    <cellStyle name="20% - Accent1 2 2 2 2" xfId="92"/>
    <cellStyle name="20% - Accent1 2 2 3" xfId="93"/>
    <cellStyle name="20% - Accent1 2 2 3 2" xfId="94"/>
    <cellStyle name="20% - Accent1 2 2 4" xfId="95"/>
    <cellStyle name="20% - Accent1 2 2 4 2" xfId="96"/>
    <cellStyle name="20% - Accent1 2 2 5" xfId="97"/>
    <cellStyle name="20% - Accent1 2 2 6" xfId="98"/>
    <cellStyle name="20% - Accent1 2 20" xfId="99"/>
    <cellStyle name="20% - Accent1 2 21" xfId="100"/>
    <cellStyle name="20% - Accent1 2 22" xfId="101"/>
    <cellStyle name="20% - Accent1 2 23" xfId="102"/>
    <cellStyle name="20% - Accent1 2 24" xfId="103"/>
    <cellStyle name="20% - Accent1 2 25" xfId="104"/>
    <cellStyle name="20% - Accent1 2 3" xfId="105"/>
    <cellStyle name="20% - Accent1 2 3 2" xfId="106"/>
    <cellStyle name="20% - Accent1 2 3 3" xfId="107"/>
    <cellStyle name="20% - Accent1 2 4" xfId="108"/>
    <cellStyle name="20% - Accent1 2 4 2" xfId="109"/>
    <cellStyle name="20% - Accent1 2 4 3" xfId="110"/>
    <cellStyle name="20% - Accent1 2 5" xfId="111"/>
    <cellStyle name="20% - Accent1 2 5 2" xfId="112"/>
    <cellStyle name="20% - Accent1 2 5 3" xfId="113"/>
    <cellStyle name="20% - Accent1 2 6" xfId="114"/>
    <cellStyle name="20% - Accent1 2 6 2" xfId="115"/>
    <cellStyle name="20% - Accent1 2 7" xfId="116"/>
    <cellStyle name="20% - Accent1 2 7 2" xfId="117"/>
    <cellStyle name="20% - Accent1 2 8" xfId="118"/>
    <cellStyle name="20% - Accent1 2 8 2" xfId="119"/>
    <cellStyle name="20% - Accent1 2 9" xfId="120"/>
    <cellStyle name="20% - Accent1 20" xfId="121"/>
    <cellStyle name="20% - Accent1 20 2" xfId="122"/>
    <cellStyle name="20% - Accent1 20 2 2" xfId="123"/>
    <cellStyle name="20% - Accent1 21" xfId="124"/>
    <cellStyle name="20% - Accent1 21 2" xfId="125"/>
    <cellStyle name="20% - Accent1 21 2 2" xfId="126"/>
    <cellStyle name="20% - Accent1 22" xfId="127"/>
    <cellStyle name="20% - Accent1 22 2" xfId="128"/>
    <cellStyle name="20% - Accent1 22 2 2" xfId="129"/>
    <cellStyle name="20% - Accent1 23" xfId="130"/>
    <cellStyle name="20% - Accent1 23 2" xfId="131"/>
    <cellStyle name="20% - Accent1 23 2 2" xfId="132"/>
    <cellStyle name="20% - Accent1 23 3" xfId="133"/>
    <cellStyle name="20% - Accent1 24" xfId="134"/>
    <cellStyle name="20% - Accent1 24 2" xfId="135"/>
    <cellStyle name="20% - Accent1 24 2 2" xfId="136"/>
    <cellStyle name="20% - Accent1 24 3" xfId="137"/>
    <cellStyle name="20% - Accent1 25" xfId="138"/>
    <cellStyle name="20% - Accent1 25 2" xfId="139"/>
    <cellStyle name="20% - Accent1 25 2 2" xfId="140"/>
    <cellStyle name="20% - Accent1 25 3" xfId="141"/>
    <cellStyle name="20% - Accent1 26" xfId="142"/>
    <cellStyle name="20% - Accent1 26 2" xfId="143"/>
    <cellStyle name="20% - Accent1 26 3" xfId="144"/>
    <cellStyle name="20% - Accent1 27" xfId="145"/>
    <cellStyle name="20% - Accent1 27 2" xfId="146"/>
    <cellStyle name="20% - Accent1 27 3" xfId="147"/>
    <cellStyle name="20% - Accent1 28" xfId="148"/>
    <cellStyle name="20% - Accent1 28 2" xfId="149"/>
    <cellStyle name="20% - Accent1 28 3" xfId="150"/>
    <cellStyle name="20% - Accent1 29" xfId="151"/>
    <cellStyle name="20% - Accent1 29 2" xfId="152"/>
    <cellStyle name="20% - Accent1 29 3" xfId="153"/>
    <cellStyle name="20% - Accent1 2_2.VSCN - GSC charge" xfId="154"/>
    <cellStyle name="20% - Accent1 3" xfId="155"/>
    <cellStyle name="20% - Accent1 3 2" xfId="156"/>
    <cellStyle name="20% - Accent1 3 2 2" xfId="157"/>
    <cellStyle name="20% - Accent1 3 2 3" xfId="158"/>
    <cellStyle name="20% - Accent1 3 3" xfId="159"/>
    <cellStyle name="20% - Accent1 3 3 2" xfId="160"/>
    <cellStyle name="20% - Accent1 3 3 3" xfId="161"/>
    <cellStyle name="20% - Accent1 3 4" xfId="162"/>
    <cellStyle name="20% - Accent1 3 4 2" xfId="163"/>
    <cellStyle name="20% - Accent1 3 5" xfId="164"/>
    <cellStyle name="20% - Accent1 3 5 2" xfId="165"/>
    <cellStyle name="20% - Accent1 3 6" xfId="166"/>
    <cellStyle name="20% - Accent1 3 7" xfId="167"/>
    <cellStyle name="20% - Accent1 30" xfId="168"/>
    <cellStyle name="20% - Accent1 30 2" xfId="169"/>
    <cellStyle name="20% - Accent1 31" xfId="170"/>
    <cellStyle name="20% - Accent1 31 2" xfId="171"/>
    <cellStyle name="20% - Accent1 32" xfId="172"/>
    <cellStyle name="20% - Accent1 32 2" xfId="173"/>
    <cellStyle name="20% - Accent1 33" xfId="174"/>
    <cellStyle name="20% - Accent1 33 2" xfId="175"/>
    <cellStyle name="20% - Accent1 34" xfId="176"/>
    <cellStyle name="20% - Accent1 34 2" xfId="177"/>
    <cellStyle name="20% - Accent1 35" xfId="178"/>
    <cellStyle name="20% - Accent1 35 2" xfId="179"/>
    <cellStyle name="20% - Accent1 36" xfId="180"/>
    <cellStyle name="20% - Accent1 36 2" xfId="181"/>
    <cellStyle name="20% - Accent1 37" xfId="182"/>
    <cellStyle name="20% - Accent1 37 2" xfId="183"/>
    <cellStyle name="20% - Accent1 38" xfId="184"/>
    <cellStyle name="20% - Accent1 38 2" xfId="185"/>
    <cellStyle name="20% - Accent1 39" xfId="186"/>
    <cellStyle name="20% - Accent1 39 2" xfId="187"/>
    <cellStyle name="20% - Accent1 3_Before Allocation" xfId="188"/>
    <cellStyle name="20% - Accent1 4" xfId="189"/>
    <cellStyle name="20% - Accent1 4 2" xfId="190"/>
    <cellStyle name="20% - Accent1 4 2 2" xfId="191"/>
    <cellStyle name="20% - Accent1 4 2 3" xfId="192"/>
    <cellStyle name="20% - Accent1 4 3" xfId="193"/>
    <cellStyle name="20% - Accent1 4 3 2" xfId="194"/>
    <cellStyle name="20% - Accent1 4 3 3" xfId="195"/>
    <cellStyle name="20% - Accent1 4 4" xfId="196"/>
    <cellStyle name="20% - Accent1 4 4 2" xfId="197"/>
    <cellStyle name="20% - Accent1 4 5" xfId="198"/>
    <cellStyle name="20% - Accent1 4 5 2" xfId="199"/>
    <cellStyle name="20% - Accent1 4 6" xfId="200"/>
    <cellStyle name="20% - Accent1 4 7" xfId="201"/>
    <cellStyle name="20% - Accent1 40" xfId="202"/>
    <cellStyle name="20% - Accent1 40 2" xfId="203"/>
    <cellStyle name="20% - Accent1 41" xfId="204"/>
    <cellStyle name="20% - Accent1 41 2" xfId="205"/>
    <cellStyle name="20% - Accent1 42" xfId="206"/>
    <cellStyle name="20% - Accent1 43" xfId="207"/>
    <cellStyle name="20% - Accent1 44" xfId="208"/>
    <cellStyle name="20% - Accent1 45" xfId="209"/>
    <cellStyle name="20% - Accent1 46" xfId="210"/>
    <cellStyle name="20% - Accent1 47" xfId="211"/>
    <cellStyle name="20% - Accent1 48" xfId="212"/>
    <cellStyle name="20% - Accent1 49" xfId="213"/>
    <cellStyle name="20% - Accent1 4_Before Allocation" xfId="214"/>
    <cellStyle name="20% - Accent1 5" xfId="215"/>
    <cellStyle name="20% - Accent1 5 2" xfId="216"/>
    <cellStyle name="20% - Accent1 5 2 2" xfId="217"/>
    <cellStyle name="20% - Accent1 5 2 3" xfId="218"/>
    <cellStyle name="20% - Accent1 5 3" xfId="219"/>
    <cellStyle name="20% - Accent1 5 3 2" xfId="220"/>
    <cellStyle name="20% - Accent1 5 4" xfId="221"/>
    <cellStyle name="20% - Accent1 5 4 2" xfId="222"/>
    <cellStyle name="20% - Accent1 5 5" xfId="223"/>
    <cellStyle name="20% - Accent1 50" xfId="224"/>
    <cellStyle name="20% - Accent1 51" xfId="225"/>
    <cellStyle name="20% - Accent1 52" xfId="226"/>
    <cellStyle name="20% - Accent1 53" xfId="227"/>
    <cellStyle name="20% - Accent1 54" xfId="228"/>
    <cellStyle name="20% - Accent1 55" xfId="229"/>
    <cellStyle name="20% - Accent1 56" xfId="230"/>
    <cellStyle name="20% - Accent1 57" xfId="231"/>
    <cellStyle name="20% - Accent1 58" xfId="232"/>
    <cellStyle name="20% - Accent1 59" xfId="233"/>
    <cellStyle name="20% - Accent1 6" xfId="234"/>
    <cellStyle name="20% - Accent1 6 2" xfId="235"/>
    <cellStyle name="20% - Accent1 6 2 2" xfId="236"/>
    <cellStyle name="20% - Accent1 6 3" xfId="237"/>
    <cellStyle name="20% - Accent1 6 3 2" xfId="238"/>
    <cellStyle name="20% - Accent1 6 4" xfId="239"/>
    <cellStyle name="20% - Accent1 60" xfId="240"/>
    <cellStyle name="20% - Accent1 61" xfId="241"/>
    <cellStyle name="20% - Accent1 62" xfId="242"/>
    <cellStyle name="20% - Accent1 63" xfId="243"/>
    <cellStyle name="20% - Accent1 64" xfId="244"/>
    <cellStyle name="20% - Accent1 65" xfId="245"/>
    <cellStyle name="20% - Accent1 66" xfId="246"/>
    <cellStyle name="20% - Accent1 67" xfId="247"/>
    <cellStyle name="20% - Accent1 68" xfId="248"/>
    <cellStyle name="20% - Accent1 69" xfId="249"/>
    <cellStyle name="20% - Accent1 7" xfId="250"/>
    <cellStyle name="20% - Accent1 7 2" xfId="251"/>
    <cellStyle name="20% - Accent1 7 2 2" xfId="252"/>
    <cellStyle name="20% - Accent1 7 3" xfId="253"/>
    <cellStyle name="20% - Accent1 7 3 2" xfId="254"/>
    <cellStyle name="20% - Accent1 7 4" xfId="255"/>
    <cellStyle name="20% - Accent1 70" xfId="256"/>
    <cellStyle name="20% - Accent1 71" xfId="257"/>
    <cellStyle name="20% - Accent1 72" xfId="258"/>
    <cellStyle name="20% - Accent1 73" xfId="259"/>
    <cellStyle name="20% - Accent1 74" xfId="260"/>
    <cellStyle name="20% - Accent1 75" xfId="261"/>
    <cellStyle name="20% - Accent1 76" xfId="262"/>
    <cellStyle name="20% - Accent1 77" xfId="263"/>
    <cellStyle name="20% - Accent1 78" xfId="264"/>
    <cellStyle name="20% - Accent1 79" xfId="265"/>
    <cellStyle name="20% - Accent1 8" xfId="266"/>
    <cellStyle name="20% - Accent1 8 2" xfId="267"/>
    <cellStyle name="20% - Accent1 8 2 2" xfId="268"/>
    <cellStyle name="20% - Accent1 8 3" xfId="269"/>
    <cellStyle name="20% - Accent1 8 3 2" xfId="270"/>
    <cellStyle name="20% - Accent1 8 4" xfId="271"/>
    <cellStyle name="20% - Accent1 80" xfId="272"/>
    <cellStyle name="20% - Accent1 81" xfId="273"/>
    <cellStyle name="20% - Accent1 82" xfId="274"/>
    <cellStyle name="20% - Accent1 83" xfId="275"/>
    <cellStyle name="20% - Accent1 84" xfId="276"/>
    <cellStyle name="20% - Accent1 85" xfId="277"/>
    <cellStyle name="20% - Accent1 86" xfId="278"/>
    <cellStyle name="20% - Accent1 87" xfId="279"/>
    <cellStyle name="20% - Accent1 88" xfId="280"/>
    <cellStyle name="20% - Accent1 89" xfId="281"/>
    <cellStyle name="20% - Accent1 9" xfId="282"/>
    <cellStyle name="20% - Accent1 9 2" xfId="283"/>
    <cellStyle name="20% - Accent1 9 2 2" xfId="284"/>
    <cellStyle name="20% - Accent1 9 3" xfId="285"/>
    <cellStyle name="20% - Accent1 9 3 2" xfId="286"/>
    <cellStyle name="20% - Accent1 9 4" xfId="287"/>
    <cellStyle name="20% - Accent1 90" xfId="288"/>
    <cellStyle name="20% - Accent1 91" xfId="289"/>
    <cellStyle name="20% - Accent1 92" xfId="290"/>
    <cellStyle name="20% - Accent1 93" xfId="291"/>
    <cellStyle name="20% - Accent1 94" xfId="292"/>
    <cellStyle name="20% - Accent1 95" xfId="293"/>
    <cellStyle name="20% - Accent1 96" xfId="294"/>
    <cellStyle name="20% - Accent1_13-wk VSI_Revised" xfId="295"/>
    <cellStyle name="20% - Accent2" xfId="296"/>
    <cellStyle name="20% - Accent2 10" xfId="297"/>
    <cellStyle name="20% - Accent2 10 2" xfId="298"/>
    <cellStyle name="20% - Accent2 10 2 2" xfId="299"/>
    <cellStyle name="20% - Accent2 10 3" xfId="300"/>
    <cellStyle name="20% - Accent2 10 3 2" xfId="301"/>
    <cellStyle name="20% - Accent2 10 4" xfId="302"/>
    <cellStyle name="20% - Accent2 11" xfId="303"/>
    <cellStyle name="20% - Accent2 11 2" xfId="304"/>
    <cellStyle name="20% - Accent2 11 2 2" xfId="305"/>
    <cellStyle name="20% - Accent2 11 3" xfId="306"/>
    <cellStyle name="20% - Accent2 11 3 2" xfId="307"/>
    <cellStyle name="20% - Accent2 11 4" xfId="308"/>
    <cellStyle name="20% - Accent2 12" xfId="309"/>
    <cellStyle name="20% - Accent2 12 2" xfId="310"/>
    <cellStyle name="20% - Accent2 12 2 2" xfId="311"/>
    <cellStyle name="20% - Accent2 13" xfId="312"/>
    <cellStyle name="20% - Accent2 13 2" xfId="313"/>
    <cellStyle name="20% - Accent2 13 2 2" xfId="314"/>
    <cellStyle name="20% - Accent2 14" xfId="315"/>
    <cellStyle name="20% - Accent2 14 2" xfId="316"/>
    <cellStyle name="20% - Accent2 14 2 2" xfId="317"/>
    <cellStyle name="20% - Accent2 15" xfId="318"/>
    <cellStyle name="20% - Accent2 15 2" xfId="319"/>
    <cellStyle name="20% - Accent2 15 2 2" xfId="320"/>
    <cellStyle name="20% - Accent2 16" xfId="321"/>
    <cellStyle name="20% - Accent2 16 2" xfId="322"/>
    <cellStyle name="20% - Accent2 16 2 2" xfId="323"/>
    <cellStyle name="20% - Accent2 17" xfId="324"/>
    <cellStyle name="20% - Accent2 17 2" xfId="325"/>
    <cellStyle name="20% - Accent2 17 2 2" xfId="326"/>
    <cellStyle name="20% - Accent2 18" xfId="327"/>
    <cellStyle name="20% - Accent2 18 2" xfId="328"/>
    <cellStyle name="20% - Accent2 18 2 2" xfId="329"/>
    <cellStyle name="20% - Accent2 19" xfId="330"/>
    <cellStyle name="20% - Accent2 19 2" xfId="331"/>
    <cellStyle name="20% - Accent2 19 2 2" xfId="332"/>
    <cellStyle name="20% - Accent2 2" xfId="333"/>
    <cellStyle name="20% - Accent2 2 10" xfId="334"/>
    <cellStyle name="20% - Accent2 2 11" xfId="335"/>
    <cellStyle name="20% - Accent2 2 12" xfId="336"/>
    <cellStyle name="20% - Accent2 2 13" xfId="337"/>
    <cellStyle name="20% - Accent2 2 14" xfId="338"/>
    <cellStyle name="20% - Accent2 2 15" xfId="339"/>
    <cellStyle name="20% - Accent2 2 16" xfId="340"/>
    <cellStyle name="20% - Accent2 2 17" xfId="341"/>
    <cellStyle name="20% - Accent2 2 18" xfId="342"/>
    <cellStyle name="20% - Accent2 2 19" xfId="343"/>
    <cellStyle name="20% - Accent2 2 2" xfId="344"/>
    <cellStyle name="20% - Accent2 2 2 2" xfId="345"/>
    <cellStyle name="20% - Accent2 2 2 2 2" xfId="346"/>
    <cellStyle name="20% - Accent2 2 2 3" xfId="347"/>
    <cellStyle name="20% - Accent2 2 2 3 2" xfId="348"/>
    <cellStyle name="20% - Accent2 2 2 4" xfId="349"/>
    <cellStyle name="20% - Accent2 2 2 4 2" xfId="350"/>
    <cellStyle name="20% - Accent2 2 2 5" xfId="351"/>
    <cellStyle name="20% - Accent2 2 2 6" xfId="352"/>
    <cellStyle name="20% - Accent2 2 20" xfId="353"/>
    <cellStyle name="20% - Accent2 2 21" xfId="354"/>
    <cellStyle name="20% - Accent2 2 22" xfId="355"/>
    <cellStyle name="20% - Accent2 2 23" xfId="356"/>
    <cellStyle name="20% - Accent2 2 24" xfId="357"/>
    <cellStyle name="20% - Accent2 2 25" xfId="358"/>
    <cellStyle name="20% - Accent2 2 3" xfId="359"/>
    <cellStyle name="20% - Accent2 2 3 2" xfId="360"/>
    <cellStyle name="20% - Accent2 2 3 3" xfId="361"/>
    <cellStyle name="20% - Accent2 2 4" xfId="362"/>
    <cellStyle name="20% - Accent2 2 4 2" xfId="363"/>
    <cellStyle name="20% - Accent2 2 4 3" xfId="364"/>
    <cellStyle name="20% - Accent2 2 5" xfId="365"/>
    <cellStyle name="20% - Accent2 2 5 2" xfId="366"/>
    <cellStyle name="20% - Accent2 2 5 3" xfId="367"/>
    <cellStyle name="20% - Accent2 2 6" xfId="368"/>
    <cellStyle name="20% - Accent2 2 6 2" xfId="369"/>
    <cellStyle name="20% - Accent2 2 7" xfId="370"/>
    <cellStyle name="20% - Accent2 2 7 2" xfId="371"/>
    <cellStyle name="20% - Accent2 2 8" xfId="372"/>
    <cellStyle name="20% - Accent2 2 8 2" xfId="373"/>
    <cellStyle name="20% - Accent2 2 9" xfId="374"/>
    <cellStyle name="20% - Accent2 20" xfId="375"/>
    <cellStyle name="20% - Accent2 20 2" xfId="376"/>
    <cellStyle name="20% - Accent2 20 2 2" xfId="377"/>
    <cellStyle name="20% - Accent2 21" xfId="378"/>
    <cellStyle name="20% - Accent2 21 2" xfId="379"/>
    <cellStyle name="20% - Accent2 21 2 2" xfId="380"/>
    <cellStyle name="20% - Accent2 22" xfId="381"/>
    <cellStyle name="20% - Accent2 22 2" xfId="382"/>
    <cellStyle name="20% - Accent2 22 2 2" xfId="383"/>
    <cellStyle name="20% - Accent2 23" xfId="384"/>
    <cellStyle name="20% - Accent2 23 2" xfId="385"/>
    <cellStyle name="20% - Accent2 23 2 2" xfId="386"/>
    <cellStyle name="20% - Accent2 23 3" xfId="387"/>
    <cellStyle name="20% - Accent2 24" xfId="388"/>
    <cellStyle name="20% - Accent2 24 2" xfId="389"/>
    <cellStyle name="20% - Accent2 24 2 2" xfId="390"/>
    <cellStyle name="20% - Accent2 24 3" xfId="391"/>
    <cellStyle name="20% - Accent2 25" xfId="392"/>
    <cellStyle name="20% - Accent2 25 2" xfId="393"/>
    <cellStyle name="20% - Accent2 25 3" xfId="394"/>
    <cellStyle name="20% - Accent2 26" xfId="395"/>
    <cellStyle name="20% - Accent2 26 2" xfId="396"/>
    <cellStyle name="20% - Accent2 27" xfId="397"/>
    <cellStyle name="20% - Accent2 27 2" xfId="398"/>
    <cellStyle name="20% - Accent2 28" xfId="399"/>
    <cellStyle name="20% - Accent2 28 2" xfId="400"/>
    <cellStyle name="20% - Accent2 29" xfId="401"/>
    <cellStyle name="20% - Accent2 29 2" xfId="402"/>
    <cellStyle name="20% - Accent2 2_2.VSCN - GSC charge" xfId="403"/>
    <cellStyle name="20% - Accent2 3" xfId="404"/>
    <cellStyle name="20% - Accent2 3 2" xfId="405"/>
    <cellStyle name="20% - Accent2 3 2 2" xfId="406"/>
    <cellStyle name="20% - Accent2 3 2 3" xfId="407"/>
    <cellStyle name="20% - Accent2 3 3" xfId="408"/>
    <cellStyle name="20% - Accent2 3 3 2" xfId="409"/>
    <cellStyle name="20% - Accent2 3 3 3" xfId="410"/>
    <cellStyle name="20% - Accent2 3 4" xfId="411"/>
    <cellStyle name="20% - Accent2 3 4 2" xfId="412"/>
    <cellStyle name="20% - Accent2 3 5" xfId="413"/>
    <cellStyle name="20% - Accent2 3 5 2" xfId="414"/>
    <cellStyle name="20% - Accent2 3 6" xfId="415"/>
    <cellStyle name="20% - Accent2 3 7" xfId="416"/>
    <cellStyle name="20% - Accent2 30" xfId="417"/>
    <cellStyle name="20% - Accent2 30 2" xfId="418"/>
    <cellStyle name="20% - Accent2 31" xfId="419"/>
    <cellStyle name="20% - Accent2 31 2" xfId="420"/>
    <cellStyle name="20% - Accent2 32" xfId="421"/>
    <cellStyle name="20% - Accent2 32 2" xfId="422"/>
    <cellStyle name="20% - Accent2 33" xfId="423"/>
    <cellStyle name="20% - Accent2 33 2" xfId="424"/>
    <cellStyle name="20% - Accent2 34" xfId="425"/>
    <cellStyle name="20% - Accent2 34 2" xfId="426"/>
    <cellStyle name="20% - Accent2 35" xfId="427"/>
    <cellStyle name="20% - Accent2 35 2" xfId="428"/>
    <cellStyle name="20% - Accent2 36" xfId="429"/>
    <cellStyle name="20% - Accent2 36 2" xfId="430"/>
    <cellStyle name="20% - Accent2 37" xfId="431"/>
    <cellStyle name="20% - Accent2 37 2" xfId="432"/>
    <cellStyle name="20% - Accent2 38" xfId="433"/>
    <cellStyle name="20% - Accent2 38 2" xfId="434"/>
    <cellStyle name="20% - Accent2 39" xfId="435"/>
    <cellStyle name="20% - Accent2 39 2" xfId="436"/>
    <cellStyle name="20% - Accent2 3_Before Allocation" xfId="437"/>
    <cellStyle name="20% - Accent2 4" xfId="438"/>
    <cellStyle name="20% - Accent2 4 2" xfId="439"/>
    <cellStyle name="20% - Accent2 4 2 2" xfId="440"/>
    <cellStyle name="20% - Accent2 4 2 3" xfId="441"/>
    <cellStyle name="20% - Accent2 4 3" xfId="442"/>
    <cellStyle name="20% - Accent2 4 3 2" xfId="443"/>
    <cellStyle name="20% - Accent2 4 3 3" xfId="444"/>
    <cellStyle name="20% - Accent2 4 4" xfId="445"/>
    <cellStyle name="20% - Accent2 4 4 2" xfId="446"/>
    <cellStyle name="20% - Accent2 4 5" xfId="447"/>
    <cellStyle name="20% - Accent2 4 5 2" xfId="448"/>
    <cellStyle name="20% - Accent2 4 6" xfId="449"/>
    <cellStyle name="20% - Accent2 4 7" xfId="450"/>
    <cellStyle name="20% - Accent2 40" xfId="451"/>
    <cellStyle name="20% - Accent2 40 2" xfId="452"/>
    <cellStyle name="20% - Accent2 41" xfId="453"/>
    <cellStyle name="20% - Accent2 41 2" xfId="454"/>
    <cellStyle name="20% - Accent2 42" xfId="455"/>
    <cellStyle name="20% - Accent2 43" xfId="456"/>
    <cellStyle name="20% - Accent2 44" xfId="457"/>
    <cellStyle name="20% - Accent2 45" xfId="458"/>
    <cellStyle name="20% - Accent2 46" xfId="459"/>
    <cellStyle name="20% - Accent2 47" xfId="460"/>
    <cellStyle name="20% - Accent2 48" xfId="461"/>
    <cellStyle name="20% - Accent2 49" xfId="462"/>
    <cellStyle name="20% - Accent2 4_Before Allocation" xfId="463"/>
    <cellStyle name="20% - Accent2 5" xfId="464"/>
    <cellStyle name="20% - Accent2 5 2" xfId="465"/>
    <cellStyle name="20% - Accent2 5 2 2" xfId="466"/>
    <cellStyle name="20% - Accent2 5 2 3" xfId="467"/>
    <cellStyle name="20% - Accent2 5 3" xfId="468"/>
    <cellStyle name="20% - Accent2 5 3 2" xfId="469"/>
    <cellStyle name="20% - Accent2 5 4" xfId="470"/>
    <cellStyle name="20% - Accent2 5 4 2" xfId="471"/>
    <cellStyle name="20% - Accent2 5 5" xfId="472"/>
    <cellStyle name="20% - Accent2 50" xfId="473"/>
    <cellStyle name="20% - Accent2 51" xfId="474"/>
    <cellStyle name="20% - Accent2 52" xfId="475"/>
    <cellStyle name="20% - Accent2 53" xfId="476"/>
    <cellStyle name="20% - Accent2 54" xfId="477"/>
    <cellStyle name="20% - Accent2 55" xfId="478"/>
    <cellStyle name="20% - Accent2 56" xfId="479"/>
    <cellStyle name="20% - Accent2 57" xfId="480"/>
    <cellStyle name="20% - Accent2 58" xfId="481"/>
    <cellStyle name="20% - Accent2 59" xfId="482"/>
    <cellStyle name="20% - Accent2 6" xfId="483"/>
    <cellStyle name="20% - Accent2 6 2" xfId="484"/>
    <cellStyle name="20% - Accent2 6 2 2" xfId="485"/>
    <cellStyle name="20% - Accent2 6 3" xfId="486"/>
    <cellStyle name="20% - Accent2 6 3 2" xfId="487"/>
    <cellStyle name="20% - Accent2 6 4" xfId="488"/>
    <cellStyle name="20% - Accent2 60" xfId="489"/>
    <cellStyle name="20% - Accent2 61" xfId="490"/>
    <cellStyle name="20% - Accent2 62" xfId="491"/>
    <cellStyle name="20% - Accent2 63" xfId="492"/>
    <cellStyle name="20% - Accent2 64" xfId="493"/>
    <cellStyle name="20% - Accent2 65" xfId="494"/>
    <cellStyle name="20% - Accent2 66" xfId="495"/>
    <cellStyle name="20% - Accent2 67" xfId="496"/>
    <cellStyle name="20% - Accent2 68" xfId="497"/>
    <cellStyle name="20% - Accent2 69" xfId="498"/>
    <cellStyle name="20% - Accent2 7" xfId="499"/>
    <cellStyle name="20% - Accent2 7 2" xfId="500"/>
    <cellStyle name="20% - Accent2 7 2 2" xfId="501"/>
    <cellStyle name="20% - Accent2 7 3" xfId="502"/>
    <cellStyle name="20% - Accent2 7 3 2" xfId="503"/>
    <cellStyle name="20% - Accent2 7 4" xfId="504"/>
    <cellStyle name="20% - Accent2 70" xfId="505"/>
    <cellStyle name="20% - Accent2 71" xfId="506"/>
    <cellStyle name="20% - Accent2 72" xfId="507"/>
    <cellStyle name="20% - Accent2 73" xfId="508"/>
    <cellStyle name="20% - Accent2 74" xfId="509"/>
    <cellStyle name="20% - Accent2 75" xfId="510"/>
    <cellStyle name="20% - Accent2 76" xfId="511"/>
    <cellStyle name="20% - Accent2 77" xfId="512"/>
    <cellStyle name="20% - Accent2 78" xfId="513"/>
    <cellStyle name="20% - Accent2 79" xfId="514"/>
    <cellStyle name="20% - Accent2 8" xfId="515"/>
    <cellStyle name="20% - Accent2 8 2" xfId="516"/>
    <cellStyle name="20% - Accent2 8 2 2" xfId="517"/>
    <cellStyle name="20% - Accent2 8 3" xfId="518"/>
    <cellStyle name="20% - Accent2 8 3 2" xfId="519"/>
    <cellStyle name="20% - Accent2 8 4" xfId="520"/>
    <cellStyle name="20% - Accent2 80" xfId="521"/>
    <cellStyle name="20% - Accent2 81" xfId="522"/>
    <cellStyle name="20% - Accent2 82" xfId="523"/>
    <cellStyle name="20% - Accent2 83" xfId="524"/>
    <cellStyle name="20% - Accent2 84" xfId="525"/>
    <cellStyle name="20% - Accent2 85" xfId="526"/>
    <cellStyle name="20% - Accent2 86" xfId="527"/>
    <cellStyle name="20% - Accent2 87" xfId="528"/>
    <cellStyle name="20% - Accent2 88" xfId="529"/>
    <cellStyle name="20% - Accent2 89" xfId="530"/>
    <cellStyle name="20% - Accent2 9" xfId="531"/>
    <cellStyle name="20% - Accent2 9 2" xfId="532"/>
    <cellStyle name="20% - Accent2 9 2 2" xfId="533"/>
    <cellStyle name="20% - Accent2 9 3" xfId="534"/>
    <cellStyle name="20% - Accent2 9 3 2" xfId="535"/>
    <cellStyle name="20% - Accent2 9 4" xfId="536"/>
    <cellStyle name="20% - Accent2 90" xfId="537"/>
    <cellStyle name="20% - Accent2 91" xfId="538"/>
    <cellStyle name="20% - Accent2 92" xfId="539"/>
    <cellStyle name="20% - Accent2 93" xfId="540"/>
    <cellStyle name="20% - Accent2 94" xfId="541"/>
    <cellStyle name="20% - Accent2 95" xfId="542"/>
    <cellStyle name="20% - Accent2 96" xfId="543"/>
    <cellStyle name="20% - Accent2_13-wk VSI_Revised" xfId="544"/>
    <cellStyle name="20% - Accent3" xfId="545"/>
    <cellStyle name="20% - Accent3 10" xfId="546"/>
    <cellStyle name="20% - Accent3 10 2" xfId="547"/>
    <cellStyle name="20% - Accent3 10 2 2" xfId="548"/>
    <cellStyle name="20% - Accent3 10 3" xfId="549"/>
    <cellStyle name="20% - Accent3 10 3 2" xfId="550"/>
    <cellStyle name="20% - Accent3 10 4" xfId="551"/>
    <cellStyle name="20% - Accent3 11" xfId="552"/>
    <cellStyle name="20% - Accent3 11 2" xfId="553"/>
    <cellStyle name="20% - Accent3 11 2 2" xfId="554"/>
    <cellStyle name="20% - Accent3 11 3" xfId="555"/>
    <cellStyle name="20% - Accent3 11 3 2" xfId="556"/>
    <cellStyle name="20% - Accent3 11 4" xfId="557"/>
    <cellStyle name="20% - Accent3 12" xfId="558"/>
    <cellStyle name="20% - Accent3 12 2" xfId="559"/>
    <cellStyle name="20% - Accent3 12 2 2" xfId="560"/>
    <cellStyle name="20% - Accent3 13" xfId="561"/>
    <cellStyle name="20% - Accent3 13 2" xfId="562"/>
    <cellStyle name="20% - Accent3 13 2 2" xfId="563"/>
    <cellStyle name="20% - Accent3 14" xfId="564"/>
    <cellStyle name="20% - Accent3 14 2" xfId="565"/>
    <cellStyle name="20% - Accent3 14 2 2" xfId="566"/>
    <cellStyle name="20% - Accent3 15" xfId="567"/>
    <cellStyle name="20% - Accent3 15 2" xfId="568"/>
    <cellStyle name="20% - Accent3 15 2 2" xfId="569"/>
    <cellStyle name="20% - Accent3 16" xfId="570"/>
    <cellStyle name="20% - Accent3 16 2" xfId="571"/>
    <cellStyle name="20% - Accent3 16 2 2" xfId="572"/>
    <cellStyle name="20% - Accent3 17" xfId="573"/>
    <cellStyle name="20% - Accent3 17 2" xfId="574"/>
    <cellStyle name="20% - Accent3 17 2 2" xfId="575"/>
    <cellStyle name="20% - Accent3 18" xfId="576"/>
    <cellStyle name="20% - Accent3 18 2" xfId="577"/>
    <cellStyle name="20% - Accent3 18 2 2" xfId="578"/>
    <cellStyle name="20% - Accent3 19" xfId="579"/>
    <cellStyle name="20% - Accent3 19 2" xfId="580"/>
    <cellStyle name="20% - Accent3 19 2 2" xfId="581"/>
    <cellStyle name="20% - Accent3 2" xfId="582"/>
    <cellStyle name="20% - Accent3 2 10" xfId="583"/>
    <cellStyle name="20% - Accent3 2 11" xfId="584"/>
    <cellStyle name="20% - Accent3 2 12" xfId="585"/>
    <cellStyle name="20% - Accent3 2 13" xfId="586"/>
    <cellStyle name="20% - Accent3 2 14" xfId="587"/>
    <cellStyle name="20% - Accent3 2 15" xfId="588"/>
    <cellStyle name="20% - Accent3 2 16" xfId="589"/>
    <cellStyle name="20% - Accent3 2 17" xfId="590"/>
    <cellStyle name="20% - Accent3 2 18" xfId="591"/>
    <cellStyle name="20% - Accent3 2 19" xfId="592"/>
    <cellStyle name="20% - Accent3 2 2" xfId="593"/>
    <cellStyle name="20% - Accent3 2 2 2" xfId="594"/>
    <cellStyle name="20% - Accent3 2 2 2 2" xfId="595"/>
    <cellStyle name="20% - Accent3 2 2 3" xfId="596"/>
    <cellStyle name="20% - Accent3 2 2 3 2" xfId="597"/>
    <cellStyle name="20% - Accent3 2 2 4" xfId="598"/>
    <cellStyle name="20% - Accent3 2 2 4 2" xfId="599"/>
    <cellStyle name="20% - Accent3 2 2 5" xfId="600"/>
    <cellStyle name="20% - Accent3 2 2 6" xfId="601"/>
    <cellStyle name="20% - Accent3 2 20" xfId="602"/>
    <cellStyle name="20% - Accent3 2 21" xfId="603"/>
    <cellStyle name="20% - Accent3 2 22" xfId="604"/>
    <cellStyle name="20% - Accent3 2 23" xfId="605"/>
    <cellStyle name="20% - Accent3 2 24" xfId="606"/>
    <cellStyle name="20% - Accent3 2 25" xfId="607"/>
    <cellStyle name="20% - Accent3 2 3" xfId="608"/>
    <cellStyle name="20% - Accent3 2 3 2" xfId="609"/>
    <cellStyle name="20% - Accent3 2 3 3" xfId="610"/>
    <cellStyle name="20% - Accent3 2 4" xfId="611"/>
    <cellStyle name="20% - Accent3 2 4 2" xfId="612"/>
    <cellStyle name="20% - Accent3 2 4 3" xfId="613"/>
    <cellStyle name="20% - Accent3 2 5" xfId="614"/>
    <cellStyle name="20% - Accent3 2 5 2" xfId="615"/>
    <cellStyle name="20% - Accent3 2 5 3" xfId="616"/>
    <cellStyle name="20% - Accent3 2 6" xfId="617"/>
    <cellStyle name="20% - Accent3 2 6 2" xfId="618"/>
    <cellStyle name="20% - Accent3 2 7" xfId="619"/>
    <cellStyle name="20% - Accent3 2 7 2" xfId="620"/>
    <cellStyle name="20% - Accent3 2 8" xfId="621"/>
    <cellStyle name="20% - Accent3 2 8 2" xfId="622"/>
    <cellStyle name="20% - Accent3 2 9" xfId="623"/>
    <cellStyle name="20% - Accent3 20" xfId="624"/>
    <cellStyle name="20% - Accent3 20 2" xfId="625"/>
    <cellStyle name="20% - Accent3 20 2 2" xfId="626"/>
    <cellStyle name="20% - Accent3 21" xfId="627"/>
    <cellStyle name="20% - Accent3 21 2" xfId="628"/>
    <cellStyle name="20% - Accent3 21 2 2" xfId="629"/>
    <cellStyle name="20% - Accent3 22" xfId="630"/>
    <cellStyle name="20% - Accent3 22 2" xfId="631"/>
    <cellStyle name="20% - Accent3 22 2 2" xfId="632"/>
    <cellStyle name="20% - Accent3 23" xfId="633"/>
    <cellStyle name="20% - Accent3 23 2" xfId="634"/>
    <cellStyle name="20% - Accent3 23 2 2" xfId="635"/>
    <cellStyle name="20% - Accent3 23 3" xfId="636"/>
    <cellStyle name="20% - Accent3 24" xfId="637"/>
    <cellStyle name="20% - Accent3 24 2" xfId="638"/>
    <cellStyle name="20% - Accent3 24 2 2" xfId="639"/>
    <cellStyle name="20% - Accent3 24 3" xfId="640"/>
    <cellStyle name="20% - Accent3 25" xfId="641"/>
    <cellStyle name="20% - Accent3 25 2" xfId="642"/>
    <cellStyle name="20% - Accent3 25 3" xfId="643"/>
    <cellStyle name="20% - Accent3 26" xfId="644"/>
    <cellStyle name="20% - Accent3 26 2" xfId="645"/>
    <cellStyle name="20% - Accent3 27" xfId="646"/>
    <cellStyle name="20% - Accent3 27 2" xfId="647"/>
    <cellStyle name="20% - Accent3 28" xfId="648"/>
    <cellStyle name="20% - Accent3 28 2" xfId="649"/>
    <cellStyle name="20% - Accent3 29" xfId="650"/>
    <cellStyle name="20% - Accent3 29 2" xfId="651"/>
    <cellStyle name="20% - Accent3 2_2.VSCN - GSC charge" xfId="652"/>
    <cellStyle name="20% - Accent3 3" xfId="653"/>
    <cellStyle name="20% - Accent3 3 2" xfId="654"/>
    <cellStyle name="20% - Accent3 3 2 2" xfId="655"/>
    <cellStyle name="20% - Accent3 3 2 3" xfId="656"/>
    <cellStyle name="20% - Accent3 3 3" xfId="657"/>
    <cellStyle name="20% - Accent3 3 3 2" xfId="658"/>
    <cellStyle name="20% - Accent3 3 3 3" xfId="659"/>
    <cellStyle name="20% - Accent3 3 4" xfId="660"/>
    <cellStyle name="20% - Accent3 3 4 2" xfId="661"/>
    <cellStyle name="20% - Accent3 3 5" xfId="662"/>
    <cellStyle name="20% - Accent3 3 5 2" xfId="663"/>
    <cellStyle name="20% - Accent3 3 6" xfId="664"/>
    <cellStyle name="20% - Accent3 3 7" xfId="665"/>
    <cellStyle name="20% - Accent3 30" xfId="666"/>
    <cellStyle name="20% - Accent3 30 2" xfId="667"/>
    <cellStyle name="20% - Accent3 31" xfId="668"/>
    <cellStyle name="20% - Accent3 31 2" xfId="669"/>
    <cellStyle name="20% - Accent3 32" xfId="670"/>
    <cellStyle name="20% - Accent3 32 2" xfId="671"/>
    <cellStyle name="20% - Accent3 33" xfId="672"/>
    <cellStyle name="20% - Accent3 33 2" xfId="673"/>
    <cellStyle name="20% - Accent3 34" xfId="674"/>
    <cellStyle name="20% - Accent3 34 2" xfId="675"/>
    <cellStyle name="20% - Accent3 35" xfId="676"/>
    <cellStyle name="20% - Accent3 35 2" xfId="677"/>
    <cellStyle name="20% - Accent3 36" xfId="678"/>
    <cellStyle name="20% - Accent3 36 2" xfId="679"/>
    <cellStyle name="20% - Accent3 37" xfId="680"/>
    <cellStyle name="20% - Accent3 37 2" xfId="681"/>
    <cellStyle name="20% - Accent3 38" xfId="682"/>
    <cellStyle name="20% - Accent3 38 2" xfId="683"/>
    <cellStyle name="20% - Accent3 39" xfId="684"/>
    <cellStyle name="20% - Accent3 39 2" xfId="685"/>
    <cellStyle name="20% - Accent3 3_Before Allocation" xfId="686"/>
    <cellStyle name="20% - Accent3 4" xfId="687"/>
    <cellStyle name="20% - Accent3 4 2" xfId="688"/>
    <cellStyle name="20% - Accent3 4 2 2" xfId="689"/>
    <cellStyle name="20% - Accent3 4 2 3" xfId="690"/>
    <cellStyle name="20% - Accent3 4 3" xfId="691"/>
    <cellStyle name="20% - Accent3 4 3 2" xfId="692"/>
    <cellStyle name="20% - Accent3 4 3 3" xfId="693"/>
    <cellStyle name="20% - Accent3 4 4" xfId="694"/>
    <cellStyle name="20% - Accent3 4 4 2" xfId="695"/>
    <cellStyle name="20% - Accent3 4 5" xfId="696"/>
    <cellStyle name="20% - Accent3 4 5 2" xfId="697"/>
    <cellStyle name="20% - Accent3 4 6" xfId="698"/>
    <cellStyle name="20% - Accent3 4 7" xfId="699"/>
    <cellStyle name="20% - Accent3 40" xfId="700"/>
    <cellStyle name="20% - Accent3 40 2" xfId="701"/>
    <cellStyle name="20% - Accent3 41" xfId="702"/>
    <cellStyle name="20% - Accent3 41 2" xfId="703"/>
    <cellStyle name="20% - Accent3 42" xfId="704"/>
    <cellStyle name="20% - Accent3 43" xfId="705"/>
    <cellStyle name="20% - Accent3 44" xfId="706"/>
    <cellStyle name="20% - Accent3 45" xfId="707"/>
    <cellStyle name="20% - Accent3 46" xfId="708"/>
    <cellStyle name="20% - Accent3 47" xfId="709"/>
    <cellStyle name="20% - Accent3 48" xfId="710"/>
    <cellStyle name="20% - Accent3 49" xfId="711"/>
    <cellStyle name="20% - Accent3 4_Before Allocation" xfId="712"/>
    <cellStyle name="20% - Accent3 5" xfId="713"/>
    <cellStyle name="20% - Accent3 5 2" xfId="714"/>
    <cellStyle name="20% - Accent3 5 2 2" xfId="715"/>
    <cellStyle name="20% - Accent3 5 2 3" xfId="716"/>
    <cellStyle name="20% - Accent3 5 3" xfId="717"/>
    <cellStyle name="20% - Accent3 5 3 2" xfId="718"/>
    <cellStyle name="20% - Accent3 5 4" xfId="719"/>
    <cellStyle name="20% - Accent3 5 4 2" xfId="720"/>
    <cellStyle name="20% - Accent3 5 5" xfId="721"/>
    <cellStyle name="20% - Accent3 50" xfId="722"/>
    <cellStyle name="20% - Accent3 51" xfId="723"/>
    <cellStyle name="20% - Accent3 52" xfId="724"/>
    <cellStyle name="20% - Accent3 53" xfId="725"/>
    <cellStyle name="20% - Accent3 54" xfId="726"/>
    <cellStyle name="20% - Accent3 55" xfId="727"/>
    <cellStyle name="20% - Accent3 56" xfId="728"/>
    <cellStyle name="20% - Accent3 57" xfId="729"/>
    <cellStyle name="20% - Accent3 58" xfId="730"/>
    <cellStyle name="20% - Accent3 59" xfId="731"/>
    <cellStyle name="20% - Accent3 6" xfId="732"/>
    <cellStyle name="20% - Accent3 6 2" xfId="733"/>
    <cellStyle name="20% - Accent3 6 2 2" xfId="734"/>
    <cellStyle name="20% - Accent3 6 3" xfId="735"/>
    <cellStyle name="20% - Accent3 6 3 2" xfId="736"/>
    <cellStyle name="20% - Accent3 6 4" xfId="737"/>
    <cellStyle name="20% - Accent3 60" xfId="738"/>
    <cellStyle name="20% - Accent3 61" xfId="739"/>
    <cellStyle name="20% - Accent3 62" xfId="740"/>
    <cellStyle name="20% - Accent3 63" xfId="741"/>
    <cellStyle name="20% - Accent3 64" xfId="742"/>
    <cellStyle name="20% - Accent3 65" xfId="743"/>
    <cellStyle name="20% - Accent3 66" xfId="744"/>
    <cellStyle name="20% - Accent3 67" xfId="745"/>
    <cellStyle name="20% - Accent3 68" xfId="746"/>
    <cellStyle name="20% - Accent3 69" xfId="747"/>
    <cellStyle name="20% - Accent3 7" xfId="748"/>
    <cellStyle name="20% - Accent3 7 2" xfId="749"/>
    <cellStyle name="20% - Accent3 7 2 2" xfId="750"/>
    <cellStyle name="20% - Accent3 7 3" xfId="751"/>
    <cellStyle name="20% - Accent3 7 3 2" xfId="752"/>
    <cellStyle name="20% - Accent3 7 4" xfId="753"/>
    <cellStyle name="20% - Accent3 70" xfId="754"/>
    <cellStyle name="20% - Accent3 71" xfId="755"/>
    <cellStyle name="20% - Accent3 72" xfId="756"/>
    <cellStyle name="20% - Accent3 73" xfId="757"/>
    <cellStyle name="20% - Accent3 74" xfId="758"/>
    <cellStyle name="20% - Accent3 75" xfId="759"/>
    <cellStyle name="20% - Accent3 76" xfId="760"/>
    <cellStyle name="20% - Accent3 77" xfId="761"/>
    <cellStyle name="20% - Accent3 78" xfId="762"/>
    <cellStyle name="20% - Accent3 79" xfId="763"/>
    <cellStyle name="20% - Accent3 8" xfId="764"/>
    <cellStyle name="20% - Accent3 8 2" xfId="765"/>
    <cellStyle name="20% - Accent3 8 2 2" xfId="766"/>
    <cellStyle name="20% - Accent3 8 3" xfId="767"/>
    <cellStyle name="20% - Accent3 8 3 2" xfId="768"/>
    <cellStyle name="20% - Accent3 8 4" xfId="769"/>
    <cellStyle name="20% - Accent3 80" xfId="770"/>
    <cellStyle name="20% - Accent3 81" xfId="771"/>
    <cellStyle name="20% - Accent3 82" xfId="772"/>
    <cellStyle name="20% - Accent3 83" xfId="773"/>
    <cellStyle name="20% - Accent3 84" xfId="774"/>
    <cellStyle name="20% - Accent3 85" xfId="775"/>
    <cellStyle name="20% - Accent3 86" xfId="776"/>
    <cellStyle name="20% - Accent3 87" xfId="777"/>
    <cellStyle name="20% - Accent3 88" xfId="778"/>
    <cellStyle name="20% - Accent3 89" xfId="779"/>
    <cellStyle name="20% - Accent3 9" xfId="780"/>
    <cellStyle name="20% - Accent3 9 2" xfId="781"/>
    <cellStyle name="20% - Accent3 9 2 2" xfId="782"/>
    <cellStyle name="20% - Accent3 9 3" xfId="783"/>
    <cellStyle name="20% - Accent3 9 3 2" xfId="784"/>
    <cellStyle name="20% - Accent3 9 4" xfId="785"/>
    <cellStyle name="20% - Accent3 90" xfId="786"/>
    <cellStyle name="20% - Accent3 91" xfId="787"/>
    <cellStyle name="20% - Accent3 92" xfId="788"/>
    <cellStyle name="20% - Accent3 93" xfId="789"/>
    <cellStyle name="20% - Accent3 94" xfId="790"/>
    <cellStyle name="20% - Accent3 95" xfId="791"/>
    <cellStyle name="20% - Accent3 96" xfId="792"/>
    <cellStyle name="20% - Accent3_13-wk VSI_Revised" xfId="793"/>
    <cellStyle name="20% - Accent4" xfId="794"/>
    <cellStyle name="20% - Accent4 10" xfId="795"/>
    <cellStyle name="20% - Accent4 10 2" xfId="796"/>
    <cellStyle name="20% - Accent4 10 2 2" xfId="797"/>
    <cellStyle name="20% - Accent4 10 3" xfId="798"/>
    <cellStyle name="20% - Accent4 10 3 2" xfId="799"/>
    <cellStyle name="20% - Accent4 10 4" xfId="800"/>
    <cellStyle name="20% - Accent4 11" xfId="801"/>
    <cellStyle name="20% - Accent4 11 2" xfId="802"/>
    <cellStyle name="20% - Accent4 11 2 2" xfId="803"/>
    <cellStyle name="20% - Accent4 11 3" xfId="804"/>
    <cellStyle name="20% - Accent4 11 3 2" xfId="805"/>
    <cellStyle name="20% - Accent4 11 4" xfId="806"/>
    <cellStyle name="20% - Accent4 12" xfId="807"/>
    <cellStyle name="20% - Accent4 12 2" xfId="808"/>
    <cellStyle name="20% - Accent4 12 2 2" xfId="809"/>
    <cellStyle name="20% - Accent4 13" xfId="810"/>
    <cellStyle name="20% - Accent4 13 2" xfId="811"/>
    <cellStyle name="20% - Accent4 13 2 2" xfId="812"/>
    <cellStyle name="20% - Accent4 14" xfId="813"/>
    <cellStyle name="20% - Accent4 14 2" xfId="814"/>
    <cellStyle name="20% - Accent4 14 2 2" xfId="815"/>
    <cellStyle name="20% - Accent4 15" xfId="816"/>
    <cellStyle name="20% - Accent4 15 2" xfId="817"/>
    <cellStyle name="20% - Accent4 15 2 2" xfId="818"/>
    <cellStyle name="20% - Accent4 16" xfId="819"/>
    <cellStyle name="20% - Accent4 16 2" xfId="820"/>
    <cellStyle name="20% - Accent4 16 2 2" xfId="821"/>
    <cellStyle name="20% - Accent4 17" xfId="822"/>
    <cellStyle name="20% - Accent4 17 2" xfId="823"/>
    <cellStyle name="20% - Accent4 17 2 2" xfId="824"/>
    <cellStyle name="20% - Accent4 18" xfId="825"/>
    <cellStyle name="20% - Accent4 18 2" xfId="826"/>
    <cellStyle name="20% - Accent4 18 2 2" xfId="827"/>
    <cellStyle name="20% - Accent4 19" xfId="828"/>
    <cellStyle name="20% - Accent4 19 2" xfId="829"/>
    <cellStyle name="20% - Accent4 19 2 2" xfId="830"/>
    <cellStyle name="20% - Accent4 2" xfId="831"/>
    <cellStyle name="20% - Accent4 2 10" xfId="832"/>
    <cellStyle name="20% - Accent4 2 11" xfId="833"/>
    <cellStyle name="20% - Accent4 2 12" xfId="834"/>
    <cellStyle name="20% - Accent4 2 13" xfId="835"/>
    <cellStyle name="20% - Accent4 2 14" xfId="836"/>
    <cellStyle name="20% - Accent4 2 15" xfId="837"/>
    <cellStyle name="20% - Accent4 2 16" xfId="838"/>
    <cellStyle name="20% - Accent4 2 17" xfId="839"/>
    <cellStyle name="20% - Accent4 2 18" xfId="840"/>
    <cellStyle name="20% - Accent4 2 19" xfId="841"/>
    <cellStyle name="20% - Accent4 2 2" xfId="842"/>
    <cellStyle name="20% - Accent4 2 2 2" xfId="843"/>
    <cellStyle name="20% - Accent4 2 2 2 2" xfId="844"/>
    <cellStyle name="20% - Accent4 2 2 3" xfId="845"/>
    <cellStyle name="20% - Accent4 2 2 3 2" xfId="846"/>
    <cellStyle name="20% - Accent4 2 2 4" xfId="847"/>
    <cellStyle name="20% - Accent4 2 2 4 2" xfId="848"/>
    <cellStyle name="20% - Accent4 2 2 5" xfId="849"/>
    <cellStyle name="20% - Accent4 2 2 6" xfId="850"/>
    <cellStyle name="20% - Accent4 2 20" xfId="851"/>
    <cellStyle name="20% - Accent4 2 21" xfId="852"/>
    <cellStyle name="20% - Accent4 2 22" xfId="853"/>
    <cellStyle name="20% - Accent4 2 23" xfId="854"/>
    <cellStyle name="20% - Accent4 2 24" xfId="855"/>
    <cellStyle name="20% - Accent4 2 25" xfId="856"/>
    <cellStyle name="20% - Accent4 2 3" xfId="857"/>
    <cellStyle name="20% - Accent4 2 3 2" xfId="858"/>
    <cellStyle name="20% - Accent4 2 3 3" xfId="859"/>
    <cellStyle name="20% - Accent4 2 4" xfId="860"/>
    <cellStyle name="20% - Accent4 2 4 2" xfId="861"/>
    <cellStyle name="20% - Accent4 2 4 3" xfId="862"/>
    <cellStyle name="20% - Accent4 2 5" xfId="863"/>
    <cellStyle name="20% - Accent4 2 5 2" xfId="864"/>
    <cellStyle name="20% - Accent4 2 5 3" xfId="865"/>
    <cellStyle name="20% - Accent4 2 6" xfId="866"/>
    <cellStyle name="20% - Accent4 2 6 2" xfId="867"/>
    <cellStyle name="20% - Accent4 2 7" xfId="868"/>
    <cellStyle name="20% - Accent4 2 7 2" xfId="869"/>
    <cellStyle name="20% - Accent4 2 8" xfId="870"/>
    <cellStyle name="20% - Accent4 2 8 2" xfId="871"/>
    <cellStyle name="20% - Accent4 2 9" xfId="872"/>
    <cellStyle name="20% - Accent4 20" xfId="873"/>
    <cellStyle name="20% - Accent4 20 2" xfId="874"/>
    <cellStyle name="20% - Accent4 20 2 2" xfId="875"/>
    <cellStyle name="20% - Accent4 21" xfId="876"/>
    <cellStyle name="20% - Accent4 21 2" xfId="877"/>
    <cellStyle name="20% - Accent4 21 2 2" xfId="878"/>
    <cellStyle name="20% - Accent4 22" xfId="879"/>
    <cellStyle name="20% - Accent4 22 2" xfId="880"/>
    <cellStyle name="20% - Accent4 22 2 2" xfId="881"/>
    <cellStyle name="20% - Accent4 23" xfId="882"/>
    <cellStyle name="20% - Accent4 23 2" xfId="883"/>
    <cellStyle name="20% - Accent4 23 2 2" xfId="884"/>
    <cellStyle name="20% - Accent4 23 3" xfId="885"/>
    <cellStyle name="20% - Accent4 24" xfId="886"/>
    <cellStyle name="20% - Accent4 24 2" xfId="887"/>
    <cellStyle name="20% - Accent4 24 2 2" xfId="888"/>
    <cellStyle name="20% - Accent4 24 3" xfId="889"/>
    <cellStyle name="20% - Accent4 25" xfId="890"/>
    <cellStyle name="20% - Accent4 25 2" xfId="891"/>
    <cellStyle name="20% - Accent4 25 3" xfId="892"/>
    <cellStyle name="20% - Accent4 26" xfId="893"/>
    <cellStyle name="20% - Accent4 26 2" xfId="894"/>
    <cellStyle name="20% - Accent4 27" xfId="895"/>
    <cellStyle name="20% - Accent4 27 2" xfId="896"/>
    <cellStyle name="20% - Accent4 28" xfId="897"/>
    <cellStyle name="20% - Accent4 28 2" xfId="898"/>
    <cellStyle name="20% - Accent4 29" xfId="899"/>
    <cellStyle name="20% - Accent4 29 2" xfId="900"/>
    <cellStyle name="20% - Accent4 2_2.VSCN - GSC charge" xfId="901"/>
    <cellStyle name="20% - Accent4 3" xfId="902"/>
    <cellStyle name="20% - Accent4 3 2" xfId="903"/>
    <cellStyle name="20% - Accent4 3 2 2" xfId="904"/>
    <cellStyle name="20% - Accent4 3 2 3" xfId="905"/>
    <cellStyle name="20% - Accent4 3 3" xfId="906"/>
    <cellStyle name="20% - Accent4 3 3 2" xfId="907"/>
    <cellStyle name="20% - Accent4 3 3 3" xfId="908"/>
    <cellStyle name="20% - Accent4 3 4" xfId="909"/>
    <cellStyle name="20% - Accent4 3 4 2" xfId="910"/>
    <cellStyle name="20% - Accent4 3 5" xfId="911"/>
    <cellStyle name="20% - Accent4 3 5 2" xfId="912"/>
    <cellStyle name="20% - Accent4 3 6" xfId="913"/>
    <cellStyle name="20% - Accent4 3 7" xfId="914"/>
    <cellStyle name="20% - Accent4 30" xfId="915"/>
    <cellStyle name="20% - Accent4 30 2" xfId="916"/>
    <cellStyle name="20% - Accent4 31" xfId="917"/>
    <cellStyle name="20% - Accent4 31 2" xfId="918"/>
    <cellStyle name="20% - Accent4 32" xfId="919"/>
    <cellStyle name="20% - Accent4 32 2" xfId="920"/>
    <cellStyle name="20% - Accent4 33" xfId="921"/>
    <cellStyle name="20% - Accent4 33 2" xfId="922"/>
    <cellStyle name="20% - Accent4 34" xfId="923"/>
    <cellStyle name="20% - Accent4 34 2" xfId="924"/>
    <cellStyle name="20% - Accent4 35" xfId="925"/>
    <cellStyle name="20% - Accent4 35 2" xfId="926"/>
    <cellStyle name="20% - Accent4 36" xfId="927"/>
    <cellStyle name="20% - Accent4 36 2" xfId="928"/>
    <cellStyle name="20% - Accent4 37" xfId="929"/>
    <cellStyle name="20% - Accent4 37 2" xfId="930"/>
    <cellStyle name="20% - Accent4 38" xfId="931"/>
    <cellStyle name="20% - Accent4 38 2" xfId="932"/>
    <cellStyle name="20% - Accent4 39" xfId="933"/>
    <cellStyle name="20% - Accent4 39 2" xfId="934"/>
    <cellStyle name="20% - Accent4 3_Profitability Detail NT$ Sep-12" xfId="935"/>
    <cellStyle name="20% - Accent4 4" xfId="936"/>
    <cellStyle name="20% - Accent4 4 2" xfId="937"/>
    <cellStyle name="20% - Accent4 4 2 2" xfId="938"/>
    <cellStyle name="20% - Accent4 4 2 3" xfId="939"/>
    <cellStyle name="20% - Accent4 4 3" xfId="940"/>
    <cellStyle name="20% - Accent4 4 3 2" xfId="941"/>
    <cellStyle name="20% - Accent4 4 3 3" xfId="942"/>
    <cellStyle name="20% - Accent4 4 4" xfId="943"/>
    <cellStyle name="20% - Accent4 4 4 2" xfId="944"/>
    <cellStyle name="20% - Accent4 4 5" xfId="945"/>
    <cellStyle name="20% - Accent4 4 5 2" xfId="946"/>
    <cellStyle name="20% - Accent4 4 6" xfId="947"/>
    <cellStyle name="20% - Accent4 4 7" xfId="948"/>
    <cellStyle name="20% - Accent4 40" xfId="949"/>
    <cellStyle name="20% - Accent4 40 2" xfId="950"/>
    <cellStyle name="20% - Accent4 41" xfId="951"/>
    <cellStyle name="20% - Accent4 41 2" xfId="952"/>
    <cellStyle name="20% - Accent4 42" xfId="953"/>
    <cellStyle name="20% - Accent4 43" xfId="954"/>
    <cellStyle name="20% - Accent4 44" xfId="955"/>
    <cellStyle name="20% - Accent4 45" xfId="956"/>
    <cellStyle name="20% - Accent4 46" xfId="957"/>
    <cellStyle name="20% - Accent4 47" xfId="958"/>
    <cellStyle name="20% - Accent4 48" xfId="959"/>
    <cellStyle name="20% - Accent4 49" xfId="960"/>
    <cellStyle name="20% - Accent4 4_Profitability Detail NT$ Sep-12" xfId="961"/>
    <cellStyle name="20% - Accent4 5" xfId="962"/>
    <cellStyle name="20% - Accent4 5 2" xfId="963"/>
    <cellStyle name="20% - Accent4 5 2 2" xfId="964"/>
    <cellStyle name="20% - Accent4 5 2 3" xfId="965"/>
    <cellStyle name="20% - Accent4 5 3" xfId="966"/>
    <cellStyle name="20% - Accent4 5 3 2" xfId="967"/>
    <cellStyle name="20% - Accent4 5 4" xfId="968"/>
    <cellStyle name="20% - Accent4 5 4 2" xfId="969"/>
    <cellStyle name="20% - Accent4 5 5" xfId="970"/>
    <cellStyle name="20% - Accent4 50" xfId="971"/>
    <cellStyle name="20% - Accent4 51" xfId="972"/>
    <cellStyle name="20% - Accent4 52" xfId="973"/>
    <cellStyle name="20% - Accent4 53" xfId="974"/>
    <cellStyle name="20% - Accent4 54" xfId="975"/>
    <cellStyle name="20% - Accent4 55" xfId="976"/>
    <cellStyle name="20% - Accent4 56" xfId="977"/>
    <cellStyle name="20% - Accent4 57" xfId="978"/>
    <cellStyle name="20% - Accent4 58" xfId="979"/>
    <cellStyle name="20% - Accent4 59" xfId="980"/>
    <cellStyle name="20% - Accent4 6" xfId="981"/>
    <cellStyle name="20% - Accent4 6 2" xfId="982"/>
    <cellStyle name="20% - Accent4 6 2 2" xfId="983"/>
    <cellStyle name="20% - Accent4 6 3" xfId="984"/>
    <cellStyle name="20% - Accent4 6 3 2" xfId="985"/>
    <cellStyle name="20% - Accent4 6 4" xfId="986"/>
    <cellStyle name="20% - Accent4 60" xfId="987"/>
    <cellStyle name="20% - Accent4 61" xfId="988"/>
    <cellStyle name="20% - Accent4 62" xfId="989"/>
    <cellStyle name="20% - Accent4 63" xfId="990"/>
    <cellStyle name="20% - Accent4 64" xfId="991"/>
    <cellStyle name="20% - Accent4 65" xfId="992"/>
    <cellStyle name="20% - Accent4 66" xfId="993"/>
    <cellStyle name="20% - Accent4 67" xfId="994"/>
    <cellStyle name="20% - Accent4 68" xfId="995"/>
    <cellStyle name="20% - Accent4 69" xfId="996"/>
    <cellStyle name="20% - Accent4 7" xfId="997"/>
    <cellStyle name="20% - Accent4 7 2" xfId="998"/>
    <cellStyle name="20% - Accent4 7 2 2" xfId="999"/>
    <cellStyle name="20% - Accent4 7 3" xfId="1000"/>
    <cellStyle name="20% - Accent4 7 3 2" xfId="1001"/>
    <cellStyle name="20% - Accent4 7 4" xfId="1002"/>
    <cellStyle name="20% - Accent4 70" xfId="1003"/>
    <cellStyle name="20% - Accent4 71" xfId="1004"/>
    <cellStyle name="20% - Accent4 72" xfId="1005"/>
    <cellStyle name="20% - Accent4 73" xfId="1006"/>
    <cellStyle name="20% - Accent4 74" xfId="1007"/>
    <cellStyle name="20% - Accent4 75" xfId="1008"/>
    <cellStyle name="20% - Accent4 76" xfId="1009"/>
    <cellStyle name="20% - Accent4 77" xfId="1010"/>
    <cellStyle name="20% - Accent4 78" xfId="1011"/>
    <cellStyle name="20% - Accent4 79" xfId="1012"/>
    <cellStyle name="20% - Accent4 8" xfId="1013"/>
    <cellStyle name="20% - Accent4 8 2" xfId="1014"/>
    <cellStyle name="20% - Accent4 8 2 2" xfId="1015"/>
    <cellStyle name="20% - Accent4 8 3" xfId="1016"/>
    <cellStyle name="20% - Accent4 8 3 2" xfId="1017"/>
    <cellStyle name="20% - Accent4 8 4" xfId="1018"/>
    <cellStyle name="20% - Accent4 80" xfId="1019"/>
    <cellStyle name="20% - Accent4 81" xfId="1020"/>
    <cellStyle name="20% - Accent4 82" xfId="1021"/>
    <cellStyle name="20% - Accent4 83" xfId="1022"/>
    <cellStyle name="20% - Accent4 84" xfId="1023"/>
    <cellStyle name="20% - Accent4 85" xfId="1024"/>
    <cellStyle name="20% - Accent4 86" xfId="1025"/>
    <cellStyle name="20% - Accent4 87" xfId="1026"/>
    <cellStyle name="20% - Accent4 88" xfId="1027"/>
    <cellStyle name="20% - Accent4 89" xfId="1028"/>
    <cellStyle name="20% - Accent4 9" xfId="1029"/>
    <cellStyle name="20% - Accent4 9 2" xfId="1030"/>
    <cellStyle name="20% - Accent4 9 2 2" xfId="1031"/>
    <cellStyle name="20% - Accent4 9 3" xfId="1032"/>
    <cellStyle name="20% - Accent4 9 3 2" xfId="1033"/>
    <cellStyle name="20% - Accent4 9 4" xfId="1034"/>
    <cellStyle name="20% - Accent4 90" xfId="1035"/>
    <cellStyle name="20% - Accent4 91" xfId="1036"/>
    <cellStyle name="20% - Accent4 92" xfId="1037"/>
    <cellStyle name="20% - Accent4 93" xfId="1038"/>
    <cellStyle name="20% - Accent4 94" xfId="1039"/>
    <cellStyle name="20% - Accent4 95" xfId="1040"/>
    <cellStyle name="20% - Accent4 96" xfId="1041"/>
    <cellStyle name="20% - Accent4_13-wk VSI_Revised" xfId="1042"/>
    <cellStyle name="20% - Accent5" xfId="1043"/>
    <cellStyle name="20% - Accent5 10" xfId="1044"/>
    <cellStyle name="20% - Accent5 10 2" xfId="1045"/>
    <cellStyle name="20% - Accent5 10 2 2" xfId="1046"/>
    <cellStyle name="20% - Accent5 10 3" xfId="1047"/>
    <cellStyle name="20% - Accent5 10 3 2" xfId="1048"/>
    <cellStyle name="20% - Accent5 10 4" xfId="1049"/>
    <cellStyle name="20% - Accent5 11" xfId="1050"/>
    <cellStyle name="20% - Accent5 11 2" xfId="1051"/>
    <cellStyle name="20% - Accent5 11 2 2" xfId="1052"/>
    <cellStyle name="20% - Accent5 11 3" xfId="1053"/>
    <cellStyle name="20% - Accent5 11 3 2" xfId="1054"/>
    <cellStyle name="20% - Accent5 11 4" xfId="1055"/>
    <cellStyle name="20% - Accent5 12" xfId="1056"/>
    <cellStyle name="20% - Accent5 12 2" xfId="1057"/>
    <cellStyle name="20% - Accent5 12 2 2" xfId="1058"/>
    <cellStyle name="20% - Accent5 13" xfId="1059"/>
    <cellStyle name="20% - Accent5 13 2" xfId="1060"/>
    <cellStyle name="20% - Accent5 13 2 2" xfId="1061"/>
    <cellStyle name="20% - Accent5 14" xfId="1062"/>
    <cellStyle name="20% - Accent5 14 2" xfId="1063"/>
    <cellStyle name="20% - Accent5 14 2 2" xfId="1064"/>
    <cellStyle name="20% - Accent5 15" xfId="1065"/>
    <cellStyle name="20% - Accent5 15 2" xfId="1066"/>
    <cellStyle name="20% - Accent5 15 2 2" xfId="1067"/>
    <cellStyle name="20% - Accent5 16" xfId="1068"/>
    <cellStyle name="20% - Accent5 16 2" xfId="1069"/>
    <cellStyle name="20% - Accent5 16 2 2" xfId="1070"/>
    <cellStyle name="20% - Accent5 17" xfId="1071"/>
    <cellStyle name="20% - Accent5 17 2" xfId="1072"/>
    <cellStyle name="20% - Accent5 17 2 2" xfId="1073"/>
    <cellStyle name="20% - Accent5 18" xfId="1074"/>
    <cellStyle name="20% - Accent5 18 2" xfId="1075"/>
    <cellStyle name="20% - Accent5 18 2 2" xfId="1076"/>
    <cellStyle name="20% - Accent5 19" xfId="1077"/>
    <cellStyle name="20% - Accent5 19 2" xfId="1078"/>
    <cellStyle name="20% - Accent5 19 2 2" xfId="1079"/>
    <cellStyle name="20% - Accent5 2" xfId="1080"/>
    <cellStyle name="20% - Accent5 2 10" xfId="1081"/>
    <cellStyle name="20% - Accent5 2 11" xfId="1082"/>
    <cellStyle name="20% - Accent5 2 12" xfId="1083"/>
    <cellStyle name="20% - Accent5 2 13" xfId="1084"/>
    <cellStyle name="20% - Accent5 2 14" xfId="1085"/>
    <cellStyle name="20% - Accent5 2 15" xfId="1086"/>
    <cellStyle name="20% - Accent5 2 16" xfId="1087"/>
    <cellStyle name="20% - Accent5 2 17" xfId="1088"/>
    <cellStyle name="20% - Accent5 2 18" xfId="1089"/>
    <cellStyle name="20% - Accent5 2 19" xfId="1090"/>
    <cellStyle name="20% - Accent5 2 2" xfId="1091"/>
    <cellStyle name="20% - Accent5 2 2 2" xfId="1092"/>
    <cellStyle name="20% - Accent5 2 2 2 2" xfId="1093"/>
    <cellStyle name="20% - Accent5 2 2 3" xfId="1094"/>
    <cellStyle name="20% - Accent5 2 2 3 2" xfId="1095"/>
    <cellStyle name="20% - Accent5 2 2 4" xfId="1096"/>
    <cellStyle name="20% - Accent5 2 2 4 2" xfId="1097"/>
    <cellStyle name="20% - Accent5 2 2 5" xfId="1098"/>
    <cellStyle name="20% - Accent5 2 2 6" xfId="1099"/>
    <cellStyle name="20% - Accent5 2 20" xfId="1100"/>
    <cellStyle name="20% - Accent5 2 21" xfId="1101"/>
    <cellStyle name="20% - Accent5 2 22" xfId="1102"/>
    <cellStyle name="20% - Accent5 2 23" xfId="1103"/>
    <cellStyle name="20% - Accent5 2 24" xfId="1104"/>
    <cellStyle name="20% - Accent5 2 25" xfId="1105"/>
    <cellStyle name="20% - Accent5 2 3" xfId="1106"/>
    <cellStyle name="20% - Accent5 2 3 2" xfId="1107"/>
    <cellStyle name="20% - Accent5 2 3 3" xfId="1108"/>
    <cellStyle name="20% - Accent5 2 4" xfId="1109"/>
    <cellStyle name="20% - Accent5 2 4 2" xfId="1110"/>
    <cellStyle name="20% - Accent5 2 4 3" xfId="1111"/>
    <cellStyle name="20% - Accent5 2 5" xfId="1112"/>
    <cellStyle name="20% - Accent5 2 5 2" xfId="1113"/>
    <cellStyle name="20% - Accent5 2 5 3" xfId="1114"/>
    <cellStyle name="20% - Accent5 2 6" xfId="1115"/>
    <cellStyle name="20% - Accent5 2 6 2" xfId="1116"/>
    <cellStyle name="20% - Accent5 2 7" xfId="1117"/>
    <cellStyle name="20% - Accent5 2 7 2" xfId="1118"/>
    <cellStyle name="20% - Accent5 2 8" xfId="1119"/>
    <cellStyle name="20% - Accent5 2 8 2" xfId="1120"/>
    <cellStyle name="20% - Accent5 2 9" xfId="1121"/>
    <cellStyle name="20% - Accent5 20" xfId="1122"/>
    <cellStyle name="20% - Accent5 20 2" xfId="1123"/>
    <cellStyle name="20% - Accent5 20 2 2" xfId="1124"/>
    <cellStyle name="20% - Accent5 21" xfId="1125"/>
    <cellStyle name="20% - Accent5 21 2" xfId="1126"/>
    <cellStyle name="20% - Accent5 21 2 2" xfId="1127"/>
    <cellStyle name="20% - Accent5 22" xfId="1128"/>
    <cellStyle name="20% - Accent5 22 2" xfId="1129"/>
    <cellStyle name="20% - Accent5 22 2 2" xfId="1130"/>
    <cellStyle name="20% - Accent5 23" xfId="1131"/>
    <cellStyle name="20% - Accent5 23 2" xfId="1132"/>
    <cellStyle name="20% - Accent5 23 2 2" xfId="1133"/>
    <cellStyle name="20% - Accent5 23 3" xfId="1134"/>
    <cellStyle name="20% - Accent5 24" xfId="1135"/>
    <cellStyle name="20% - Accent5 24 2" xfId="1136"/>
    <cellStyle name="20% - Accent5 24 2 2" xfId="1137"/>
    <cellStyle name="20% - Accent5 24 3" xfId="1138"/>
    <cellStyle name="20% - Accent5 25" xfId="1139"/>
    <cellStyle name="20% - Accent5 25 2" xfId="1140"/>
    <cellStyle name="20% - Accent5 25 3" xfId="1141"/>
    <cellStyle name="20% - Accent5 26" xfId="1142"/>
    <cellStyle name="20% - Accent5 26 2" xfId="1143"/>
    <cellStyle name="20% - Accent5 27" xfId="1144"/>
    <cellStyle name="20% - Accent5 27 2" xfId="1145"/>
    <cellStyle name="20% - Accent5 28" xfId="1146"/>
    <cellStyle name="20% - Accent5 28 2" xfId="1147"/>
    <cellStyle name="20% - Accent5 29" xfId="1148"/>
    <cellStyle name="20% - Accent5 29 2" xfId="1149"/>
    <cellStyle name="20% - Accent5 2_2.VSCN - GSC charge" xfId="1150"/>
    <cellStyle name="20% - Accent5 3" xfId="1151"/>
    <cellStyle name="20% - Accent5 3 2" xfId="1152"/>
    <cellStyle name="20% - Accent5 3 2 2" xfId="1153"/>
    <cellStyle name="20% - Accent5 3 2 3" xfId="1154"/>
    <cellStyle name="20% - Accent5 3 3" xfId="1155"/>
    <cellStyle name="20% - Accent5 3 3 2" xfId="1156"/>
    <cellStyle name="20% - Accent5 3 3 3" xfId="1157"/>
    <cellStyle name="20% - Accent5 3 4" xfId="1158"/>
    <cellStyle name="20% - Accent5 3 4 2" xfId="1159"/>
    <cellStyle name="20% - Accent5 3 5" xfId="1160"/>
    <cellStyle name="20% - Accent5 3 5 2" xfId="1161"/>
    <cellStyle name="20% - Accent5 3 6" xfId="1162"/>
    <cellStyle name="20% - Accent5 3 7" xfId="1163"/>
    <cellStyle name="20% - Accent5 30" xfId="1164"/>
    <cellStyle name="20% - Accent5 30 2" xfId="1165"/>
    <cellStyle name="20% - Accent5 31" xfId="1166"/>
    <cellStyle name="20% - Accent5 31 2" xfId="1167"/>
    <cellStyle name="20% - Accent5 32" xfId="1168"/>
    <cellStyle name="20% - Accent5 32 2" xfId="1169"/>
    <cellStyle name="20% - Accent5 33" xfId="1170"/>
    <cellStyle name="20% - Accent5 33 2" xfId="1171"/>
    <cellStyle name="20% - Accent5 34" xfId="1172"/>
    <cellStyle name="20% - Accent5 34 2" xfId="1173"/>
    <cellStyle name="20% - Accent5 35" xfId="1174"/>
    <cellStyle name="20% - Accent5 35 2" xfId="1175"/>
    <cellStyle name="20% - Accent5 36" xfId="1176"/>
    <cellStyle name="20% - Accent5 37" xfId="1177"/>
    <cellStyle name="20% - Accent5 38" xfId="1178"/>
    <cellStyle name="20% - Accent5 39" xfId="1179"/>
    <cellStyle name="20% - Accent5 3_Profitability Detail NT$ Sep-12" xfId="1180"/>
    <cellStyle name="20% - Accent5 4" xfId="1181"/>
    <cellStyle name="20% - Accent5 4 2" xfId="1182"/>
    <cellStyle name="20% - Accent5 4 2 2" xfId="1183"/>
    <cellStyle name="20% - Accent5 4 2 3" xfId="1184"/>
    <cellStyle name="20% - Accent5 4 3" xfId="1185"/>
    <cellStyle name="20% - Accent5 4 3 2" xfId="1186"/>
    <cellStyle name="20% - Accent5 4 3 3" xfId="1187"/>
    <cellStyle name="20% - Accent5 4 4" xfId="1188"/>
    <cellStyle name="20% - Accent5 4 4 2" xfId="1189"/>
    <cellStyle name="20% - Accent5 4 5" xfId="1190"/>
    <cellStyle name="20% - Accent5 4 5 2" xfId="1191"/>
    <cellStyle name="20% - Accent5 4 6" xfId="1192"/>
    <cellStyle name="20% - Accent5 4 7" xfId="1193"/>
    <cellStyle name="20% - Accent5 40" xfId="1194"/>
    <cellStyle name="20% - Accent5 41" xfId="1195"/>
    <cellStyle name="20% - Accent5 42" xfId="1196"/>
    <cellStyle name="20% - Accent5 43" xfId="1197"/>
    <cellStyle name="20% - Accent5 44" xfId="1198"/>
    <cellStyle name="20% - Accent5 45" xfId="1199"/>
    <cellStyle name="20% - Accent5 46" xfId="1200"/>
    <cellStyle name="20% - Accent5 47" xfId="1201"/>
    <cellStyle name="20% - Accent5 48" xfId="1202"/>
    <cellStyle name="20% - Accent5 49" xfId="1203"/>
    <cellStyle name="20% - Accent5 4_Profitability Detail NT$ Sep-12" xfId="1204"/>
    <cellStyle name="20% - Accent5 5" xfId="1205"/>
    <cellStyle name="20% - Accent5 5 2" xfId="1206"/>
    <cellStyle name="20% - Accent5 5 2 2" xfId="1207"/>
    <cellStyle name="20% - Accent5 5 2 3" xfId="1208"/>
    <cellStyle name="20% - Accent5 5 3" xfId="1209"/>
    <cellStyle name="20% - Accent5 5 3 2" xfId="1210"/>
    <cellStyle name="20% - Accent5 5 4" xfId="1211"/>
    <cellStyle name="20% - Accent5 50" xfId="1212"/>
    <cellStyle name="20% - Accent5 51" xfId="1213"/>
    <cellStyle name="20% - Accent5 52" xfId="1214"/>
    <cellStyle name="20% - Accent5 53" xfId="1215"/>
    <cellStyle name="20% - Accent5 54" xfId="1216"/>
    <cellStyle name="20% - Accent5 55" xfId="1217"/>
    <cellStyle name="20% - Accent5 56" xfId="1218"/>
    <cellStyle name="20% - Accent5 57" xfId="1219"/>
    <cellStyle name="20% - Accent5 58" xfId="1220"/>
    <cellStyle name="20% - Accent5 59" xfId="1221"/>
    <cellStyle name="20% - Accent5 6" xfId="1222"/>
    <cellStyle name="20% - Accent5 6 2" xfId="1223"/>
    <cellStyle name="20% - Accent5 6 2 2" xfId="1224"/>
    <cellStyle name="20% - Accent5 6 3" xfId="1225"/>
    <cellStyle name="20% - Accent5 6 3 2" xfId="1226"/>
    <cellStyle name="20% - Accent5 6 4" xfId="1227"/>
    <cellStyle name="20% - Accent5 60" xfId="1228"/>
    <cellStyle name="20% - Accent5 61" xfId="1229"/>
    <cellStyle name="20% - Accent5 62" xfId="1230"/>
    <cellStyle name="20% - Accent5 63" xfId="1231"/>
    <cellStyle name="20% - Accent5 64" xfId="1232"/>
    <cellStyle name="20% - Accent5 65" xfId="1233"/>
    <cellStyle name="20% - Accent5 66" xfId="1234"/>
    <cellStyle name="20% - Accent5 67" xfId="1235"/>
    <cellStyle name="20% - Accent5 68" xfId="1236"/>
    <cellStyle name="20% - Accent5 69" xfId="1237"/>
    <cellStyle name="20% - Accent5 7" xfId="1238"/>
    <cellStyle name="20% - Accent5 7 2" xfId="1239"/>
    <cellStyle name="20% - Accent5 7 2 2" xfId="1240"/>
    <cellStyle name="20% - Accent5 7 3" xfId="1241"/>
    <cellStyle name="20% - Accent5 7 3 2" xfId="1242"/>
    <cellStyle name="20% - Accent5 7 4" xfId="1243"/>
    <cellStyle name="20% - Accent5 70" xfId="1244"/>
    <cellStyle name="20% - Accent5 71" xfId="1245"/>
    <cellStyle name="20% - Accent5 72" xfId="1246"/>
    <cellStyle name="20% - Accent5 73" xfId="1247"/>
    <cellStyle name="20% - Accent5 74" xfId="1248"/>
    <cellStyle name="20% - Accent5 75" xfId="1249"/>
    <cellStyle name="20% - Accent5 76" xfId="1250"/>
    <cellStyle name="20% - Accent5 77" xfId="1251"/>
    <cellStyle name="20% - Accent5 78" xfId="1252"/>
    <cellStyle name="20% - Accent5 79" xfId="1253"/>
    <cellStyle name="20% - Accent5 8" xfId="1254"/>
    <cellStyle name="20% - Accent5 8 2" xfId="1255"/>
    <cellStyle name="20% - Accent5 8 2 2" xfId="1256"/>
    <cellStyle name="20% - Accent5 8 3" xfId="1257"/>
    <cellStyle name="20% - Accent5 8 3 2" xfId="1258"/>
    <cellStyle name="20% - Accent5 8 4" xfId="1259"/>
    <cellStyle name="20% - Accent5 80" xfId="1260"/>
    <cellStyle name="20% - Accent5 81" xfId="1261"/>
    <cellStyle name="20% - Accent5 82" xfId="1262"/>
    <cellStyle name="20% - Accent5 83" xfId="1263"/>
    <cellStyle name="20% - Accent5 84" xfId="1264"/>
    <cellStyle name="20% - Accent5 85" xfId="1265"/>
    <cellStyle name="20% - Accent5 86" xfId="1266"/>
    <cellStyle name="20% - Accent5 87" xfId="1267"/>
    <cellStyle name="20% - Accent5 88" xfId="1268"/>
    <cellStyle name="20% - Accent5 89" xfId="1269"/>
    <cellStyle name="20% - Accent5 9" xfId="1270"/>
    <cellStyle name="20% - Accent5 9 2" xfId="1271"/>
    <cellStyle name="20% - Accent5 9 2 2" xfId="1272"/>
    <cellStyle name="20% - Accent5 9 3" xfId="1273"/>
    <cellStyle name="20% - Accent5 9 3 2" xfId="1274"/>
    <cellStyle name="20% - Accent5 9 4" xfId="1275"/>
    <cellStyle name="20% - Accent5 90" xfId="1276"/>
    <cellStyle name="20% - Accent5 91" xfId="1277"/>
    <cellStyle name="20% - Accent5 92" xfId="1278"/>
    <cellStyle name="20% - Accent5 93" xfId="1279"/>
    <cellStyle name="20% - Accent5 94" xfId="1280"/>
    <cellStyle name="20% - Accent5 95" xfId="1281"/>
    <cellStyle name="20% - Accent5 96" xfId="1282"/>
    <cellStyle name="20% - Accent5_13-wk VSI_Revised" xfId="1283"/>
    <cellStyle name="20% - Accent6" xfId="1284"/>
    <cellStyle name="20% - Accent6 10" xfId="1285"/>
    <cellStyle name="20% - Accent6 10 2" xfId="1286"/>
    <cellStyle name="20% - Accent6 10 2 2" xfId="1287"/>
    <cellStyle name="20% - Accent6 10 3" xfId="1288"/>
    <cellStyle name="20% - Accent6 10 3 2" xfId="1289"/>
    <cellStyle name="20% - Accent6 10 4" xfId="1290"/>
    <cellStyle name="20% - Accent6 11" xfId="1291"/>
    <cellStyle name="20% - Accent6 11 2" xfId="1292"/>
    <cellStyle name="20% - Accent6 11 2 2" xfId="1293"/>
    <cellStyle name="20% - Accent6 11 3" xfId="1294"/>
    <cellStyle name="20% - Accent6 11 3 2" xfId="1295"/>
    <cellStyle name="20% - Accent6 11 4" xfId="1296"/>
    <cellStyle name="20% - Accent6 12" xfId="1297"/>
    <cellStyle name="20% - Accent6 12 2" xfId="1298"/>
    <cellStyle name="20% - Accent6 12 2 2" xfId="1299"/>
    <cellStyle name="20% - Accent6 13" xfId="1300"/>
    <cellStyle name="20% - Accent6 13 2" xfId="1301"/>
    <cellStyle name="20% - Accent6 13 2 2" xfId="1302"/>
    <cellStyle name="20% - Accent6 14" xfId="1303"/>
    <cellStyle name="20% - Accent6 14 2" xfId="1304"/>
    <cellStyle name="20% - Accent6 14 2 2" xfId="1305"/>
    <cellStyle name="20% - Accent6 15" xfId="1306"/>
    <cellStyle name="20% - Accent6 15 2" xfId="1307"/>
    <cellStyle name="20% - Accent6 15 2 2" xfId="1308"/>
    <cellStyle name="20% - Accent6 16" xfId="1309"/>
    <cellStyle name="20% - Accent6 16 2" xfId="1310"/>
    <cellStyle name="20% - Accent6 16 2 2" xfId="1311"/>
    <cellStyle name="20% - Accent6 17" xfId="1312"/>
    <cellStyle name="20% - Accent6 17 2" xfId="1313"/>
    <cellStyle name="20% - Accent6 17 2 2" xfId="1314"/>
    <cellStyle name="20% - Accent6 18" xfId="1315"/>
    <cellStyle name="20% - Accent6 18 2" xfId="1316"/>
    <cellStyle name="20% - Accent6 18 2 2" xfId="1317"/>
    <cellStyle name="20% - Accent6 19" xfId="1318"/>
    <cellStyle name="20% - Accent6 19 2" xfId="1319"/>
    <cellStyle name="20% - Accent6 19 2 2" xfId="1320"/>
    <cellStyle name="20% - Accent6 2" xfId="1321"/>
    <cellStyle name="20% - Accent6 2 10" xfId="1322"/>
    <cellStyle name="20% - Accent6 2 11" xfId="1323"/>
    <cellStyle name="20% - Accent6 2 12" xfId="1324"/>
    <cellStyle name="20% - Accent6 2 13" xfId="1325"/>
    <cellStyle name="20% - Accent6 2 14" xfId="1326"/>
    <cellStyle name="20% - Accent6 2 15" xfId="1327"/>
    <cellStyle name="20% - Accent6 2 16" xfId="1328"/>
    <cellStyle name="20% - Accent6 2 17" xfId="1329"/>
    <cellStyle name="20% - Accent6 2 18" xfId="1330"/>
    <cellStyle name="20% - Accent6 2 19" xfId="1331"/>
    <cellStyle name="20% - Accent6 2 2" xfId="1332"/>
    <cellStyle name="20% - Accent6 2 2 2" xfId="1333"/>
    <cellStyle name="20% - Accent6 2 2 2 2" xfId="1334"/>
    <cellStyle name="20% - Accent6 2 2 3" xfId="1335"/>
    <cellStyle name="20% - Accent6 2 2 3 2" xfId="1336"/>
    <cellStyle name="20% - Accent6 2 2 4" xfId="1337"/>
    <cellStyle name="20% - Accent6 2 2 4 2" xfId="1338"/>
    <cellStyle name="20% - Accent6 2 2 5" xfId="1339"/>
    <cellStyle name="20% - Accent6 2 2 6" xfId="1340"/>
    <cellStyle name="20% - Accent6 2 20" xfId="1341"/>
    <cellStyle name="20% - Accent6 2 21" xfId="1342"/>
    <cellStyle name="20% - Accent6 2 22" xfId="1343"/>
    <cellStyle name="20% - Accent6 2 23" xfId="1344"/>
    <cellStyle name="20% - Accent6 2 24" xfId="1345"/>
    <cellStyle name="20% - Accent6 2 25" xfId="1346"/>
    <cellStyle name="20% - Accent6 2 3" xfId="1347"/>
    <cellStyle name="20% - Accent6 2 3 2" xfId="1348"/>
    <cellStyle name="20% - Accent6 2 3 3" xfId="1349"/>
    <cellStyle name="20% - Accent6 2 4" xfId="1350"/>
    <cellStyle name="20% - Accent6 2 4 2" xfId="1351"/>
    <cellStyle name="20% - Accent6 2 4 3" xfId="1352"/>
    <cellStyle name="20% - Accent6 2 5" xfId="1353"/>
    <cellStyle name="20% - Accent6 2 5 2" xfId="1354"/>
    <cellStyle name="20% - Accent6 2 5 3" xfId="1355"/>
    <cellStyle name="20% - Accent6 2 6" xfId="1356"/>
    <cellStyle name="20% - Accent6 2 6 2" xfId="1357"/>
    <cellStyle name="20% - Accent6 2 7" xfId="1358"/>
    <cellStyle name="20% - Accent6 2 7 2" xfId="1359"/>
    <cellStyle name="20% - Accent6 2 8" xfId="1360"/>
    <cellStyle name="20% - Accent6 2 8 2" xfId="1361"/>
    <cellStyle name="20% - Accent6 2 9" xfId="1362"/>
    <cellStyle name="20% - Accent6 20" xfId="1363"/>
    <cellStyle name="20% - Accent6 20 2" xfId="1364"/>
    <cellStyle name="20% - Accent6 20 2 2" xfId="1365"/>
    <cellStyle name="20% - Accent6 21" xfId="1366"/>
    <cellStyle name="20% - Accent6 21 2" xfId="1367"/>
    <cellStyle name="20% - Accent6 21 2 2" xfId="1368"/>
    <cellStyle name="20% - Accent6 22" xfId="1369"/>
    <cellStyle name="20% - Accent6 22 2" xfId="1370"/>
    <cellStyle name="20% - Accent6 22 2 2" xfId="1371"/>
    <cellStyle name="20% - Accent6 23" xfId="1372"/>
    <cellStyle name="20% - Accent6 23 2" xfId="1373"/>
    <cellStyle name="20% - Accent6 23 2 2" xfId="1374"/>
    <cellStyle name="20% - Accent6 23 3" xfId="1375"/>
    <cellStyle name="20% - Accent6 24" xfId="1376"/>
    <cellStyle name="20% - Accent6 24 2" xfId="1377"/>
    <cellStyle name="20% - Accent6 24 2 2" xfId="1378"/>
    <cellStyle name="20% - Accent6 24 3" xfId="1379"/>
    <cellStyle name="20% - Accent6 25" xfId="1380"/>
    <cellStyle name="20% - Accent6 25 2" xfId="1381"/>
    <cellStyle name="20% - Accent6 25 3" xfId="1382"/>
    <cellStyle name="20% - Accent6 26" xfId="1383"/>
    <cellStyle name="20% - Accent6 26 2" xfId="1384"/>
    <cellStyle name="20% - Accent6 27" xfId="1385"/>
    <cellStyle name="20% - Accent6 27 2" xfId="1386"/>
    <cellStyle name="20% - Accent6 28" xfId="1387"/>
    <cellStyle name="20% - Accent6 28 2" xfId="1388"/>
    <cellStyle name="20% - Accent6 29" xfId="1389"/>
    <cellStyle name="20% - Accent6 29 2" xfId="1390"/>
    <cellStyle name="20% - Accent6 2_2.VSCN - GSC charge" xfId="1391"/>
    <cellStyle name="20% - Accent6 3" xfId="1392"/>
    <cellStyle name="20% - Accent6 3 2" xfId="1393"/>
    <cellStyle name="20% - Accent6 3 2 2" xfId="1394"/>
    <cellStyle name="20% - Accent6 3 2 3" xfId="1395"/>
    <cellStyle name="20% - Accent6 3 3" xfId="1396"/>
    <cellStyle name="20% - Accent6 3 3 2" xfId="1397"/>
    <cellStyle name="20% - Accent6 3 3 3" xfId="1398"/>
    <cellStyle name="20% - Accent6 3 4" xfId="1399"/>
    <cellStyle name="20% - Accent6 3 4 2" xfId="1400"/>
    <cellStyle name="20% - Accent6 3 5" xfId="1401"/>
    <cellStyle name="20% - Accent6 3 5 2" xfId="1402"/>
    <cellStyle name="20% - Accent6 3 6" xfId="1403"/>
    <cellStyle name="20% - Accent6 3 7" xfId="1404"/>
    <cellStyle name="20% - Accent6 30" xfId="1405"/>
    <cellStyle name="20% - Accent6 30 2" xfId="1406"/>
    <cellStyle name="20% - Accent6 31" xfId="1407"/>
    <cellStyle name="20% - Accent6 31 2" xfId="1408"/>
    <cellStyle name="20% - Accent6 32" xfId="1409"/>
    <cellStyle name="20% - Accent6 32 2" xfId="1410"/>
    <cellStyle name="20% - Accent6 33" xfId="1411"/>
    <cellStyle name="20% - Accent6 33 2" xfId="1412"/>
    <cellStyle name="20% - Accent6 34" xfId="1413"/>
    <cellStyle name="20% - Accent6 34 2" xfId="1414"/>
    <cellStyle name="20% - Accent6 35" xfId="1415"/>
    <cellStyle name="20% - Accent6 35 2" xfId="1416"/>
    <cellStyle name="20% - Accent6 36" xfId="1417"/>
    <cellStyle name="20% - Accent6 36 2" xfId="1418"/>
    <cellStyle name="20% - Accent6 37" xfId="1419"/>
    <cellStyle name="20% - Accent6 37 2" xfId="1420"/>
    <cellStyle name="20% - Accent6 38" xfId="1421"/>
    <cellStyle name="20% - Accent6 38 2" xfId="1422"/>
    <cellStyle name="20% - Accent6 39" xfId="1423"/>
    <cellStyle name="20% - Accent6 39 2" xfId="1424"/>
    <cellStyle name="20% - Accent6 3_Profitability Detail NT$ Sep-12" xfId="1425"/>
    <cellStyle name="20% - Accent6 4" xfId="1426"/>
    <cellStyle name="20% - Accent6 4 2" xfId="1427"/>
    <cellStyle name="20% - Accent6 4 2 2" xfId="1428"/>
    <cellStyle name="20% - Accent6 4 2 3" xfId="1429"/>
    <cellStyle name="20% - Accent6 4 3" xfId="1430"/>
    <cellStyle name="20% - Accent6 4 3 2" xfId="1431"/>
    <cellStyle name="20% - Accent6 4 3 3" xfId="1432"/>
    <cellStyle name="20% - Accent6 4 4" xfId="1433"/>
    <cellStyle name="20% - Accent6 4 4 2" xfId="1434"/>
    <cellStyle name="20% - Accent6 4 5" xfId="1435"/>
    <cellStyle name="20% - Accent6 4 5 2" xfId="1436"/>
    <cellStyle name="20% - Accent6 4 6" xfId="1437"/>
    <cellStyle name="20% - Accent6 4 7" xfId="1438"/>
    <cellStyle name="20% - Accent6 40" xfId="1439"/>
    <cellStyle name="20% - Accent6 40 2" xfId="1440"/>
    <cellStyle name="20% - Accent6 41" xfId="1441"/>
    <cellStyle name="20% - Accent6 41 2" xfId="1442"/>
    <cellStyle name="20% - Accent6 42" xfId="1443"/>
    <cellStyle name="20% - Accent6 43" xfId="1444"/>
    <cellStyle name="20% - Accent6 44" xfId="1445"/>
    <cellStyle name="20% - Accent6 45" xfId="1446"/>
    <cellStyle name="20% - Accent6 46" xfId="1447"/>
    <cellStyle name="20% - Accent6 47" xfId="1448"/>
    <cellStyle name="20% - Accent6 48" xfId="1449"/>
    <cellStyle name="20% - Accent6 49" xfId="1450"/>
    <cellStyle name="20% - Accent6 4_Profitability Detail NT$ Sep-12" xfId="1451"/>
    <cellStyle name="20% - Accent6 5" xfId="1452"/>
    <cellStyle name="20% - Accent6 5 2" xfId="1453"/>
    <cellStyle name="20% - Accent6 5 2 2" xfId="1454"/>
    <cellStyle name="20% - Accent6 5 2 3" xfId="1455"/>
    <cellStyle name="20% - Accent6 5 3" xfId="1456"/>
    <cellStyle name="20% - Accent6 5 3 2" xfId="1457"/>
    <cellStyle name="20% - Accent6 5 4" xfId="1458"/>
    <cellStyle name="20% - Accent6 5 4 2" xfId="1459"/>
    <cellStyle name="20% - Accent6 5 5" xfId="1460"/>
    <cellStyle name="20% - Accent6 50" xfId="1461"/>
    <cellStyle name="20% - Accent6 51" xfId="1462"/>
    <cellStyle name="20% - Accent6 52" xfId="1463"/>
    <cellStyle name="20% - Accent6 53" xfId="1464"/>
    <cellStyle name="20% - Accent6 54" xfId="1465"/>
    <cellStyle name="20% - Accent6 55" xfId="1466"/>
    <cellStyle name="20% - Accent6 56" xfId="1467"/>
    <cellStyle name="20% - Accent6 57" xfId="1468"/>
    <cellStyle name="20% - Accent6 58" xfId="1469"/>
    <cellStyle name="20% - Accent6 59" xfId="1470"/>
    <cellStyle name="20% - Accent6 6" xfId="1471"/>
    <cellStyle name="20% - Accent6 6 2" xfId="1472"/>
    <cellStyle name="20% - Accent6 6 2 2" xfId="1473"/>
    <cellStyle name="20% - Accent6 6 3" xfId="1474"/>
    <cellStyle name="20% - Accent6 6 3 2" xfId="1475"/>
    <cellStyle name="20% - Accent6 6 4" xfId="1476"/>
    <cellStyle name="20% - Accent6 60" xfId="1477"/>
    <cellStyle name="20% - Accent6 61" xfId="1478"/>
    <cellStyle name="20% - Accent6 62" xfId="1479"/>
    <cellStyle name="20% - Accent6 63" xfId="1480"/>
    <cellStyle name="20% - Accent6 64" xfId="1481"/>
    <cellStyle name="20% - Accent6 65" xfId="1482"/>
    <cellStyle name="20% - Accent6 66" xfId="1483"/>
    <cellStyle name="20% - Accent6 67" xfId="1484"/>
    <cellStyle name="20% - Accent6 68" xfId="1485"/>
    <cellStyle name="20% - Accent6 69" xfId="1486"/>
    <cellStyle name="20% - Accent6 7" xfId="1487"/>
    <cellStyle name="20% - Accent6 7 2" xfId="1488"/>
    <cellStyle name="20% - Accent6 7 2 2" xfId="1489"/>
    <cellStyle name="20% - Accent6 7 3" xfId="1490"/>
    <cellStyle name="20% - Accent6 7 3 2" xfId="1491"/>
    <cellStyle name="20% - Accent6 7 4" xfId="1492"/>
    <cellStyle name="20% - Accent6 70" xfId="1493"/>
    <cellStyle name="20% - Accent6 71" xfId="1494"/>
    <cellStyle name="20% - Accent6 72" xfId="1495"/>
    <cellStyle name="20% - Accent6 73" xfId="1496"/>
    <cellStyle name="20% - Accent6 74" xfId="1497"/>
    <cellStyle name="20% - Accent6 75" xfId="1498"/>
    <cellStyle name="20% - Accent6 76" xfId="1499"/>
    <cellStyle name="20% - Accent6 77" xfId="1500"/>
    <cellStyle name="20% - Accent6 78" xfId="1501"/>
    <cellStyle name="20% - Accent6 79" xfId="1502"/>
    <cellStyle name="20% - Accent6 8" xfId="1503"/>
    <cellStyle name="20% - Accent6 8 2" xfId="1504"/>
    <cellStyle name="20% - Accent6 8 2 2" xfId="1505"/>
    <cellStyle name="20% - Accent6 8 3" xfId="1506"/>
    <cellStyle name="20% - Accent6 8 3 2" xfId="1507"/>
    <cellStyle name="20% - Accent6 8 4" xfId="1508"/>
    <cellStyle name="20% - Accent6 80" xfId="1509"/>
    <cellStyle name="20% - Accent6 81" xfId="1510"/>
    <cellStyle name="20% - Accent6 82" xfId="1511"/>
    <cellStyle name="20% - Accent6 83" xfId="1512"/>
    <cellStyle name="20% - Accent6 84" xfId="1513"/>
    <cellStyle name="20% - Accent6 85" xfId="1514"/>
    <cellStyle name="20% - Accent6 86" xfId="1515"/>
    <cellStyle name="20% - Accent6 87" xfId="1516"/>
    <cellStyle name="20% - Accent6 88" xfId="1517"/>
    <cellStyle name="20% - Accent6 89" xfId="1518"/>
    <cellStyle name="20% - Accent6 9" xfId="1519"/>
    <cellStyle name="20% - Accent6 9 2" xfId="1520"/>
    <cellStyle name="20% - Accent6 9 2 2" xfId="1521"/>
    <cellStyle name="20% - Accent6 9 3" xfId="1522"/>
    <cellStyle name="20% - Accent6 9 3 2" xfId="1523"/>
    <cellStyle name="20% - Accent6 9 4" xfId="1524"/>
    <cellStyle name="20% - Accent6 90" xfId="1525"/>
    <cellStyle name="20% - Accent6 91" xfId="1526"/>
    <cellStyle name="20% - Accent6 92" xfId="1527"/>
    <cellStyle name="20% - Accent6 93" xfId="1528"/>
    <cellStyle name="20% - Accent6 94" xfId="1529"/>
    <cellStyle name="20% - Accent6 95" xfId="1530"/>
    <cellStyle name="20% - Accent6 96" xfId="1531"/>
    <cellStyle name="20% - Accent6_ALL inventory onhand data 0912" xfId="1532"/>
    <cellStyle name="20% - akcent 1" xfId="1533"/>
    <cellStyle name="20% - akcent 1 2" xfId="1534"/>
    <cellStyle name="20% - akcent 2" xfId="1535"/>
    <cellStyle name="20% - akcent 2 2" xfId="1536"/>
    <cellStyle name="20% - akcent 3" xfId="1537"/>
    <cellStyle name="20% - akcent 3 2" xfId="1538"/>
    <cellStyle name="20% - akcent 4" xfId="1539"/>
    <cellStyle name="20% - akcent 4 2" xfId="1540"/>
    <cellStyle name="20% - akcent 5" xfId="1541"/>
    <cellStyle name="20% - akcent 5 2" xfId="1542"/>
    <cellStyle name="20% - akcent 6" xfId="1543"/>
    <cellStyle name="20% - akcent 6 2" xfId="1544"/>
    <cellStyle name="20% - Akzent1" xfId="1545"/>
    <cellStyle name="20% - Akzent1 2" xfId="1546"/>
    <cellStyle name="20% - Akzent2" xfId="1547"/>
    <cellStyle name="20% - Akzent2 2" xfId="1548"/>
    <cellStyle name="20% - Akzent3" xfId="1549"/>
    <cellStyle name="20% - Akzent3 2" xfId="1550"/>
    <cellStyle name="20% - Akzent4" xfId="1551"/>
    <cellStyle name="20% - Akzent4 2" xfId="1552"/>
    <cellStyle name="20% - Akzent5" xfId="1553"/>
    <cellStyle name="20% - Akzent5 2" xfId="1554"/>
    <cellStyle name="20% - Akzent6" xfId="1555"/>
    <cellStyle name="20% - Akzent6 2" xfId="0"/>
    <cellStyle name="20% - Акцент1" xfId="0"/>
    <cellStyle name="20% - Акцент1 2" xfId="0"/>
    <cellStyle name="20% - Акцент2" xfId="0"/>
    <cellStyle name="20% - Акцент2 2" xfId="0"/>
    <cellStyle name="20% - Акцент3" xfId="0"/>
    <cellStyle name="20% - Акцент3 2" xfId="0"/>
    <cellStyle name="20% - Акцент4" xfId="0"/>
    <cellStyle name="20% - Акцент4 2" xfId="0"/>
    <cellStyle name="20% - Акцент5" xfId="0"/>
    <cellStyle name="20% - Акцент5 2" xfId="0"/>
    <cellStyle name="20% - Акцент6" xfId="0"/>
    <cellStyle name="20% - Акцент6 2" xfId="0"/>
    <cellStyle name="20% - アクセント 1" xfId="0"/>
    <cellStyle name="20% - アクセント 2" xfId="0"/>
    <cellStyle name="20% - アクセント 3" xfId="0"/>
    <cellStyle name="20% - アクセント 4" xfId="0"/>
    <cellStyle name="20% - アクセント 5" xfId="0"/>
    <cellStyle name="20% - アクセント 6" xfId="0"/>
    <cellStyle name="20% - 强调文字颜色 1" xfId="0"/>
    <cellStyle name="20% - 强调文字颜色 1 10" xfId="0"/>
    <cellStyle name="20% - 强调文字颜色 1 11" xfId="0"/>
    <cellStyle name="20% - 强调文字颜色 1 12" xfId="0"/>
    <cellStyle name="20% - 强调文字颜色 1 13" xfId="0"/>
    <cellStyle name="20% - 强调文字颜色 1 14" xfId="0"/>
    <cellStyle name="20% - 强调文字颜色 1 15" xfId="0"/>
    <cellStyle name="20% - 强调文字颜色 1 16" xfId="0"/>
    <cellStyle name="20% - 强调文字颜色 1 17" xfId="0"/>
    <cellStyle name="20% - 强调文字颜色 1 18" xfId="0"/>
    <cellStyle name="20% - 强调文字颜色 1 19" xfId="0"/>
    <cellStyle name="20% - 强调文字颜色 1 2" xfId="0"/>
    <cellStyle name="20% - 强调文字颜色 1 2 10" xfId="0"/>
    <cellStyle name="20% - 强调文字颜色 1 2 11" xfId="0"/>
    <cellStyle name="20% - 强调文字颜色 1 2 12" xfId="0"/>
    <cellStyle name="20% - 强调文字颜色 1 2 13" xfId="0"/>
    <cellStyle name="20% - 强调文字颜色 1 2 14" xfId="0"/>
    <cellStyle name="20% - 强调文字颜色 1 2 15" xfId="0"/>
    <cellStyle name="20% - 强调文字颜色 1 2 16" xfId="0"/>
    <cellStyle name="20% - 强调文字颜色 1 2 17" xfId="0"/>
    <cellStyle name="20% - 强调文字颜色 1 2 18" xfId="0"/>
    <cellStyle name="20% - 强调文字颜色 1 2 19" xfId="0"/>
    <cellStyle name="20% - 强调文字颜色 1 2 2" xfId="0"/>
    <cellStyle name="20% - 强调文字颜色 1 2 20" xfId="0"/>
    <cellStyle name="20% - 强调文字颜色 1 2 21" xfId="0"/>
    <cellStyle name="20% - 强调文字颜色 1 2 22" xfId="0"/>
    <cellStyle name="20% - 强调文字颜色 1 2 23" xfId="0"/>
    <cellStyle name="20% - 强调文字颜色 1 2 24" xfId="0"/>
    <cellStyle name="20% - 强调文字颜色 1 2 25" xfId="0"/>
    <cellStyle name="20% - 强调文字颜色 1 2 3" xfId="0"/>
    <cellStyle name="20% - 强调文字颜色 1 2 4" xfId="0"/>
    <cellStyle name="20% - 强调文字颜色 1 2 5" xfId="0"/>
    <cellStyle name="20% - 强调文字颜色 1 2 6" xfId="0"/>
    <cellStyle name="20% - 强调文字颜色 1 2 7" xfId="0"/>
    <cellStyle name="20% - 强调文字颜色 1 2 8" xfId="0"/>
    <cellStyle name="20% - 强调文字颜色 1 2 9" xfId="0"/>
    <cellStyle name="20% - 强调文字颜色 1 20" xfId="0"/>
    <cellStyle name="20% - 强调文字颜色 1 21" xfId="0"/>
    <cellStyle name="20% - 强调文字颜色 1 22" xfId="0"/>
    <cellStyle name="20% - 强调文字颜色 1 23" xfId="0"/>
    <cellStyle name="20% - 强调文字颜色 1 24" xfId="0"/>
    <cellStyle name="20% - 强调文字颜色 1 25" xfId="0"/>
    <cellStyle name="20% - 强调文字颜色 1 26" xfId="0"/>
    <cellStyle name="20% - 强调文字颜色 1 27" xfId="0"/>
    <cellStyle name="20% - 强调文字颜色 1 28" xfId="0"/>
    <cellStyle name="20% - 强调文字颜色 1 29" xfId="0"/>
    <cellStyle name="20% - 强调文字颜色 1 3" xfId="0"/>
    <cellStyle name="20% - 强调文字颜色 1 30" xfId="0"/>
    <cellStyle name="20% - 强调文字颜色 1 31" xfId="0"/>
    <cellStyle name="20% - 强调文字颜色 1 32" xfId="0"/>
    <cellStyle name="20% - 强调文字颜色 1 33" xfId="0"/>
    <cellStyle name="20% - 强调文字颜色 1 34" xfId="0"/>
    <cellStyle name="20% - 强调文字颜色 1 35" xfId="0"/>
    <cellStyle name="20% - 强调文字颜色 1 36" xfId="0"/>
    <cellStyle name="20% - 强调文字颜色 1 37" xfId="0"/>
    <cellStyle name="20% - 强调文字颜色 1 38" xfId="0"/>
    <cellStyle name="20% - 强调文字颜色 1 39" xfId="0"/>
    <cellStyle name="20% - 强调文字颜色 1 4" xfId="0"/>
    <cellStyle name="20% - 强调文字颜色 1 40" xfId="0"/>
    <cellStyle name="20% - 强调文字颜色 1 41" xfId="0"/>
    <cellStyle name="20% - 强调文字颜色 1 42" xfId="0"/>
    <cellStyle name="20% - 强调文字颜色 1 43" xfId="0"/>
    <cellStyle name="20% - 强调文字颜色 1 44" xfId="0"/>
    <cellStyle name="20% - 强调文字颜色 1 45" xfId="0"/>
    <cellStyle name="20% - 强调文字颜色 1 46" xfId="0"/>
    <cellStyle name="20% - 强调文字颜色 1 47" xfId="0"/>
    <cellStyle name="20% - 强调文字颜色 1 48" xfId="0"/>
    <cellStyle name="20% - 强调文字颜色 1 49" xfId="0"/>
    <cellStyle name="20% - 强调文字颜色 1 5" xfId="0"/>
    <cellStyle name="20% - 强调文字颜色 1 50" xfId="0"/>
    <cellStyle name="20% - 强调文字颜色 1 51" xfId="0"/>
    <cellStyle name="20% - 强调文字颜色 1 52" xfId="0"/>
    <cellStyle name="20% - 强调文字颜色 1 53" xfId="0"/>
    <cellStyle name="20% - 强调文字颜色 1 54" xfId="0"/>
    <cellStyle name="20% - 强调文字颜色 1 55" xfId="0"/>
    <cellStyle name="20% - 强调文字颜色 1 56" xfId="0"/>
    <cellStyle name="20% - 强调文字颜色 1 57" xfId="0"/>
    <cellStyle name="20% - 强调文字颜色 1 58" xfId="0"/>
    <cellStyle name="20% - 强调文字颜色 1 59" xfId="0"/>
    <cellStyle name="20% - 强调文字颜色 1 6" xfId="0"/>
    <cellStyle name="20% - 强调文字颜色 1 60" xfId="0"/>
    <cellStyle name="20% - 强调文字颜色 1 61" xfId="0"/>
    <cellStyle name="20% - 强调文字颜色 1 62" xfId="0"/>
    <cellStyle name="20% - 强调文字颜色 1 63" xfId="0"/>
    <cellStyle name="20% - 强调文字颜色 1 64" xfId="0"/>
    <cellStyle name="20% - 强调文字颜色 1 65" xfId="0"/>
    <cellStyle name="20% - 强调文字颜色 1 66" xfId="0"/>
    <cellStyle name="20% - 强调文字颜色 1 67" xfId="0"/>
    <cellStyle name="20% - 强调文字颜色 1 68" xfId="0"/>
    <cellStyle name="20% - 强调文字颜色 1 69" xfId="0"/>
    <cellStyle name="20% - 强调文字颜色 1 7" xfId="0"/>
    <cellStyle name="20% - 强调文字颜色 1 70" xfId="0"/>
    <cellStyle name="20% - 强调文字颜色 1 71" xfId="0"/>
    <cellStyle name="20% - 强调文字颜色 1 72" xfId="0"/>
    <cellStyle name="20% - 强调文字颜色 1 73" xfId="0"/>
    <cellStyle name="20% - 强调文字颜色 1 74" xfId="0"/>
    <cellStyle name="20% - 强调文字颜色 1 75" xfId="0"/>
    <cellStyle name="20% - 强调文字颜色 1 76" xfId="0"/>
    <cellStyle name="20% - 强调文字颜色 1 77" xfId="0"/>
    <cellStyle name="20% - 强调文字颜色 1 78" xfId="0"/>
    <cellStyle name="20% - 强调文字颜色 1 79" xfId="0"/>
    <cellStyle name="20% - 强调文字颜色 1 8" xfId="0"/>
    <cellStyle name="20% - 强调文字颜色 1 80" xfId="0"/>
    <cellStyle name="20% - 强调文字颜色 1 81" xfId="0"/>
    <cellStyle name="20% - 强调文字颜色 1 82" xfId="0"/>
    <cellStyle name="20% - 强调文字颜色 1 83" xfId="0"/>
    <cellStyle name="20% - 强调文字颜色 1 84" xfId="0"/>
    <cellStyle name="20% - 强调文字颜色 1 9" xfId="0"/>
    <cellStyle name="20% - 强调文字颜色 1_CORP SG&amp;A" xfId="0"/>
    <cellStyle name="20% - 强调文字颜色 2" xfId="0"/>
    <cellStyle name="20% - 强调文字颜色 2 10" xfId="0"/>
    <cellStyle name="20% - 强调文字颜色 2 11" xfId="0"/>
    <cellStyle name="20% - 强调文字颜色 2 12" xfId="0"/>
    <cellStyle name="20% - 强调文字颜色 2 13" xfId="0"/>
    <cellStyle name="20% - 强调文字颜色 2 14" xfId="0"/>
    <cellStyle name="20% - 强调文字颜色 2 15" xfId="0"/>
    <cellStyle name="20% - 强调文字颜色 2 16" xfId="0"/>
    <cellStyle name="20% - 强调文字颜色 2 17" xfId="0"/>
    <cellStyle name="20% - 强调文字颜色 2 18" xfId="0"/>
    <cellStyle name="20% - 强调文字颜色 2 19" xfId="0"/>
    <cellStyle name="20% - 强调文字颜色 2 2" xfId="0"/>
    <cellStyle name="20% - 强调文字颜色 2 2 10" xfId="0"/>
    <cellStyle name="20% - 强调文字颜色 2 2 11" xfId="0"/>
    <cellStyle name="20% - 强调文字颜色 2 2 12" xfId="0"/>
    <cellStyle name="20% - 强调文字颜色 2 2 13" xfId="0"/>
    <cellStyle name="20% - 强调文字颜色 2 2 14" xfId="0"/>
    <cellStyle name="20% - 强调文字颜色 2 2 15" xfId="0"/>
    <cellStyle name="20% - 强调文字颜色 2 2 16" xfId="0"/>
    <cellStyle name="20% - 强调文字颜色 2 2 17" xfId="0"/>
    <cellStyle name="20% - 强调文字颜色 2 2 18" xfId="0"/>
    <cellStyle name="20% - 强调文字颜色 2 2 19" xfId="0"/>
    <cellStyle name="20% - 强调文字颜色 2 2 2" xfId="0"/>
    <cellStyle name="20% - 强调文字颜色 2 2 20" xfId="0"/>
    <cellStyle name="20% - 强调文字颜色 2 2 21" xfId="0"/>
    <cellStyle name="20% - 强调文字颜色 2 2 22" xfId="0"/>
    <cellStyle name="20% - 强调文字颜色 2 2 23" xfId="0"/>
    <cellStyle name="20% - 强调文字颜色 2 2 24" xfId="0"/>
    <cellStyle name="20% - 强调文字颜色 2 2 25" xfId="0"/>
    <cellStyle name="20% - 强调文字颜色 2 2 3" xfId="0"/>
    <cellStyle name="20% - 强调文字颜色 2 2 4" xfId="0"/>
    <cellStyle name="20% - 强调文字颜色 2 2 5" xfId="0"/>
    <cellStyle name="20% - 强调文字颜色 2 2 6" xfId="0"/>
    <cellStyle name="20% - 强调文字颜色 2 2 7" xfId="0"/>
    <cellStyle name="20% - 强调文字颜色 2 2 8" xfId="0"/>
    <cellStyle name="20% - 强调文字颜色 2 2 9" xfId="0"/>
    <cellStyle name="20% - 强调文字颜色 2 20" xfId="0"/>
    <cellStyle name="20% - 强调文字颜色 2 21" xfId="0"/>
    <cellStyle name="20% - 强调文字颜色 2 22" xfId="0"/>
    <cellStyle name="20% - 强调文字颜色 2 23" xfId="0"/>
    <cellStyle name="20% - 强调文字颜色 2 24" xfId="0"/>
    <cellStyle name="20% - 强调文字颜色 2 25" xfId="0"/>
    <cellStyle name="20% - 强调文字颜色 2 26" xfId="0"/>
    <cellStyle name="20% - 强调文字颜色 2 27" xfId="0"/>
    <cellStyle name="20% - 强调文字颜色 2 28" xfId="0"/>
    <cellStyle name="20% - 强调文字颜色 2 29" xfId="0"/>
    <cellStyle name="20% - 强调文字颜色 2 3" xfId="0"/>
    <cellStyle name="20% - 强调文字颜色 2 30" xfId="0"/>
    <cellStyle name="20% - 强调文字颜色 2 31" xfId="0"/>
    <cellStyle name="20% - 强调文字颜色 2 32" xfId="0"/>
    <cellStyle name="20% - 强调文字颜色 2 33" xfId="0"/>
    <cellStyle name="20% - 强调文字颜色 2 34" xfId="0"/>
    <cellStyle name="20% - 强调文字颜色 2 35" xfId="0"/>
    <cellStyle name="20% - 强调文字颜色 2 36" xfId="0"/>
    <cellStyle name="20% - 强调文字颜色 2 37" xfId="0"/>
    <cellStyle name="20% - 强调文字颜色 2 38" xfId="0"/>
    <cellStyle name="20% - 强调文字颜色 2 39" xfId="0"/>
    <cellStyle name="20% - 强调文字颜色 2 4" xfId="0"/>
    <cellStyle name="20% - 强调文字颜色 2 40" xfId="0"/>
    <cellStyle name="20% - 强调文字颜色 2 41" xfId="0"/>
    <cellStyle name="20% - 强调文字颜色 2 42" xfId="0"/>
    <cellStyle name="20% - 强调文字颜色 2 43" xfId="0"/>
    <cellStyle name="20% - 强调文字颜色 2 44" xfId="0"/>
    <cellStyle name="20% - 强调文字颜色 2 45" xfId="0"/>
    <cellStyle name="20% - 强调文字颜色 2 46" xfId="0"/>
    <cellStyle name="20% - 强调文字颜色 2 47" xfId="0"/>
    <cellStyle name="20% - 强调文字颜色 2 48" xfId="0"/>
    <cellStyle name="20% - 强调文字颜色 2 49" xfId="0"/>
    <cellStyle name="20% - 强调文字颜色 2 5" xfId="0"/>
    <cellStyle name="20% - 强调文字颜色 2 50" xfId="0"/>
    <cellStyle name="20% - 强调文字颜色 2 51" xfId="0"/>
    <cellStyle name="20% - 强调文字颜色 2 52" xfId="0"/>
    <cellStyle name="20% - 强调文字颜色 2 53" xfId="0"/>
    <cellStyle name="20% - 强调文字颜色 2 54" xfId="0"/>
    <cellStyle name="20% - 强调文字颜色 2 55" xfId="0"/>
    <cellStyle name="20% - 强调文字颜色 2 56" xfId="0"/>
    <cellStyle name="20% - 强调文字颜色 2 57" xfId="0"/>
    <cellStyle name="20% - 强调文字颜色 2 58" xfId="0"/>
    <cellStyle name="20% - 强调文字颜色 2 59" xfId="0"/>
    <cellStyle name="20% - 强调文字颜色 2 6" xfId="0"/>
    <cellStyle name="20% - 强调文字颜色 2 60" xfId="0"/>
    <cellStyle name="20% - 强调文字颜色 2 61" xfId="0"/>
    <cellStyle name="20% - 强调文字颜色 2 62" xfId="0"/>
    <cellStyle name="20% - 强调文字颜色 2 63" xfId="0"/>
    <cellStyle name="20% - 强调文字颜色 2 64" xfId="0"/>
    <cellStyle name="20% - 强调文字颜色 2 65" xfId="0"/>
    <cellStyle name="20% - 强调文字颜色 2 66" xfId="0"/>
    <cellStyle name="20% - 强调文字颜色 2 67" xfId="0"/>
    <cellStyle name="20% - 强调文字颜色 2 68" xfId="0"/>
    <cellStyle name="20% - 强调文字颜色 2 69" xfId="0"/>
    <cellStyle name="20% - 强调文字颜色 2 7" xfId="0"/>
    <cellStyle name="20% - 强调文字颜色 2 70" xfId="0"/>
    <cellStyle name="20% - 强调文字颜色 2 71" xfId="0"/>
    <cellStyle name="20% - 强调文字颜色 2 72" xfId="0"/>
    <cellStyle name="20% - 强调文字颜色 2 73" xfId="0"/>
    <cellStyle name="20% - 强调文字颜色 2 74" xfId="0"/>
    <cellStyle name="20% - 强调文字颜色 2 75" xfId="0"/>
    <cellStyle name="20% - 强调文字颜色 2 76" xfId="0"/>
    <cellStyle name="20% - 强调文字颜色 2 77" xfId="0"/>
    <cellStyle name="20% - 强调文字颜色 2 78" xfId="0"/>
    <cellStyle name="20% - 强调文字颜色 2 79" xfId="0"/>
    <cellStyle name="20% - 强调文字颜色 2 8" xfId="0"/>
    <cellStyle name="20% - 强调文字颜色 2 80" xfId="0"/>
    <cellStyle name="20% - 强调文字颜色 2 81" xfId="0"/>
    <cellStyle name="20% - 强调文字颜色 2 82" xfId="0"/>
    <cellStyle name="20% - 强调文字颜色 2 83" xfId="0"/>
    <cellStyle name="20% - 强调文字颜色 2 84" xfId="0"/>
    <cellStyle name="20% - 强调文字颜色 2 9" xfId="0"/>
    <cellStyle name="20% - 强调文字颜色 2_CORP SG&amp;A" xfId="0"/>
    <cellStyle name="20% - 强调文字颜色 3" xfId="0"/>
    <cellStyle name="20% - 强调文字颜色 3 10" xfId="0"/>
    <cellStyle name="20% - 强调文字颜色 3 11" xfId="0"/>
    <cellStyle name="20% - 强调文字颜色 3 12" xfId="0"/>
    <cellStyle name="20% - 强调文字颜色 3 13" xfId="0"/>
    <cellStyle name="20% - 强调文字颜色 3 14" xfId="0"/>
    <cellStyle name="20% - 强调文字颜色 3 15" xfId="0"/>
    <cellStyle name="20% - 强调文字颜色 3 16" xfId="0"/>
    <cellStyle name="20% - 强调文字颜色 3 17" xfId="0"/>
    <cellStyle name="20% - 强调文字颜色 3 18" xfId="0"/>
    <cellStyle name="20% - 强调文字颜色 3 19" xfId="0"/>
    <cellStyle name="20% - 强调文字颜色 3 2" xfId="0"/>
    <cellStyle name="20% - 强调文字颜色 3 2 10" xfId="0"/>
    <cellStyle name="20% - 强调文字颜色 3 2 11" xfId="0"/>
    <cellStyle name="20% - 强调文字颜色 3 2 12" xfId="0"/>
    <cellStyle name="20% - 强调文字颜色 3 2 13" xfId="0"/>
    <cellStyle name="20% - 强调文字颜色 3 2 14" xfId="0"/>
    <cellStyle name="20% - 强调文字颜色 3 2 15" xfId="0"/>
    <cellStyle name="20% - 强调文字颜色 3 2 16" xfId="0"/>
    <cellStyle name="20% - 强调文字颜色 3 2 17" xfId="0"/>
    <cellStyle name="20% - 强调文字颜色 3 2 18" xfId="0"/>
    <cellStyle name="20% - 强调文字颜色 3 2 19" xfId="0"/>
    <cellStyle name="20% - 强调文字颜色 3 2 2" xfId="0"/>
    <cellStyle name="20% - 强调文字颜色 3 2 20" xfId="0"/>
    <cellStyle name="20% - 强调文字颜色 3 2 21" xfId="0"/>
    <cellStyle name="20% - 强调文字颜色 3 2 22" xfId="0"/>
    <cellStyle name="20% - 强调文字颜色 3 2 23" xfId="0"/>
    <cellStyle name="20% - 强调文字颜色 3 2 24" xfId="0"/>
    <cellStyle name="20% - 强调文字颜色 3 2 25" xfId="0"/>
    <cellStyle name="20% - 强调文字颜色 3 2 3" xfId="0"/>
    <cellStyle name="20% - 强调文字颜色 3 2 4" xfId="0"/>
    <cellStyle name="20% - 强调文字颜色 3 2 5" xfId="0"/>
    <cellStyle name="20% - 强调文字颜色 3 2 6" xfId="0"/>
    <cellStyle name="20% - 强调文字颜色 3 2 7" xfId="0"/>
    <cellStyle name="20% - 强调文字颜色 3 2 8" xfId="0"/>
    <cellStyle name="20% - 强调文字颜色 3 2 9" xfId="0"/>
    <cellStyle name="20% - 强调文字颜色 3 20" xfId="0"/>
    <cellStyle name="20% - 强调文字颜色 3 21" xfId="0"/>
    <cellStyle name="20% - 强调文字颜色 3 22" xfId="0"/>
    <cellStyle name="20% - 强调文字颜色 3 23" xfId="0"/>
    <cellStyle name="20% - 强调文字颜色 3 24" xfId="0"/>
    <cellStyle name="20% - 强调文字颜色 3 25" xfId="0"/>
    <cellStyle name="20% - 强调文字颜色 3 26" xfId="0"/>
    <cellStyle name="20% - 强调文字颜色 3 27" xfId="0"/>
    <cellStyle name="20% - 强调文字颜色 3 28" xfId="0"/>
    <cellStyle name="20% - 强调文字颜色 3 29" xfId="0"/>
    <cellStyle name="20% - 强调文字颜色 3 3" xfId="0"/>
    <cellStyle name="20% - 强调文字颜色 3 30" xfId="0"/>
    <cellStyle name="20% - 强调文字颜色 3 31" xfId="0"/>
    <cellStyle name="20% - 强调文字颜色 3 32" xfId="0"/>
    <cellStyle name="20% - 强调文字颜色 3 33" xfId="0"/>
    <cellStyle name="20% - 强调文字颜色 3 34" xfId="0"/>
    <cellStyle name="20% - 强调文字颜色 3 35" xfId="0"/>
    <cellStyle name="20% - 强调文字颜色 3 36" xfId="0"/>
    <cellStyle name="20% - 强调文字颜色 3 37" xfId="0"/>
    <cellStyle name="20% - 强调文字颜色 3 38" xfId="0"/>
    <cellStyle name="20% - 强调文字颜色 3 39" xfId="0"/>
    <cellStyle name="20% - 强调文字颜色 3 4" xfId="0"/>
    <cellStyle name="20% - 强调文字颜色 3 40" xfId="0"/>
    <cellStyle name="20% - 强调文字颜色 3 41" xfId="0"/>
    <cellStyle name="20% - 强调文字颜色 3 42" xfId="0"/>
    <cellStyle name="20% - 强调文字颜色 3 43" xfId="0"/>
    <cellStyle name="20% - 强调文字颜色 3 44" xfId="0"/>
    <cellStyle name="20% - 强调文字颜色 3 45" xfId="0"/>
    <cellStyle name="20% - 强调文字颜色 3 46" xfId="0"/>
    <cellStyle name="20% - 强调文字颜色 3 47" xfId="0"/>
    <cellStyle name="20% - 强调文字颜色 3 48" xfId="0"/>
    <cellStyle name="20% - 强调文字颜色 3 49" xfId="0"/>
    <cellStyle name="20% - 强调文字颜色 3 5" xfId="0"/>
    <cellStyle name="20% - 强调文字颜色 3 50" xfId="0"/>
    <cellStyle name="20% - 强调文字颜色 3 51" xfId="0"/>
    <cellStyle name="20% - 强调文字颜色 3 52" xfId="0"/>
    <cellStyle name="20% - 强调文字颜色 3 53" xfId="0"/>
    <cellStyle name="20% - 强调文字颜色 3 54" xfId="0"/>
    <cellStyle name="20% - 强调文字颜色 3 55" xfId="0"/>
    <cellStyle name="20% - 强调文字颜色 3 56" xfId="0"/>
    <cellStyle name="20% - 强调文字颜色 3 57" xfId="0"/>
    <cellStyle name="20% - 强调文字颜色 3 58" xfId="0"/>
    <cellStyle name="20% - 强调文字颜色 3 59" xfId="0"/>
    <cellStyle name="20% - 强调文字颜色 3 6" xfId="0"/>
    <cellStyle name="20% - 强调文字颜色 3 60" xfId="0"/>
    <cellStyle name="20% - 强调文字颜色 3 61" xfId="0"/>
    <cellStyle name="20% - 强调文字颜色 3 62" xfId="0"/>
    <cellStyle name="20% - 强调文字颜色 3 63" xfId="0"/>
    <cellStyle name="20% - 强调文字颜色 3 64" xfId="0"/>
    <cellStyle name="20% - 强调文字颜色 3 65" xfId="0"/>
    <cellStyle name="20% - 强调文字颜色 3 66" xfId="0"/>
    <cellStyle name="20% - 强调文字颜色 3 67" xfId="0"/>
    <cellStyle name="20% - 强调文字颜色 3 68" xfId="0"/>
    <cellStyle name="20% - 强调文字颜色 3 69" xfId="0"/>
    <cellStyle name="20% - 强调文字颜色 3 7" xfId="0"/>
    <cellStyle name="20% - 强调文字颜色 3 70" xfId="0"/>
    <cellStyle name="20% - 强调文字颜色 3 71" xfId="0"/>
    <cellStyle name="20% - 强调文字颜色 3 72" xfId="0"/>
    <cellStyle name="20% - 强调文字颜色 3 73" xfId="0"/>
    <cellStyle name="20% - 强调文字颜色 3 74" xfId="0"/>
    <cellStyle name="20% - 强调文字颜色 3 75" xfId="0"/>
    <cellStyle name="20% - 强调文字颜色 3 76" xfId="0"/>
    <cellStyle name="20% - 强调文字颜色 3 77" xfId="0"/>
    <cellStyle name="20% - 强调文字颜色 3 78" xfId="0"/>
    <cellStyle name="20% - 强调文字颜色 3 79" xfId="0"/>
    <cellStyle name="20% - 强调文字颜色 3 8" xfId="0"/>
    <cellStyle name="20% - 强调文字颜色 3 80" xfId="0"/>
    <cellStyle name="20% - 强调文字颜色 3 81" xfId="0"/>
    <cellStyle name="20% - 强调文字颜色 3 82" xfId="0"/>
    <cellStyle name="20% - 强调文字颜色 3 83" xfId="0"/>
    <cellStyle name="20% - 强调文字颜色 3 84" xfId="0"/>
    <cellStyle name="20% - 强调文字颜色 3 9" xfId="0"/>
    <cellStyle name="20% - 强调文字颜色 3_CORP SG&amp;A" xfId="0"/>
    <cellStyle name="20% - 强调文字颜色 4" xfId="0"/>
    <cellStyle name="20% - 强调文字颜色 4 10" xfId="0"/>
    <cellStyle name="20% - 强调文字颜色 4 11" xfId="0"/>
    <cellStyle name="20% - 强调文字颜色 4 12" xfId="0"/>
    <cellStyle name="20% - 强调文字颜色 4 13" xfId="0"/>
    <cellStyle name="20% - 强调文字颜色 4 14" xfId="0"/>
    <cellStyle name="20% - 强调文字颜色 4 15" xfId="0"/>
    <cellStyle name="20% - 强调文字颜色 4 16" xfId="0"/>
    <cellStyle name="20% - 强调文字颜色 4 17" xfId="0"/>
    <cellStyle name="20% - 强调文字颜色 4 18" xfId="0"/>
    <cellStyle name="20% - 强调文字颜色 4 19" xfId="0"/>
    <cellStyle name="20% - 强调文字颜色 4 2" xfId="0"/>
    <cellStyle name="20% - 强调文字颜色 4 2 10" xfId="0"/>
    <cellStyle name="20% - 强调文字颜色 4 2 11" xfId="0"/>
    <cellStyle name="20% - 强调文字颜色 4 2 12" xfId="0"/>
    <cellStyle name="20% - 强调文字颜色 4 2 13" xfId="0"/>
    <cellStyle name="20% - 强调文字颜色 4 2 14" xfId="0"/>
    <cellStyle name="20% - 强调文字颜色 4 2 15" xfId="0"/>
    <cellStyle name="20% - 强调文字颜色 4 2 16" xfId="0"/>
    <cellStyle name="20% - 强调文字颜色 4 2 17" xfId="0"/>
    <cellStyle name="20% - 强调文字颜色 4 2 18" xfId="0"/>
    <cellStyle name="20% - 强调文字颜色 4 2 19" xfId="0"/>
    <cellStyle name="20% - 强调文字颜色 4 2 2" xfId="0"/>
    <cellStyle name="20% - 强调文字颜色 4 2 20" xfId="0"/>
    <cellStyle name="20% - 强调文字颜色 4 2 21" xfId="0"/>
    <cellStyle name="20% - 强调文字颜色 4 2 22" xfId="0"/>
    <cellStyle name="20% - 强调文字颜色 4 2 23" xfId="0"/>
    <cellStyle name="20% - 强调文字颜色 4 2 24" xfId="0"/>
    <cellStyle name="20% - 强调文字颜色 4 2 25" xfId="0"/>
    <cellStyle name="20% - 强调文字颜色 4 2 3" xfId="0"/>
    <cellStyle name="20% - 强调文字颜色 4 2 4" xfId="0"/>
    <cellStyle name="20% - 强调文字颜色 4 2 5" xfId="0"/>
    <cellStyle name="20% - 强调文字颜色 4 2 6" xfId="0"/>
    <cellStyle name="20% - 强调文字颜色 4 2 7" xfId="0"/>
    <cellStyle name="20% - 强调文字颜色 4 2 8" xfId="0"/>
    <cellStyle name="20% - 强调文字颜色 4 2 9" xfId="0"/>
    <cellStyle name="20% - 强调文字颜色 4 20" xfId="0"/>
    <cellStyle name="20% - 强调文字颜色 4 21" xfId="0"/>
    <cellStyle name="20% - 强调文字颜色 4 22" xfId="0"/>
    <cellStyle name="20% - 强调文字颜色 4 23" xfId="0"/>
    <cellStyle name="20% - 强调文字颜色 4 24" xfId="0"/>
    <cellStyle name="20% - 强调文字颜色 4 25" xfId="0"/>
    <cellStyle name="20% - 强调文字颜色 4 26" xfId="0"/>
    <cellStyle name="20% - 强调文字颜色 4 27" xfId="0"/>
    <cellStyle name="20% - 强调文字颜色 4 28" xfId="0"/>
    <cellStyle name="20% - 强调文字颜色 4 29" xfId="0"/>
    <cellStyle name="20% - 强调文字颜色 4 3" xfId="0"/>
    <cellStyle name="20% - 强调文字颜色 4 30" xfId="0"/>
    <cellStyle name="20% - 强调文字颜色 4 31" xfId="0"/>
    <cellStyle name="20% - 强调文字颜色 4 32" xfId="0"/>
    <cellStyle name="20% - 强调文字颜色 4 33" xfId="0"/>
    <cellStyle name="20% - 强调文字颜色 4 34" xfId="0"/>
    <cellStyle name="20% - 强调文字颜色 4 35" xfId="0"/>
    <cellStyle name="20% - 强调文字颜色 4 36" xfId="0"/>
    <cellStyle name="20% - 强调文字颜色 4 37" xfId="0"/>
    <cellStyle name="20% - 强调文字颜色 4 38" xfId="0"/>
    <cellStyle name="20% - 强调文字颜色 4 39" xfId="0"/>
    <cellStyle name="20% - 强调文字颜色 4 4" xfId="0"/>
    <cellStyle name="20% - 强调文字颜色 4 40" xfId="0"/>
    <cellStyle name="20% - 强调文字颜色 4 41" xfId="0"/>
    <cellStyle name="20% - 强调文字颜色 4 42" xfId="0"/>
    <cellStyle name="20% - 强调文字颜色 4 43" xfId="0"/>
    <cellStyle name="20% - 强调文字颜色 4 44" xfId="0"/>
    <cellStyle name="20% - 强调文字颜色 4 45" xfId="0"/>
    <cellStyle name="20% - 强调文字颜色 4 46" xfId="0"/>
    <cellStyle name="20% - 强调文字颜色 4 47" xfId="0"/>
    <cellStyle name="20% - 强调文字颜色 4 48" xfId="0"/>
    <cellStyle name="20% - 强调文字颜色 4 49" xfId="0"/>
    <cellStyle name="20% - 强调文字颜色 4 5" xfId="0"/>
    <cellStyle name="20% - 强调文字颜色 4 50" xfId="0"/>
    <cellStyle name="20% - 强调文字颜色 4 51" xfId="0"/>
    <cellStyle name="20% - 强调文字颜色 4 52" xfId="0"/>
    <cellStyle name="20% - 强调文字颜色 4 53" xfId="0"/>
    <cellStyle name="20% - 强调文字颜色 4 54" xfId="0"/>
    <cellStyle name="20% - 强调文字颜色 4 55" xfId="0"/>
    <cellStyle name="20% - 强调文字颜色 4 56" xfId="0"/>
    <cellStyle name="20% - 强调文字颜色 4 57" xfId="0"/>
    <cellStyle name="20% - 强调文字颜色 4 58" xfId="0"/>
    <cellStyle name="20% - 强调文字颜色 4 59" xfId="0"/>
    <cellStyle name="20% - 强调文字颜色 4 6" xfId="0"/>
    <cellStyle name="20% - 强调文字颜色 4 60" xfId="0"/>
    <cellStyle name="20% - 强调文字颜色 4 61" xfId="0"/>
    <cellStyle name="20% - 强调文字颜色 4 62" xfId="0"/>
    <cellStyle name="20% - 强调文字颜色 4 63" xfId="0"/>
    <cellStyle name="20% - 强调文字颜色 4 64" xfId="0"/>
    <cellStyle name="20% - 强调文字颜色 4 65" xfId="0"/>
    <cellStyle name="20% - 强调文字颜色 4 66" xfId="0"/>
    <cellStyle name="20% - 强调文字颜色 4 67" xfId="0"/>
    <cellStyle name="20% - 强调文字颜色 4 68" xfId="0"/>
    <cellStyle name="20% - 强调文字颜色 4 69" xfId="0"/>
    <cellStyle name="20% - 强调文字颜色 4 7" xfId="0"/>
    <cellStyle name="20% - 强调文字颜色 4 70" xfId="0"/>
    <cellStyle name="20% - 强调文字颜色 4 71" xfId="0"/>
    <cellStyle name="20% - 强调文字颜色 4 72" xfId="0"/>
    <cellStyle name="20% - 强调文字颜色 4 73" xfId="0"/>
    <cellStyle name="20% - 强调文字颜色 4 74" xfId="0"/>
    <cellStyle name="20% - 强调文字颜色 4 75" xfId="0"/>
    <cellStyle name="20% - 强调文字颜色 4 76" xfId="0"/>
    <cellStyle name="20% - 强调文字颜色 4 77" xfId="0"/>
    <cellStyle name="20% - 强调文字颜色 4 78" xfId="0"/>
    <cellStyle name="20% - 强调文字颜色 4 79" xfId="0"/>
    <cellStyle name="20% - 强调文字颜色 4 8" xfId="0"/>
    <cellStyle name="20% - 强调文字颜色 4 80" xfId="0"/>
    <cellStyle name="20% - 强调文字颜色 4 81" xfId="0"/>
    <cellStyle name="20% - 强调文字颜色 4 82" xfId="0"/>
    <cellStyle name="20% - 强调文字颜色 4 83" xfId="0"/>
    <cellStyle name="20% - 强调文字颜色 4 84" xfId="0"/>
    <cellStyle name="20% - 强调文字颜色 4 9" xfId="0"/>
    <cellStyle name="20% - 强调文字颜色 4_CORP SG&amp;A" xfId="0"/>
    <cellStyle name="20% - 强调文字颜色 5" xfId="0"/>
    <cellStyle name="20% - 强调文字颜色 5 10" xfId="0"/>
    <cellStyle name="20% - 强调文字颜色 5 11" xfId="0"/>
    <cellStyle name="20% - 强调文字颜色 5 12" xfId="0"/>
    <cellStyle name="20% - 强调文字颜色 5 13" xfId="0"/>
    <cellStyle name="20% - 强调文字颜色 5 14" xfId="0"/>
    <cellStyle name="20% - 强调文字颜色 5 15" xfId="0"/>
    <cellStyle name="20% - 强调文字颜色 5 16" xfId="0"/>
    <cellStyle name="20% - 强调文字颜色 5 17" xfId="0"/>
    <cellStyle name="20% - 强调文字颜色 5 18" xfId="0"/>
    <cellStyle name="20% - 强调文字颜色 5 19" xfId="0"/>
    <cellStyle name="20% - 强调文字颜色 5 2" xfId="0"/>
    <cellStyle name="20% - 强调文字颜色 5 2 10" xfId="0"/>
    <cellStyle name="20% - 强调文字颜色 5 2 11" xfId="0"/>
    <cellStyle name="20% - 强调文字颜色 5 2 12" xfId="0"/>
    <cellStyle name="20% - 强调文字颜色 5 2 13" xfId="0"/>
    <cellStyle name="20% - 强调文字颜色 5 2 14" xfId="0"/>
    <cellStyle name="20% - 强调文字颜色 5 2 15" xfId="0"/>
    <cellStyle name="20% - 强调文字颜色 5 2 16" xfId="0"/>
    <cellStyle name="20% - 强调文字颜色 5 2 17" xfId="0"/>
    <cellStyle name="20% - 强调文字颜色 5 2 18" xfId="0"/>
    <cellStyle name="20% - 强调文字颜色 5 2 19" xfId="0"/>
    <cellStyle name="20% - 强调文字颜色 5 2 2" xfId="0"/>
    <cellStyle name="20% - 强调文字颜色 5 2 20" xfId="0"/>
    <cellStyle name="20% - 强调文字颜色 5 2 21" xfId="0"/>
    <cellStyle name="20% - 强调文字颜色 5 2 22" xfId="0"/>
    <cellStyle name="20% - 强调文字颜色 5 2 23" xfId="0"/>
    <cellStyle name="20% - 强调文字颜色 5 2 24" xfId="0"/>
    <cellStyle name="20% - 强调文字颜色 5 2 3" xfId="0"/>
    <cellStyle name="20% - 强调文字颜色 5 2 4" xfId="0"/>
    <cellStyle name="20% - 强调文字颜色 5 2 5" xfId="0"/>
    <cellStyle name="20% - 强调文字颜色 5 2 6" xfId="0"/>
    <cellStyle name="20% - 强调文字颜色 5 2 7" xfId="0"/>
    <cellStyle name="20% - 强调文字颜色 5 2 8" xfId="0"/>
    <cellStyle name="20% - 强调文字颜色 5 2 9" xfId="0"/>
    <cellStyle name="20% - 强调文字颜色 5 20" xfId="0"/>
    <cellStyle name="20% - 强调文字颜色 5 21" xfId="0"/>
    <cellStyle name="20% - 强调文字颜色 5 22" xfId="0"/>
    <cellStyle name="20% - 强调文字颜色 5 23" xfId="0"/>
    <cellStyle name="20% - 强调文字颜色 5 24" xfId="0"/>
    <cellStyle name="20% - 强调文字颜色 5 25" xfId="0"/>
    <cellStyle name="20% - 强调文字颜色 5 26" xfId="0"/>
    <cellStyle name="20% - 强调文字颜色 5 27" xfId="0"/>
    <cellStyle name="20% - 强调文字颜色 5 28" xfId="0"/>
    <cellStyle name="20% - 强调文字颜色 5 29" xfId="0"/>
    <cellStyle name="20% - 强调文字颜色 5 3" xfId="0"/>
    <cellStyle name="20% - 强调文字颜色 5 30" xfId="0"/>
    <cellStyle name="20% - 强调文字颜色 5 31" xfId="0"/>
    <cellStyle name="20% - 强调文字颜色 5 32" xfId="0"/>
    <cellStyle name="20% - 强调文字颜色 5 33" xfId="0"/>
    <cellStyle name="20% - 强调文字颜色 5 34" xfId="0"/>
    <cellStyle name="20% - 强调文字颜色 5 35" xfId="0"/>
    <cellStyle name="20% - 强调文字颜色 5 36" xfId="0"/>
    <cellStyle name="20% - 强调文字颜色 5 37" xfId="0"/>
    <cellStyle name="20% - 强调文字颜色 5 38" xfId="0"/>
    <cellStyle name="20% - 强调文字颜色 5 39" xfId="0"/>
    <cellStyle name="20% - 强调文字颜色 5 4" xfId="0"/>
    <cellStyle name="20% - 强调文字颜色 5 40" xfId="0"/>
    <cellStyle name="20% - 强调文字颜色 5 41" xfId="0"/>
    <cellStyle name="20% - 强调文字颜色 5 42" xfId="0"/>
    <cellStyle name="20% - 强调文字颜色 5 43" xfId="0"/>
    <cellStyle name="20% - 强调文字颜色 5 44" xfId="0"/>
    <cellStyle name="20% - 强调文字颜色 5 45" xfId="0"/>
    <cellStyle name="20% - 强调文字颜色 5 46" xfId="0"/>
    <cellStyle name="20% - 强调文字颜色 5 47" xfId="0"/>
    <cellStyle name="20% - 强调文字颜色 5 48" xfId="0"/>
    <cellStyle name="20% - 强调文字颜色 5 49" xfId="0"/>
    <cellStyle name="20% - 强调文字颜色 5 5" xfId="0"/>
    <cellStyle name="20% - 强调文字颜色 5 50" xfId="0"/>
    <cellStyle name="20% - 强调文字颜色 5 51" xfId="0"/>
    <cellStyle name="20% - 强调文字颜色 5 52" xfId="0"/>
    <cellStyle name="20% - 强调文字颜色 5 53" xfId="0"/>
    <cellStyle name="20% - 强调文字颜色 5 54" xfId="0"/>
    <cellStyle name="20% - 强调文字颜色 5 55" xfId="0"/>
    <cellStyle name="20% - 强调文字颜色 5 56" xfId="0"/>
    <cellStyle name="20% - 强调文字颜色 5 57" xfId="0"/>
    <cellStyle name="20% - 强调文字颜色 5 58" xfId="0"/>
    <cellStyle name="20% - 强调文字颜色 5 59" xfId="0"/>
    <cellStyle name="20% - 强调文字颜色 5 6" xfId="0"/>
    <cellStyle name="20% - 强调文字颜色 5 60" xfId="0"/>
    <cellStyle name="20% - 强调文字颜色 5 61" xfId="0"/>
    <cellStyle name="20% - 强调文字颜色 5 62" xfId="0"/>
    <cellStyle name="20% - 强调文字颜色 5 63" xfId="0"/>
    <cellStyle name="20% - 强调文字颜色 5 64" xfId="0"/>
    <cellStyle name="20% - 强调文字颜色 5 65" xfId="0"/>
    <cellStyle name="20% - 强调文字颜色 5 66" xfId="0"/>
    <cellStyle name="20% - 强调文字颜色 5 67" xfId="0"/>
    <cellStyle name="20% - 强调文字颜色 5 68" xfId="0"/>
    <cellStyle name="20% - 强调文字颜色 5 69" xfId="0"/>
    <cellStyle name="20% - 强调文字颜色 5 7" xfId="0"/>
    <cellStyle name="20% - 强调文字颜色 5 70" xfId="0"/>
    <cellStyle name="20% - 强调文字颜色 5 71" xfId="0"/>
    <cellStyle name="20% - 强调文字颜色 5 72" xfId="0"/>
    <cellStyle name="20% - 强调文字颜色 5 73" xfId="0"/>
    <cellStyle name="20% - 强调文字颜色 5 74" xfId="0"/>
    <cellStyle name="20% - 强调文字颜色 5 75" xfId="0"/>
    <cellStyle name="20% - 强调文字颜色 5 76" xfId="0"/>
    <cellStyle name="20% - 强调文字颜色 5 77" xfId="0"/>
    <cellStyle name="20% - 强调文字颜色 5 78" xfId="0"/>
    <cellStyle name="20% - 强调文字颜色 5 79" xfId="0"/>
    <cellStyle name="20% - 强调文字颜色 5 8" xfId="0"/>
    <cellStyle name="20% - 强调文字颜色 5 80" xfId="0"/>
    <cellStyle name="20% - 强调文字颜色 5 81" xfId="0"/>
    <cellStyle name="20% - 强调文字颜色 5 82" xfId="0"/>
    <cellStyle name="20% - 强调文字颜色 5 83" xfId="0"/>
    <cellStyle name="20% - 强调文字颜色 5 9" xfId="0"/>
    <cellStyle name="20% - 强调文字颜色 5_CORP SG&amp;A" xfId="0"/>
    <cellStyle name="20% - 强调文字颜色 6" xfId="0"/>
    <cellStyle name="20% - 强调文字颜色 6 10" xfId="0"/>
    <cellStyle name="20% - 强调文字颜色 6 11" xfId="0"/>
    <cellStyle name="20% - 强调文字颜色 6 12" xfId="0"/>
    <cellStyle name="20% - 强调文字颜色 6 13" xfId="0"/>
    <cellStyle name="20% - 强调文字颜色 6 14" xfId="0"/>
    <cellStyle name="20% - 强调文字颜色 6 15" xfId="0"/>
    <cellStyle name="20% - 强调文字颜色 6 16" xfId="0"/>
    <cellStyle name="20% - 强调文字颜色 6 17" xfId="0"/>
    <cellStyle name="20% - 强调文字颜色 6 18" xfId="0"/>
    <cellStyle name="20% - 强调文字颜色 6 19" xfId="0"/>
    <cellStyle name="20% - 强调文字颜色 6 2" xfId="0"/>
    <cellStyle name="20% - 强调文字颜色 6 2 10" xfId="0"/>
    <cellStyle name="20% - 强调文字颜色 6 2 11" xfId="0"/>
    <cellStyle name="20% - 强调文字颜色 6 2 12" xfId="0"/>
    <cellStyle name="20% - 强调文字颜色 6 2 13" xfId="0"/>
    <cellStyle name="20% - 强调文字颜色 6 2 14" xfId="0"/>
    <cellStyle name="20% - 强调文字颜色 6 2 15" xfId="0"/>
    <cellStyle name="20% - 强调文字颜色 6 2 16" xfId="0"/>
    <cellStyle name="20% - 强调文字颜色 6 2 17" xfId="0"/>
    <cellStyle name="20% - 强调文字颜色 6 2 18" xfId="0"/>
    <cellStyle name="20% - 强调文字颜色 6 2 19" xfId="0"/>
    <cellStyle name="20% - 强调文字颜色 6 2 2" xfId="0"/>
    <cellStyle name="20% - 强调文字颜色 6 2 20" xfId="0"/>
    <cellStyle name="20% - 强调文字颜色 6 2 21" xfId="0"/>
    <cellStyle name="20% - 强调文字颜色 6 2 22" xfId="0"/>
    <cellStyle name="20% - 强调文字颜色 6 2 23" xfId="0"/>
    <cellStyle name="20% - 强调文字颜色 6 2 24" xfId="0"/>
    <cellStyle name="20% - 强调文字颜色 6 2 3" xfId="0"/>
    <cellStyle name="20% - 强调文字颜色 6 2 4" xfId="0"/>
    <cellStyle name="20% - 强调文字颜色 6 2 5" xfId="0"/>
    <cellStyle name="20% - 强调文字颜色 6 2 6" xfId="0"/>
    <cellStyle name="20% - 强调文字颜色 6 2 7" xfId="0"/>
    <cellStyle name="20% - 强调文字颜色 6 2 8" xfId="0"/>
    <cellStyle name="20% - 强调文字颜色 6 2 9" xfId="0"/>
    <cellStyle name="20% - 强调文字颜色 6 20" xfId="0"/>
    <cellStyle name="20% - 强调文字颜色 6 21" xfId="0"/>
    <cellStyle name="20% - 强调文字颜色 6 22" xfId="0"/>
    <cellStyle name="20% - 强调文字颜色 6 23" xfId="0"/>
    <cellStyle name="20% - 强调文字颜色 6 24" xfId="0"/>
    <cellStyle name="20% - 强调文字颜色 6 25" xfId="0"/>
    <cellStyle name="20% - 强调文字颜色 6 26" xfId="0"/>
    <cellStyle name="20% - 强调文字颜色 6 27" xfId="0"/>
    <cellStyle name="20% - 强调文字颜色 6 28" xfId="0"/>
    <cellStyle name="20% - 强调文字颜色 6 29" xfId="0"/>
    <cellStyle name="20% - 强调文字颜色 6 3" xfId="0"/>
    <cellStyle name="20% - 强调文字颜色 6 30" xfId="0"/>
    <cellStyle name="20% - 强调文字颜色 6 31" xfId="0"/>
    <cellStyle name="20% - 强调文字颜色 6 32" xfId="0"/>
    <cellStyle name="20% - 强调文字颜色 6 33" xfId="0"/>
    <cellStyle name="20% - 强调文字颜色 6 34" xfId="0"/>
    <cellStyle name="20% - 强调文字颜色 6 35" xfId="0"/>
    <cellStyle name="20% - 强调文字颜色 6 36" xfId="0"/>
    <cellStyle name="20% - 强调文字颜色 6 37" xfId="0"/>
    <cellStyle name="20% - 强调文字颜色 6 38" xfId="0"/>
    <cellStyle name="20% - 强调文字颜色 6 39" xfId="0"/>
    <cellStyle name="20% - 强调文字颜色 6 4" xfId="0"/>
    <cellStyle name="20% - 强调文字颜色 6 40" xfId="0"/>
    <cellStyle name="20% - 强调文字颜色 6 41" xfId="0"/>
    <cellStyle name="20% - 强调文字颜色 6 42" xfId="0"/>
    <cellStyle name="20% - 强调文字颜色 6 43" xfId="0"/>
    <cellStyle name="20% - 强调文字颜色 6 44" xfId="0"/>
    <cellStyle name="20% - 强调文字颜色 6 45" xfId="0"/>
    <cellStyle name="20% - 强调文字颜色 6 46" xfId="0"/>
    <cellStyle name="20% - 强调文字颜色 6 47" xfId="0"/>
    <cellStyle name="20% - 强调文字颜色 6 48" xfId="0"/>
    <cellStyle name="20% - 强调文字颜色 6 49" xfId="0"/>
    <cellStyle name="20% - 强调文字颜色 6 5" xfId="0"/>
    <cellStyle name="20% - 强调文字颜色 6 50" xfId="0"/>
    <cellStyle name="20% - 强调文字颜色 6 51" xfId="0"/>
    <cellStyle name="20% - 强调文字颜色 6 52" xfId="0"/>
    <cellStyle name="20% - 强调文字颜色 6 53" xfId="0"/>
    <cellStyle name="20% - 强调文字颜色 6 54" xfId="0"/>
    <cellStyle name="20% - 强调文字颜色 6 55" xfId="0"/>
    <cellStyle name="20% - 强调文字颜色 6 56" xfId="0"/>
    <cellStyle name="20% - 强调文字颜色 6 57" xfId="0"/>
    <cellStyle name="20% - 强调文字颜色 6 58" xfId="0"/>
    <cellStyle name="20% - 强调文字颜色 6 59" xfId="0"/>
    <cellStyle name="20% - 强调文字颜色 6 6" xfId="0"/>
    <cellStyle name="20% - 强调文字颜色 6 60" xfId="0"/>
    <cellStyle name="20% - 强调文字颜色 6 61" xfId="0"/>
    <cellStyle name="20% - 强调文字颜色 6 62" xfId="0"/>
    <cellStyle name="20% - 强调文字颜色 6 63" xfId="0"/>
    <cellStyle name="20% - 强调文字颜色 6 64" xfId="0"/>
    <cellStyle name="20% - 强调文字颜色 6 65" xfId="0"/>
    <cellStyle name="20% - 强调文字颜色 6 66" xfId="0"/>
    <cellStyle name="20% - 强调文字颜色 6 67" xfId="0"/>
    <cellStyle name="20% - 强调文字颜色 6 68" xfId="0"/>
    <cellStyle name="20% - 强调文字颜色 6 69" xfId="0"/>
    <cellStyle name="20% - 强调文字颜色 6 7" xfId="0"/>
    <cellStyle name="20% - 强调文字颜色 6 70" xfId="0"/>
    <cellStyle name="20% - 强调文字颜色 6 71" xfId="0"/>
    <cellStyle name="20% - 强调文字颜色 6 72" xfId="0"/>
    <cellStyle name="20% - 强调文字颜色 6 73" xfId="0"/>
    <cellStyle name="20% - 强调文字颜色 6 74" xfId="0"/>
    <cellStyle name="20% - 强调文字颜色 6 75" xfId="0"/>
    <cellStyle name="20% - 强调文字颜色 6 76" xfId="0"/>
    <cellStyle name="20% - 强调文字颜色 6 77" xfId="0"/>
    <cellStyle name="20% - 强调文字颜色 6 78" xfId="0"/>
    <cellStyle name="20% - 强调文字颜色 6 79" xfId="0"/>
    <cellStyle name="20% - 强调文字颜色 6 8" xfId="0"/>
    <cellStyle name="20% - 强调文字颜色 6 80" xfId="0"/>
    <cellStyle name="20% - 强调文字颜色 6 81" xfId="0"/>
    <cellStyle name="20% - 强调文字颜色 6 82" xfId="0"/>
    <cellStyle name="20% - 强调文字颜色 6 83" xfId="0"/>
    <cellStyle name="20% - 强调文字颜色 6 84" xfId="0"/>
    <cellStyle name="20% - 强调文字颜色 6 9" xfId="0"/>
    <cellStyle name="20% - 强调文字颜色 6_CORP SG&amp;A" xfId="0"/>
    <cellStyle name="20% - 輔色1 2" xfId="0"/>
    <cellStyle name="20% - 輔色1 2 2" xfId="0"/>
    <cellStyle name="20% - 輔色1 3" xfId="0"/>
    <cellStyle name="20% - 輔色1 3 2" xfId="0"/>
    <cellStyle name="20% - 輔色1 3 3" xfId="0"/>
    <cellStyle name="20% - 輔色1 4" xfId="0"/>
    <cellStyle name="20% - 輔色1 5" xfId="0"/>
    <cellStyle name="20% - 輔色2 2" xfId="0"/>
    <cellStyle name="20% - 輔色2 2 2" xfId="0"/>
    <cellStyle name="20% - 輔色2 3" xfId="0"/>
    <cellStyle name="20% - 輔色2 3 2" xfId="0"/>
    <cellStyle name="20% - 輔色2 3 3" xfId="0"/>
    <cellStyle name="20% - 輔色2 4" xfId="0"/>
    <cellStyle name="20% - 輔色2 5" xfId="0"/>
    <cellStyle name="20% - 輔色3 2" xfId="0"/>
    <cellStyle name="20% - 輔色3 2 2" xfId="0"/>
    <cellStyle name="20% - 輔色3 3" xfId="0"/>
    <cellStyle name="20% - 輔色3 3 2" xfId="0"/>
    <cellStyle name="20% - 輔色3 3 3" xfId="0"/>
    <cellStyle name="20% - 輔色3 4" xfId="0"/>
    <cellStyle name="20% - 輔色3 5" xfId="0"/>
    <cellStyle name="20% - 輔色4 2" xfId="0"/>
    <cellStyle name="20% - 輔色4 2 2" xfId="0"/>
    <cellStyle name="20% - 輔色4 3" xfId="0"/>
    <cellStyle name="20% - 輔色4 3 2" xfId="0"/>
    <cellStyle name="20% - 輔色4 3 3" xfId="0"/>
    <cellStyle name="20% - 輔色4 4" xfId="0"/>
    <cellStyle name="20% - 輔色4 5" xfId="0"/>
    <cellStyle name="20% - 輔色5 2" xfId="0"/>
    <cellStyle name="20% - 輔色5 2 2" xfId="0"/>
    <cellStyle name="20% - 輔色5 3" xfId="0"/>
    <cellStyle name="20% - 輔色5 3 2" xfId="0"/>
    <cellStyle name="20% - 輔色5 3 3" xfId="0"/>
    <cellStyle name="20% - 輔色5 4" xfId="0"/>
    <cellStyle name="20% - 輔色5 5" xfId="0"/>
    <cellStyle name="20% - 輔色6 2" xfId="0"/>
    <cellStyle name="20% - 輔色6 2 2" xfId="0"/>
    <cellStyle name="20% - 輔色6 3" xfId="0"/>
    <cellStyle name="20% - 輔色6 3 2" xfId="0"/>
    <cellStyle name="20% - 輔色6 3 3" xfId="0"/>
    <cellStyle name="20% - 輔色6 4" xfId="0"/>
    <cellStyle name="20% - 輔色6 5" xfId="0"/>
    <cellStyle name="20 % - Accent1" xfId="0"/>
    <cellStyle name="20 % - Accent1 2" xfId="0"/>
    <cellStyle name="20 % - Accent2" xfId="0"/>
    <cellStyle name="20 % - Accent2 2" xfId="0"/>
    <cellStyle name="20 % - Accent3" xfId="0"/>
    <cellStyle name="20 % - Accent3 2" xfId="0"/>
    <cellStyle name="20 % - Accent4" xfId="0"/>
    <cellStyle name="20 % - Accent4 2" xfId="0"/>
    <cellStyle name="20 % - Accent5" xfId="0"/>
    <cellStyle name="20 % - Accent5 2" xfId="0"/>
    <cellStyle name="20 % - Accent6" xfId="0"/>
    <cellStyle name="20 % - Accent6 2" xfId="0"/>
    <cellStyle name="3232" xfId="0"/>
    <cellStyle name="3232 2" xfId="0"/>
    <cellStyle name="40 % - Markeringsfarve1" xfId="0"/>
    <cellStyle name="40 % - Markeringsfarve1 2" xfId="0"/>
    <cellStyle name="40 % - Markeringsfarve2" xfId="0"/>
    <cellStyle name="40 % - Markeringsfarve2 2" xfId="0"/>
    <cellStyle name="40 % - Markeringsfarve3" xfId="0"/>
    <cellStyle name="40 % - Markeringsfarve3 2" xfId="0"/>
    <cellStyle name="40 % - Markeringsfarve4" xfId="0"/>
    <cellStyle name="40 % - Markeringsfarve4 2" xfId="0"/>
    <cellStyle name="40 % - Markeringsfarve5" xfId="0"/>
    <cellStyle name="40 % - Markeringsfarve5 2" xfId="0"/>
    <cellStyle name="40 % - Markeringsfarve6" xfId="0"/>
    <cellStyle name="40 % - Markeringsfarve6 2" xfId="0"/>
    <cellStyle name="40% - Accent1" xfId="0"/>
    <cellStyle name="40% - Accent1 10" xfId="0"/>
    <cellStyle name="40% - Accent1 10 2" xfId="0"/>
    <cellStyle name="40% - Accent1 10 2 2" xfId="0"/>
    <cellStyle name="40% - Accent1 10 3" xfId="0"/>
    <cellStyle name="40% - Accent1 10 3 2" xfId="0"/>
    <cellStyle name="40% - Accent1 10 4" xfId="0"/>
    <cellStyle name="40% - Accent1 11" xfId="0"/>
    <cellStyle name="40% - Accent1 11 2" xfId="0"/>
    <cellStyle name="40% - Accent1 11 2 2" xfId="0"/>
    <cellStyle name="40% - Accent1 11 3" xfId="0"/>
    <cellStyle name="40% - Accent1 11 3 2" xfId="0"/>
    <cellStyle name="40% - Accent1 11 4" xfId="0"/>
    <cellStyle name="40% - Accent1 12" xfId="0"/>
    <cellStyle name="40% - Accent1 12 2" xfId="0"/>
    <cellStyle name="40% - Accent1 12 2 2" xfId="0"/>
    <cellStyle name="40% - Accent1 13" xfId="0"/>
    <cellStyle name="40% - Accent1 13 2" xfId="0"/>
    <cellStyle name="40% - Accent1 13 2 2" xfId="0"/>
    <cellStyle name="40% - Accent1 14" xfId="0"/>
    <cellStyle name="40% - Accent1 14 2" xfId="0"/>
    <cellStyle name="40% - Accent1 14 2 2" xfId="0"/>
    <cellStyle name="40% - Accent1 15" xfId="0"/>
    <cellStyle name="40% - Accent1 15 2" xfId="0"/>
    <cellStyle name="40% - Accent1 15 2 2" xfId="0"/>
    <cellStyle name="40% - Accent1 16" xfId="0"/>
    <cellStyle name="40% - Accent1 16 2" xfId="0"/>
    <cellStyle name="40% - Accent1 16 2 2" xfId="0"/>
    <cellStyle name="40% - Accent1 17" xfId="0"/>
    <cellStyle name="40% - Accent1 17 2" xfId="0"/>
    <cellStyle name="40% - Accent1 17 2 2" xfId="0"/>
    <cellStyle name="40% - Accent1 18" xfId="0"/>
    <cellStyle name="40% - Accent1 18 2" xfId="0"/>
    <cellStyle name="40% - Accent1 18 2 2" xfId="0"/>
    <cellStyle name="40% - Accent1 19" xfId="0"/>
    <cellStyle name="40% - Accent1 19 2" xfId="0"/>
    <cellStyle name="40% - Accent1 19 2 2" xfId="0"/>
    <cellStyle name="40% - Accent1 2" xfId="0"/>
    <cellStyle name="40% - Accent1 2 10" xfId="0"/>
    <cellStyle name="40% - Accent1 2 11" xfId="0"/>
    <cellStyle name="40% - Accent1 2 12" xfId="0"/>
    <cellStyle name="40% - Accent1 2 13" xfId="0"/>
    <cellStyle name="40% - Accent1 2 14" xfId="0"/>
    <cellStyle name="40% - Accent1 2 15" xfId="0"/>
    <cellStyle name="40% - Accent1 2 16" xfId="0"/>
    <cellStyle name="40% - Accent1 2 17" xfId="0"/>
    <cellStyle name="40% - Accent1 2 18" xfId="0"/>
    <cellStyle name="40% - Accent1 2 19" xfId="0"/>
    <cellStyle name="40% - Accent1 2 2" xfId="0"/>
    <cellStyle name="40% - Accent1 2 2 2" xfId="0"/>
    <cellStyle name="40% - Accent1 2 2 2 2" xfId="0"/>
    <cellStyle name="40% - Accent1 2 2 3" xfId="0"/>
    <cellStyle name="40% - Accent1 2 2 3 2" xfId="0"/>
    <cellStyle name="40% - Accent1 2 2 4" xfId="0"/>
    <cellStyle name="40% - Accent1 2 2 4 2" xfId="0"/>
    <cellStyle name="40% - Accent1 2 2 5" xfId="0"/>
    <cellStyle name="40% - Accent1 2 2 6" xfId="0"/>
    <cellStyle name="40% - Accent1 2 20" xfId="0"/>
    <cellStyle name="40% - Accent1 2 21" xfId="0"/>
    <cellStyle name="40% - Accent1 2 22" xfId="0"/>
    <cellStyle name="40% - Accent1 2 23" xfId="0"/>
    <cellStyle name="40% - Accent1 2 24" xfId="0"/>
    <cellStyle name="40% - Accent1 2 25" xfId="0"/>
    <cellStyle name="40% - Accent1 2 3" xfId="0"/>
    <cellStyle name="40% - Accent1 2 3 2" xfId="0"/>
    <cellStyle name="40% - Accent1 2 3 3" xfId="0"/>
    <cellStyle name="40% - Accent1 2 4" xfId="0"/>
    <cellStyle name="40% - Accent1 2 4 2" xfId="0"/>
    <cellStyle name="40% - Accent1 2 4 3" xfId="0"/>
    <cellStyle name="40% - Accent1 2 5" xfId="0"/>
    <cellStyle name="40% - Accent1 2 5 2" xfId="0"/>
    <cellStyle name="40% - Accent1 2 5 3" xfId="0"/>
    <cellStyle name="40% - Accent1 2 6" xfId="0"/>
    <cellStyle name="40% - Accent1 2 6 2" xfId="0"/>
    <cellStyle name="40% - Accent1 2 7" xfId="0"/>
    <cellStyle name="40% - Accent1 2 7 2" xfId="0"/>
    <cellStyle name="40% - Accent1 2 8" xfId="0"/>
    <cellStyle name="40% - Accent1 2 8 2" xfId="0"/>
    <cellStyle name="40% - Accent1 2 9" xfId="0"/>
    <cellStyle name="40% - Accent1 20" xfId="0"/>
    <cellStyle name="40% - Accent1 20 2" xfId="0"/>
    <cellStyle name="40% - Accent1 20 2 2" xfId="0"/>
    <cellStyle name="40% - Accent1 21" xfId="0"/>
    <cellStyle name="40% - Accent1 21 2" xfId="0"/>
    <cellStyle name="40% - Accent1 21 2 2" xfId="0"/>
    <cellStyle name="40% - Accent1 22" xfId="0"/>
    <cellStyle name="40% - Accent1 22 2" xfId="0"/>
    <cellStyle name="40% - Accent1 22 2 2" xfId="0"/>
    <cellStyle name="40% - Accent1 23" xfId="0"/>
    <cellStyle name="40% - Accent1 23 2" xfId="0"/>
    <cellStyle name="40% - Accent1 23 2 2" xfId="0"/>
    <cellStyle name="40% - Accent1 23 3" xfId="0"/>
    <cellStyle name="40% - Accent1 24" xfId="0"/>
    <cellStyle name="40% - Accent1 24 2" xfId="0"/>
    <cellStyle name="40% - Accent1 24 2 2" xfId="0"/>
    <cellStyle name="40% - Accent1 24 3" xfId="0"/>
    <cellStyle name="40% - Accent1 25" xfId="0"/>
    <cellStyle name="40% - Accent1 25 2" xfId="0"/>
    <cellStyle name="40% - Accent1 25 2 2" xfId="0"/>
    <cellStyle name="40% - Accent1 25 3" xfId="0"/>
    <cellStyle name="40% - Accent1 26" xfId="0"/>
    <cellStyle name="40% - Accent1 26 2" xfId="0"/>
    <cellStyle name="40% - Accent1 26 3" xfId="0"/>
    <cellStyle name="40% - Accent1 27" xfId="0"/>
    <cellStyle name="40% - Accent1 27 2" xfId="0"/>
    <cellStyle name="40% - Accent1 27 3" xfId="0"/>
    <cellStyle name="40% - Accent1 28" xfId="0"/>
    <cellStyle name="40% - Accent1 28 2" xfId="0"/>
    <cellStyle name="40% - Accent1 28 3" xfId="0"/>
    <cellStyle name="40% - Accent1 29" xfId="0"/>
    <cellStyle name="40% - Accent1 29 2" xfId="0"/>
    <cellStyle name="40% - Accent1 29 3" xfId="0"/>
    <cellStyle name="40% - Accent1 2_2.VSCN - GSC charge" xfId="0"/>
    <cellStyle name="40% - Accent1 3" xfId="0"/>
    <cellStyle name="40% - Accent1 3 2" xfId="0"/>
    <cellStyle name="40% - Accent1 3 2 2" xfId="0"/>
    <cellStyle name="40% - Accent1 3 2 3" xfId="0"/>
    <cellStyle name="40% - Accent1 3 3" xfId="0"/>
    <cellStyle name="40% - Accent1 3 3 2" xfId="0"/>
    <cellStyle name="40% - Accent1 3 3 3" xfId="0"/>
    <cellStyle name="40% - Accent1 3 4" xfId="0"/>
    <cellStyle name="40% - Accent1 3 4 2" xfId="0"/>
    <cellStyle name="40% - Accent1 3 5" xfId="0"/>
    <cellStyle name="40% - Accent1 3 5 2" xfId="0"/>
    <cellStyle name="40% - Accent1 3 6" xfId="0"/>
    <cellStyle name="40% - Accent1 3 7" xfId="0"/>
    <cellStyle name="40% - Accent1 30" xfId="0"/>
    <cellStyle name="40% - Accent1 30 2" xfId="0"/>
    <cellStyle name="40% - Accent1 31" xfId="0"/>
    <cellStyle name="40% - Accent1 31 2" xfId="0"/>
    <cellStyle name="40% - Accent1 32" xfId="0"/>
    <cellStyle name="40% - Accent1 32 2" xfId="0"/>
    <cellStyle name="40% - Accent1 33" xfId="0"/>
    <cellStyle name="40% - Accent1 33 2" xfId="0"/>
    <cellStyle name="40% - Accent1 34" xfId="0"/>
    <cellStyle name="40% - Accent1 34 2" xfId="0"/>
    <cellStyle name="40% - Accent1 35" xfId="0"/>
    <cellStyle name="40% - Accent1 35 2" xfId="0"/>
    <cellStyle name="40% - Accent1 36" xfId="0"/>
    <cellStyle name="40% - Accent1 36 2" xfId="0"/>
    <cellStyle name="40% - Accent1 37" xfId="0"/>
    <cellStyle name="40% - Accent1 37 2" xfId="0"/>
    <cellStyle name="40% - Accent1 38" xfId="0"/>
    <cellStyle name="40% - Accent1 38 2" xfId="0"/>
    <cellStyle name="40% - Accent1 39" xfId="0"/>
    <cellStyle name="40% - Accent1 39 2" xfId="0"/>
    <cellStyle name="40% - Accent1 3_Profitability Detail NT$ Sep-12" xfId="0"/>
    <cellStyle name="40% - Accent1 4" xfId="0"/>
    <cellStyle name="40% - Accent1 4 2" xfId="0"/>
    <cellStyle name="40% - Accent1 4 2 2" xfId="0"/>
    <cellStyle name="40% - Accent1 4 2 3" xfId="0"/>
    <cellStyle name="40% - Accent1 4 3" xfId="0"/>
    <cellStyle name="40% - Accent1 4 3 2" xfId="0"/>
    <cellStyle name="40% - Accent1 4 3 3" xfId="0"/>
    <cellStyle name="40% - Accent1 4 4" xfId="0"/>
    <cellStyle name="40% - Accent1 4 4 2" xfId="0"/>
    <cellStyle name="40% - Accent1 4 5" xfId="0"/>
    <cellStyle name="40% - Accent1 4 5 2" xfId="0"/>
    <cellStyle name="40% - Accent1 4 6" xfId="0"/>
    <cellStyle name="40% - Accent1 4 7" xfId="0"/>
    <cellStyle name="40% - Accent1 40" xfId="0"/>
    <cellStyle name="40% - Accent1 40 2" xfId="0"/>
    <cellStyle name="40% - Accent1 41" xfId="0"/>
    <cellStyle name="40% - Accent1 41 2" xfId="0"/>
    <cellStyle name="40% - Accent1 42" xfId="0"/>
    <cellStyle name="40% - Accent1 43" xfId="0"/>
    <cellStyle name="40% - Accent1 44" xfId="0"/>
    <cellStyle name="40% - Accent1 45" xfId="0"/>
    <cellStyle name="40% - Accent1 46" xfId="0"/>
    <cellStyle name="40% - Accent1 47" xfId="0"/>
    <cellStyle name="40% - Accent1 48" xfId="0"/>
    <cellStyle name="40% - Accent1 49" xfId="0"/>
    <cellStyle name="40% - Accent1 4_Profitability Detail NT$ Sep-12" xfId="0"/>
    <cellStyle name="40% - Accent1 5" xfId="0"/>
    <cellStyle name="40% - Accent1 5 2" xfId="0"/>
    <cellStyle name="40% - Accent1 5 2 2" xfId="0"/>
    <cellStyle name="40% - Accent1 5 2 3" xfId="0"/>
    <cellStyle name="40% - Accent1 5 3" xfId="0"/>
    <cellStyle name="40% - Accent1 5 3 2" xfId="0"/>
    <cellStyle name="40% - Accent1 5 4" xfId="0"/>
    <cellStyle name="40% - Accent1 5 4 2" xfId="0"/>
    <cellStyle name="40% - Accent1 5 5" xfId="0"/>
    <cellStyle name="40% - Accent1 50" xfId="0"/>
    <cellStyle name="40% - Accent1 51" xfId="0"/>
    <cellStyle name="40% - Accent1 52" xfId="0"/>
    <cellStyle name="40% - Accent1 53" xfId="0"/>
    <cellStyle name="40% - Accent1 54" xfId="0"/>
    <cellStyle name="40% - Accent1 55" xfId="0"/>
    <cellStyle name="40% - Accent1 56" xfId="0"/>
    <cellStyle name="40% - Accent1 57" xfId="0"/>
    <cellStyle name="40% - Accent1 58" xfId="0"/>
    <cellStyle name="40% - Accent1 59" xfId="0"/>
    <cellStyle name="40% - Accent1 6" xfId="0"/>
    <cellStyle name="40% - Accent1 6 2" xfId="0"/>
    <cellStyle name="40% - Accent1 6 2 2" xfId="0"/>
    <cellStyle name="40% - Accent1 6 3" xfId="0"/>
    <cellStyle name="40% - Accent1 6 3 2" xfId="0"/>
    <cellStyle name="40% - Accent1 6 4" xfId="0"/>
    <cellStyle name="40% - Accent1 60" xfId="0"/>
    <cellStyle name="40% - Accent1 61" xfId="0"/>
    <cellStyle name="40% - Accent1 62" xfId="0"/>
    <cellStyle name="40% - Accent1 63" xfId="0"/>
    <cellStyle name="40% - Accent1 64" xfId="0"/>
    <cellStyle name="40% - Accent1 65" xfId="0"/>
    <cellStyle name="40% - Accent1 66" xfId="0"/>
    <cellStyle name="40% - Accent1 67" xfId="0"/>
    <cellStyle name="40% - Accent1 68" xfId="0"/>
    <cellStyle name="40% - Accent1 69" xfId="0"/>
    <cellStyle name="40% - Accent1 7" xfId="0"/>
    <cellStyle name="40% - Accent1 7 2" xfId="0"/>
    <cellStyle name="40% - Accent1 7 2 2" xfId="0"/>
    <cellStyle name="40% - Accent1 7 3" xfId="0"/>
    <cellStyle name="40% - Accent1 7 3 2" xfId="0"/>
    <cellStyle name="40% - Accent1 7 4" xfId="0"/>
    <cellStyle name="40% - Accent1 70" xfId="0"/>
    <cellStyle name="40% - Accent1 71" xfId="0"/>
    <cellStyle name="40% - Accent1 72" xfId="0"/>
    <cellStyle name="40% - Accent1 73" xfId="0"/>
    <cellStyle name="40% - Accent1 74" xfId="0"/>
    <cellStyle name="40% - Accent1 75" xfId="0"/>
    <cellStyle name="40% - Accent1 76" xfId="0"/>
    <cellStyle name="40% - Accent1 77" xfId="0"/>
    <cellStyle name="40% - Accent1 78" xfId="0"/>
    <cellStyle name="40% - Accent1 79" xfId="0"/>
    <cellStyle name="40% - Accent1 8" xfId="0"/>
    <cellStyle name="40% - Accent1 8 2" xfId="0"/>
    <cellStyle name="40% - Accent1 8 2 2" xfId="0"/>
    <cellStyle name="40% - Accent1 8 3" xfId="0"/>
    <cellStyle name="40% - Accent1 8 3 2" xfId="0"/>
    <cellStyle name="40% - Accent1 8 4" xfId="0"/>
    <cellStyle name="40% - Accent1 80" xfId="0"/>
    <cellStyle name="40% - Accent1 81" xfId="0"/>
    <cellStyle name="40% - Accent1 82" xfId="0"/>
    <cellStyle name="40% - Accent1 83" xfId="0"/>
    <cellStyle name="40% - Accent1 84" xfId="0"/>
    <cellStyle name="40% - Accent1 85" xfId="0"/>
    <cellStyle name="40% - Accent1 86" xfId="0"/>
    <cellStyle name="40% - Accent1 87" xfId="0"/>
    <cellStyle name="40% - Accent1 88" xfId="0"/>
    <cellStyle name="40% - Accent1 89" xfId="0"/>
    <cellStyle name="40% - Accent1 9" xfId="0"/>
    <cellStyle name="40% - Accent1 9 2" xfId="0"/>
    <cellStyle name="40% - Accent1 9 2 2" xfId="0"/>
    <cellStyle name="40% - Accent1 9 3" xfId="0"/>
    <cellStyle name="40% - Accent1 9 3 2" xfId="0"/>
    <cellStyle name="40% - Accent1 9 4" xfId="0"/>
    <cellStyle name="40% - Accent1 90" xfId="0"/>
    <cellStyle name="40% - Accent1 91" xfId="0"/>
    <cellStyle name="40% - Accent1 92" xfId="0"/>
    <cellStyle name="40% - Accent1 93" xfId="0"/>
    <cellStyle name="40% - Accent1 94" xfId="0"/>
    <cellStyle name="40% - Accent1 95" xfId="0"/>
    <cellStyle name="40% - Accent1 96" xfId="0"/>
    <cellStyle name="40% - Accent1_ALL inventory onhand data 0912" xfId="0"/>
    <cellStyle name="40% - Accent2" xfId="0"/>
    <cellStyle name="40% - Accent2 10" xfId="0"/>
    <cellStyle name="40% - Accent2 10 2" xfId="0"/>
    <cellStyle name="40% - Accent2 10 2 2" xfId="0"/>
    <cellStyle name="40% - Accent2 10 3" xfId="0"/>
    <cellStyle name="40% - Accent2 10 3 2" xfId="0"/>
    <cellStyle name="40% - Accent2 10 4" xfId="0"/>
    <cellStyle name="40% - Accent2 11" xfId="0"/>
    <cellStyle name="40% - Accent2 11 2" xfId="0"/>
    <cellStyle name="40% - Accent2 11 2 2" xfId="0"/>
    <cellStyle name="40% - Accent2 11 3" xfId="0"/>
    <cellStyle name="40% - Accent2 11 3 2" xfId="0"/>
    <cellStyle name="40% - Accent2 11 4" xfId="0"/>
    <cellStyle name="40% - Accent2 12" xfId="0"/>
    <cellStyle name="40% - Accent2 12 2" xfId="0"/>
    <cellStyle name="40% - Accent2 12 2 2" xfId="0"/>
    <cellStyle name="40% - Accent2 13" xfId="0"/>
    <cellStyle name="40% - Accent2 13 2" xfId="0"/>
    <cellStyle name="40% - Accent2 13 2 2" xfId="0"/>
    <cellStyle name="40% - Accent2 14" xfId="0"/>
    <cellStyle name="40% - Accent2 14 2" xfId="0"/>
    <cellStyle name="40% - Accent2 14 2 2" xfId="0"/>
    <cellStyle name="40% - Accent2 15" xfId="0"/>
    <cellStyle name="40% - Accent2 15 2" xfId="0"/>
    <cellStyle name="40% - Accent2 15 2 2" xfId="0"/>
    <cellStyle name="40% - Accent2 16" xfId="0"/>
    <cellStyle name="40% - Accent2 16 2" xfId="0"/>
    <cellStyle name="40% - Accent2 16 2 2" xfId="0"/>
    <cellStyle name="40% - Accent2 17" xfId="0"/>
    <cellStyle name="40% - Accent2 17 2" xfId="0"/>
    <cellStyle name="40% - Accent2 17 2 2" xfId="0"/>
    <cellStyle name="40% - Accent2 18" xfId="0"/>
    <cellStyle name="40% - Accent2 18 2" xfId="0"/>
    <cellStyle name="40% - Accent2 18 2 2" xfId="0"/>
    <cellStyle name="40% - Accent2 19" xfId="0"/>
    <cellStyle name="40% - Accent2 19 2" xfId="0"/>
    <cellStyle name="40% - Accent2 19 2 2" xfId="0"/>
    <cellStyle name="40% - Accent2 2" xfId="0"/>
    <cellStyle name="40% - Accent2 2 10" xfId="0"/>
    <cellStyle name="40% - Accent2 2 11" xfId="0"/>
    <cellStyle name="40% - Accent2 2 12" xfId="0"/>
    <cellStyle name="40% - Accent2 2 13" xfId="0"/>
    <cellStyle name="40% - Accent2 2 14" xfId="0"/>
    <cellStyle name="40% - Accent2 2 15" xfId="0"/>
    <cellStyle name="40% - Accent2 2 16" xfId="0"/>
    <cellStyle name="40% - Accent2 2 17" xfId="0"/>
    <cellStyle name="40% - Accent2 2 18" xfId="0"/>
    <cellStyle name="40% - Accent2 2 19" xfId="0"/>
    <cellStyle name="40% - Accent2 2 2" xfId="0"/>
    <cellStyle name="40% - Accent2 2 2 2" xfId="0"/>
    <cellStyle name="40% - Accent2 2 2 2 2" xfId="0"/>
    <cellStyle name="40% - Accent2 2 2 3" xfId="0"/>
    <cellStyle name="40% - Accent2 2 2 3 2" xfId="0"/>
    <cellStyle name="40% - Accent2 2 2 4" xfId="0"/>
    <cellStyle name="40% - Accent2 2 2 4 2" xfId="0"/>
    <cellStyle name="40% - Accent2 2 2 5" xfId="0"/>
    <cellStyle name="40% - Accent2 2 2 6" xfId="0"/>
    <cellStyle name="40% - Accent2 2 20" xfId="0"/>
    <cellStyle name="40% - Accent2 2 21" xfId="0"/>
    <cellStyle name="40% - Accent2 2 22" xfId="0"/>
    <cellStyle name="40% - Accent2 2 23" xfId="0"/>
    <cellStyle name="40% - Accent2 2 24" xfId="0"/>
    <cellStyle name="40% - Accent2 2 25" xfId="0"/>
    <cellStyle name="40% - Accent2 2 3" xfId="0"/>
    <cellStyle name="40% - Accent2 2 3 2" xfId="0"/>
    <cellStyle name="40% - Accent2 2 3 3" xfId="0"/>
    <cellStyle name="40% - Accent2 2 4" xfId="0"/>
    <cellStyle name="40% - Accent2 2 4 2" xfId="0"/>
    <cellStyle name="40% - Accent2 2 4 3" xfId="0"/>
    <cellStyle name="40% - Accent2 2 5" xfId="0"/>
    <cellStyle name="40% - Accent2 2 5 2" xfId="0"/>
    <cellStyle name="40% - Accent2 2 5 3" xfId="0"/>
    <cellStyle name="40% - Accent2 2 6" xfId="0"/>
    <cellStyle name="40% - Accent2 2 6 2" xfId="0"/>
    <cellStyle name="40% - Accent2 2 7" xfId="0"/>
    <cellStyle name="40% - Accent2 2 7 2" xfId="0"/>
    <cellStyle name="40% - Accent2 2 8" xfId="0"/>
    <cellStyle name="40% - Accent2 2 8 2" xfId="0"/>
    <cellStyle name="40% - Accent2 2 9" xfId="0"/>
    <cellStyle name="40% - Accent2 20" xfId="0"/>
    <cellStyle name="40% - Accent2 20 2" xfId="0"/>
    <cellStyle name="40% - Accent2 20 2 2" xfId="0"/>
    <cellStyle name="40% - Accent2 21" xfId="0"/>
    <cellStyle name="40% - Accent2 21 2" xfId="0"/>
    <cellStyle name="40% - Accent2 21 2 2" xfId="0"/>
    <cellStyle name="40% - Accent2 22" xfId="0"/>
    <cellStyle name="40% - Accent2 22 2" xfId="0"/>
    <cellStyle name="40% - Accent2 22 2 2" xfId="0"/>
    <cellStyle name="40% - Accent2 23" xfId="0"/>
    <cellStyle name="40% - Accent2 23 2" xfId="0"/>
    <cellStyle name="40% - Accent2 23 2 2" xfId="0"/>
    <cellStyle name="40% - Accent2 23 3" xfId="0"/>
    <cellStyle name="40% - Accent2 24" xfId="0"/>
    <cellStyle name="40% - Accent2 24 2" xfId="0"/>
    <cellStyle name="40% - Accent2 24 2 2" xfId="0"/>
    <cellStyle name="40% - Accent2 24 3" xfId="0"/>
    <cellStyle name="40% - Accent2 25" xfId="0"/>
    <cellStyle name="40% - Accent2 25 2" xfId="0"/>
    <cellStyle name="40% - Accent2 25 3" xfId="0"/>
    <cellStyle name="40% - Accent2 26" xfId="0"/>
    <cellStyle name="40% - Accent2 26 2" xfId="0"/>
    <cellStyle name="40% - Accent2 27" xfId="0"/>
    <cellStyle name="40% - Accent2 27 2" xfId="0"/>
    <cellStyle name="40% - Accent2 28" xfId="0"/>
    <cellStyle name="40% - Accent2 28 2" xfId="0"/>
    <cellStyle name="40% - Accent2 29" xfId="0"/>
    <cellStyle name="40% - Accent2 29 2" xfId="0"/>
    <cellStyle name="40% - Accent2 2_2.VSCN - GSC charge" xfId="0"/>
    <cellStyle name="40% - Accent2 3" xfId="0"/>
    <cellStyle name="40% - Accent2 3 2" xfId="0"/>
    <cellStyle name="40% - Accent2 3 2 2" xfId="0"/>
    <cellStyle name="40% - Accent2 3 2 3" xfId="0"/>
    <cellStyle name="40% - Accent2 3 3" xfId="0"/>
    <cellStyle name="40% - Accent2 3 3 2" xfId="0"/>
    <cellStyle name="40% - Accent2 3 3 3" xfId="0"/>
    <cellStyle name="40% - Accent2 3 4" xfId="0"/>
    <cellStyle name="40% - Accent2 3 4 2" xfId="0"/>
    <cellStyle name="40% - Accent2 3 5" xfId="0"/>
    <cellStyle name="40% - Accent2 3 5 2" xfId="0"/>
    <cellStyle name="40% - Accent2 3 6" xfId="0"/>
    <cellStyle name="40% - Accent2 3 7" xfId="0"/>
    <cellStyle name="40% - Accent2 30" xfId="0"/>
    <cellStyle name="40% - Accent2 30 2" xfId="0"/>
    <cellStyle name="40% - Accent2 31" xfId="0"/>
    <cellStyle name="40% - Accent2 31 2" xfId="0"/>
    <cellStyle name="40% - Accent2 32" xfId="0"/>
    <cellStyle name="40% - Accent2 32 2" xfId="0"/>
    <cellStyle name="40% - Accent2 33" xfId="0"/>
    <cellStyle name="40% - Accent2 33 2" xfId="0"/>
    <cellStyle name="40% - Accent2 34" xfId="0"/>
    <cellStyle name="40% - Accent2 34 2" xfId="0"/>
    <cellStyle name="40% - Accent2 35" xfId="0"/>
    <cellStyle name="40% - Accent2 35 2" xfId="0"/>
    <cellStyle name="40% - Accent2 36" xfId="0"/>
    <cellStyle name="40% - Accent2 37" xfId="0"/>
    <cellStyle name="40% - Accent2 38" xfId="0"/>
    <cellStyle name="40% - Accent2 39" xfId="0"/>
    <cellStyle name="40% - Accent2 3_Profitability Detail NT$ Sep-12" xfId="0"/>
    <cellStyle name="40% - Accent2 4" xfId="0"/>
    <cellStyle name="40% - Accent2 4 2" xfId="0"/>
    <cellStyle name="40% - Accent2 4 2 2" xfId="0"/>
    <cellStyle name="40% - Accent2 4 2 3" xfId="0"/>
    <cellStyle name="40% - Accent2 4 3" xfId="0"/>
    <cellStyle name="40% - Accent2 4 3 2" xfId="0"/>
    <cellStyle name="40% - Accent2 4 3 3" xfId="0"/>
    <cellStyle name="40% - Accent2 4 4" xfId="0"/>
    <cellStyle name="40% - Accent2 4 4 2" xfId="0"/>
    <cellStyle name="40% - Accent2 4 5" xfId="0"/>
    <cellStyle name="40% - Accent2 4 5 2" xfId="0"/>
    <cellStyle name="40% - Accent2 4 6" xfId="0"/>
    <cellStyle name="40% - Accent2 4 7" xfId="0"/>
    <cellStyle name="40% - Accent2 40" xfId="0"/>
    <cellStyle name="40% - Accent2 41" xfId="0"/>
    <cellStyle name="40% - Accent2 42" xfId="0"/>
    <cellStyle name="40% - Accent2 43" xfId="0"/>
    <cellStyle name="40% - Accent2 44" xfId="0"/>
    <cellStyle name="40% - Accent2 45" xfId="0"/>
    <cellStyle name="40% - Accent2 46" xfId="0"/>
    <cellStyle name="40% - Accent2 47" xfId="0"/>
    <cellStyle name="40% - Accent2 48" xfId="0"/>
    <cellStyle name="40% - Accent2 49" xfId="0"/>
    <cellStyle name="40% - Accent2 4_Profitability Detail NT$ Sep-12" xfId="0"/>
    <cellStyle name="40% - Accent2 5" xfId="0"/>
    <cellStyle name="40% - Accent2 5 2" xfId="0"/>
    <cellStyle name="40% - Accent2 5 2 2" xfId="0"/>
    <cellStyle name="40% - Accent2 5 2 3" xfId="0"/>
    <cellStyle name="40% - Accent2 5 3" xfId="0"/>
    <cellStyle name="40% - Accent2 5 3 2" xfId="0"/>
    <cellStyle name="40% - Accent2 5 4" xfId="0"/>
    <cellStyle name="40% - Accent2 50" xfId="0"/>
    <cellStyle name="40% - Accent2 51" xfId="0"/>
    <cellStyle name="40% - Accent2 52" xfId="0"/>
    <cellStyle name="40% - Accent2 53" xfId="0"/>
    <cellStyle name="40% - Accent2 54" xfId="0"/>
    <cellStyle name="40% - Accent2 55" xfId="0"/>
    <cellStyle name="40% - Accent2 56" xfId="0"/>
    <cellStyle name="40% - Accent2 57" xfId="0"/>
    <cellStyle name="40% - Accent2 58" xfId="0"/>
    <cellStyle name="40% - Accent2 59" xfId="0"/>
    <cellStyle name="40% - Accent2 6" xfId="0"/>
    <cellStyle name="40% - Accent2 6 2" xfId="0"/>
    <cellStyle name="40% - Accent2 6 2 2" xfId="0"/>
    <cellStyle name="40% - Accent2 6 3" xfId="0"/>
    <cellStyle name="40% - Accent2 6 3 2" xfId="0"/>
    <cellStyle name="40% - Accent2 6 4" xfId="0"/>
    <cellStyle name="40% - Accent2 60" xfId="0"/>
    <cellStyle name="40% - Accent2 61" xfId="0"/>
    <cellStyle name="40% - Accent2 62" xfId="0"/>
    <cellStyle name="40% - Accent2 63" xfId="0"/>
    <cellStyle name="40% - Accent2 64" xfId="0"/>
    <cellStyle name="40% - Accent2 65" xfId="0"/>
    <cellStyle name="40% - Accent2 66" xfId="0"/>
    <cellStyle name="40% - Accent2 67" xfId="0"/>
    <cellStyle name="40% - Accent2 68" xfId="0"/>
    <cellStyle name="40% - Accent2 69" xfId="0"/>
    <cellStyle name="40% - Accent2 7" xfId="0"/>
    <cellStyle name="40% - Accent2 7 2" xfId="0"/>
    <cellStyle name="40% - Accent2 7 2 2" xfId="0"/>
    <cellStyle name="40% - Accent2 7 3" xfId="0"/>
    <cellStyle name="40% - Accent2 7 3 2" xfId="0"/>
    <cellStyle name="40% - Accent2 7 4" xfId="0"/>
    <cellStyle name="40% - Accent2 70" xfId="0"/>
    <cellStyle name="40% - Accent2 71" xfId="0"/>
    <cellStyle name="40% - Accent2 72" xfId="0"/>
    <cellStyle name="40% - Accent2 73" xfId="0"/>
    <cellStyle name="40% - Accent2 74" xfId="0"/>
    <cellStyle name="40% - Accent2 75" xfId="0"/>
    <cellStyle name="40% - Accent2 76" xfId="0"/>
    <cellStyle name="40% - Accent2 77" xfId="0"/>
    <cellStyle name="40% - Accent2 78" xfId="0"/>
    <cellStyle name="40% - Accent2 79" xfId="0"/>
    <cellStyle name="40% - Accent2 8" xfId="0"/>
    <cellStyle name="40% - Accent2 8 2" xfId="0"/>
    <cellStyle name="40% - Accent2 8 2 2" xfId="0"/>
    <cellStyle name="40% - Accent2 8 3" xfId="0"/>
    <cellStyle name="40% - Accent2 8 3 2" xfId="0"/>
    <cellStyle name="40% - Accent2 8 4" xfId="0"/>
    <cellStyle name="40% - Accent2 80" xfId="0"/>
    <cellStyle name="40% - Accent2 81" xfId="0"/>
    <cellStyle name="40% - Accent2 82" xfId="0"/>
    <cellStyle name="40% - Accent2 83" xfId="0"/>
    <cellStyle name="40% - Accent2 84" xfId="0"/>
    <cellStyle name="40% - Accent2 85" xfId="0"/>
    <cellStyle name="40% - Accent2 86" xfId="0"/>
    <cellStyle name="40% - Accent2 87" xfId="0"/>
    <cellStyle name="40% - Accent2 88" xfId="0"/>
    <cellStyle name="40% - Accent2 89" xfId="0"/>
    <cellStyle name="40% - Accent2 9" xfId="0"/>
    <cellStyle name="40% - Accent2 9 2" xfId="0"/>
    <cellStyle name="40% - Accent2 9 2 2" xfId="0"/>
    <cellStyle name="40% - Accent2 9 3" xfId="0"/>
    <cellStyle name="40% - Accent2 9 3 2" xfId="0"/>
    <cellStyle name="40% - Accent2 9 4" xfId="0"/>
    <cellStyle name="40% - Accent2 90" xfId="0"/>
    <cellStyle name="40% - Accent2 91" xfId="0"/>
    <cellStyle name="40% - Accent2 92" xfId="0"/>
    <cellStyle name="40% - Accent2 93" xfId="0"/>
    <cellStyle name="40% - Accent2 94" xfId="0"/>
    <cellStyle name="40% - Accent2 95" xfId="0"/>
    <cellStyle name="40% - Accent2 96" xfId="0"/>
    <cellStyle name="40% - Accent2_ALL inventory onhand data 0912" xfId="0"/>
    <cellStyle name="40% - Accent3" xfId="0"/>
    <cellStyle name="40% - Accent3 10" xfId="0"/>
    <cellStyle name="40% - Accent3 10 2" xfId="0"/>
    <cellStyle name="40% - Accent3 10 2 2" xfId="0"/>
    <cellStyle name="40% - Accent3 10 3" xfId="0"/>
    <cellStyle name="40% - Accent3 10 3 2" xfId="0"/>
    <cellStyle name="40% - Accent3 10 4" xfId="0"/>
    <cellStyle name="40% - Accent3 11" xfId="0"/>
    <cellStyle name="40% - Accent3 11 2" xfId="0"/>
    <cellStyle name="40% - Accent3 11 2 2" xfId="0"/>
    <cellStyle name="40% - Accent3 11 3" xfId="0"/>
    <cellStyle name="40% - Accent3 11 3 2" xfId="0"/>
    <cellStyle name="40% - Accent3 11 4" xfId="0"/>
    <cellStyle name="40% - Accent3 12" xfId="0"/>
    <cellStyle name="40% - Accent3 12 2" xfId="0"/>
    <cellStyle name="40% - Accent3 12 2 2" xfId="0"/>
    <cellStyle name="40% - Accent3 13" xfId="0"/>
    <cellStyle name="40% - Accent3 13 2" xfId="0"/>
    <cellStyle name="40% - Accent3 13 2 2" xfId="0"/>
    <cellStyle name="40% - Accent3 14" xfId="0"/>
    <cellStyle name="40% - Accent3 14 2" xfId="0"/>
    <cellStyle name="40% - Accent3 14 2 2" xfId="0"/>
    <cellStyle name="40% - Accent3 15" xfId="0"/>
    <cellStyle name="40% - Accent3 15 2" xfId="0"/>
    <cellStyle name="40% - Accent3 15 2 2" xfId="0"/>
    <cellStyle name="40% - Accent3 16" xfId="0"/>
    <cellStyle name="40% - Accent3 16 2" xfId="0"/>
    <cellStyle name="40% - Accent3 16 2 2" xfId="0"/>
    <cellStyle name="40% - Accent3 17" xfId="0"/>
    <cellStyle name="40% - Accent3 17 2" xfId="0"/>
    <cellStyle name="40% - Accent3 17 2 2" xfId="0"/>
    <cellStyle name="40% - Accent3 18" xfId="0"/>
    <cellStyle name="40% - Accent3 18 2" xfId="0"/>
    <cellStyle name="40% - Accent3 18 2 2" xfId="0"/>
    <cellStyle name="40% - Accent3 19" xfId="0"/>
    <cellStyle name="40% - Accent3 19 2" xfId="0"/>
    <cellStyle name="40% - Accent3 19 2 2" xfId="0"/>
    <cellStyle name="40% - Accent3 2" xfId="0"/>
    <cellStyle name="40% - Accent3 2 10" xfId="0"/>
    <cellStyle name="40% - Accent3 2 11" xfId="0"/>
    <cellStyle name="40% - Accent3 2 12" xfId="0"/>
    <cellStyle name="40% - Accent3 2 13" xfId="0"/>
    <cellStyle name="40% - Accent3 2 14" xfId="0"/>
    <cellStyle name="40% - Accent3 2 15" xfId="0"/>
    <cellStyle name="40% - Accent3 2 16" xfId="0"/>
    <cellStyle name="40% - Accent3 2 17" xfId="0"/>
    <cellStyle name="40% - Accent3 2 18" xfId="0"/>
    <cellStyle name="40% - Accent3 2 19" xfId="0"/>
    <cellStyle name="40% - Accent3 2 2" xfId="0"/>
    <cellStyle name="40% - Accent3 2 2 2" xfId="0"/>
    <cellStyle name="40% - Accent3 2 2 2 2" xfId="0"/>
    <cellStyle name="40% - Accent3 2 2 3" xfId="0"/>
    <cellStyle name="40% - Accent3 2 2 3 2" xfId="0"/>
    <cellStyle name="40% - Accent3 2 2 4" xfId="0"/>
    <cellStyle name="40% - Accent3 2 2 4 2" xfId="0"/>
    <cellStyle name="40% - Accent3 2 2 5" xfId="0"/>
    <cellStyle name="40% - Accent3 2 2 6" xfId="0"/>
    <cellStyle name="40% - Accent3 2 20" xfId="0"/>
    <cellStyle name="40% - Accent3 2 21" xfId="0"/>
    <cellStyle name="40% - Accent3 2 22" xfId="0"/>
    <cellStyle name="40% - Accent3 2 23" xfId="0"/>
    <cellStyle name="40% - Accent3 2 24" xfId="0"/>
    <cellStyle name="40% - Accent3 2 25" xfId="0"/>
    <cellStyle name="40% - Accent3 2 3" xfId="0"/>
    <cellStyle name="40% - Accent3 2 3 2" xfId="0"/>
    <cellStyle name="40% - Accent3 2 3 3" xfId="0"/>
    <cellStyle name="40% - Accent3 2 4" xfId="0"/>
    <cellStyle name="40% - Accent3 2 4 2" xfId="0"/>
    <cellStyle name="40% - Accent3 2 4 3" xfId="0"/>
    <cellStyle name="40% - Accent3 2 5" xfId="0"/>
    <cellStyle name="40% - Accent3 2 5 2" xfId="0"/>
    <cellStyle name="40% - Accent3 2 5 3" xfId="0"/>
    <cellStyle name="40% - Accent3 2 6" xfId="0"/>
    <cellStyle name="40% - Accent3 2 6 2" xfId="0"/>
    <cellStyle name="40% - Accent3 2 7" xfId="0"/>
    <cellStyle name="40% - Accent3 2 7 2" xfId="0"/>
    <cellStyle name="40% - Accent3 2 8" xfId="0"/>
    <cellStyle name="40% - Accent3 2 8 2" xfId="0"/>
    <cellStyle name="40% - Accent3 2 9" xfId="0"/>
    <cellStyle name="40% - Accent3 20" xfId="0"/>
    <cellStyle name="40% - Accent3 20 2" xfId="0"/>
    <cellStyle name="40% - Accent3 20 2 2" xfId="0"/>
    <cellStyle name="40% - Accent3 21" xfId="0"/>
    <cellStyle name="40% - Accent3 21 2" xfId="0"/>
    <cellStyle name="40% - Accent3 21 2 2" xfId="0"/>
    <cellStyle name="40% - Accent3 22" xfId="0"/>
    <cellStyle name="40% - Accent3 22 2" xfId="0"/>
    <cellStyle name="40% - Accent3 22 2 2" xfId="0"/>
    <cellStyle name="40% - Accent3 23" xfId="0"/>
    <cellStyle name="40% - Accent3 23 2" xfId="0"/>
    <cellStyle name="40% - Accent3 23 2 2" xfId="0"/>
    <cellStyle name="40% - Accent3 23 3" xfId="0"/>
    <cellStyle name="40% - Accent3 24" xfId="0"/>
    <cellStyle name="40% - Accent3 24 2" xfId="0"/>
    <cellStyle name="40% - Accent3 24 2 2" xfId="0"/>
    <cellStyle name="40% - Accent3 24 3" xfId="0"/>
    <cellStyle name="40% - Accent3 25" xfId="0"/>
    <cellStyle name="40% - Accent3 25 2" xfId="0"/>
    <cellStyle name="40% - Accent3 25 3" xfId="0"/>
    <cellStyle name="40% - Accent3 26" xfId="0"/>
    <cellStyle name="40% - Accent3 26 2" xfId="0"/>
    <cellStyle name="40% - Accent3 27" xfId="0"/>
    <cellStyle name="40% - Accent3 27 2" xfId="0"/>
    <cellStyle name="40% - Accent3 28" xfId="0"/>
    <cellStyle name="40% - Accent3 28 2" xfId="0"/>
    <cellStyle name="40% - Accent3 29" xfId="0"/>
    <cellStyle name="40% - Accent3 29 2" xfId="0"/>
    <cellStyle name="40% - Accent3 2_2.VSCN - GSC charge" xfId="0"/>
    <cellStyle name="40% - Accent3 3" xfId="0"/>
    <cellStyle name="40% - Accent3 3 2" xfId="0"/>
    <cellStyle name="40% - Accent3 3 2 2" xfId="0"/>
    <cellStyle name="40% - Accent3 3 2 3" xfId="0"/>
    <cellStyle name="40% - Accent3 3 3" xfId="0"/>
    <cellStyle name="40% - Accent3 3 3 2" xfId="0"/>
    <cellStyle name="40% - Accent3 3 3 3" xfId="0"/>
    <cellStyle name="40% - Accent3 3 4" xfId="0"/>
    <cellStyle name="40% - Accent3 3 4 2" xfId="0"/>
    <cellStyle name="40% - Accent3 3 5" xfId="0"/>
    <cellStyle name="40% - Accent3 3 5 2" xfId="0"/>
    <cellStyle name="40% - Accent3 3 6" xfId="0"/>
    <cellStyle name="40% - Accent3 3 7" xfId="0"/>
    <cellStyle name="40% - Accent3 30" xfId="0"/>
    <cellStyle name="40% - Accent3 30 2" xfId="0"/>
    <cellStyle name="40% - Accent3 31" xfId="0"/>
    <cellStyle name="40% - Accent3 31 2" xfId="0"/>
    <cellStyle name="40% - Accent3 32" xfId="0"/>
    <cellStyle name="40% - Accent3 32 2" xfId="0"/>
    <cellStyle name="40% - Accent3 33" xfId="0"/>
    <cellStyle name="40% - Accent3 33 2" xfId="0"/>
    <cellStyle name="40% - Accent3 34" xfId="0"/>
    <cellStyle name="40% - Accent3 34 2" xfId="0"/>
    <cellStyle name="40% - Accent3 35" xfId="0"/>
    <cellStyle name="40% - Accent3 35 2" xfId="0"/>
    <cellStyle name="40% - Accent3 36" xfId="0"/>
    <cellStyle name="40% - Accent3 36 2" xfId="0"/>
    <cellStyle name="40% - Accent3 37" xfId="0"/>
    <cellStyle name="40% - Accent3 37 2" xfId="0"/>
    <cellStyle name="40% - Accent3 38" xfId="0"/>
    <cellStyle name="40% - Accent3 38 2" xfId="0"/>
    <cellStyle name="40% - Accent3 39" xfId="0"/>
    <cellStyle name="40% - Accent3 39 2" xfId="0"/>
    <cellStyle name="40% - Accent3 3_Profitability Detail NT$ Sep-12" xfId="0"/>
    <cellStyle name="40% - Accent3 4" xfId="0"/>
    <cellStyle name="40% - Accent3 4 2" xfId="0"/>
    <cellStyle name="40% - Accent3 4 2 2" xfId="0"/>
    <cellStyle name="40% - Accent3 4 2 3" xfId="0"/>
    <cellStyle name="40% - Accent3 4 3" xfId="0"/>
    <cellStyle name="40% - Accent3 4 3 2" xfId="0"/>
    <cellStyle name="40% - Accent3 4 3 3" xfId="0"/>
    <cellStyle name="40% - Accent3 4 4" xfId="0"/>
    <cellStyle name="40% - Accent3 4 4 2" xfId="0"/>
    <cellStyle name="40% - Accent3 4 5" xfId="0"/>
    <cellStyle name="40% - Accent3 4 5 2" xfId="0"/>
    <cellStyle name="40% - Accent3 4 6" xfId="0"/>
    <cellStyle name="40% - Accent3 4 7" xfId="0"/>
    <cellStyle name="40% - Accent3 40" xfId="0"/>
    <cellStyle name="40% - Accent3 40 2" xfId="0"/>
    <cellStyle name="40% - Accent3 41" xfId="0"/>
    <cellStyle name="40% - Accent3 41 2" xfId="0"/>
    <cellStyle name="40% - Accent3 42" xfId="0"/>
    <cellStyle name="40% - Accent3 43" xfId="0"/>
    <cellStyle name="40% - Accent3 44" xfId="0"/>
    <cellStyle name="40% - Accent3 45" xfId="0"/>
    <cellStyle name="40% - Accent3 46" xfId="0"/>
    <cellStyle name="40% - Accent3 47" xfId="0"/>
    <cellStyle name="40% - Accent3 48" xfId="0"/>
    <cellStyle name="40% - Accent3 49" xfId="0"/>
    <cellStyle name="40% - Accent3 4_Profitability Detail NT$ Sep-12" xfId="0"/>
    <cellStyle name="40% - Accent3 5" xfId="0"/>
    <cellStyle name="40% - Accent3 5 2" xfId="0"/>
    <cellStyle name="40% - Accent3 5 2 2" xfId="0"/>
    <cellStyle name="40% - Accent3 5 2 3" xfId="0"/>
    <cellStyle name="40% - Accent3 5 3" xfId="0"/>
    <cellStyle name="40% - Accent3 5 3 2" xfId="0"/>
    <cellStyle name="40% - Accent3 5 4" xfId="0"/>
    <cellStyle name="40% - Accent3 5 4 2" xfId="0"/>
    <cellStyle name="40% - Accent3 5 5" xfId="0"/>
    <cellStyle name="40% - Accent3 50" xfId="0"/>
    <cellStyle name="40% - Accent3 51" xfId="0"/>
    <cellStyle name="40% - Accent3 52" xfId="0"/>
    <cellStyle name="40% - Accent3 53" xfId="0"/>
    <cellStyle name="40% - Accent3 54" xfId="0"/>
    <cellStyle name="40% - Accent3 55" xfId="0"/>
    <cellStyle name="40% - Accent3 56" xfId="0"/>
    <cellStyle name="40% - Accent3 57" xfId="0"/>
    <cellStyle name="40% - Accent3 58" xfId="0"/>
    <cellStyle name="40% - Accent3 59" xfId="0"/>
    <cellStyle name="40% - Accent3 6" xfId="0"/>
    <cellStyle name="40% - Accent3 6 2" xfId="0"/>
    <cellStyle name="40% - Accent3 6 2 2" xfId="0"/>
    <cellStyle name="40% - Accent3 6 3" xfId="0"/>
    <cellStyle name="40% - Accent3 6 3 2" xfId="0"/>
    <cellStyle name="40% - Accent3 6 4" xfId="0"/>
    <cellStyle name="40% - Accent3 60" xfId="0"/>
    <cellStyle name="40% - Accent3 61" xfId="0"/>
    <cellStyle name="40% - Accent3 62" xfId="0"/>
    <cellStyle name="40% - Accent3 63" xfId="0"/>
    <cellStyle name="40% - Accent3 64" xfId="0"/>
    <cellStyle name="40% - Accent3 65" xfId="0"/>
    <cellStyle name="40% - Accent3 66" xfId="0"/>
    <cellStyle name="40% - Accent3 67" xfId="0"/>
    <cellStyle name="40% - Accent3 68" xfId="0"/>
    <cellStyle name="40% - Accent3 69" xfId="0"/>
    <cellStyle name="40% - Accent3 7" xfId="0"/>
    <cellStyle name="40% - Accent3 7 2" xfId="0"/>
    <cellStyle name="40% - Accent3 7 2 2" xfId="0"/>
    <cellStyle name="40% - Accent3 7 3" xfId="0"/>
    <cellStyle name="40% - Accent3 7 3 2" xfId="0"/>
    <cellStyle name="40% - Accent3 7 4" xfId="0"/>
    <cellStyle name="40% - Accent3 70" xfId="0"/>
    <cellStyle name="40% - Accent3 71" xfId="0"/>
    <cellStyle name="40% - Accent3 72" xfId="0"/>
    <cellStyle name="40% - Accent3 73" xfId="0"/>
    <cellStyle name="40% - Accent3 74" xfId="0"/>
    <cellStyle name="40% - Accent3 75" xfId="0"/>
    <cellStyle name="40% - Accent3 76" xfId="0"/>
    <cellStyle name="40% - Accent3 77" xfId="0"/>
    <cellStyle name="40% - Accent3 78" xfId="0"/>
    <cellStyle name="40% - Accent3 79" xfId="0"/>
    <cellStyle name="40% - Accent3 8" xfId="0"/>
    <cellStyle name="40% - Accent3 8 2" xfId="0"/>
    <cellStyle name="40% - Accent3 8 2 2" xfId="0"/>
    <cellStyle name="40% - Accent3 8 3" xfId="0"/>
    <cellStyle name="40% - Accent3 8 3 2" xfId="0"/>
    <cellStyle name="40% - Accent3 8 4" xfId="0"/>
    <cellStyle name="40% - Accent3 80" xfId="0"/>
    <cellStyle name="40% - Accent3 81" xfId="0"/>
    <cellStyle name="40% - Accent3 82" xfId="0"/>
    <cellStyle name="40% - Accent3 83" xfId="0"/>
    <cellStyle name="40% - Accent3 84" xfId="0"/>
    <cellStyle name="40% - Accent3 85" xfId="0"/>
    <cellStyle name="40% - Accent3 86" xfId="0"/>
    <cellStyle name="40% - Accent3 87" xfId="0"/>
    <cellStyle name="40% - Accent3 88" xfId="0"/>
    <cellStyle name="40% - Accent3 89" xfId="0"/>
    <cellStyle name="40% - Accent3 9" xfId="0"/>
    <cellStyle name="40% - Accent3 9 2" xfId="0"/>
    <cellStyle name="40% - Accent3 9 2 2" xfId="0"/>
    <cellStyle name="40% - Accent3 9 3" xfId="0"/>
    <cellStyle name="40% - Accent3 9 3 2" xfId="0"/>
    <cellStyle name="40% - Accent3 9 4" xfId="0"/>
    <cellStyle name="40% - Accent3 90" xfId="0"/>
    <cellStyle name="40% - Accent3 91" xfId="0"/>
    <cellStyle name="40% - Accent3 92" xfId="0"/>
    <cellStyle name="40% - Accent3 93" xfId="0"/>
    <cellStyle name="40% - Accent3 94" xfId="0"/>
    <cellStyle name="40% - Accent3 95" xfId="0"/>
    <cellStyle name="40% - Accent3 96" xfId="0"/>
    <cellStyle name="40% - Accent3_ALL inventory onhand data 0912" xfId="0"/>
    <cellStyle name="40% - Accent4" xfId="0"/>
    <cellStyle name="40% - Accent4 10" xfId="0"/>
    <cellStyle name="40% - Accent4 10 2" xfId="0"/>
    <cellStyle name="40% - Accent4 10 2 2" xfId="0"/>
    <cellStyle name="40% - Accent4 10 3" xfId="0"/>
    <cellStyle name="40% - Accent4 10 3 2" xfId="0"/>
    <cellStyle name="40% - Accent4 10 4" xfId="0"/>
    <cellStyle name="40% - Accent4 11" xfId="0"/>
    <cellStyle name="40% - Accent4 11 2" xfId="0"/>
    <cellStyle name="40% - Accent4 11 2 2" xfId="0"/>
    <cellStyle name="40% - Accent4 11 3" xfId="0"/>
    <cellStyle name="40% - Accent4 11 3 2" xfId="0"/>
    <cellStyle name="40% - Accent4 11 4" xfId="0"/>
    <cellStyle name="40% - Accent4 12" xfId="0"/>
    <cellStyle name="40% - Accent4 12 2" xfId="0"/>
    <cellStyle name="40% - Accent4 12 2 2" xfId="0"/>
    <cellStyle name="40% - Accent4 13" xfId="0"/>
    <cellStyle name="40% - Accent4 13 2" xfId="0"/>
    <cellStyle name="40% - Accent4 13 2 2" xfId="0"/>
    <cellStyle name="40% - Accent4 14" xfId="0"/>
    <cellStyle name="40% - Accent4 14 2" xfId="0"/>
    <cellStyle name="40% - Accent4 14 2 2" xfId="0"/>
    <cellStyle name="40% - Accent4 15" xfId="0"/>
    <cellStyle name="40% - Accent4 15 2" xfId="0"/>
    <cellStyle name="40% - Accent4 15 2 2" xfId="0"/>
    <cellStyle name="40% - Accent4 16" xfId="0"/>
    <cellStyle name="40% - Accent4 16 2" xfId="0"/>
    <cellStyle name="40% - Accent4 16 2 2" xfId="0"/>
    <cellStyle name="40% - Accent4 17" xfId="0"/>
    <cellStyle name="40% - Accent4 17 2" xfId="0"/>
    <cellStyle name="40% - Accent4 17 2 2" xfId="0"/>
    <cellStyle name="40% - Accent4 18" xfId="0"/>
    <cellStyle name="40% - Accent4 18 2" xfId="0"/>
    <cellStyle name="40% - Accent4 18 2 2" xfId="0"/>
    <cellStyle name="40% - Accent4 19" xfId="0"/>
    <cellStyle name="40% - Accent4 19 2" xfId="0"/>
    <cellStyle name="40% - Accent4 19 2 2" xfId="0"/>
    <cellStyle name="40% - Accent4 2" xfId="0"/>
    <cellStyle name="40% - Accent4 2 10" xfId="0"/>
    <cellStyle name="40% - Accent4 2 11" xfId="0"/>
    <cellStyle name="40% - Accent4 2 12" xfId="0"/>
    <cellStyle name="40% - Accent4 2 13" xfId="0"/>
    <cellStyle name="40% - Accent4 2 14" xfId="0"/>
    <cellStyle name="40% - Accent4 2 15" xfId="0"/>
    <cellStyle name="40% - Accent4 2 16" xfId="0"/>
    <cellStyle name="40% - Accent4 2 17" xfId="0"/>
    <cellStyle name="40% - Accent4 2 18" xfId="0"/>
    <cellStyle name="40% - Accent4 2 19" xfId="0"/>
    <cellStyle name="40% - Accent4 2 2" xfId="0"/>
    <cellStyle name="40% - Accent4 2 2 2" xfId="0"/>
    <cellStyle name="40% - Accent4 2 2 2 2" xfId="0"/>
    <cellStyle name="40% - Accent4 2 2 3" xfId="0"/>
    <cellStyle name="40% - Accent4 2 2 3 2" xfId="0"/>
    <cellStyle name="40% - Accent4 2 2 4" xfId="0"/>
    <cellStyle name="40% - Accent4 2 2 4 2" xfId="0"/>
    <cellStyle name="40% - Accent4 2 2 5" xfId="0"/>
    <cellStyle name="40% - Accent4 2 2 6" xfId="0"/>
    <cellStyle name="40% - Accent4 2 20" xfId="0"/>
    <cellStyle name="40% - Accent4 2 21" xfId="0"/>
    <cellStyle name="40% - Accent4 2 22" xfId="0"/>
    <cellStyle name="40% - Accent4 2 23" xfId="0"/>
    <cellStyle name="40% - Accent4 2 24" xfId="0"/>
    <cellStyle name="40% - Accent4 2 25" xfId="0"/>
    <cellStyle name="40% - Accent4 2 3" xfId="0"/>
    <cellStyle name="40% - Accent4 2 3 2" xfId="0"/>
    <cellStyle name="40% - Accent4 2 3 3" xfId="0"/>
    <cellStyle name="40% - Accent4 2 4" xfId="0"/>
    <cellStyle name="40% - Accent4 2 4 2" xfId="0"/>
    <cellStyle name="40% - Accent4 2 4 3" xfId="0"/>
    <cellStyle name="40% - Accent4 2 5" xfId="0"/>
    <cellStyle name="40% - Accent4 2 5 2" xfId="0"/>
    <cellStyle name="40% - Accent4 2 5 3" xfId="0"/>
    <cellStyle name="40% - Accent4 2 6" xfId="0"/>
    <cellStyle name="40% - Accent4 2 6 2" xfId="0"/>
    <cellStyle name="40% - Accent4 2 7" xfId="0"/>
    <cellStyle name="40% - Accent4 2 7 2" xfId="0"/>
    <cellStyle name="40% - Accent4 2 8" xfId="0"/>
    <cellStyle name="40% - Accent4 2 8 2" xfId="0"/>
    <cellStyle name="40% - Accent4 2 9" xfId="0"/>
    <cellStyle name="40% - Accent4 20" xfId="0"/>
    <cellStyle name="40% - Accent4 20 2" xfId="0"/>
    <cellStyle name="40% - Accent4 20 2 2" xfId="0"/>
    <cellStyle name="40% - Accent4 21" xfId="0"/>
    <cellStyle name="40% - Accent4 21 2" xfId="0"/>
    <cellStyle name="40% - Accent4 21 2 2" xfId="0"/>
    <cellStyle name="40% - Accent4 22" xfId="0"/>
    <cellStyle name="40% - Accent4 22 2" xfId="0"/>
    <cellStyle name="40% - Accent4 22 2 2" xfId="0"/>
    <cellStyle name="40% - Accent4 23" xfId="0"/>
    <cellStyle name="40% - Accent4 23 2" xfId="0"/>
    <cellStyle name="40% - Accent4 23 2 2" xfId="0"/>
    <cellStyle name="40% - Accent4 23 3" xfId="0"/>
    <cellStyle name="40% - Accent4 24" xfId="0"/>
    <cellStyle name="40% - Accent4 24 2" xfId="0"/>
    <cellStyle name="40% - Accent4 24 2 2" xfId="0"/>
    <cellStyle name="40% - Accent4 24 3" xfId="0"/>
    <cellStyle name="40% - Accent4 25" xfId="0"/>
    <cellStyle name="40% - Accent4 25 2" xfId="0"/>
    <cellStyle name="40% - Accent4 25 2 2" xfId="0"/>
    <cellStyle name="40% - Accent4 25 3" xfId="0"/>
    <cellStyle name="40% - Accent4 26" xfId="0"/>
    <cellStyle name="40% - Accent4 26 2" xfId="0"/>
    <cellStyle name="40% - Accent4 26 3" xfId="0"/>
    <cellStyle name="40% - Accent4 27" xfId="0"/>
    <cellStyle name="40% - Accent4 27 2" xfId="0"/>
    <cellStyle name="40% - Accent4 27 3" xfId="0"/>
    <cellStyle name="40% - Accent4 28" xfId="0"/>
    <cellStyle name="40% - Accent4 28 2" xfId="0"/>
    <cellStyle name="40% - Accent4 28 3" xfId="0"/>
    <cellStyle name="40% - Accent4 29" xfId="0"/>
    <cellStyle name="40% - Accent4 29 2" xfId="0"/>
    <cellStyle name="40% - Accent4 29 3" xfId="0"/>
    <cellStyle name="40% - Accent4 2_2.VSCN - GSC charge" xfId="0"/>
    <cellStyle name="40% - Accent4 3" xfId="0"/>
    <cellStyle name="40% - Accent4 3 2" xfId="0"/>
    <cellStyle name="40% - Accent4 3 2 2" xfId="0"/>
    <cellStyle name="40% - Accent4 3 2 3" xfId="0"/>
    <cellStyle name="40% - Accent4 3 3" xfId="0"/>
    <cellStyle name="40% - Accent4 3 3 2" xfId="0"/>
    <cellStyle name="40% - Accent4 3 3 3" xfId="0"/>
    <cellStyle name="40% - Accent4 3 4" xfId="0"/>
    <cellStyle name="40% - Accent4 3 4 2" xfId="0"/>
    <cellStyle name="40% - Accent4 3 5" xfId="0"/>
    <cellStyle name="40% - Accent4 3 5 2" xfId="0"/>
    <cellStyle name="40% - Accent4 3 6" xfId="0"/>
    <cellStyle name="40% - Accent4 3 7" xfId="0"/>
    <cellStyle name="40% - Accent4 30" xfId="0"/>
    <cellStyle name="40% - Accent4 30 2" xfId="0"/>
    <cellStyle name="40% - Accent4 31" xfId="0"/>
    <cellStyle name="40% - Accent4 31 2" xfId="0"/>
    <cellStyle name="40% - Accent4 32" xfId="0"/>
    <cellStyle name="40% - Accent4 32 2" xfId="0"/>
    <cellStyle name="40% - Accent4 33" xfId="0"/>
    <cellStyle name="40% - Accent4 33 2" xfId="0"/>
    <cellStyle name="40% - Accent4 34" xfId="0"/>
    <cellStyle name="40% - Accent4 34 2" xfId="0"/>
    <cellStyle name="40% - Accent4 35" xfId="0"/>
    <cellStyle name="40% - Accent4 35 2" xfId="0"/>
    <cellStyle name="40% - Accent4 36" xfId="0"/>
    <cellStyle name="40% - Accent4 36 2" xfId="0"/>
    <cellStyle name="40% - Accent4 37" xfId="0"/>
    <cellStyle name="40% - Accent4 37 2" xfId="0"/>
    <cellStyle name="40% - Accent4 38" xfId="0"/>
    <cellStyle name="40% - Accent4 38 2" xfId="0"/>
    <cellStyle name="40% - Accent4 39" xfId="0"/>
    <cellStyle name="40% - Accent4 39 2" xfId="0"/>
    <cellStyle name="40% - Accent4 3_Profitability Detail NT$ Sep-12" xfId="0"/>
    <cellStyle name="40% - Accent4 4" xfId="0"/>
    <cellStyle name="40% - Accent4 4 2" xfId="0"/>
    <cellStyle name="40% - Accent4 4 2 2" xfId="0"/>
    <cellStyle name="40% - Accent4 4 2 3" xfId="0"/>
    <cellStyle name="40% - Accent4 4 3" xfId="0"/>
    <cellStyle name="40% - Accent4 4 3 2" xfId="0"/>
    <cellStyle name="40% - Accent4 4 3 3" xfId="0"/>
    <cellStyle name="40% - Accent4 4 4" xfId="0"/>
    <cellStyle name="40% - Accent4 4 4 2" xfId="0"/>
    <cellStyle name="40% - Accent4 4 5" xfId="0"/>
    <cellStyle name="40% - Accent4 4 5 2" xfId="0"/>
    <cellStyle name="40% - Accent4 4 6" xfId="0"/>
    <cellStyle name="40% - Accent4 4 7" xfId="0"/>
    <cellStyle name="40% - Accent4 40" xfId="0"/>
    <cellStyle name="40% - Accent4 40 2" xfId="0"/>
    <cellStyle name="40% - Accent4 41" xfId="0"/>
    <cellStyle name="40% - Accent4 41 2" xfId="0"/>
    <cellStyle name="40% - Accent4 42" xfId="0"/>
    <cellStyle name="40% - Accent4 43" xfId="0"/>
    <cellStyle name="40% - Accent4 44" xfId="0"/>
    <cellStyle name="40% - Accent4 45" xfId="0"/>
    <cellStyle name="40% - Accent4 46" xfId="0"/>
    <cellStyle name="40% - Accent4 47" xfId="0"/>
    <cellStyle name="40% - Accent4 48" xfId="0"/>
    <cellStyle name="40% - Accent4 49" xfId="0"/>
    <cellStyle name="40% - Accent4 4_Profitability Detail NT$ Sep-12" xfId="0"/>
    <cellStyle name="40% - Accent4 5" xfId="0"/>
    <cellStyle name="40% - Accent4 5 2" xfId="0"/>
    <cellStyle name="40% - Accent4 5 2 2" xfId="0"/>
    <cellStyle name="40% - Accent4 5 2 3" xfId="0"/>
    <cellStyle name="40% - Accent4 5 3" xfId="0"/>
    <cellStyle name="40% - Accent4 5 3 2" xfId="0"/>
    <cellStyle name="40% - Accent4 5 4" xfId="0"/>
    <cellStyle name="40% - Accent4 5 4 2" xfId="0"/>
    <cellStyle name="40% - Accent4 5 5" xfId="0"/>
    <cellStyle name="40% - Accent4 50" xfId="0"/>
    <cellStyle name="40% - Accent4 51" xfId="0"/>
    <cellStyle name="40% - Accent4 52" xfId="0"/>
    <cellStyle name="40% - Accent4 53" xfId="0"/>
    <cellStyle name="40% - Accent4 54" xfId="0"/>
    <cellStyle name="40% - Accent4 55" xfId="0"/>
    <cellStyle name="40% - Accent4 56" xfId="0"/>
    <cellStyle name="40% - Accent4 57" xfId="0"/>
    <cellStyle name="40% - Accent4 58" xfId="0"/>
    <cellStyle name="40% - Accent4 59" xfId="0"/>
    <cellStyle name="40% - Accent4 6" xfId="0"/>
    <cellStyle name="40% - Accent4 6 2" xfId="0"/>
    <cellStyle name="40% - Accent4 6 2 2" xfId="0"/>
    <cellStyle name="40% - Accent4 6 3" xfId="0"/>
    <cellStyle name="40% - Accent4 6 3 2" xfId="0"/>
    <cellStyle name="40% - Accent4 6 4" xfId="0"/>
    <cellStyle name="40% - Accent4 60" xfId="0"/>
    <cellStyle name="40% - Accent4 61" xfId="0"/>
    <cellStyle name="40% - Accent4 62" xfId="0"/>
    <cellStyle name="40% - Accent4 63" xfId="0"/>
    <cellStyle name="40% - Accent4 64" xfId="0"/>
    <cellStyle name="40% - Accent4 65" xfId="0"/>
    <cellStyle name="40% - Accent4 66" xfId="0"/>
    <cellStyle name="40% - Accent4 67" xfId="0"/>
    <cellStyle name="40% - Accent4 68" xfId="0"/>
    <cellStyle name="40% - Accent4 69" xfId="0"/>
    <cellStyle name="40% - Accent4 7" xfId="0"/>
    <cellStyle name="40% - Accent4 7 2" xfId="0"/>
    <cellStyle name="40% - Accent4 7 2 2" xfId="0"/>
    <cellStyle name="40% - Accent4 7 3" xfId="0"/>
    <cellStyle name="40% - Accent4 7 3 2" xfId="0"/>
    <cellStyle name="40% - Accent4 7 4" xfId="0"/>
    <cellStyle name="40% - Accent4 70" xfId="0"/>
    <cellStyle name="40% - Accent4 71" xfId="0"/>
    <cellStyle name="40% - Accent4 72" xfId="0"/>
    <cellStyle name="40% - Accent4 73" xfId="0"/>
    <cellStyle name="40% - Accent4 74" xfId="0"/>
    <cellStyle name="40% - Accent4 75" xfId="0"/>
    <cellStyle name="40% - Accent4 76" xfId="0"/>
    <cellStyle name="40% - Accent4 77" xfId="0"/>
    <cellStyle name="40% - Accent4 78" xfId="0"/>
    <cellStyle name="40% - Accent4 79" xfId="0"/>
    <cellStyle name="40% - Accent4 8" xfId="0"/>
    <cellStyle name="40% - Accent4 8 2" xfId="0"/>
    <cellStyle name="40% - Accent4 8 2 2" xfId="0"/>
    <cellStyle name="40% - Accent4 8 3" xfId="0"/>
    <cellStyle name="40% - Accent4 8 3 2" xfId="0"/>
    <cellStyle name="40% - Accent4 8 4" xfId="0"/>
    <cellStyle name="40% - Accent4 80" xfId="0"/>
    <cellStyle name="40% - Accent4 81" xfId="0"/>
    <cellStyle name="40% - Accent4 82" xfId="0"/>
    <cellStyle name="40% - Accent4 83" xfId="0"/>
    <cellStyle name="40% - Accent4 84" xfId="0"/>
    <cellStyle name="40% - Accent4 85" xfId="0"/>
    <cellStyle name="40% - Accent4 86" xfId="0"/>
    <cellStyle name="40% - Accent4 87" xfId="0"/>
    <cellStyle name="40% - Accent4 88" xfId="0"/>
    <cellStyle name="40% - Accent4 89" xfId="0"/>
    <cellStyle name="40% - Accent4 9" xfId="0"/>
    <cellStyle name="40% - Accent4 9 2" xfId="0"/>
    <cellStyle name="40% - Accent4 9 2 2" xfId="0"/>
    <cellStyle name="40% - Accent4 9 3" xfId="0"/>
    <cellStyle name="40% - Accent4 9 3 2" xfId="0"/>
    <cellStyle name="40% - Accent4 9 4" xfId="0"/>
    <cellStyle name="40% - Accent4 90" xfId="0"/>
    <cellStyle name="40% - Accent4 91" xfId="0"/>
    <cellStyle name="40% - Accent4 92" xfId="0"/>
    <cellStyle name="40% - Accent4 93" xfId="0"/>
    <cellStyle name="40% - Accent4 94" xfId="0"/>
    <cellStyle name="40% - Accent4 95" xfId="0"/>
    <cellStyle name="40% - Accent4 96" xfId="0"/>
    <cellStyle name="40% - Accent4_ALL inventory onhand data 0912" xfId="0"/>
    <cellStyle name="40% - Accent5" xfId="0"/>
    <cellStyle name="40% - Accent5 10" xfId="0"/>
    <cellStyle name="40% - Accent5 10 2" xfId="0"/>
    <cellStyle name="40% - Accent5 10 2 2" xfId="0"/>
    <cellStyle name="40% - Accent5 10 3" xfId="0"/>
    <cellStyle name="40% - Accent5 10 3 2" xfId="0"/>
    <cellStyle name="40% - Accent5 10 4" xfId="0"/>
    <cellStyle name="40% - Accent5 11" xfId="0"/>
    <cellStyle name="40% - Accent5 11 2" xfId="0"/>
    <cellStyle name="40% - Accent5 11 2 2" xfId="0"/>
    <cellStyle name="40% - Accent5 11 3" xfId="0"/>
    <cellStyle name="40% - Accent5 11 3 2" xfId="0"/>
    <cellStyle name="40% - Accent5 11 4" xfId="0"/>
    <cellStyle name="40% - Accent5 12" xfId="0"/>
    <cellStyle name="40% - Accent5 12 2" xfId="0"/>
    <cellStyle name="40% - Accent5 12 2 2" xfId="0"/>
    <cellStyle name="40% - Accent5 13" xfId="0"/>
    <cellStyle name="40% - Accent5 13 2" xfId="0"/>
    <cellStyle name="40% - Accent5 13 2 2" xfId="0"/>
    <cellStyle name="40% - Accent5 14" xfId="0"/>
    <cellStyle name="40% - Accent5 14 2" xfId="0"/>
    <cellStyle name="40% - Accent5 14 2 2" xfId="0"/>
    <cellStyle name="40% - Accent5 15" xfId="0"/>
    <cellStyle name="40% - Accent5 15 2" xfId="0"/>
    <cellStyle name="40% - Accent5 15 2 2" xfId="0"/>
    <cellStyle name="40% - Accent5 16" xfId="0"/>
    <cellStyle name="40% - Accent5 16 2" xfId="0"/>
    <cellStyle name="40% - Accent5 16 2 2" xfId="0"/>
    <cellStyle name="40% - Accent5 17" xfId="0"/>
    <cellStyle name="40% - Accent5 17 2" xfId="0"/>
    <cellStyle name="40% - Accent5 17 2 2" xfId="0"/>
    <cellStyle name="40% - Accent5 18" xfId="0"/>
    <cellStyle name="40% - Accent5 18 2" xfId="0"/>
    <cellStyle name="40% - Accent5 18 2 2" xfId="0"/>
    <cellStyle name="40% - Accent5 19" xfId="0"/>
    <cellStyle name="40% - Accent5 19 2" xfId="0"/>
    <cellStyle name="40% - Accent5 19 2 2" xfId="0"/>
    <cellStyle name="40% - Accent5 2" xfId="0"/>
    <cellStyle name="40% - Accent5 2 10" xfId="0"/>
    <cellStyle name="40% - Accent5 2 11" xfId="0"/>
    <cellStyle name="40% - Accent5 2 12" xfId="0"/>
    <cellStyle name="40% - Accent5 2 13" xfId="0"/>
    <cellStyle name="40% - Accent5 2 14" xfId="0"/>
    <cellStyle name="40% - Accent5 2 15" xfId="0"/>
    <cellStyle name="40% - Accent5 2 16" xfId="0"/>
    <cellStyle name="40% - Accent5 2 17" xfId="0"/>
    <cellStyle name="40% - Accent5 2 18" xfId="0"/>
    <cellStyle name="40% - Accent5 2 19" xfId="0"/>
    <cellStyle name="40% - Accent5 2 2" xfId="0"/>
    <cellStyle name="40% - Accent5 2 2 2" xfId="0"/>
    <cellStyle name="40% - Accent5 2 2 2 2" xfId="0"/>
    <cellStyle name="40% - Accent5 2 2 3" xfId="0"/>
    <cellStyle name="40% - Accent5 2 2 3 2" xfId="0"/>
    <cellStyle name="40% - Accent5 2 2 4" xfId="0"/>
    <cellStyle name="40% - Accent5 2 2 4 2" xfId="0"/>
    <cellStyle name="40% - Accent5 2 2 5" xfId="0"/>
    <cellStyle name="40% - Accent5 2 2 6" xfId="0"/>
    <cellStyle name="40% - Accent5 2 20" xfId="0"/>
    <cellStyle name="40% - Accent5 2 21" xfId="0"/>
    <cellStyle name="40% - Accent5 2 22" xfId="0"/>
    <cellStyle name="40% - Accent5 2 23" xfId="0"/>
    <cellStyle name="40% - Accent5 2 24" xfId="0"/>
    <cellStyle name="40% - Accent5 2 25" xfId="0"/>
    <cellStyle name="40% - Accent5 2 3" xfId="0"/>
    <cellStyle name="40% - Accent5 2 3 2" xfId="0"/>
    <cellStyle name="40% - Accent5 2 3 3" xfId="0"/>
    <cellStyle name="40% - Accent5 2 4" xfId="0"/>
    <cellStyle name="40% - Accent5 2 4 2" xfId="0"/>
    <cellStyle name="40% - Accent5 2 4 3" xfId="0"/>
    <cellStyle name="40% - Accent5 2 5" xfId="0"/>
    <cellStyle name="40% - Accent5 2 5 2" xfId="0"/>
    <cellStyle name="40% - Accent5 2 5 3" xfId="0"/>
    <cellStyle name="40% - Accent5 2 6" xfId="0"/>
    <cellStyle name="40% - Accent5 2 6 2" xfId="0"/>
    <cellStyle name="40% - Accent5 2 7" xfId="0"/>
    <cellStyle name="40% - Accent5 2 7 2" xfId="0"/>
    <cellStyle name="40% - Accent5 2 8" xfId="0"/>
    <cellStyle name="40% - Accent5 2 8 2" xfId="0"/>
    <cellStyle name="40% - Accent5 2 9" xfId="0"/>
    <cellStyle name="40% - Accent5 20" xfId="0"/>
    <cellStyle name="40% - Accent5 20 2" xfId="0"/>
    <cellStyle name="40% - Accent5 20 2 2" xfId="0"/>
    <cellStyle name="40% - Accent5 21" xfId="0"/>
    <cellStyle name="40% - Accent5 21 2" xfId="0"/>
    <cellStyle name="40% - Accent5 21 2 2" xfId="0"/>
    <cellStyle name="40% - Accent5 22" xfId="0"/>
    <cellStyle name="40% - Accent5 22 2" xfId="0"/>
    <cellStyle name="40% - Accent5 22 2 2" xfId="0"/>
    <cellStyle name="40% - Accent5 23" xfId="0"/>
    <cellStyle name="40% - Accent5 23 2" xfId="0"/>
    <cellStyle name="40% - Accent5 23 2 2" xfId="0"/>
    <cellStyle name="40% - Accent5 23 3" xfId="0"/>
    <cellStyle name="40% - Accent5 24" xfId="0"/>
    <cellStyle name="40% - Accent5 24 2" xfId="0"/>
    <cellStyle name="40% - Accent5 24 2 2" xfId="0"/>
    <cellStyle name="40% - Accent5 24 3" xfId="0"/>
    <cellStyle name="40% - Accent5 25" xfId="0"/>
    <cellStyle name="40% - Accent5 25 2" xfId="0"/>
    <cellStyle name="40% - Accent5 25 3" xfId="0"/>
    <cellStyle name="40% - Accent5 26" xfId="0"/>
    <cellStyle name="40% - Accent5 26 2" xfId="0"/>
    <cellStyle name="40% - Accent5 27" xfId="0"/>
    <cellStyle name="40% - Accent5 27 2" xfId="0"/>
    <cellStyle name="40% - Accent5 28" xfId="0"/>
    <cellStyle name="40% - Accent5 28 2" xfId="0"/>
    <cellStyle name="40% - Accent5 29" xfId="0"/>
    <cellStyle name="40% - Accent5 29 2" xfId="0"/>
    <cellStyle name="40% - Accent5 2_2.VSCN - GSC charge" xfId="0"/>
    <cellStyle name="40% - Accent5 3" xfId="0"/>
    <cellStyle name="40% - Accent5 3 2" xfId="0"/>
    <cellStyle name="40% - Accent5 3 2 2" xfId="0"/>
    <cellStyle name="40% - Accent5 3 2 3" xfId="0"/>
    <cellStyle name="40% - Accent5 3 3" xfId="0"/>
    <cellStyle name="40% - Accent5 3 3 2" xfId="0"/>
    <cellStyle name="40% - Accent5 3 3 3" xfId="0"/>
    <cellStyle name="40% - Accent5 3 4" xfId="0"/>
    <cellStyle name="40% - Accent5 3 4 2" xfId="0"/>
    <cellStyle name="40% - Accent5 3 5" xfId="0"/>
    <cellStyle name="40% - Accent5 3 5 2" xfId="0"/>
    <cellStyle name="40% - Accent5 3 6" xfId="0"/>
    <cellStyle name="40% - Accent5 3 7" xfId="0"/>
    <cellStyle name="40% - Accent5 30" xfId="0"/>
    <cellStyle name="40% - Accent5 30 2" xfId="0"/>
    <cellStyle name="40% - Accent5 31" xfId="0"/>
    <cellStyle name="40% - Accent5 31 2" xfId="0"/>
    <cellStyle name="40% - Accent5 32" xfId="0"/>
    <cellStyle name="40% - Accent5 32 2" xfId="0"/>
    <cellStyle name="40% - Accent5 33" xfId="0"/>
    <cellStyle name="40% - Accent5 33 2" xfId="0"/>
    <cellStyle name="40% - Accent5 34" xfId="0"/>
    <cellStyle name="40% - Accent5 34 2" xfId="0"/>
    <cellStyle name="40% - Accent5 35" xfId="0"/>
    <cellStyle name="40% - Accent5 35 2" xfId="0"/>
    <cellStyle name="40% - Accent5 36" xfId="0"/>
    <cellStyle name="40% - Accent5 37" xfId="0"/>
    <cellStyle name="40% - Accent5 38" xfId="0"/>
    <cellStyle name="40% - Accent5 39" xfId="0"/>
    <cellStyle name="40% - Accent5 3_Profitability Detail NT$ Sep-12" xfId="0"/>
    <cellStyle name="40% - Accent5 4" xfId="0"/>
    <cellStyle name="40% - Accent5 4 2" xfId="0"/>
    <cellStyle name="40% - Accent5 4 2 2" xfId="0"/>
    <cellStyle name="40% - Accent5 4 2 3" xfId="0"/>
    <cellStyle name="40% - Accent5 4 3" xfId="0"/>
    <cellStyle name="40% - Accent5 4 3 2" xfId="0"/>
    <cellStyle name="40% - Accent5 4 3 3" xfId="0"/>
    <cellStyle name="40% - Accent5 4 4" xfId="0"/>
    <cellStyle name="40% - Accent5 4 4 2" xfId="0"/>
    <cellStyle name="40% - Accent5 4 5" xfId="0"/>
    <cellStyle name="40% - Accent5 4 5 2" xfId="0"/>
    <cellStyle name="40% - Accent5 4 6" xfId="0"/>
    <cellStyle name="40% - Accent5 4 7" xfId="0"/>
    <cellStyle name="40% - Accent5 40" xfId="0"/>
    <cellStyle name="40% - Accent5 41" xfId="0"/>
    <cellStyle name="40% - Accent5 42" xfId="0"/>
    <cellStyle name="40% - Accent5 43" xfId="0"/>
    <cellStyle name="40% - Accent5 44" xfId="0"/>
    <cellStyle name="40% - Accent5 45" xfId="0"/>
    <cellStyle name="40% - Accent5 46" xfId="0"/>
    <cellStyle name="40% - Accent5 47" xfId="0"/>
    <cellStyle name="40% - Accent5 48" xfId="0"/>
    <cellStyle name="40% - Accent5 49" xfId="0"/>
    <cellStyle name="40% - Accent5 4_Profitability Detail NT$ Sep-12" xfId="0"/>
    <cellStyle name="40% - Accent5 5" xfId="0"/>
    <cellStyle name="40% - Accent5 5 2" xfId="0"/>
    <cellStyle name="40% - Accent5 5 2 2" xfId="0"/>
    <cellStyle name="40% - Accent5 5 2 3" xfId="0"/>
    <cellStyle name="40% - Accent5 5 3" xfId="0"/>
    <cellStyle name="40% - Accent5 5 3 2" xfId="0"/>
    <cellStyle name="40% - Accent5 5 4" xfId="0"/>
    <cellStyle name="40% - Accent5 5 4 2" xfId="0"/>
    <cellStyle name="40% - Accent5 5 5" xfId="0"/>
    <cellStyle name="40% - Accent5 50" xfId="0"/>
    <cellStyle name="40% - Accent5 51" xfId="0"/>
    <cellStyle name="40% - Accent5 52" xfId="0"/>
    <cellStyle name="40% - Accent5 53" xfId="0"/>
    <cellStyle name="40% - Accent5 54" xfId="0"/>
    <cellStyle name="40% - Accent5 55" xfId="0"/>
    <cellStyle name="40% - Accent5 56" xfId="0"/>
    <cellStyle name="40% - Accent5 57" xfId="0"/>
    <cellStyle name="40% - Accent5 58" xfId="0"/>
    <cellStyle name="40% - Accent5 59" xfId="0"/>
    <cellStyle name="40% - Accent5 6" xfId="0"/>
    <cellStyle name="40% - Accent5 6 2" xfId="0"/>
    <cellStyle name="40% - Accent5 6 2 2" xfId="0"/>
    <cellStyle name="40% - Accent5 6 3" xfId="0"/>
    <cellStyle name="40% - Accent5 6 3 2" xfId="0"/>
    <cellStyle name="40% - Accent5 6 4" xfId="0"/>
    <cellStyle name="40% - Accent5 60" xfId="0"/>
    <cellStyle name="40% - Accent5 61" xfId="0"/>
    <cellStyle name="40% - Accent5 62" xfId="0"/>
    <cellStyle name="40% - Accent5 63" xfId="0"/>
    <cellStyle name="40% - Accent5 64" xfId="0"/>
    <cellStyle name="40% - Accent5 65" xfId="0"/>
    <cellStyle name="40% - Accent5 66" xfId="0"/>
    <cellStyle name="40% - Accent5 67" xfId="0"/>
    <cellStyle name="40% - Accent5 68" xfId="0"/>
    <cellStyle name="40% - Accent5 69" xfId="0"/>
    <cellStyle name="40% - Accent5 7" xfId="0"/>
    <cellStyle name="40% - Accent5 7 2" xfId="0"/>
    <cellStyle name="40% - Accent5 7 2 2" xfId="0"/>
    <cellStyle name="40% - Accent5 7 3" xfId="0"/>
    <cellStyle name="40% - Accent5 7 3 2" xfId="0"/>
    <cellStyle name="40% - Accent5 7 4" xfId="0"/>
    <cellStyle name="40% - Accent5 70" xfId="0"/>
    <cellStyle name="40% - Accent5 71" xfId="0"/>
    <cellStyle name="40% - Accent5 72" xfId="0"/>
    <cellStyle name="40% - Accent5 73" xfId="0"/>
    <cellStyle name="40% - Accent5 74" xfId="0"/>
    <cellStyle name="40% - Accent5 75" xfId="0"/>
    <cellStyle name="40% - Accent5 76" xfId="0"/>
    <cellStyle name="40% - Accent5 77" xfId="0"/>
    <cellStyle name="40% - Accent5 78" xfId="0"/>
    <cellStyle name="40% - Accent5 79" xfId="0"/>
    <cellStyle name="40% - Accent5 8" xfId="0"/>
    <cellStyle name="40% - Accent5 8 2" xfId="0"/>
    <cellStyle name="40% - Accent5 8 2 2" xfId="0"/>
    <cellStyle name="40% - Accent5 8 3" xfId="0"/>
    <cellStyle name="40% - Accent5 8 3 2" xfId="0"/>
    <cellStyle name="40% - Accent5 8 4" xfId="0"/>
    <cellStyle name="40% - Accent5 80" xfId="0"/>
    <cellStyle name="40% - Accent5 81" xfId="0"/>
    <cellStyle name="40% - Accent5 82" xfId="0"/>
    <cellStyle name="40% - Accent5 83" xfId="0"/>
    <cellStyle name="40% - Accent5 84" xfId="0"/>
    <cellStyle name="40% - Accent5 85" xfId="0"/>
    <cellStyle name="40% - Accent5 86" xfId="0"/>
    <cellStyle name="40% - Accent5 87" xfId="0"/>
    <cellStyle name="40% - Accent5 88" xfId="0"/>
    <cellStyle name="40% - Accent5 89" xfId="0"/>
    <cellStyle name="40% - Accent5 9" xfId="0"/>
    <cellStyle name="40% - Accent5 9 2" xfId="0"/>
    <cellStyle name="40% - Accent5 9 2 2" xfId="0"/>
    <cellStyle name="40% - Accent5 9 3" xfId="0"/>
    <cellStyle name="40% - Accent5 9 3 2" xfId="0"/>
    <cellStyle name="40% - Accent5 9 4" xfId="0"/>
    <cellStyle name="40% - Accent5 90" xfId="0"/>
    <cellStyle name="40% - Accent5 91" xfId="0"/>
    <cellStyle name="40% - Accent5 92" xfId="0"/>
    <cellStyle name="40% - Accent5 93" xfId="0"/>
    <cellStyle name="40% - Accent5 94" xfId="0"/>
    <cellStyle name="40% - Accent5 95" xfId="0"/>
    <cellStyle name="40% - Accent5 96" xfId="0"/>
    <cellStyle name="40% - Accent5_ALL inventory onhand data 0912" xfId="0"/>
    <cellStyle name="40% - Accent6" xfId="0"/>
    <cellStyle name="40% - Accent6 10" xfId="0"/>
    <cellStyle name="40% - Accent6 10 2" xfId="0"/>
    <cellStyle name="40% - Accent6 10 2 2" xfId="0"/>
    <cellStyle name="40% - Accent6 10 3" xfId="0"/>
    <cellStyle name="40% - Accent6 10 3 2" xfId="0"/>
    <cellStyle name="40% - Accent6 10 4" xfId="0"/>
    <cellStyle name="40% - Accent6 11" xfId="0"/>
    <cellStyle name="40% - Accent6 11 2" xfId="0"/>
    <cellStyle name="40% - Accent6 11 2 2" xfId="0"/>
    <cellStyle name="40% - Accent6 11 3" xfId="0"/>
    <cellStyle name="40% - Accent6 11 3 2" xfId="0"/>
    <cellStyle name="40% - Accent6 11 4" xfId="0"/>
    <cellStyle name="40% - Accent6 12" xfId="0"/>
    <cellStyle name="40% - Accent6 12 2" xfId="0"/>
    <cellStyle name="40% - Accent6 12 2 2" xfId="0"/>
    <cellStyle name="40% - Accent6 13" xfId="0"/>
    <cellStyle name="40% - Accent6 13 2" xfId="0"/>
    <cellStyle name="40% - Accent6 13 2 2" xfId="0"/>
    <cellStyle name="40% - Accent6 14" xfId="0"/>
    <cellStyle name="40% - Accent6 14 2" xfId="0"/>
    <cellStyle name="40% - Accent6 14 2 2" xfId="0"/>
    <cellStyle name="40% - Accent6 15" xfId="0"/>
    <cellStyle name="40% - Accent6 15 2" xfId="0"/>
    <cellStyle name="40% - Accent6 15 2 2" xfId="0"/>
    <cellStyle name="40% - Accent6 16" xfId="0"/>
    <cellStyle name="40% - Accent6 16 2" xfId="0"/>
    <cellStyle name="40% - Accent6 16 2 2" xfId="0"/>
    <cellStyle name="40% - Accent6 17" xfId="0"/>
    <cellStyle name="40% - Accent6 17 2" xfId="0"/>
    <cellStyle name="40% - Accent6 17 2 2" xfId="0"/>
    <cellStyle name="40% - Accent6 18" xfId="0"/>
    <cellStyle name="40% - Accent6 18 2" xfId="0"/>
    <cellStyle name="40% - Accent6 18 2 2" xfId="0"/>
    <cellStyle name="40% - Accent6 19" xfId="0"/>
    <cellStyle name="40% - Accent6 19 2" xfId="0"/>
    <cellStyle name="40% - Accent6 19 2 2" xfId="0"/>
    <cellStyle name="40% - Accent6 2" xfId="0"/>
    <cellStyle name="40% - Accent6 2 10" xfId="0"/>
    <cellStyle name="40% - Accent6 2 11" xfId="0"/>
    <cellStyle name="40% - Accent6 2 12" xfId="0"/>
    <cellStyle name="40% - Accent6 2 13" xfId="0"/>
    <cellStyle name="40% - Accent6 2 14" xfId="0"/>
    <cellStyle name="40% - Accent6 2 15" xfId="0"/>
    <cellStyle name="40% - Accent6 2 16" xfId="0"/>
    <cellStyle name="40% - Accent6 2 17" xfId="0"/>
    <cellStyle name="40% - Accent6 2 18" xfId="0"/>
    <cellStyle name="40% - Accent6 2 19" xfId="0"/>
    <cellStyle name="40% - Accent6 2 2" xfId="0"/>
    <cellStyle name="40% - Accent6 2 2 2" xfId="0"/>
    <cellStyle name="40% - Accent6 2 2 2 2" xfId="0"/>
    <cellStyle name="40% - Accent6 2 2 3" xfId="0"/>
    <cellStyle name="40% - Accent6 2 2 3 2" xfId="0"/>
    <cellStyle name="40% - Accent6 2 2 4" xfId="0"/>
    <cellStyle name="40% - Accent6 2 2 4 2" xfId="0"/>
    <cellStyle name="40% - Accent6 2 2 5" xfId="0"/>
    <cellStyle name="40% - Accent6 2 2 6" xfId="0"/>
    <cellStyle name="40% - Accent6 2 20" xfId="0"/>
    <cellStyle name="40% - Accent6 2 21" xfId="0"/>
    <cellStyle name="40% - Accent6 2 22" xfId="0"/>
    <cellStyle name="40% - Accent6 2 23" xfId="0"/>
    <cellStyle name="40% - Accent6 2 24" xfId="0"/>
    <cellStyle name="40% - Accent6 2 25" xfId="0"/>
    <cellStyle name="40% - Accent6 2 3" xfId="0"/>
    <cellStyle name="40% - Accent6 2 3 2" xfId="0"/>
    <cellStyle name="40% - Accent6 2 3 3" xfId="0"/>
    <cellStyle name="40% - Accent6 2 4" xfId="0"/>
    <cellStyle name="40% - Accent6 2 4 2" xfId="0"/>
    <cellStyle name="40% - Accent6 2 4 3" xfId="0"/>
    <cellStyle name="40% - Accent6 2 5" xfId="0"/>
    <cellStyle name="40% - Accent6 2 5 2" xfId="0"/>
    <cellStyle name="40% - Accent6 2 5 3" xfId="0"/>
    <cellStyle name="40% - Accent6 2 6" xfId="0"/>
    <cellStyle name="40% - Accent6 2 6 2" xfId="0"/>
    <cellStyle name="40% - Accent6 2 7" xfId="0"/>
    <cellStyle name="40% - Accent6 2 7 2" xfId="0"/>
    <cellStyle name="40% - Accent6 2 8" xfId="0"/>
    <cellStyle name="40% - Accent6 2 8 2" xfId="0"/>
    <cellStyle name="40% - Accent6 2 9" xfId="0"/>
    <cellStyle name="40% - Accent6 20" xfId="0"/>
    <cellStyle name="40% - Accent6 20 2" xfId="0"/>
    <cellStyle name="40% - Accent6 20 2 2" xfId="0"/>
    <cellStyle name="40% - Accent6 21" xfId="0"/>
    <cellStyle name="40% - Accent6 21 2" xfId="0"/>
    <cellStyle name="40% - Accent6 21 2 2" xfId="0"/>
    <cellStyle name="40% - Accent6 22" xfId="0"/>
    <cellStyle name="40% - Accent6 22 2" xfId="0"/>
    <cellStyle name="40% - Accent6 22 2 2" xfId="0"/>
    <cellStyle name="40% - Accent6 23" xfId="0"/>
    <cellStyle name="40% - Accent6 23 2" xfId="0"/>
    <cellStyle name="40% - Accent6 23 2 2" xfId="0"/>
    <cellStyle name="40% - Accent6 23 3" xfId="0"/>
    <cellStyle name="40% - Accent6 24" xfId="0"/>
    <cellStyle name="40% - Accent6 24 2" xfId="0"/>
    <cellStyle name="40% - Accent6 24 2 2" xfId="0"/>
    <cellStyle name="40% - Accent6 24 3" xfId="0"/>
    <cellStyle name="40% - Accent6 25" xfId="0"/>
    <cellStyle name="40% - Accent6 25 2" xfId="0"/>
    <cellStyle name="40% - Accent6 25 2 2" xfId="0"/>
    <cellStyle name="40% - Accent6 25 3" xfId="0"/>
    <cellStyle name="40% - Accent6 26" xfId="0"/>
    <cellStyle name="40% - Accent6 26 2" xfId="0"/>
    <cellStyle name="40% - Accent6 26 3" xfId="0"/>
    <cellStyle name="40% - Accent6 27" xfId="0"/>
    <cellStyle name="40% - Accent6 27 2" xfId="0"/>
    <cellStyle name="40% - Accent6 27 3" xfId="0"/>
    <cellStyle name="40% - Accent6 28" xfId="0"/>
    <cellStyle name="40% - Accent6 28 2" xfId="0"/>
    <cellStyle name="40% - Accent6 28 3" xfId="0"/>
    <cellStyle name="40% - Accent6 29" xfId="0"/>
    <cellStyle name="40% - Accent6 29 2" xfId="0"/>
    <cellStyle name="40% - Accent6 29 3" xfId="0"/>
    <cellStyle name="40% - Accent6 2_2.VSCN - GSC charge" xfId="0"/>
    <cellStyle name="40% - Accent6 3" xfId="0"/>
    <cellStyle name="40% - Accent6 3 2" xfId="0"/>
    <cellStyle name="40% - Accent6 3 2 2" xfId="0"/>
    <cellStyle name="40% - Accent6 3 2 3" xfId="0"/>
    <cellStyle name="40% - Accent6 3 3" xfId="0"/>
    <cellStyle name="40% - Accent6 3 3 2" xfId="0"/>
    <cellStyle name="40% - Accent6 3 3 3" xfId="0"/>
    <cellStyle name="40% - Accent6 3 4" xfId="0"/>
    <cellStyle name="40% - Accent6 3 4 2" xfId="0"/>
    <cellStyle name="40% - Accent6 3 5" xfId="0"/>
    <cellStyle name="40% - Accent6 3 5 2" xfId="0"/>
    <cellStyle name="40% - Accent6 3 6" xfId="0"/>
    <cellStyle name="40% - Accent6 3 7" xfId="0"/>
    <cellStyle name="40% - Accent6 30" xfId="0"/>
    <cellStyle name="40% - Accent6 30 2" xfId="0"/>
    <cellStyle name="40% - Accent6 31" xfId="0"/>
    <cellStyle name="40% - Accent6 31 2" xfId="0"/>
    <cellStyle name="40% - Accent6 32" xfId="0"/>
    <cellStyle name="40% - Accent6 32 2" xfId="0"/>
    <cellStyle name="40% - Accent6 33" xfId="0"/>
    <cellStyle name="40% - Accent6 33 2" xfId="0"/>
    <cellStyle name="40% - Accent6 34" xfId="0"/>
    <cellStyle name="40% - Accent6 34 2" xfId="0"/>
    <cellStyle name="40% - Accent6 35" xfId="0"/>
    <cellStyle name="40% - Accent6 35 2" xfId="0"/>
    <cellStyle name="40% - Accent6 36" xfId="0"/>
    <cellStyle name="40% - Accent6 36 2" xfId="0"/>
    <cellStyle name="40% - Accent6 37" xfId="0"/>
    <cellStyle name="40% - Accent6 37 2" xfId="0"/>
    <cellStyle name="40% - Accent6 38" xfId="0"/>
    <cellStyle name="40% - Accent6 38 2" xfId="0"/>
    <cellStyle name="40% - Accent6 39" xfId="0"/>
    <cellStyle name="40% - Accent6 39 2" xfId="0"/>
    <cellStyle name="40% - Accent6 3_Profitability Detail NT$ Sep-12" xfId="0"/>
    <cellStyle name="40% - Accent6 4" xfId="0"/>
    <cellStyle name="40% - Accent6 4 2" xfId="0"/>
    <cellStyle name="40% - Accent6 4 2 2" xfId="0"/>
    <cellStyle name="40% - Accent6 4 2 3" xfId="0"/>
    <cellStyle name="40% - Accent6 4 3" xfId="0"/>
    <cellStyle name="40% - Accent6 4 3 2" xfId="0"/>
    <cellStyle name="40% - Accent6 4 3 3" xfId="0"/>
    <cellStyle name="40% - Accent6 4 4" xfId="0"/>
    <cellStyle name="40% - Accent6 4 4 2" xfId="0"/>
    <cellStyle name="40% - Accent6 4 5" xfId="0"/>
    <cellStyle name="40% - Accent6 4 5 2" xfId="0"/>
    <cellStyle name="40% - Accent6 4 6" xfId="0"/>
    <cellStyle name="40% - Accent6 4 7" xfId="0"/>
    <cellStyle name="40% - Accent6 40" xfId="0"/>
    <cellStyle name="40% - Accent6 40 2" xfId="0"/>
    <cellStyle name="40% - Accent6 41" xfId="0"/>
    <cellStyle name="40% - Accent6 41 2" xfId="0"/>
    <cellStyle name="40% - Accent6 42" xfId="0"/>
    <cellStyle name="40% - Accent6 43" xfId="0"/>
    <cellStyle name="40% - Accent6 44" xfId="0"/>
    <cellStyle name="40% - Accent6 45" xfId="0"/>
    <cellStyle name="40% - Accent6 46" xfId="0"/>
    <cellStyle name="40% - Accent6 47" xfId="0"/>
    <cellStyle name="40% - Accent6 48" xfId="0"/>
    <cellStyle name="40% - Accent6 49" xfId="0"/>
    <cellStyle name="40% - Accent6 4_Profitability Detail NT$ Sep-12" xfId="0"/>
    <cellStyle name="40% - Accent6 5" xfId="0"/>
    <cellStyle name="40% - Accent6 5 2" xfId="0"/>
    <cellStyle name="40% - Accent6 5 2 2" xfId="0"/>
    <cellStyle name="40% - Accent6 5 2 3" xfId="0"/>
    <cellStyle name="40% - Accent6 5 3" xfId="0"/>
    <cellStyle name="40% - Accent6 5 3 2" xfId="0"/>
    <cellStyle name="40% - Accent6 5 4" xfId="0"/>
    <cellStyle name="40% - Accent6 5 4 2" xfId="0"/>
    <cellStyle name="40% - Accent6 5 5" xfId="0"/>
    <cellStyle name="40% - Accent6 50" xfId="0"/>
    <cellStyle name="40% - Accent6 51" xfId="0"/>
    <cellStyle name="40% - Accent6 52" xfId="0"/>
    <cellStyle name="40% - Accent6 53" xfId="0"/>
    <cellStyle name="40% - Accent6 54" xfId="0"/>
    <cellStyle name="40% - Accent6 55" xfId="0"/>
    <cellStyle name="40% - Accent6 56" xfId="0"/>
    <cellStyle name="40% - Accent6 57" xfId="0"/>
    <cellStyle name="40% - Accent6 58" xfId="0"/>
    <cellStyle name="40% - Accent6 59" xfId="0"/>
    <cellStyle name="40% - Accent6 6" xfId="0"/>
    <cellStyle name="40% - Accent6 6 2" xfId="0"/>
    <cellStyle name="40% - Accent6 6 2 2" xfId="0"/>
    <cellStyle name="40% - Accent6 6 3" xfId="0"/>
    <cellStyle name="40% - Accent6 6 3 2" xfId="0"/>
    <cellStyle name="40% - Accent6 6 4" xfId="0"/>
    <cellStyle name="40% - Accent6 60" xfId="0"/>
    <cellStyle name="40% - Accent6 61" xfId="0"/>
    <cellStyle name="40% - Accent6 62" xfId="0"/>
    <cellStyle name="40% - Accent6 63" xfId="0"/>
    <cellStyle name="40% - Accent6 64" xfId="0"/>
    <cellStyle name="40% - Accent6 65" xfId="0"/>
    <cellStyle name="40% - Accent6 66" xfId="0"/>
    <cellStyle name="40% - Accent6 67" xfId="0"/>
    <cellStyle name="40% - Accent6 68" xfId="0"/>
    <cellStyle name="40% - Accent6 69" xfId="0"/>
    <cellStyle name="40% - Accent6 7" xfId="0"/>
    <cellStyle name="40% - Accent6 7 2" xfId="0"/>
    <cellStyle name="40% - Accent6 7 2 2" xfId="0"/>
    <cellStyle name="40% - Accent6 7 3" xfId="0"/>
    <cellStyle name="40% - Accent6 7 3 2" xfId="0"/>
    <cellStyle name="40% - Accent6 7 4" xfId="0"/>
    <cellStyle name="40% - Accent6 70" xfId="0"/>
    <cellStyle name="40% - Accent6 71" xfId="0"/>
    <cellStyle name="40% - Accent6 72" xfId="0"/>
    <cellStyle name="40% - Accent6 73" xfId="0"/>
    <cellStyle name="40% - Accent6 74" xfId="0"/>
    <cellStyle name="40% - Accent6 75" xfId="0"/>
    <cellStyle name="40% - Accent6 76" xfId="0"/>
    <cellStyle name="40% - Accent6 77" xfId="0"/>
    <cellStyle name="40% - Accent6 78" xfId="0"/>
    <cellStyle name="40% - Accent6 79" xfId="0"/>
    <cellStyle name="40% - Accent6 8" xfId="0"/>
    <cellStyle name="40% - Accent6 8 2" xfId="0"/>
    <cellStyle name="40% - Accent6 8 2 2" xfId="0"/>
    <cellStyle name="40% - Accent6 8 3" xfId="0"/>
    <cellStyle name="40% - Accent6 8 3 2" xfId="0"/>
    <cellStyle name="40% - Accent6 8 4" xfId="0"/>
    <cellStyle name="40% - Accent6 80" xfId="0"/>
    <cellStyle name="40% - Accent6 81" xfId="0"/>
    <cellStyle name="40% - Accent6 82" xfId="0"/>
    <cellStyle name="40% - Accent6 83" xfId="0"/>
    <cellStyle name="40% - Accent6 84" xfId="0"/>
    <cellStyle name="40% - Accent6 85" xfId="0"/>
    <cellStyle name="40% - Accent6 86" xfId="0"/>
    <cellStyle name="40% - Accent6 87" xfId="0"/>
    <cellStyle name="40% - Accent6 88" xfId="0"/>
    <cellStyle name="40% - Accent6 89" xfId="0"/>
    <cellStyle name="40% - Accent6 9" xfId="0"/>
    <cellStyle name="40% - Accent6 9 2" xfId="0"/>
    <cellStyle name="40% - Accent6 9 2 2" xfId="0"/>
    <cellStyle name="40% - Accent6 9 3" xfId="0"/>
    <cellStyle name="40% - Accent6 9 3 2" xfId="0"/>
    <cellStyle name="40% - Accent6 9 4" xfId="0"/>
    <cellStyle name="40% - Accent6 90" xfId="0"/>
    <cellStyle name="40% - Accent6 91" xfId="0"/>
    <cellStyle name="40% - Accent6 92" xfId="0"/>
    <cellStyle name="40% - Accent6 93" xfId="0"/>
    <cellStyle name="40% - Accent6 94" xfId="0"/>
    <cellStyle name="40% - Accent6 95" xfId="0"/>
    <cellStyle name="40% - Accent6 96" xfId="0"/>
    <cellStyle name="40% - Accent6_ALL inventory onhand data 0912" xfId="0"/>
    <cellStyle name="40% - akcent 1" xfId="0"/>
    <cellStyle name="40% - akcent 1 2" xfId="0"/>
    <cellStyle name="40% - akcent 2" xfId="0"/>
    <cellStyle name="40% - akcent 2 2" xfId="0"/>
    <cellStyle name="40% - akcent 3" xfId="0"/>
    <cellStyle name="40% - akcent 3 2" xfId="0"/>
    <cellStyle name="40% - akcent 4" xfId="0"/>
    <cellStyle name="40% - akcent 4 2" xfId="0"/>
    <cellStyle name="40% - akcent 5" xfId="0"/>
    <cellStyle name="40% - akcent 5 2" xfId="0"/>
    <cellStyle name="40% - akcent 6" xfId="0"/>
    <cellStyle name="40% - akcent 6 2" xfId="0"/>
    <cellStyle name="40% - Akzent1" xfId="0"/>
    <cellStyle name="40% - Akzent1 2" xfId="0"/>
    <cellStyle name="40% - Akzent2" xfId="0"/>
    <cellStyle name="40% - Akzent2 2" xfId="0"/>
    <cellStyle name="40% - Akzent3" xfId="0"/>
    <cellStyle name="40% - Akzent3 2" xfId="0"/>
    <cellStyle name="40% - Akzent4" xfId="0"/>
    <cellStyle name="40% - Akzent4 2" xfId="0"/>
    <cellStyle name="40% - Akzent5" xfId="0"/>
    <cellStyle name="40% - Akzent5 2" xfId="0"/>
    <cellStyle name="40% - Akzent6" xfId="0"/>
    <cellStyle name="40% - Akzent6 2" xfId="0"/>
    <cellStyle name="40% - Акцент1" xfId="0"/>
    <cellStyle name="40% - Акцент1 2" xfId="0"/>
    <cellStyle name="40% - Акцент2" xfId="0"/>
    <cellStyle name="40% - Акцент2 2" xfId="0"/>
    <cellStyle name="40% - Акцент3" xfId="0"/>
    <cellStyle name="40% - Акцент3 2" xfId="0"/>
    <cellStyle name="40% - Акцент4" xfId="0"/>
    <cellStyle name="40% - Акцент4 2" xfId="0"/>
    <cellStyle name="40% - Акцент5" xfId="0"/>
    <cellStyle name="40% - Акцент5 2" xfId="0"/>
    <cellStyle name="40% - Акцент6" xfId="0"/>
    <cellStyle name="40% - Акцент6 2" xfId="0"/>
    <cellStyle name="40% - アクセント 1" xfId="0"/>
    <cellStyle name="40% - アクセント 2" xfId="0"/>
    <cellStyle name="40% - アクセント 3" xfId="0"/>
    <cellStyle name="40% - アクセント 4" xfId="0"/>
    <cellStyle name="40% - アクセント 5" xfId="0"/>
    <cellStyle name="40% - アクセント 6" xfId="0"/>
    <cellStyle name="40% - 强调文字颜色 1" xfId="0"/>
    <cellStyle name="40% - 强调文字颜色 1 10" xfId="0"/>
    <cellStyle name="40% - 强调文字颜色 1 11" xfId="0"/>
    <cellStyle name="40% - 强调文字颜色 1 12" xfId="0"/>
    <cellStyle name="40% - 强调文字颜色 1 13" xfId="0"/>
    <cellStyle name="40% - 强调文字颜色 1 14" xfId="0"/>
    <cellStyle name="40% - 强调文字颜色 1 15" xfId="0"/>
    <cellStyle name="40% - 强调文字颜色 1 16" xfId="0"/>
    <cellStyle name="40% - 强调文字颜色 1 17" xfId="0"/>
    <cellStyle name="40% - 强调文字颜色 1 18" xfId="0"/>
    <cellStyle name="40% - 强调文字颜色 1 19" xfId="0"/>
    <cellStyle name="40% - 强调文字颜色 1 2" xfId="0"/>
    <cellStyle name="40% - 强调文字颜色 1 2 10" xfId="0"/>
    <cellStyle name="40% - 强调文字颜色 1 2 11" xfId="0"/>
    <cellStyle name="40% - 强调文字颜色 1 2 12" xfId="0"/>
    <cellStyle name="40% - 强调文字颜色 1 2 13" xfId="0"/>
    <cellStyle name="40% - 强调文字颜色 1 2 14" xfId="0"/>
    <cellStyle name="40% - 强调文字颜色 1 2 15" xfId="0"/>
    <cellStyle name="40% - 强调文字颜色 1 2 16" xfId="0"/>
    <cellStyle name="40% - 强调文字颜色 1 2 17" xfId="0"/>
    <cellStyle name="40% - 强调文字颜色 1 2 18" xfId="0"/>
    <cellStyle name="40% - 强调文字颜色 1 2 19" xfId="0"/>
    <cellStyle name="40% - 强调文字颜色 1 2 2" xfId="0"/>
    <cellStyle name="40% - 强调文字颜色 1 2 20" xfId="0"/>
    <cellStyle name="40% - 强调文字颜色 1 2 21" xfId="0"/>
    <cellStyle name="40% - 强调文字颜色 1 2 22" xfId="0"/>
    <cellStyle name="40% - 强调文字颜色 1 2 23" xfId="0"/>
    <cellStyle name="40% - 强调文字颜色 1 2 24" xfId="0"/>
    <cellStyle name="40% - 强调文字颜色 1 2 25" xfId="0"/>
    <cellStyle name="40% - 强调文字颜色 1 2 3" xfId="0"/>
    <cellStyle name="40% - 强调文字颜色 1 2 4" xfId="0"/>
    <cellStyle name="40% - 强调文字颜色 1 2 5" xfId="0"/>
    <cellStyle name="40% - 强调文字颜色 1 2 6" xfId="0"/>
    <cellStyle name="40% - 强调文字颜色 1 2 7" xfId="0"/>
    <cellStyle name="40% - 强调文字颜色 1 2 8" xfId="0"/>
    <cellStyle name="40% - 强调文字颜色 1 2 9" xfId="0"/>
    <cellStyle name="40% - 强调文字颜色 1 20" xfId="0"/>
    <cellStyle name="40% - 强调文字颜色 1 21" xfId="0"/>
    <cellStyle name="40% - 强调文字颜色 1 22" xfId="0"/>
    <cellStyle name="40% - 强调文字颜色 1 23" xfId="0"/>
    <cellStyle name="40% - 强调文字颜色 1 24" xfId="0"/>
    <cellStyle name="40% - 强调文字颜色 1 25" xfId="0"/>
    <cellStyle name="40% - 强调文字颜色 1 26" xfId="0"/>
    <cellStyle name="40% - 强调文字颜色 1 27" xfId="0"/>
    <cellStyle name="40% - 强调文字颜色 1 28" xfId="0"/>
    <cellStyle name="40% - 强调文字颜色 1 29" xfId="0"/>
    <cellStyle name="40% - 强调文字颜色 1 3" xfId="0"/>
    <cellStyle name="40% - 强调文字颜色 1 30" xfId="0"/>
    <cellStyle name="40% - 强调文字颜色 1 31" xfId="0"/>
    <cellStyle name="40% - 强调文字颜色 1 32" xfId="0"/>
    <cellStyle name="40% - 强调文字颜色 1 33" xfId="0"/>
    <cellStyle name="40% - 强调文字颜色 1 34" xfId="0"/>
    <cellStyle name="40% - 强调文字颜色 1 35" xfId="0"/>
    <cellStyle name="40% - 强调文字颜色 1 36" xfId="0"/>
    <cellStyle name="40% - 强调文字颜色 1 37" xfId="0"/>
    <cellStyle name="40% - 强调文字颜色 1 38" xfId="0"/>
    <cellStyle name="40% - 强调文字颜色 1 39" xfId="0"/>
    <cellStyle name="40% - 强调文字颜色 1 4" xfId="0"/>
    <cellStyle name="40% - 强调文字颜色 1 40" xfId="0"/>
    <cellStyle name="40% - 强调文字颜色 1 41" xfId="0"/>
    <cellStyle name="40% - 强调文字颜色 1 42" xfId="0"/>
    <cellStyle name="40% - 强调文字颜色 1 43" xfId="0"/>
    <cellStyle name="40% - 强调文字颜色 1 44" xfId="0"/>
    <cellStyle name="40% - 强调文字颜色 1 45" xfId="0"/>
    <cellStyle name="40% - 强调文字颜色 1 46" xfId="0"/>
    <cellStyle name="40% - 强调文字颜色 1 47" xfId="0"/>
    <cellStyle name="40% - 强调文字颜色 1 48" xfId="0"/>
    <cellStyle name="40% - 强调文字颜色 1 49" xfId="0"/>
    <cellStyle name="40% - 强调文字颜色 1 5" xfId="0"/>
    <cellStyle name="40% - 强调文字颜色 1 50" xfId="0"/>
    <cellStyle name="40% - 强调文字颜色 1 51" xfId="0"/>
    <cellStyle name="40% - 强调文字颜色 1 52" xfId="0"/>
    <cellStyle name="40% - 强调文字颜色 1 53" xfId="0"/>
    <cellStyle name="40% - 强调文字颜色 1 54" xfId="0"/>
    <cellStyle name="40% - 强调文字颜色 1 55" xfId="0"/>
    <cellStyle name="40% - 强调文字颜色 1 56" xfId="0"/>
    <cellStyle name="40% - 强调文字颜色 1 57" xfId="0"/>
    <cellStyle name="40% - 强调文字颜色 1 58" xfId="0"/>
    <cellStyle name="40% - 强调文字颜色 1 59" xfId="0"/>
    <cellStyle name="40% - 强调文字颜色 1 6" xfId="0"/>
    <cellStyle name="40% - 强调文字颜色 1 60" xfId="0"/>
    <cellStyle name="40% - 强调文字颜色 1 61" xfId="0"/>
    <cellStyle name="40% - 强调文字颜色 1 62" xfId="0"/>
    <cellStyle name="40% - 强调文字颜色 1 63" xfId="0"/>
    <cellStyle name="40% - 强调文字颜色 1 64" xfId="0"/>
    <cellStyle name="40% - 强调文字颜色 1 65" xfId="0"/>
    <cellStyle name="40% - 强调文字颜色 1 66" xfId="0"/>
    <cellStyle name="40% - 强调文字颜色 1 67" xfId="0"/>
    <cellStyle name="40% - 强调文字颜色 1 68" xfId="0"/>
    <cellStyle name="40% - 强调文字颜色 1 69" xfId="0"/>
    <cellStyle name="40% - 强调文字颜色 1 7" xfId="0"/>
    <cellStyle name="40% - 强调文字颜色 1 70" xfId="0"/>
    <cellStyle name="40% - 强调文字颜色 1 71" xfId="0"/>
    <cellStyle name="40% - 强调文字颜色 1 72" xfId="0"/>
    <cellStyle name="40% - 强调文字颜色 1 73" xfId="0"/>
    <cellStyle name="40% - 强调文字颜色 1 74" xfId="0"/>
    <cellStyle name="40% - 强调文字颜色 1 75" xfId="0"/>
    <cellStyle name="40% - 强调文字颜色 1 76" xfId="0"/>
    <cellStyle name="40% - 强调文字颜色 1 77" xfId="0"/>
    <cellStyle name="40% - 强调文字颜色 1 78" xfId="0"/>
    <cellStyle name="40% - 强调文字颜色 1 79" xfId="0"/>
    <cellStyle name="40% - 强调文字颜色 1 8" xfId="0"/>
    <cellStyle name="40% - 强调文字颜色 1 80" xfId="0"/>
    <cellStyle name="40% - 强调文字颜色 1 81" xfId="0"/>
    <cellStyle name="40% - 强调文字颜色 1 82" xfId="0"/>
    <cellStyle name="40% - 强调文字颜色 1 83" xfId="0"/>
    <cellStyle name="40% - 强调文字颜色 1 84" xfId="0"/>
    <cellStyle name="40% - 强调文字颜色 1 9" xfId="0"/>
    <cellStyle name="40% - 强调文字颜色 1_CORP SG&amp;A" xfId="0"/>
    <cellStyle name="40% - 强调文字颜色 2" xfId="0"/>
    <cellStyle name="40% - 强调文字颜色 2 10" xfId="0"/>
    <cellStyle name="40% - 强调文字颜色 2 11" xfId="0"/>
    <cellStyle name="40% - 强调文字颜色 2 12" xfId="0"/>
    <cellStyle name="40% - 强调文字颜色 2 13" xfId="0"/>
    <cellStyle name="40% - 强调文字颜色 2 14" xfId="0"/>
    <cellStyle name="40% - 强调文字颜色 2 15" xfId="0"/>
    <cellStyle name="40% - 强调文字颜色 2 16" xfId="0"/>
    <cellStyle name="40% - 强调文字颜色 2 17" xfId="0"/>
    <cellStyle name="40% - 强调文字颜色 2 18" xfId="0"/>
    <cellStyle name="40% - 强调文字颜色 2 19" xfId="0"/>
    <cellStyle name="40% - 强调文字颜色 2 2" xfId="0"/>
    <cellStyle name="40% - 强调文字颜色 2 2 10" xfId="0"/>
    <cellStyle name="40% - 强调文字颜色 2 2 11" xfId="0"/>
    <cellStyle name="40% - 强调文字颜色 2 2 12" xfId="0"/>
    <cellStyle name="40% - 强调文字颜色 2 2 13" xfId="0"/>
    <cellStyle name="40% - 强调文字颜色 2 2 14" xfId="0"/>
    <cellStyle name="40% - 强调文字颜色 2 2 15" xfId="0"/>
    <cellStyle name="40% - 强调文字颜色 2 2 16" xfId="0"/>
    <cellStyle name="40% - 强调文字颜色 2 2 17" xfId="0"/>
    <cellStyle name="40% - 强调文字颜色 2 2 18" xfId="0"/>
    <cellStyle name="40% - 强调文字颜色 2 2 19" xfId="0"/>
    <cellStyle name="40% - 强调文字颜色 2 2 2" xfId="0"/>
    <cellStyle name="40% - 强调文字颜色 2 2 20" xfId="0"/>
    <cellStyle name="40% - 强调文字颜色 2 2 21" xfId="0"/>
    <cellStyle name="40% - 强调文字颜色 2 2 22" xfId="0"/>
    <cellStyle name="40% - 强调文字颜色 2 2 23" xfId="0"/>
    <cellStyle name="40% - 强调文字颜色 2 2 24" xfId="0"/>
    <cellStyle name="40% - 强调文字颜色 2 2 3" xfId="0"/>
    <cellStyle name="40% - 强调文字颜色 2 2 4" xfId="0"/>
    <cellStyle name="40% - 强调文字颜色 2 2 5" xfId="0"/>
    <cellStyle name="40% - 强调文字颜色 2 2 6" xfId="0"/>
    <cellStyle name="40% - 强调文字颜色 2 2 7" xfId="0"/>
    <cellStyle name="40% - 强调文字颜色 2 2 8" xfId="0"/>
    <cellStyle name="40% - 强调文字颜色 2 2 9" xfId="0"/>
    <cellStyle name="40% - 强调文字颜色 2 20" xfId="0"/>
    <cellStyle name="40% - 强调文字颜色 2 21" xfId="0"/>
    <cellStyle name="40% - 强调文字颜色 2 22" xfId="0"/>
    <cellStyle name="40% - 强调文字颜色 2 23" xfId="0"/>
    <cellStyle name="40% - 强调文字颜色 2 24" xfId="0"/>
    <cellStyle name="40% - 强调文字颜色 2 25" xfId="0"/>
    <cellStyle name="40% - 强调文字颜色 2 26" xfId="0"/>
    <cellStyle name="40% - 强调文字颜色 2 27" xfId="0"/>
    <cellStyle name="40% - 强调文字颜色 2 28" xfId="0"/>
    <cellStyle name="40% - 强调文字颜色 2 29" xfId="0"/>
    <cellStyle name="40% - 强调文字颜色 2 3" xfId="0"/>
    <cellStyle name="40% - 强调文字颜色 2 30" xfId="0"/>
    <cellStyle name="40% - 强调文字颜色 2 31" xfId="0"/>
    <cellStyle name="40% - 强调文字颜色 2 32" xfId="0"/>
    <cellStyle name="40% - 强调文字颜色 2 33" xfId="0"/>
    <cellStyle name="40% - 强调文字颜色 2 34" xfId="0"/>
    <cellStyle name="40% - 强调文字颜色 2 35" xfId="0"/>
    <cellStyle name="40% - 强调文字颜色 2 36" xfId="0"/>
    <cellStyle name="40% - 强调文字颜色 2 37" xfId="0"/>
    <cellStyle name="40% - 强调文字颜色 2 38" xfId="0"/>
    <cellStyle name="40% - 强调文字颜色 2 39" xfId="0"/>
    <cellStyle name="40% - 强调文字颜色 2 4" xfId="0"/>
    <cellStyle name="40% - 强调文字颜色 2 40" xfId="0"/>
    <cellStyle name="40% - 强调文字颜色 2 41" xfId="0"/>
    <cellStyle name="40% - 强调文字颜色 2 42" xfId="0"/>
    <cellStyle name="40% - 强调文字颜色 2 43" xfId="0"/>
    <cellStyle name="40% - 强调文字颜色 2 44" xfId="0"/>
    <cellStyle name="40% - 强调文字颜色 2 45" xfId="0"/>
    <cellStyle name="40% - 强调文字颜色 2 46" xfId="0"/>
    <cellStyle name="40% - 强调文字颜色 2 47" xfId="0"/>
    <cellStyle name="40% - 强调文字颜色 2 48" xfId="0"/>
    <cellStyle name="40% - 强调文字颜色 2 49" xfId="0"/>
    <cellStyle name="40% - 强调文字颜色 2 5" xfId="0"/>
    <cellStyle name="40% - 强调文字颜色 2 50" xfId="0"/>
    <cellStyle name="40% - 强调文字颜色 2 51" xfId="0"/>
    <cellStyle name="40% - 强调文字颜色 2 52" xfId="0"/>
    <cellStyle name="40% - 强调文字颜色 2 53" xfId="0"/>
    <cellStyle name="40% - 强调文字颜色 2 54" xfId="0"/>
    <cellStyle name="40% - 强调文字颜色 2 55" xfId="0"/>
    <cellStyle name="40% - 强调文字颜色 2 56" xfId="0"/>
    <cellStyle name="40% - 强调文字颜色 2 57" xfId="0"/>
    <cellStyle name="40% - 强调文字颜色 2 58" xfId="0"/>
    <cellStyle name="40% - 强调文字颜色 2 59" xfId="0"/>
    <cellStyle name="40% - 强调文字颜色 2 6" xfId="0"/>
    <cellStyle name="40% - 强调文字颜色 2 60" xfId="0"/>
    <cellStyle name="40% - 强调文字颜色 2 61" xfId="0"/>
    <cellStyle name="40% - 强调文字颜色 2 62" xfId="0"/>
    <cellStyle name="40% - 强调文字颜色 2 63" xfId="0"/>
    <cellStyle name="40% - 强调文字颜色 2 64" xfId="0"/>
    <cellStyle name="40% - 强调文字颜色 2 65" xfId="0"/>
    <cellStyle name="40% - 强调文字颜色 2 66" xfId="0"/>
    <cellStyle name="40% - 强调文字颜色 2 67" xfId="0"/>
    <cellStyle name="40% - 强调文字颜色 2 68" xfId="0"/>
    <cellStyle name="40% - 强调文字颜色 2 69" xfId="0"/>
    <cellStyle name="40% - 强调文字颜色 2 7" xfId="0"/>
    <cellStyle name="40% - 强调文字颜色 2 70" xfId="0"/>
    <cellStyle name="40% - 强调文字颜色 2 71" xfId="0"/>
    <cellStyle name="40% - 强调文字颜色 2 72" xfId="0"/>
    <cellStyle name="40% - 强调文字颜色 2 73" xfId="0"/>
    <cellStyle name="40% - 强调文字颜色 2 74" xfId="0"/>
    <cellStyle name="40% - 强调文字颜色 2 75" xfId="0"/>
    <cellStyle name="40% - 强调文字颜色 2 76" xfId="0"/>
    <cellStyle name="40% - 强调文字颜色 2 77" xfId="0"/>
    <cellStyle name="40% - 强调文字颜色 2 78" xfId="0"/>
    <cellStyle name="40% - 强调文字颜色 2 79" xfId="0"/>
    <cellStyle name="40% - 强调文字颜色 2 8" xfId="0"/>
    <cellStyle name="40% - 强调文字颜色 2 80" xfId="0"/>
    <cellStyle name="40% - 强调文字颜色 2 81" xfId="0"/>
    <cellStyle name="40% - 强调文字颜色 2 82" xfId="0"/>
    <cellStyle name="40% - 强调文字颜色 2 83" xfId="0"/>
    <cellStyle name="40% - 强调文字颜色 2 9" xfId="0"/>
    <cellStyle name="40% - 强调文字颜色 2_CORP SG&amp;A" xfId="0"/>
    <cellStyle name="40% - 强调文字颜色 3" xfId="0"/>
    <cellStyle name="40% - 强调文字颜色 3 10" xfId="0"/>
    <cellStyle name="40% - 强调文字颜色 3 11" xfId="0"/>
    <cellStyle name="40% - 强调文字颜色 3 12" xfId="0"/>
    <cellStyle name="40% - 强调文字颜色 3 13" xfId="0"/>
    <cellStyle name="40% - 强调文字颜色 3 14" xfId="0"/>
    <cellStyle name="40% - 强调文字颜色 3 15" xfId="0"/>
    <cellStyle name="40% - 强调文字颜色 3 16" xfId="0"/>
    <cellStyle name="40% - 强调文字颜色 3 17" xfId="0"/>
    <cellStyle name="40% - 强调文字颜色 3 18" xfId="0"/>
    <cellStyle name="40% - 强调文字颜色 3 19" xfId="0"/>
    <cellStyle name="40% - 强调文字颜色 3 2" xfId="0"/>
    <cellStyle name="40% - 强调文字颜色 3 2 10" xfId="0"/>
    <cellStyle name="40% - 强调文字颜色 3 2 11" xfId="0"/>
    <cellStyle name="40% - 强调文字颜色 3 2 12" xfId="0"/>
    <cellStyle name="40% - 强调文字颜色 3 2 13" xfId="0"/>
    <cellStyle name="40% - 强调文字颜色 3 2 14" xfId="0"/>
    <cellStyle name="40% - 强调文字颜色 3 2 15" xfId="0"/>
    <cellStyle name="40% - 强调文字颜色 3 2 16" xfId="0"/>
    <cellStyle name="40% - 强调文字颜色 3 2 17" xfId="0"/>
    <cellStyle name="40% - 强调文字颜色 3 2 18" xfId="0"/>
    <cellStyle name="40% - 强调文字颜色 3 2 19" xfId="0"/>
    <cellStyle name="40% - 强调文字颜色 3 2 2" xfId="0"/>
    <cellStyle name="40% - 强调文字颜色 3 2 20" xfId="0"/>
    <cellStyle name="40% - 强调文字颜色 3 2 21" xfId="0"/>
    <cellStyle name="40% - 强调文字颜色 3 2 22" xfId="0"/>
    <cellStyle name="40% - 强调文字颜色 3 2 23" xfId="0"/>
    <cellStyle name="40% - 强调文字颜色 3 2 24" xfId="0"/>
    <cellStyle name="40% - 强调文字颜色 3 2 25" xfId="0"/>
    <cellStyle name="40% - 强调文字颜色 3 2 3" xfId="0"/>
    <cellStyle name="40% - 强调文字颜色 3 2 4" xfId="0"/>
    <cellStyle name="40% - 强调文字颜色 3 2 5" xfId="0"/>
    <cellStyle name="40% - 强调文字颜色 3 2 6" xfId="0"/>
    <cellStyle name="40% - 强调文字颜色 3 2 7" xfId="0"/>
    <cellStyle name="40% - 强调文字颜色 3 2 8" xfId="0"/>
    <cellStyle name="40% - 强调文字颜色 3 2 9" xfId="0"/>
    <cellStyle name="40% - 强调文字颜色 3 20" xfId="0"/>
    <cellStyle name="40% - 强调文字颜色 3 21" xfId="0"/>
    <cellStyle name="40% - 强调文字颜色 3 22" xfId="0"/>
    <cellStyle name="40% - 强调文字颜色 3 23" xfId="0"/>
    <cellStyle name="40% - 强调文字颜色 3 24" xfId="0"/>
    <cellStyle name="40% - 强调文字颜色 3 25" xfId="0"/>
    <cellStyle name="40% - 强调文字颜色 3 26" xfId="0"/>
    <cellStyle name="40% - 强调文字颜色 3 27" xfId="0"/>
    <cellStyle name="40% - 强调文字颜色 3 28" xfId="0"/>
    <cellStyle name="40% - 强调文字颜色 3 29" xfId="0"/>
    <cellStyle name="40% - 强调文字颜色 3 3" xfId="0"/>
    <cellStyle name="40% - 强调文字颜色 3 30" xfId="0"/>
    <cellStyle name="40% - 强调文字颜色 3 31" xfId="0"/>
    <cellStyle name="40% - 强调文字颜色 3 32" xfId="0"/>
    <cellStyle name="40% - 强调文字颜色 3 33" xfId="0"/>
    <cellStyle name="40% - 强调文字颜色 3 34" xfId="0"/>
    <cellStyle name="40% - 强调文字颜色 3 35" xfId="0"/>
    <cellStyle name="40% - 强调文字颜色 3 36" xfId="0"/>
    <cellStyle name="40% - 强调文字颜色 3 37" xfId="0"/>
    <cellStyle name="40% - 强调文字颜色 3 38" xfId="0"/>
    <cellStyle name="40% - 强调文字颜色 3 39" xfId="0"/>
    <cellStyle name="40% - 强调文字颜色 3 4" xfId="0"/>
    <cellStyle name="40% - 强调文字颜色 3 40" xfId="0"/>
    <cellStyle name="40% - 强调文字颜色 3 41" xfId="0"/>
    <cellStyle name="40% - 强调文字颜色 3 42" xfId="0"/>
    <cellStyle name="40% - 强调文字颜色 3 43" xfId="0"/>
    <cellStyle name="40% - 强调文字颜色 3 44" xfId="0"/>
    <cellStyle name="40% - 强调文字颜色 3 45" xfId="0"/>
    <cellStyle name="40% - 强调文字颜色 3 46" xfId="0"/>
    <cellStyle name="40% - 强调文字颜色 3 47" xfId="0"/>
    <cellStyle name="40% - 强调文字颜色 3 48" xfId="0"/>
    <cellStyle name="40% - 强调文字颜色 3 49" xfId="0"/>
    <cellStyle name="40% - 强调文字颜色 3 5" xfId="0"/>
    <cellStyle name="40% - 强调文字颜色 3 50" xfId="0"/>
    <cellStyle name="40% - 强调文字颜色 3 51" xfId="0"/>
    <cellStyle name="40% - 强调文字颜色 3 52" xfId="0"/>
    <cellStyle name="40% - 强调文字颜色 3 53" xfId="0"/>
    <cellStyle name="40% - 强调文字颜色 3 54" xfId="0"/>
    <cellStyle name="40% - 强调文字颜色 3 55" xfId="0"/>
    <cellStyle name="40% - 强调文字颜色 3 56" xfId="0"/>
    <cellStyle name="40% - 强调文字颜色 3 57" xfId="0"/>
    <cellStyle name="40% - 强调文字颜色 3 58" xfId="0"/>
    <cellStyle name="40% - 强调文字颜色 3 59" xfId="0"/>
    <cellStyle name="40% - 强调文字颜色 3 6" xfId="0"/>
    <cellStyle name="40% - 强调文字颜色 3 60" xfId="0"/>
    <cellStyle name="40% - 强调文字颜色 3 61" xfId="0"/>
    <cellStyle name="40% - 强调文字颜色 3 62" xfId="0"/>
    <cellStyle name="40% - 强调文字颜色 3 63" xfId="0"/>
    <cellStyle name="40% - 强调文字颜色 3 64" xfId="0"/>
    <cellStyle name="40% - 强调文字颜色 3 65" xfId="0"/>
    <cellStyle name="40% - 强调文字颜色 3 66" xfId="0"/>
    <cellStyle name="40% - 强调文字颜色 3 67" xfId="0"/>
    <cellStyle name="40% - 强调文字颜色 3 68" xfId="0"/>
    <cellStyle name="40% - 强调文字颜色 3 69" xfId="0"/>
    <cellStyle name="40% - 强调文字颜色 3 7" xfId="0"/>
    <cellStyle name="40% - 强调文字颜色 3 70" xfId="0"/>
    <cellStyle name="40% - 强调文字颜色 3 71" xfId="0"/>
    <cellStyle name="40% - 强调文字颜色 3 72" xfId="0"/>
    <cellStyle name="40% - 强调文字颜色 3 73" xfId="0"/>
    <cellStyle name="40% - 强调文字颜色 3 74" xfId="0"/>
    <cellStyle name="40% - 强调文字颜色 3 75" xfId="0"/>
    <cellStyle name="40% - 强调文字颜色 3 76" xfId="0"/>
    <cellStyle name="40% - 强调文字颜色 3 77" xfId="0"/>
    <cellStyle name="40% - 强调文字颜色 3 78" xfId="0"/>
    <cellStyle name="40% - 强调文字颜色 3 79" xfId="0"/>
    <cellStyle name="40% - 强调文字颜色 3 8" xfId="0"/>
    <cellStyle name="40% - 强调文字颜色 3 80" xfId="0"/>
    <cellStyle name="40% - 强调文字颜色 3 81" xfId="0"/>
    <cellStyle name="40% - 强调文字颜色 3 82" xfId="0"/>
    <cellStyle name="40% - 强调文字颜色 3 83" xfId="0"/>
    <cellStyle name="40% - 强调文字颜色 3 84" xfId="0"/>
    <cellStyle name="40% - 强调文字颜色 3 9" xfId="0"/>
    <cellStyle name="40% - 强调文字颜色 3_CORP SG&amp;A" xfId="0"/>
    <cellStyle name="40% - 强调文字颜色 4" xfId="0"/>
    <cellStyle name="40% - 强调文字颜色 4 10" xfId="0"/>
    <cellStyle name="40% - 强调文字颜色 4 11" xfId="0"/>
    <cellStyle name="40% - 强调文字颜色 4 12" xfId="0"/>
    <cellStyle name="40% - 强调文字颜色 4 13" xfId="0"/>
    <cellStyle name="40% - 强调文字颜色 4 14" xfId="0"/>
    <cellStyle name="40% - 强调文字颜色 4 15" xfId="0"/>
    <cellStyle name="40% - 强调文字颜色 4 16" xfId="0"/>
    <cellStyle name="40% - 强调文字颜色 4 17" xfId="0"/>
    <cellStyle name="40% - 强调文字颜色 4 18" xfId="0"/>
    <cellStyle name="40% - 强调文字颜色 4 19" xfId="0"/>
    <cellStyle name="40% - 强调文字颜色 4 2" xfId="0"/>
    <cellStyle name="40% - 强调文字颜色 4 2 10" xfId="0"/>
    <cellStyle name="40% - 强调文字颜色 4 2 11" xfId="0"/>
    <cellStyle name="40% - 强调文字颜色 4 2 12" xfId="0"/>
    <cellStyle name="40% - 强调文字颜色 4 2 13" xfId="0"/>
    <cellStyle name="40% - 强调文字颜色 4 2 14" xfId="0"/>
    <cellStyle name="40% - 强调文字颜色 4 2 15" xfId="0"/>
    <cellStyle name="40% - 强调文字颜色 4 2 16" xfId="0"/>
    <cellStyle name="40% - 强调文字颜色 4 2 17" xfId="0"/>
    <cellStyle name="40% - 强调文字颜色 4 2 18" xfId="0"/>
    <cellStyle name="40% - 强调文字颜色 4 2 19" xfId="0"/>
    <cellStyle name="40% - 强调文字颜色 4 2 2" xfId="0"/>
    <cellStyle name="40% - 强调文字颜色 4 2 20" xfId="0"/>
    <cellStyle name="40% - 强调文字颜色 4 2 21" xfId="0"/>
    <cellStyle name="40% - 强调文字颜色 4 2 22" xfId="0"/>
    <cellStyle name="40% - 强调文字颜色 4 2 23" xfId="0"/>
    <cellStyle name="40% - 强调文字颜色 4 2 24" xfId="0"/>
    <cellStyle name="40% - 强调文字颜色 4 2 25" xfId="0"/>
    <cellStyle name="40% - 强调文字颜色 4 2 3" xfId="0"/>
    <cellStyle name="40% - 强调文字颜色 4 2 4" xfId="0"/>
    <cellStyle name="40% - 强调文字颜色 4 2 5" xfId="0"/>
    <cellStyle name="40% - 强调文字颜色 4 2 6" xfId="0"/>
    <cellStyle name="40% - 强调文字颜色 4 2 7" xfId="0"/>
    <cellStyle name="40% - 强调文字颜色 4 2 8" xfId="0"/>
    <cellStyle name="40% - 强调文字颜色 4 2 9" xfId="0"/>
    <cellStyle name="40% - 强调文字颜色 4 20" xfId="0"/>
    <cellStyle name="40% - 强调文字颜色 4 21" xfId="0"/>
    <cellStyle name="40% - 强调文字颜色 4 22" xfId="0"/>
    <cellStyle name="40% - 强调文字颜色 4 23" xfId="0"/>
    <cellStyle name="40% - 强调文字颜色 4 24" xfId="0"/>
    <cellStyle name="40% - 强调文字颜色 4 25" xfId="0"/>
    <cellStyle name="40% - 强调文字颜色 4 26" xfId="0"/>
    <cellStyle name="40% - 强调文字颜色 4 27" xfId="0"/>
    <cellStyle name="40% - 强调文字颜色 4 28" xfId="0"/>
    <cellStyle name="40% - 强调文字颜色 4 29" xfId="0"/>
    <cellStyle name="40% - 强调文字颜色 4 3" xfId="0"/>
    <cellStyle name="40% - 强调文字颜色 4 30" xfId="0"/>
    <cellStyle name="40% - 强调文字颜色 4 31" xfId="0"/>
    <cellStyle name="40% - 强调文字颜色 4 32" xfId="0"/>
    <cellStyle name="40% - 强调文字颜色 4 33" xfId="0"/>
    <cellStyle name="40% - 强调文字颜色 4 34" xfId="0"/>
    <cellStyle name="40% - 强调文字颜色 4 35" xfId="0"/>
    <cellStyle name="40% - 强调文字颜色 4 36" xfId="0"/>
    <cellStyle name="40% - 强调文字颜色 4 37" xfId="0"/>
    <cellStyle name="40% - 强调文字颜色 4 38" xfId="0"/>
    <cellStyle name="40% - 强调文字颜色 4 39" xfId="0"/>
    <cellStyle name="40% - 强调文字颜色 4 4" xfId="0"/>
    <cellStyle name="40% - 强调文字颜色 4 40" xfId="0"/>
    <cellStyle name="40% - 强调文字颜色 4 41" xfId="0"/>
    <cellStyle name="40% - 强调文字颜色 4 42" xfId="0"/>
    <cellStyle name="40% - 强调文字颜色 4 43" xfId="0"/>
    <cellStyle name="40% - 强调文字颜色 4 44" xfId="0"/>
    <cellStyle name="40% - 强调文字颜色 4 45" xfId="0"/>
    <cellStyle name="40% - 强调文字颜色 4 46" xfId="0"/>
    <cellStyle name="40% - 强调文字颜色 4 47" xfId="0"/>
    <cellStyle name="40% - 强调文字颜色 4 48" xfId="0"/>
    <cellStyle name="40% - 强调文字颜色 4 49" xfId="0"/>
    <cellStyle name="40% - 强调文字颜色 4 5" xfId="0"/>
    <cellStyle name="40% - 强调文字颜色 4 50" xfId="0"/>
    <cellStyle name="40% - 强调文字颜色 4 51" xfId="0"/>
    <cellStyle name="40% - 强调文字颜色 4 52" xfId="0"/>
    <cellStyle name="40% - 强调文字颜色 4 53" xfId="0"/>
    <cellStyle name="40% - 强调文字颜色 4 54" xfId="0"/>
    <cellStyle name="40% - 强调文字颜色 4 55" xfId="0"/>
    <cellStyle name="40% - 强调文字颜色 4 56" xfId="0"/>
    <cellStyle name="40% - 强调文字颜色 4 57" xfId="0"/>
    <cellStyle name="40% - 强调文字颜色 4 58" xfId="0"/>
    <cellStyle name="40% - 强调文字颜色 4 59" xfId="0"/>
    <cellStyle name="40% - 强调文字颜色 4 6" xfId="0"/>
    <cellStyle name="40% - 强调文字颜色 4 60" xfId="0"/>
    <cellStyle name="40% - 强调文字颜色 4 61" xfId="0"/>
    <cellStyle name="40% - 强调文字颜色 4 62" xfId="0"/>
    <cellStyle name="40% - 强调文字颜色 4 63" xfId="0"/>
    <cellStyle name="40% - 强调文字颜色 4 64" xfId="0"/>
    <cellStyle name="40% - 强调文字颜色 4 65" xfId="0"/>
    <cellStyle name="40% - 强调文字颜色 4 66" xfId="0"/>
    <cellStyle name="40% - 强调文字颜色 4 67" xfId="0"/>
    <cellStyle name="40% - 强调文字颜色 4 68" xfId="0"/>
    <cellStyle name="40% - 强调文字颜色 4 69" xfId="0"/>
    <cellStyle name="40% - 强调文字颜色 4 7" xfId="0"/>
    <cellStyle name="40% - 强调文字颜色 4 70" xfId="0"/>
    <cellStyle name="40% - 强调文字颜色 4 71" xfId="0"/>
    <cellStyle name="40% - 强调文字颜色 4 72" xfId="0"/>
    <cellStyle name="40% - 强调文字颜色 4 73" xfId="0"/>
    <cellStyle name="40% - 强调文字颜色 4 74" xfId="0"/>
    <cellStyle name="40% - 强调文字颜色 4 75" xfId="0"/>
    <cellStyle name="40% - 强调文字颜色 4 76" xfId="0"/>
    <cellStyle name="40% - 强调文字颜色 4 77" xfId="0"/>
    <cellStyle name="40% - 强调文字颜色 4 78" xfId="0"/>
    <cellStyle name="40% - 强调文字颜色 4 79" xfId="0"/>
    <cellStyle name="40% - 强调文字颜色 4 8" xfId="0"/>
    <cellStyle name="40% - 强调文字颜色 4 80" xfId="0"/>
    <cellStyle name="40% - 强调文字颜色 4 81" xfId="0"/>
    <cellStyle name="40% - 强调文字颜色 4 82" xfId="0"/>
    <cellStyle name="40% - 强调文字颜色 4 83" xfId="0"/>
    <cellStyle name="40% - 强调文字颜色 4 84" xfId="0"/>
    <cellStyle name="40% - 强调文字颜色 4 9" xfId="0"/>
    <cellStyle name="40% - 强调文字颜色 4_CORP SG&amp;A" xfId="0"/>
    <cellStyle name="40% - 强调文字颜色 5" xfId="0"/>
    <cellStyle name="40% - 强调文字颜色 5 10" xfId="0"/>
    <cellStyle name="40% - 强调文字颜色 5 11" xfId="0"/>
    <cellStyle name="40% - 强调文字颜色 5 12" xfId="0"/>
    <cellStyle name="40% - 强调文字颜色 5 13" xfId="0"/>
    <cellStyle name="40% - 强调文字颜色 5 14" xfId="0"/>
    <cellStyle name="40% - 强调文字颜色 5 15" xfId="0"/>
    <cellStyle name="40% - 强调文字颜色 5 16" xfId="0"/>
    <cellStyle name="40% - 强调文字颜色 5 17" xfId="0"/>
    <cellStyle name="40% - 强调文字颜色 5 18" xfId="0"/>
    <cellStyle name="40% - 强调文字颜色 5 19" xfId="0"/>
    <cellStyle name="40% - 强调文字颜色 5 2" xfId="0"/>
    <cellStyle name="40% - 强调文字颜色 5 2 10" xfId="0"/>
    <cellStyle name="40% - 强调文字颜色 5 2 11" xfId="0"/>
    <cellStyle name="40% - 强调文字颜色 5 2 12" xfId="0"/>
    <cellStyle name="40% - 强调文字颜色 5 2 13" xfId="0"/>
    <cellStyle name="40% - 强调文字颜色 5 2 14" xfId="0"/>
    <cellStyle name="40% - 强调文字颜色 5 2 15" xfId="0"/>
    <cellStyle name="40% - 强调文字颜色 5 2 16" xfId="0"/>
    <cellStyle name="40% - 强调文字颜色 5 2 17" xfId="0"/>
    <cellStyle name="40% - 强调文字颜色 5 2 18" xfId="0"/>
    <cellStyle name="40% - 强调文字颜色 5 2 19" xfId="0"/>
    <cellStyle name="40% - 强调文字颜色 5 2 2" xfId="0"/>
    <cellStyle name="40% - 强调文字颜色 5 2 20" xfId="0"/>
    <cellStyle name="40% - 强调文字颜色 5 2 21" xfId="0"/>
    <cellStyle name="40% - 强调文字颜色 5 2 22" xfId="0"/>
    <cellStyle name="40% - 强调文字颜色 5 2 23" xfId="0"/>
    <cellStyle name="40% - 强调文字颜色 5 2 24" xfId="0"/>
    <cellStyle name="40% - 强调文字颜色 5 2 3" xfId="0"/>
    <cellStyle name="40% - 强调文字颜色 5 2 4" xfId="0"/>
    <cellStyle name="40% - 强调文字颜色 5 2 5" xfId="0"/>
    <cellStyle name="40% - 强调文字颜色 5 2 6" xfId="0"/>
    <cellStyle name="40% - 强调文字颜色 5 2 7" xfId="0"/>
    <cellStyle name="40% - 强调文字颜色 5 2 8" xfId="0"/>
    <cellStyle name="40% - 强调文字颜色 5 2 9" xfId="0"/>
    <cellStyle name="40% - 强调文字颜色 5 20" xfId="0"/>
    <cellStyle name="40% - 强调文字颜色 5 21" xfId="0"/>
    <cellStyle name="40% - 强调文字颜色 5 22" xfId="0"/>
    <cellStyle name="40% - 强调文字颜色 5 23" xfId="0"/>
    <cellStyle name="40% - 强调文字颜色 5 24" xfId="0"/>
    <cellStyle name="40% - 强调文字颜色 5 25" xfId="0"/>
    <cellStyle name="40% - 强调文字颜色 5 26" xfId="0"/>
    <cellStyle name="40% - 强调文字颜色 5 27" xfId="0"/>
    <cellStyle name="40% - 强调文字颜色 5 28" xfId="0"/>
    <cellStyle name="40% - 强调文字颜色 5 29" xfId="0"/>
    <cellStyle name="40% - 强调文字颜色 5 3" xfId="0"/>
    <cellStyle name="40% - 强调文字颜色 5 30" xfId="0"/>
    <cellStyle name="40% - 强调文字颜色 5 31" xfId="0"/>
    <cellStyle name="40% - 强调文字颜色 5 32" xfId="0"/>
    <cellStyle name="40% - 强调文字颜色 5 33" xfId="0"/>
    <cellStyle name="40% - 强调文字颜色 5 34" xfId="0"/>
    <cellStyle name="40% - 强调文字颜色 5 35" xfId="0"/>
    <cellStyle name="40% - 强调文字颜色 5 36" xfId="0"/>
    <cellStyle name="40% - 强调文字颜色 5 37" xfId="0"/>
    <cellStyle name="40% - 强调文字颜色 5 38" xfId="0"/>
    <cellStyle name="40% - 强调文字颜色 5 39" xfId="0"/>
    <cellStyle name="40% - 强调文字颜色 5 4" xfId="0"/>
    <cellStyle name="40% - 强调文字颜色 5 40" xfId="0"/>
    <cellStyle name="40% - 强调文字颜色 5 41" xfId="0"/>
    <cellStyle name="40% - 强调文字颜色 5 42" xfId="0"/>
    <cellStyle name="40% - 强调文字颜色 5 43" xfId="0"/>
    <cellStyle name="40% - 强调文字颜色 5 44" xfId="0"/>
    <cellStyle name="40% - 强调文字颜色 5 45" xfId="0"/>
    <cellStyle name="40% - 强调文字颜色 5 46" xfId="0"/>
    <cellStyle name="40% - 强调文字颜色 5 47" xfId="0"/>
    <cellStyle name="40% - 强调文字颜色 5 48" xfId="0"/>
    <cellStyle name="40% - 强调文字颜色 5 49" xfId="0"/>
    <cellStyle name="40% - 强调文字颜色 5 5" xfId="0"/>
    <cellStyle name="40% - 强调文字颜色 5 50" xfId="0"/>
    <cellStyle name="40% - 强调文字颜色 5 51" xfId="0"/>
    <cellStyle name="40% - 强调文字颜色 5 52" xfId="0"/>
    <cellStyle name="40% - 强调文字颜色 5 53" xfId="0"/>
    <cellStyle name="40% - 强调文字颜色 5 54" xfId="0"/>
    <cellStyle name="40% - 强调文字颜色 5 55" xfId="0"/>
    <cellStyle name="40% - 强调文字颜色 5 56" xfId="0"/>
    <cellStyle name="40% - 强调文字颜色 5 57" xfId="0"/>
    <cellStyle name="40% - 强调文字颜色 5 58" xfId="0"/>
    <cellStyle name="40% - 强调文字颜色 5 59" xfId="0"/>
    <cellStyle name="40% - 强调文字颜色 5 6" xfId="0"/>
    <cellStyle name="40% - 强调文字颜色 5 60" xfId="0"/>
    <cellStyle name="40% - 强调文字颜色 5 61" xfId="0"/>
    <cellStyle name="40% - 强调文字颜色 5 62" xfId="0"/>
    <cellStyle name="40% - 强调文字颜色 5 63" xfId="0"/>
    <cellStyle name="40% - 强调文字颜色 5 64" xfId="0"/>
    <cellStyle name="40% - 强调文字颜色 5 65" xfId="0"/>
    <cellStyle name="40% - 强调文字颜色 5 66" xfId="0"/>
    <cellStyle name="40% - 强调文字颜色 5 67" xfId="0"/>
    <cellStyle name="40% - 强调文字颜色 5 68" xfId="0"/>
    <cellStyle name="40% - 强调文字颜色 5 69" xfId="0"/>
    <cellStyle name="40% - 强调文字颜色 5 7" xfId="0"/>
    <cellStyle name="40% - 强调文字颜色 5 70" xfId="0"/>
    <cellStyle name="40% - 强调文字颜色 5 71" xfId="0"/>
    <cellStyle name="40% - 强调文字颜色 5 72" xfId="0"/>
    <cellStyle name="40% - 强调文字颜色 5 73" xfId="0"/>
    <cellStyle name="40% - 强调文字颜色 5 74" xfId="0"/>
    <cellStyle name="40% - 强调文字颜色 5 75" xfId="0"/>
    <cellStyle name="40% - 强调文字颜色 5 76" xfId="0"/>
    <cellStyle name="40% - 强调文字颜色 5 77" xfId="0"/>
    <cellStyle name="40% - 强调文字颜色 5 78" xfId="0"/>
    <cellStyle name="40% - 强调文字颜色 5 79" xfId="0"/>
    <cellStyle name="40% - 强调文字颜色 5 8" xfId="0"/>
    <cellStyle name="40% - 强调文字颜色 5 80" xfId="0"/>
    <cellStyle name="40% - 强调文字颜色 5 81" xfId="0"/>
    <cellStyle name="40% - 强调文字颜色 5 82" xfId="0"/>
    <cellStyle name="40% - 强调文字颜色 5 83" xfId="0"/>
    <cellStyle name="40% - 强调文字颜色 5 9" xfId="0"/>
    <cellStyle name="40% - 强调文字颜色 5_CORP SG&amp;A" xfId="0"/>
    <cellStyle name="40% - 强调文字颜色 6" xfId="0"/>
    <cellStyle name="40% - 强调文字颜色 6 10" xfId="0"/>
    <cellStyle name="40% - 强调文字颜色 6 11" xfId="0"/>
    <cellStyle name="40% - 强调文字颜色 6 12" xfId="0"/>
    <cellStyle name="40% - 强调文字颜色 6 13" xfId="0"/>
    <cellStyle name="40% - 强调文字颜色 6 14" xfId="0"/>
    <cellStyle name="40% - 强调文字颜色 6 15" xfId="0"/>
    <cellStyle name="40% - 强调文字颜色 6 16" xfId="0"/>
    <cellStyle name="40% - 强调文字颜色 6 17" xfId="0"/>
    <cellStyle name="40% - 强调文字颜色 6 18" xfId="0"/>
    <cellStyle name="40% - 强调文字颜色 6 19" xfId="0"/>
    <cellStyle name="40% - 强调文字颜色 6 2" xfId="0"/>
    <cellStyle name="40% - 强调文字颜色 6 2 10" xfId="0"/>
    <cellStyle name="40% - 强调文字颜色 6 2 11" xfId="0"/>
    <cellStyle name="40% - 强调文字颜色 6 2 12" xfId="0"/>
    <cellStyle name="40% - 强调文字颜色 6 2 13" xfId="0"/>
    <cellStyle name="40% - 强调文字颜色 6 2 14" xfId="0"/>
    <cellStyle name="40% - 强调文字颜色 6 2 15" xfId="0"/>
    <cellStyle name="40% - 强调文字颜色 6 2 16" xfId="0"/>
    <cellStyle name="40% - 强调文字颜色 6 2 17" xfId="0"/>
    <cellStyle name="40% - 强调文字颜色 6 2 18" xfId="0"/>
    <cellStyle name="40% - 强调文字颜色 6 2 19" xfId="0"/>
    <cellStyle name="40% - 强调文字颜色 6 2 2" xfId="0"/>
    <cellStyle name="40% - 强调文字颜色 6 2 20" xfId="0"/>
    <cellStyle name="40% - 强调文字颜色 6 2 21" xfId="0"/>
    <cellStyle name="40% - 强调文字颜色 6 2 22" xfId="0"/>
    <cellStyle name="40% - 强调文字颜色 6 2 23" xfId="0"/>
    <cellStyle name="40% - 强调文字颜色 6 2 24" xfId="0"/>
    <cellStyle name="40% - 强调文字颜色 6 2 25" xfId="0"/>
    <cellStyle name="40% - 强调文字颜色 6 2 3" xfId="0"/>
    <cellStyle name="40% - 强调文字颜色 6 2 4" xfId="0"/>
    <cellStyle name="40% - 强调文字颜色 6 2 5" xfId="0"/>
    <cellStyle name="40% - 强调文字颜色 6 2 6" xfId="0"/>
    <cellStyle name="40% - 强调文字颜色 6 2 7" xfId="0"/>
    <cellStyle name="40% - 强调文字颜色 6 2 8" xfId="0"/>
    <cellStyle name="40% - 强调文字颜色 6 2 9" xfId="0"/>
    <cellStyle name="40% - 强调文字颜色 6 20" xfId="0"/>
    <cellStyle name="40% - 强调文字颜色 6 21" xfId="0"/>
    <cellStyle name="40% - 强调文字颜色 6 22" xfId="0"/>
    <cellStyle name="40% - 强调文字颜色 6 23" xfId="0"/>
    <cellStyle name="40% - 强调文字颜色 6 24" xfId="0"/>
    <cellStyle name="40% - 强调文字颜色 6 25" xfId="0"/>
    <cellStyle name="40% - 强调文字颜色 6 26" xfId="0"/>
    <cellStyle name="40% - 强调文字颜色 6 27" xfId="0"/>
    <cellStyle name="40% - 强调文字颜色 6 28" xfId="0"/>
    <cellStyle name="40% - 强调文字颜色 6 29" xfId="0"/>
    <cellStyle name="40% - 强调文字颜色 6 3" xfId="0"/>
    <cellStyle name="40% - 强调文字颜色 6 30" xfId="0"/>
    <cellStyle name="40% - 强调文字颜色 6 31" xfId="0"/>
    <cellStyle name="40% - 强调文字颜色 6 32" xfId="0"/>
    <cellStyle name="40% - 强调文字颜色 6 33" xfId="0"/>
    <cellStyle name="40% - 强调文字颜色 6 34" xfId="0"/>
    <cellStyle name="40% - 强调文字颜色 6 35" xfId="0"/>
    <cellStyle name="40% - 强调文字颜色 6 36" xfId="0"/>
    <cellStyle name="40% - 强调文字颜色 6 37" xfId="0"/>
    <cellStyle name="40% - 强调文字颜色 6 38" xfId="0"/>
    <cellStyle name="40% - 强调文字颜色 6 39" xfId="0"/>
    <cellStyle name="40% - 强调文字颜色 6 4" xfId="0"/>
    <cellStyle name="40% - 强调文字颜色 6 40" xfId="0"/>
    <cellStyle name="40% - 强调文字颜色 6 41" xfId="0"/>
    <cellStyle name="40% - 强调文字颜色 6 42" xfId="0"/>
    <cellStyle name="40% - 强调文字颜色 6 43" xfId="0"/>
    <cellStyle name="40% - 强调文字颜色 6 44" xfId="0"/>
    <cellStyle name="40% - 强调文字颜色 6 45" xfId="0"/>
    <cellStyle name="40% - 强调文字颜色 6 46" xfId="0"/>
    <cellStyle name="40% - 强调文字颜色 6 47" xfId="0"/>
    <cellStyle name="40% - 强调文字颜色 6 48" xfId="0"/>
    <cellStyle name="40% - 强调文字颜色 6 49" xfId="0"/>
    <cellStyle name="40% - 强调文字颜色 6 5" xfId="0"/>
    <cellStyle name="40% - 强调文字颜色 6 50" xfId="0"/>
    <cellStyle name="40% - 强调文字颜色 6 51" xfId="0"/>
    <cellStyle name="40% - 强调文字颜色 6 52" xfId="0"/>
    <cellStyle name="40% - 强调文字颜色 6 53" xfId="0"/>
    <cellStyle name="40% - 强调文字颜色 6 54" xfId="0"/>
    <cellStyle name="40% - 强调文字颜色 6 55" xfId="0"/>
    <cellStyle name="40% - 强调文字颜色 6 56" xfId="0"/>
    <cellStyle name="40% - 强调文字颜色 6 57" xfId="0"/>
    <cellStyle name="40% - 强调文字颜色 6 58" xfId="0"/>
    <cellStyle name="40% - 强调文字颜色 6 59" xfId="0"/>
    <cellStyle name="40% - 强调文字颜色 6 6" xfId="0"/>
    <cellStyle name="40% - 强调文字颜色 6 7" xfId="0"/>
    <cellStyle name="40% - 强调文字颜色 6_CORP SG&amp;A" xfId="0"/>
    <cellStyle name="40% - 輔色1 2" xfId="0"/>
    <cellStyle name="40% - 輔色1 2 2" xfId="0"/>
    <cellStyle name="40% - 輔色1 3" xfId="0"/>
    <cellStyle name="40% - 輔色1 3 2" xfId="0"/>
    <cellStyle name="40% - 輔色1 3 3" xfId="0"/>
    <cellStyle name="40% - 輔色1 4" xfId="0"/>
    <cellStyle name="40% - 輔色1 5" xfId="0"/>
    <cellStyle name="40% - 輔色2 2" xfId="0"/>
    <cellStyle name="40% - 輔色2 2 2" xfId="0"/>
    <cellStyle name="40% - 輔色2 3" xfId="0"/>
    <cellStyle name="40% - 輔色2 3 2" xfId="0"/>
    <cellStyle name="40% - 輔色2 3 3" xfId="0"/>
    <cellStyle name="40% - 輔色2 4" xfId="0"/>
    <cellStyle name="40% - 輔色2 5" xfId="0"/>
    <cellStyle name="40% - 輔色3 2" xfId="0"/>
    <cellStyle name="40% - 輔色3 2 2" xfId="0"/>
    <cellStyle name="40% - 輔色3 3" xfId="0"/>
    <cellStyle name="40% - 輔色3 3 2" xfId="0"/>
    <cellStyle name="40% - 輔色3 3 3" xfId="0"/>
    <cellStyle name="40% - 輔色3 4" xfId="0"/>
    <cellStyle name="40% - 輔色3 5" xfId="0"/>
    <cellStyle name="40% - 輔色4 2" xfId="0"/>
    <cellStyle name="40% - 輔色4 2 2" xfId="0"/>
    <cellStyle name="40% - 輔色4 3" xfId="0"/>
    <cellStyle name="40% - 輔色4 3 2" xfId="0"/>
    <cellStyle name="40% - 輔色4 3 3" xfId="0"/>
    <cellStyle name="40% - 輔色4 4" xfId="0"/>
    <cellStyle name="40% - 輔色4 5" xfId="0"/>
    <cellStyle name="40% - 輔色5 2" xfId="0"/>
    <cellStyle name="40% - 輔色5 2 2" xfId="0"/>
    <cellStyle name="40% - 輔色5 3" xfId="0"/>
    <cellStyle name="40% - 輔色5 3 2" xfId="0"/>
    <cellStyle name="40% - 輔色5 3 3" xfId="0"/>
    <cellStyle name="40% - 輔色5 4" xfId="0"/>
    <cellStyle name="40% - 輔色5 5" xfId="0"/>
    <cellStyle name="40% - 輔色6 2" xfId="0"/>
    <cellStyle name="40% - 輔色6 2 2" xfId="0"/>
    <cellStyle name="40% - 輔色6 3" xfId="0"/>
    <cellStyle name="40% - 輔色6 3 2" xfId="0"/>
    <cellStyle name="40% - 輔色6 3 3" xfId="0"/>
    <cellStyle name="40% - 輔色6 4" xfId="0"/>
    <cellStyle name="40% - 輔色6 5" xfId="0"/>
    <cellStyle name="40 % - Accent1" xfId="0"/>
    <cellStyle name="40 % - Accent1 2" xfId="0"/>
    <cellStyle name="40 % - Accent2" xfId="0"/>
    <cellStyle name="40 % - Accent2 2" xfId="0"/>
    <cellStyle name="40 % - Accent3" xfId="0"/>
    <cellStyle name="40 % - Accent3 2" xfId="0"/>
    <cellStyle name="40 % - Accent4" xfId="0"/>
    <cellStyle name="40 % - Accent4 2" xfId="0"/>
    <cellStyle name="40 % - Accent5" xfId="0"/>
    <cellStyle name="40 % - Accent5 2" xfId="0"/>
    <cellStyle name="40 % - Accent6" xfId="0"/>
    <cellStyle name="40 % - Accent6 2" xfId="0"/>
    <cellStyle name="60 % - Markeringsfarve1" xfId="0"/>
    <cellStyle name="60 % - Markeringsfarve1 2" xfId="0"/>
    <cellStyle name="60 % - Markeringsfarve2" xfId="0"/>
    <cellStyle name="60 % - Markeringsfarve2 2" xfId="0"/>
    <cellStyle name="60 % - Markeringsfarve3" xfId="0"/>
    <cellStyle name="60 % - Markeringsfarve3 2" xfId="0"/>
    <cellStyle name="60 % - Markeringsfarve4" xfId="0"/>
    <cellStyle name="60 % - Markeringsfarve4 2" xfId="0"/>
    <cellStyle name="60 % - Markeringsfarve5" xfId="0"/>
    <cellStyle name="60 % - Markeringsfarve5 2" xfId="0"/>
    <cellStyle name="60 % - Markeringsfarve6" xfId="0"/>
    <cellStyle name="60 % - Markeringsfarve6 2" xfId="0"/>
    <cellStyle name="60% - Accent1" xfId="0"/>
    <cellStyle name="60% - Accent1 10" xfId="0"/>
    <cellStyle name="60% - Accent1 10 2" xfId="0"/>
    <cellStyle name="60% - Accent1 10 2 2" xfId="0"/>
    <cellStyle name="60% - Accent1 10 3" xfId="0"/>
    <cellStyle name="60% - Accent1 10 3 2" xfId="0"/>
    <cellStyle name="60% - Accent1 10 4" xfId="0"/>
    <cellStyle name="60% - Accent1 11" xfId="0"/>
    <cellStyle name="60% - Accent1 11 2" xfId="0"/>
    <cellStyle name="60% - Accent1 11 2 2" xfId="0"/>
    <cellStyle name="60% - Accent1 11 3" xfId="0"/>
    <cellStyle name="60% - Accent1 11 3 2" xfId="0"/>
    <cellStyle name="60% - Accent1 11 4" xfId="0"/>
    <cellStyle name="60% - Accent1 12" xfId="0"/>
    <cellStyle name="60% - Accent1 12 2" xfId="0"/>
    <cellStyle name="60% - Accent1 13" xfId="0"/>
    <cellStyle name="60% - Accent1 13 2" xfId="0"/>
    <cellStyle name="60% - Accent1 14" xfId="0"/>
    <cellStyle name="60% - Accent1 14 2" xfId="0"/>
    <cellStyle name="60% - Accent1 15" xfId="0"/>
    <cellStyle name="60% - Accent1 15 2" xfId="0"/>
    <cellStyle name="60% - Accent1 16" xfId="0"/>
    <cellStyle name="60% - Accent1 16 2" xfId="0"/>
    <cellStyle name="60% - Accent1 17" xfId="0"/>
    <cellStyle name="60% - Accent1 17 2" xfId="0"/>
    <cellStyle name="60% - Accent1 18" xfId="0"/>
    <cellStyle name="60% - Accent1 18 2" xfId="0"/>
    <cellStyle name="60% - Accent1 19" xfId="0"/>
    <cellStyle name="60% - Accent1 19 2" xfId="0"/>
    <cellStyle name="60% - Accent1 2" xfId="0"/>
    <cellStyle name="60% - Accent1 2 2" xfId="0"/>
    <cellStyle name="60% - Accent1 2 2 2" xfId="0"/>
    <cellStyle name="60% - Accent1 2 2 2 2" xfId="0"/>
    <cellStyle name="60% - Accent1 2 2 3" xfId="0"/>
    <cellStyle name="60% - Accent1 2 2 3 2" xfId="0"/>
    <cellStyle name="60% - Accent1 2 2 4" xfId="0"/>
    <cellStyle name="60% - Accent1 2 2 4 2" xfId="0"/>
    <cellStyle name="60% - Accent1 2 2 5" xfId="0"/>
    <cellStyle name="60% - Accent1 2 2 6" xfId="0"/>
    <cellStyle name="60% - Accent1 2 3" xfId="0"/>
    <cellStyle name="60% - Accent1 2 3 2" xfId="0"/>
    <cellStyle name="60% - Accent1 2 3 3" xfId="0"/>
    <cellStyle name="60% - Accent1 2 4" xfId="0"/>
    <cellStyle name="60% - Accent1 2 4 2" xfId="0"/>
    <cellStyle name="60% - Accent1 2 4 3" xfId="0"/>
    <cellStyle name="60% - Accent1 2 5" xfId="0"/>
    <cellStyle name="60% - Accent1 2 5 2" xfId="0"/>
    <cellStyle name="60% - Accent1 2 5 3" xfId="0"/>
    <cellStyle name="60% - Accent1 2 6" xfId="0"/>
    <cellStyle name="60% - Accent1 2 7" xfId="0"/>
    <cellStyle name="60% - Accent1 2 8" xfId="0"/>
    <cellStyle name="60% - Accent1 20" xfId="0"/>
    <cellStyle name="60% - Accent1 20 2" xfId="0"/>
    <cellStyle name="60% - Accent1 21" xfId="0"/>
    <cellStyle name="60% - Accent1 21 2" xfId="0"/>
    <cellStyle name="60% - Accent1 22" xfId="0"/>
    <cellStyle name="60% - Accent1 22 2" xfId="0"/>
    <cellStyle name="60% - Accent1 23" xfId="0"/>
    <cellStyle name="60% - Accent1 23 2" xfId="0"/>
    <cellStyle name="60% - Accent1 23 3" xfId="0"/>
    <cellStyle name="60% - Accent1 24" xfId="0"/>
    <cellStyle name="60% - Accent1 24 2" xfId="0"/>
    <cellStyle name="60% - Accent1 24 3" xfId="0"/>
    <cellStyle name="60% - Accent1 25" xfId="0"/>
    <cellStyle name="60% - Accent1 25 2" xfId="0"/>
    <cellStyle name="60% - Accent1 25 3" xfId="0"/>
    <cellStyle name="60% - Accent1 26" xfId="0"/>
    <cellStyle name="60% - Accent1 26 2" xfId="0"/>
    <cellStyle name="60% - Accent1 27" xfId="0"/>
    <cellStyle name="60% - Accent1 27 2" xfId="0"/>
    <cellStyle name="60% - Accent1 28" xfId="0"/>
    <cellStyle name="60% - Accent1 28 2" xfId="0"/>
    <cellStyle name="60% - Accent1 29" xfId="0"/>
    <cellStyle name="60% - Accent1 29 2" xfId="0"/>
    <cellStyle name="60% - Accent1 2_2.VSCN - GSC charge" xfId="0"/>
    <cellStyle name="60% - Accent1 3" xfId="0"/>
    <cellStyle name="60% - Accent1 3 2" xfId="0"/>
    <cellStyle name="60% - Accent1 3 2 2" xfId="0"/>
    <cellStyle name="60% - Accent1 3 2 3" xfId="0"/>
    <cellStyle name="60% - Accent1 3 3" xfId="0"/>
    <cellStyle name="60% - Accent1 3 3 2" xfId="0"/>
    <cellStyle name="60% - Accent1 3 3 3" xfId="0"/>
    <cellStyle name="60% - Accent1 3 4" xfId="0"/>
    <cellStyle name="60% - Accent1 3 4 2" xfId="0"/>
    <cellStyle name="60% - Accent1 3 5" xfId="0"/>
    <cellStyle name="60% - Accent1 3 5 2" xfId="0"/>
    <cellStyle name="60% - Accent1 3 6" xfId="0"/>
    <cellStyle name="60% - Accent1 3 7" xfId="0"/>
    <cellStyle name="60% - Accent1 30" xfId="0"/>
    <cellStyle name="60% - Accent1 30 2" xfId="0"/>
    <cellStyle name="60% - Accent1 31" xfId="0"/>
    <cellStyle name="60% - Accent1 31 2" xfId="0"/>
    <cellStyle name="60% - Accent1 32" xfId="0"/>
    <cellStyle name="60% - Accent1 32 2" xfId="0"/>
    <cellStyle name="60% - Accent1 33" xfId="0"/>
    <cellStyle name="60% - Accent1 33 2" xfId="0"/>
    <cellStyle name="60% - Accent1 34" xfId="0"/>
    <cellStyle name="60% - Accent1 34 2" xfId="0"/>
    <cellStyle name="60% - Accent1 35" xfId="0"/>
    <cellStyle name="60% - Accent1 35 2" xfId="0"/>
    <cellStyle name="60% - Accent1 36" xfId="0"/>
    <cellStyle name="60% - Accent1 36 2" xfId="0"/>
    <cellStyle name="60% - Accent1 37" xfId="0"/>
    <cellStyle name="60% - Accent1 37 2" xfId="0"/>
    <cellStyle name="60% - Accent1 38" xfId="0"/>
    <cellStyle name="60% - Accent1 38 2" xfId="0"/>
    <cellStyle name="60% - Accent1 39" xfId="0"/>
    <cellStyle name="60% - Accent1 39 2" xfId="0"/>
    <cellStyle name="60% - Accent1 3_Profitability Detail NT$ Sep-12" xfId="0"/>
    <cellStyle name="60% - Accent1 4" xfId="0"/>
    <cellStyle name="60% - Accent1 4 2" xfId="0"/>
    <cellStyle name="60% - Accent1 4 2 2" xfId="0"/>
    <cellStyle name="60% - Accent1 4 2 3" xfId="0"/>
    <cellStyle name="60% - Accent1 4 3" xfId="0"/>
    <cellStyle name="60% - Accent1 4 3 2" xfId="0"/>
    <cellStyle name="60% - Accent1 4 3 3" xfId="0"/>
    <cellStyle name="60% - Accent1 4 4" xfId="0"/>
    <cellStyle name="60% - Accent1 4 4 2" xfId="0"/>
    <cellStyle name="60% - Accent1 4 5" xfId="0"/>
    <cellStyle name="60% - Accent1 4 5 2" xfId="0"/>
    <cellStyle name="60% - Accent1 4 6" xfId="0"/>
    <cellStyle name="60% - Accent1 4 7" xfId="0"/>
    <cellStyle name="60% - Accent1 40" xfId="0"/>
    <cellStyle name="60% - Accent1 40 2" xfId="0"/>
    <cellStyle name="60% - Accent1 41" xfId="0"/>
    <cellStyle name="60% - Accent1 41 2" xfId="0"/>
    <cellStyle name="60% - Accent1 42" xfId="0"/>
    <cellStyle name="60% - Accent1 43" xfId="0"/>
    <cellStyle name="60% - Accent1 4_Profitability Detail NT$ Sep-12" xfId="0"/>
    <cellStyle name="60% - Accent1 5" xfId="0"/>
    <cellStyle name="60% - Accent1 5 2" xfId="0"/>
    <cellStyle name="60% - Accent1 5 2 2" xfId="0"/>
    <cellStyle name="60% - Accent1 5 2 3" xfId="0"/>
    <cellStyle name="60% - Accent1 5 3" xfId="0"/>
    <cellStyle name="60% - Accent1 5 3 2" xfId="0"/>
    <cellStyle name="60% - Accent1 5 4" xfId="0"/>
    <cellStyle name="60% - Accent1 5 4 2" xfId="0"/>
    <cellStyle name="60% - Accent1 5 5" xfId="0"/>
    <cellStyle name="60% - Accent1 6" xfId="0"/>
    <cellStyle name="60% - Accent1 6 2" xfId="0"/>
    <cellStyle name="60% - Accent1 6 2 2" xfId="0"/>
    <cellStyle name="60% - Accent1 6 3" xfId="0"/>
    <cellStyle name="60% - Accent1 6 3 2" xfId="0"/>
    <cellStyle name="60% - Accent1 6 4" xfId="0"/>
    <cellStyle name="60% - Accent1 7" xfId="0"/>
    <cellStyle name="60% - Accent1 7 2" xfId="0"/>
    <cellStyle name="60% - Accent1 7 2 2" xfId="0"/>
    <cellStyle name="60% - Accent1 7 3" xfId="0"/>
    <cellStyle name="60% - Accent1 7 3 2" xfId="0"/>
    <cellStyle name="60% - Accent1 7 4" xfId="0"/>
    <cellStyle name="60% - Accent1 8" xfId="0"/>
    <cellStyle name="60% - Accent1 8 2" xfId="0"/>
    <cellStyle name="60% - Accent1 8 2 2" xfId="0"/>
    <cellStyle name="60% - Accent1 8 3" xfId="0"/>
    <cellStyle name="60% - Accent1 8 3 2" xfId="0"/>
    <cellStyle name="60% - Accent1 8 4" xfId="0"/>
    <cellStyle name="60% - Accent1 9" xfId="0"/>
    <cellStyle name="60% - Accent1 9 2" xfId="0"/>
    <cellStyle name="60% - Accent1 9 2 2" xfId="0"/>
    <cellStyle name="60% - Accent1 9 3" xfId="0"/>
    <cellStyle name="60% - Accent1 9 3 2" xfId="0"/>
    <cellStyle name="60% - Accent1 9 4" xfId="0"/>
    <cellStyle name="60% - Accent1_ALL inventory onhand data 0912" xfId="0"/>
    <cellStyle name="60% - Accent2" xfId="0"/>
    <cellStyle name="60% - Accent2 10" xfId="0"/>
    <cellStyle name="60% - Accent2 10 2" xfId="0"/>
    <cellStyle name="60% - Accent2 10 2 2" xfId="0"/>
    <cellStyle name="60% - Accent2 10 3" xfId="0"/>
    <cellStyle name="60% - Accent2 10 3 2" xfId="0"/>
    <cellStyle name="60% - Accent2 10 4" xfId="0"/>
    <cellStyle name="60% - Accent2 11" xfId="0"/>
    <cellStyle name="60% - Accent2 11 2" xfId="0"/>
    <cellStyle name="60% - Accent2 11 2 2" xfId="0"/>
    <cellStyle name="60% - Accent2 11 3" xfId="0"/>
    <cellStyle name="60% - Accent2 11 3 2" xfId="0"/>
    <cellStyle name="60% - Accent2 11 4" xfId="0"/>
    <cellStyle name="60% - Accent2 12" xfId="0"/>
    <cellStyle name="60% - Accent2 12 2" xfId="0"/>
    <cellStyle name="60% - Accent2 13" xfId="0"/>
    <cellStyle name="60% - Accent2 13 2" xfId="0"/>
    <cellStyle name="60% - Accent2 14" xfId="0"/>
    <cellStyle name="60% - Accent2 14 2" xfId="0"/>
    <cellStyle name="60% - Accent2 15" xfId="0"/>
    <cellStyle name="60% - Accent2 15 2" xfId="0"/>
    <cellStyle name="60% - Accent2 16" xfId="0"/>
    <cellStyle name="60% - Accent2 16 2" xfId="0"/>
    <cellStyle name="60% - Accent2 17" xfId="0"/>
    <cellStyle name="60% - Accent2 17 2" xfId="0"/>
    <cellStyle name="60% - Accent2 18" xfId="0"/>
    <cellStyle name="60% - Accent2 18 2" xfId="0"/>
    <cellStyle name="60% - Accent2 19" xfId="0"/>
    <cellStyle name="60% - Accent2 19 2" xfId="0"/>
    <cellStyle name="60% - Accent2 2" xfId="0"/>
    <cellStyle name="60% - Accent2 2 2" xfId="0"/>
    <cellStyle name="60% - Accent2 2 2 2" xfId="0"/>
    <cellStyle name="60% - Accent2 2 2 2 2" xfId="0"/>
    <cellStyle name="60% - Accent2 2 2 3" xfId="0"/>
    <cellStyle name="60% - Accent2 2 2 3 2" xfId="0"/>
    <cellStyle name="60% - Accent2 2 2 4" xfId="0"/>
    <cellStyle name="60% - Accent2 2 2 4 2" xfId="0"/>
    <cellStyle name="60% - Accent2 2 2 5" xfId="0"/>
    <cellStyle name="60% - Accent2 2 2 6" xfId="0"/>
    <cellStyle name="60% - Accent2 2 3" xfId="0"/>
    <cellStyle name="60% - Accent2 2 3 2" xfId="0"/>
    <cellStyle name="60% - Accent2 2 3 3" xfId="0"/>
    <cellStyle name="60% - Accent2 2 4" xfId="0"/>
    <cellStyle name="60% - Accent2 2 4 2" xfId="0"/>
    <cellStyle name="60% - Accent2 2 4 3" xfId="0"/>
    <cellStyle name="60% - Accent2 2 5" xfId="0"/>
    <cellStyle name="60% - Accent2 2 5 2" xfId="0"/>
    <cellStyle name="60% - Accent2 2 5 3" xfId="0"/>
    <cellStyle name="60% - Accent2 2 6" xfId="0"/>
    <cellStyle name="60% - Accent2 2 7" xfId="0"/>
    <cellStyle name="60% - Accent2 2 8" xfId="0"/>
    <cellStyle name="60% - Accent2 20" xfId="0"/>
    <cellStyle name="60% - Accent2 20 2" xfId="0"/>
    <cellStyle name="60% - Accent2 21" xfId="0"/>
    <cellStyle name="60% - Accent2 21 2" xfId="0"/>
    <cellStyle name="60% - Accent2 22" xfId="0"/>
    <cellStyle name="60% - Accent2 22 2" xfId="0"/>
    <cellStyle name="60% - Accent2 23" xfId="0"/>
    <cellStyle name="60% - Accent2 23 2" xfId="0"/>
    <cellStyle name="60% - Accent2 23 3" xfId="0"/>
    <cellStyle name="60% - Accent2 24" xfId="0"/>
    <cellStyle name="60% - Accent2 24 2" xfId="0"/>
    <cellStyle name="60% - Accent2 24 3" xfId="0"/>
    <cellStyle name="60% - Accent2 25" xfId="0"/>
    <cellStyle name="60% - Accent2 25 2" xfId="0"/>
    <cellStyle name="60% - Accent2 25 3" xfId="0"/>
    <cellStyle name="60% - Accent2 26" xfId="0"/>
    <cellStyle name="60% - Accent2 26 2" xfId="0"/>
    <cellStyle name="60% - Accent2 27" xfId="0"/>
    <cellStyle name="60% - Accent2 27 2" xfId="0"/>
    <cellStyle name="60% - Accent2 28" xfId="0"/>
    <cellStyle name="60% - Accent2 28 2" xfId="0"/>
    <cellStyle name="60% - Accent2 29" xfId="0"/>
    <cellStyle name="60% - Accent2 29 2" xfId="0"/>
    <cellStyle name="60% - Accent2 2_2.VSCN - GSC charge" xfId="0"/>
    <cellStyle name="60% - Accent2 3" xfId="0"/>
    <cellStyle name="60% - Accent2 3 2" xfId="0"/>
    <cellStyle name="60% - Accent2 3 2 2" xfId="0"/>
    <cellStyle name="60% - Accent2 3 2 3" xfId="0"/>
    <cellStyle name="60% - Accent2 3 3" xfId="0"/>
    <cellStyle name="60% - Accent2 3 3 2" xfId="0"/>
    <cellStyle name="60% - Accent2 3 3 3" xfId="0"/>
    <cellStyle name="60% - Accent2 3 4" xfId="0"/>
    <cellStyle name="60% - Accent2 3 4 2" xfId="0"/>
    <cellStyle name="60% - Accent2 3 5" xfId="0"/>
    <cellStyle name="60% - Accent2 3 5 2" xfId="0"/>
    <cellStyle name="60% - Accent2 3 6" xfId="0"/>
    <cellStyle name="60% - Accent2 3 7" xfId="0"/>
    <cellStyle name="60% - Accent2 30" xfId="0"/>
    <cellStyle name="60% - Accent2 30 2" xfId="0"/>
    <cellStyle name="60% - Accent2 31" xfId="0"/>
    <cellStyle name="60% - Accent2 31 2" xfId="0"/>
    <cellStyle name="60% - Accent2 32" xfId="0"/>
    <cellStyle name="60% - Accent2 32 2" xfId="0"/>
    <cellStyle name="60% - Accent2 33" xfId="0"/>
    <cellStyle name="60% - Accent2 33 2" xfId="0"/>
    <cellStyle name="60% - Accent2 34" xfId="0"/>
    <cellStyle name="60% - Accent2 34 2" xfId="0"/>
    <cellStyle name="60% - Accent2 35" xfId="0"/>
    <cellStyle name="60% - Accent2 35 2" xfId="0"/>
    <cellStyle name="60% - Accent2 36" xfId="0"/>
    <cellStyle name="60% - Accent2 37" xfId="0"/>
    <cellStyle name="60% - Accent2 38" xfId="0"/>
    <cellStyle name="60% - Accent2 3_Profitability Detail NT$ Sep-12" xfId="0"/>
    <cellStyle name="60% - Accent2 4" xfId="0"/>
    <cellStyle name="60% - Accent2 4 2" xfId="0"/>
    <cellStyle name="60% - Accent2 4 2 2" xfId="0"/>
    <cellStyle name="60% - Accent2 4 2 3" xfId="0"/>
    <cellStyle name="60% - Accent2 4 3" xfId="0"/>
    <cellStyle name="60% - Accent2 4 3 2" xfId="0"/>
    <cellStyle name="60% - Accent2 4 3 3" xfId="0"/>
    <cellStyle name="60% - Accent2 4 4" xfId="0"/>
    <cellStyle name="60% - Accent2 4 4 2" xfId="0"/>
    <cellStyle name="60% - Accent2 4 5" xfId="0"/>
    <cellStyle name="60% - Accent2 4 5 2" xfId="0"/>
    <cellStyle name="60% - Accent2 4 6" xfId="0"/>
    <cellStyle name="60% - Accent2 4 7" xfId="0"/>
    <cellStyle name="60% - Accent2 4_Profitability Detail NT$ Sep-12" xfId="0"/>
    <cellStyle name="60% - Accent2 5" xfId="0"/>
    <cellStyle name="60% - Accent2 5 2" xfId="0"/>
    <cellStyle name="60% - Accent2 5 2 2" xfId="0"/>
    <cellStyle name="60% - Accent2 5 2 3" xfId="0"/>
    <cellStyle name="60% - Accent2 5 3" xfId="0"/>
    <cellStyle name="60% - Accent2 5 3 2" xfId="0"/>
    <cellStyle name="60% - Accent2 5 4" xfId="0"/>
    <cellStyle name="60% - Accent2 5 4 2" xfId="0"/>
    <cellStyle name="60% - Accent2 5 5" xfId="0"/>
    <cellStyle name="60% - Accent2 6" xfId="0"/>
    <cellStyle name="60% - Accent2 6 2" xfId="0"/>
    <cellStyle name="60% - Accent2 6 2 2" xfId="0"/>
    <cellStyle name="60% - Accent2 6 3" xfId="0"/>
    <cellStyle name="60% - Accent2 6 3 2" xfId="0"/>
    <cellStyle name="60% - Accent2 6 4" xfId="0"/>
    <cellStyle name="60% - Accent2 7" xfId="0"/>
    <cellStyle name="60% - Accent2 7 2" xfId="0"/>
    <cellStyle name="60% - Accent2 7 2 2" xfId="0"/>
    <cellStyle name="60% - Accent2 7 3" xfId="0"/>
    <cellStyle name="60% - Accent2 7 3 2" xfId="0"/>
    <cellStyle name="60% - Accent2 7 4" xfId="0"/>
    <cellStyle name="60% - Accent2 8" xfId="0"/>
    <cellStyle name="60% - Accent2 8 2" xfId="0"/>
    <cellStyle name="60% - Accent2 8 2 2" xfId="0"/>
    <cellStyle name="60% - Accent2 8 3" xfId="0"/>
    <cellStyle name="60% - Accent2 8 3 2" xfId="0"/>
    <cellStyle name="60% - Accent2 8 4" xfId="0"/>
    <cellStyle name="60% - Accent2 9" xfId="0"/>
    <cellStyle name="60% - Accent2 9 2" xfId="0"/>
    <cellStyle name="60% - Accent2 9 2 2" xfId="0"/>
    <cellStyle name="60% - Accent2 9 3" xfId="0"/>
    <cellStyle name="60% - Accent2 9 3 2" xfId="0"/>
    <cellStyle name="60% - Accent2 9 4" xfId="0"/>
    <cellStyle name="60% - Accent2_ALL inventory onhand data 0912" xfId="0"/>
    <cellStyle name="60% - Accent3" xfId="0"/>
    <cellStyle name="60% - Accent3 10" xfId="0"/>
    <cellStyle name="60% - Accent3 10 2" xfId="0"/>
    <cellStyle name="60% - Accent3 10 2 2" xfId="0"/>
    <cellStyle name="60% - Accent3 10 3" xfId="0"/>
    <cellStyle name="60% - Accent3 10 3 2" xfId="0"/>
    <cellStyle name="60% - Accent3 10 4" xfId="0"/>
    <cellStyle name="60% - Accent3 11" xfId="0"/>
    <cellStyle name="60% - Accent3 11 2" xfId="0"/>
    <cellStyle name="60% - Accent3 11 2 2" xfId="0"/>
    <cellStyle name="60% - Accent3 11 3" xfId="0"/>
    <cellStyle name="60% - Accent3 11 3 2" xfId="0"/>
    <cellStyle name="60% - Accent3 11 4" xfId="0"/>
    <cellStyle name="60% - Accent3 12" xfId="0"/>
    <cellStyle name="60% - Accent3 12 2" xfId="0"/>
    <cellStyle name="60% - Accent3 13" xfId="0"/>
    <cellStyle name="60% - Accent3 13 2" xfId="0"/>
    <cellStyle name="60% - Accent3 14" xfId="0"/>
    <cellStyle name="60% - Accent3 14 2" xfId="0"/>
    <cellStyle name="60% - Accent3 15" xfId="0"/>
    <cellStyle name="60% - Accent3 15 2" xfId="0"/>
    <cellStyle name="60% - Accent3 16" xfId="0"/>
    <cellStyle name="60% - Accent3 16 2" xfId="0"/>
    <cellStyle name="60% - Accent3 17" xfId="0"/>
    <cellStyle name="60% - Accent3 17 2" xfId="0"/>
    <cellStyle name="60% - Accent3 18" xfId="0"/>
    <cellStyle name="60% - Accent3 18 2" xfId="0"/>
    <cellStyle name="60% - Accent3 19" xfId="0"/>
    <cellStyle name="60% - Accent3 19 2" xfId="0"/>
    <cellStyle name="60% - Accent3 2" xfId="0"/>
    <cellStyle name="60% - Accent3 2 2" xfId="0"/>
    <cellStyle name="60% - Accent3 2 2 2" xfId="0"/>
    <cellStyle name="60% - Accent3 2 2 2 2" xfId="0"/>
    <cellStyle name="60% - Accent3 2 2 3" xfId="0"/>
    <cellStyle name="60% - Accent3 2 2 3 2" xfId="0"/>
    <cellStyle name="60% - Accent3 2 2 4" xfId="0"/>
    <cellStyle name="60% - Accent3 2 2 4 2" xfId="0"/>
    <cellStyle name="60% - Accent3 2 2 5" xfId="0"/>
    <cellStyle name="60% - Accent3 2 2 6" xfId="0"/>
    <cellStyle name="60% - Accent3 2 3" xfId="0"/>
    <cellStyle name="60% - Accent3 2 3 2" xfId="0"/>
    <cellStyle name="60% - Accent3 2 3 3" xfId="0"/>
    <cellStyle name="60% - Accent3 2 4" xfId="0"/>
    <cellStyle name="60% - Accent3 2 4 2" xfId="0"/>
    <cellStyle name="60% - Accent3 2 4 3" xfId="0"/>
    <cellStyle name="60% - Accent3 2 5" xfId="0"/>
    <cellStyle name="60% - Accent3 2 5 2" xfId="0"/>
    <cellStyle name="60% - Accent3 2 5 3" xfId="0"/>
    <cellStyle name="60% - Accent3 2 6" xfId="0"/>
    <cellStyle name="60% - Accent3 2 7" xfId="0"/>
    <cellStyle name="60% - Accent3 2 8" xfId="0"/>
    <cellStyle name="60% - Accent3 20" xfId="0"/>
    <cellStyle name="60% - Accent3 20 2" xfId="0"/>
    <cellStyle name="60% - Accent3 21" xfId="0"/>
    <cellStyle name="60% - Accent3 21 2" xfId="0"/>
    <cellStyle name="60% - Accent3 22" xfId="0"/>
    <cellStyle name="60% - Accent3 22 2" xfId="0"/>
    <cellStyle name="60% - Accent3 23" xfId="0"/>
    <cellStyle name="60% - Accent3 23 2" xfId="0"/>
    <cellStyle name="60% - Accent3 23 3" xfId="0"/>
    <cellStyle name="60% - Accent3 24" xfId="0"/>
    <cellStyle name="60% - Accent3 24 2" xfId="0"/>
    <cellStyle name="60% - Accent3 24 3" xfId="0"/>
    <cellStyle name="60% - Accent3 25" xfId="0"/>
    <cellStyle name="60% - Accent3 25 2" xfId="0"/>
    <cellStyle name="60% - Accent3 26" xfId="0"/>
    <cellStyle name="60% - Accent3 26 2" xfId="0"/>
    <cellStyle name="60% - Accent3 27" xfId="0"/>
    <cellStyle name="60% - Accent3 27 2" xfId="0"/>
    <cellStyle name="60% - Accent3 28" xfId="0"/>
    <cellStyle name="60% - Accent3 28 2" xfId="0"/>
    <cellStyle name="60% - Accent3 29" xfId="0"/>
    <cellStyle name="60% - Accent3 29 2" xfId="0"/>
    <cellStyle name="60% - Accent3 2_2.VSCN - GSC charge" xfId="0"/>
    <cellStyle name="60% - Accent3 3" xfId="0"/>
    <cellStyle name="60% - Accent3 3 2" xfId="0"/>
    <cellStyle name="60% - Accent3 3 2 2" xfId="0"/>
    <cellStyle name="60% - Accent3 3 2 3" xfId="0"/>
    <cellStyle name="60% - Accent3 3 3" xfId="0"/>
    <cellStyle name="60% - Accent3 3 3 2" xfId="0"/>
    <cellStyle name="60% - Accent3 3 3 3" xfId="0"/>
    <cellStyle name="60% - Accent3 3 4" xfId="0"/>
    <cellStyle name="60% - Accent3 3 4 2" xfId="0"/>
    <cellStyle name="60% - Accent3 3 5" xfId="0"/>
    <cellStyle name="60% - Accent3 3 5 2" xfId="0"/>
    <cellStyle name="60% - Accent3 3 6" xfId="0"/>
    <cellStyle name="60% - Accent3 3 7" xfId="0"/>
    <cellStyle name="60% - Accent3 30" xfId="0"/>
    <cellStyle name="60% - Accent3 30 2" xfId="0"/>
    <cellStyle name="60% - Accent3 31" xfId="0"/>
    <cellStyle name="60% - Accent3 31 2" xfId="0"/>
    <cellStyle name="60% - Accent3 32" xfId="0"/>
    <cellStyle name="60% - Accent3 32 2" xfId="0"/>
    <cellStyle name="60% - Accent3 33" xfId="0"/>
    <cellStyle name="60% - Accent3 33 2" xfId="0"/>
    <cellStyle name="60% - Accent3 34" xfId="0"/>
    <cellStyle name="60% - Accent3 34 2" xfId="0"/>
    <cellStyle name="60% - Accent3 35" xfId="0"/>
    <cellStyle name="60% - Accent3 35 2" xfId="0"/>
    <cellStyle name="60% - Accent3 36" xfId="0"/>
    <cellStyle name="60% - Accent3 36 2" xfId="0"/>
    <cellStyle name="60% - Accent3 37" xfId="0"/>
    <cellStyle name="60% - Accent3 37 2" xfId="0"/>
    <cellStyle name="60% - Accent3 38" xfId="0"/>
    <cellStyle name="60% - Accent3 38 2" xfId="0"/>
    <cellStyle name="60% - Accent3 39" xfId="0"/>
    <cellStyle name="60% - Accent3 39 2" xfId="0"/>
    <cellStyle name="60% - Accent3 3_Profitability Detail NT$ Sep-12" xfId="0"/>
    <cellStyle name="60% - Accent3 4" xfId="0"/>
    <cellStyle name="60% - Accent3 4 2" xfId="0"/>
    <cellStyle name="60% - Accent3 4 2 2" xfId="0"/>
    <cellStyle name="60% - Accent3 4 2 3" xfId="0"/>
    <cellStyle name="60% - Accent3 4 3" xfId="0"/>
    <cellStyle name="60% - Accent3 4 3 2" xfId="0"/>
    <cellStyle name="60% - Accent3 4 3 3" xfId="0"/>
    <cellStyle name="60% - Accent3 4 4" xfId="0"/>
    <cellStyle name="60% - Accent3 4 4 2" xfId="0"/>
    <cellStyle name="60% - Accent3 4 5" xfId="0"/>
    <cellStyle name="60% - Accent3 4 5 2" xfId="0"/>
    <cellStyle name="60% - Accent3 4 6" xfId="0"/>
    <cellStyle name="60% - Accent3 4 7" xfId="0"/>
    <cellStyle name="60% - Accent3 40" xfId="0"/>
    <cellStyle name="60% - Accent3 41" xfId="0"/>
    <cellStyle name="60% - Accent3 4_Profitability Detail NT$ Sep-12" xfId="0"/>
    <cellStyle name="60% - Accent3 5" xfId="0"/>
    <cellStyle name="60% - Accent3 5 2" xfId="0"/>
    <cellStyle name="60% - Accent3 5 3" xfId="0"/>
    <cellStyle name="60% - Accent3 5 3 2" xfId="0"/>
    <cellStyle name="60% - Accent3 6" xfId="0"/>
    <cellStyle name="60% - Accent3 6 2" xfId="0"/>
    <cellStyle name="60% - Accent3 6 3" xfId="0"/>
    <cellStyle name="60% - Accent3 7" xfId="0"/>
    <cellStyle name="60% - Accent3 7 2" xfId="0"/>
    <cellStyle name="60% - Accent3 7 3" xfId="0"/>
    <cellStyle name="60% - Accent3 8" xfId="0"/>
    <cellStyle name="60% - Accent3 8 2" xfId="0"/>
    <cellStyle name="60% - Accent3 8 3" xfId="0"/>
    <cellStyle name="60% - Accent3 9" xfId="0"/>
    <cellStyle name="60% - Accent3 9 2" xfId="0"/>
    <cellStyle name="60% - Accent3 9 3" xfId="0"/>
    <cellStyle name="60% - Accent3_ALL inventory onhand data 0912" xfId="0"/>
    <cellStyle name="60% - Accent4" xfId="0"/>
    <cellStyle name="60% - Accent4 10" xfId="0"/>
    <cellStyle name="60% - Accent4 10 2" xfId="0"/>
    <cellStyle name="60% - Accent4 11" xfId="0"/>
    <cellStyle name="60% - Accent4 11 2" xfId="0"/>
    <cellStyle name="60% - Accent4 12" xfId="0"/>
    <cellStyle name="60% - Accent4 12 2" xfId="0"/>
    <cellStyle name="60% - Accent4 13" xfId="0"/>
    <cellStyle name="60% - Accent4 13 2" xfId="0"/>
    <cellStyle name="60% - Accent4 14" xfId="0"/>
    <cellStyle name="60% - Accent4 14 2" xfId="0"/>
    <cellStyle name="60% - Accent4 15" xfId="0"/>
    <cellStyle name="60% - Accent4 15 2" xfId="0"/>
    <cellStyle name="60% - Accent4 16" xfId="0"/>
    <cellStyle name="60% - Accent4 16 2" xfId="0"/>
    <cellStyle name="60% - Accent4 17" xfId="0"/>
    <cellStyle name="60% - Accent4 17 2" xfId="0"/>
    <cellStyle name="60% - Accent4 18" xfId="0"/>
    <cellStyle name="60% - Accent4 18 2" xfId="0"/>
    <cellStyle name="60% - Accent4 19" xfId="0"/>
    <cellStyle name="60% - Accent4 19 2" xfId="0"/>
    <cellStyle name="60% - Accent4 2" xfId="0"/>
    <cellStyle name="60% - Accent4 2 2" xfId="0"/>
    <cellStyle name="60% - Accent4 2 2 2" xfId="0"/>
    <cellStyle name="60% - Accent4 2 2 3" xfId="0"/>
    <cellStyle name="60% - Accent4 2 3" xfId="0"/>
    <cellStyle name="60% - Accent4 2 3 2" xfId="0"/>
    <cellStyle name="60% - Accent4 2 3 3" xfId="0"/>
    <cellStyle name="60% - Accent4 2 4" xfId="0"/>
    <cellStyle name="60% - Accent4 2 4 2" xfId="0"/>
    <cellStyle name="60% - Accent4 2 5" xfId="0"/>
    <cellStyle name="60% - Accent4 2 5 2" xfId="0"/>
    <cellStyle name="60% - Accent4 2 6" xfId="0"/>
    <cellStyle name="60% - Accent4 2 7" xfId="0"/>
    <cellStyle name="60% - Accent4 2 8" xfId="0"/>
    <cellStyle name="60% - Accent4 20" xfId="0"/>
    <cellStyle name="60% - Accent4 20 2" xfId="0"/>
    <cellStyle name="60% - Accent4 21" xfId="0"/>
    <cellStyle name="60% - Accent4 21 2" xfId="0"/>
    <cellStyle name="60% - Accent4 22" xfId="0"/>
    <cellStyle name="60% - Accent4 22 2" xfId="0"/>
    <cellStyle name="60% - Accent4 23" xfId="0"/>
    <cellStyle name="60% - Accent4 24" xfId="0"/>
    <cellStyle name="60% - Accent4 25" xfId="0"/>
    <cellStyle name="60% - Accent4 26" xfId="0"/>
    <cellStyle name="60% - Accent4 27" xfId="0"/>
    <cellStyle name="60% - Accent4 28" xfId="0"/>
    <cellStyle name="60% - Accent4 29" xfId="0"/>
    <cellStyle name="60% - Accent4 2_Profitability Detail NT$ Sep-12" xfId="0"/>
    <cellStyle name="60% - Accent4 3" xfId="0"/>
    <cellStyle name="60% - Accent4 3 2" xfId="0"/>
    <cellStyle name="60% - Accent4 3 2 2" xfId="0"/>
    <cellStyle name="60% - Accent4 3 3" xfId="0"/>
    <cellStyle name="60% - Accent4 3 3 2" xfId="0"/>
    <cellStyle name="60% - Accent4 3 4" xfId="0"/>
    <cellStyle name="60% - Accent4 3 4 2" xfId="0"/>
    <cellStyle name="60% - Accent4 3 5" xfId="0"/>
    <cellStyle name="60% - Accent4 3 5 2" xfId="0"/>
    <cellStyle name="60% - Accent4 3 6" xfId="0"/>
    <cellStyle name="60% - Accent4 3 7" xfId="0"/>
    <cellStyle name="60% - Accent4 30" xfId="0"/>
    <cellStyle name="60% - Accent4 31" xfId="0"/>
    <cellStyle name="60% - Accent4 32" xfId="0"/>
    <cellStyle name="60% - Accent4 33" xfId="0"/>
    <cellStyle name="60% - Accent4 34" xfId="0"/>
    <cellStyle name="60% - Accent4 35" xfId="0"/>
    <cellStyle name="60% - Accent4 36" xfId="0"/>
    <cellStyle name="60% - Accent4 37" xfId="0"/>
    <cellStyle name="60% - Accent4 38" xfId="0"/>
    <cellStyle name="60% - Accent4 39" xfId="0"/>
    <cellStyle name="60% - Accent4 3_Profitability Detail NT$ Sep-12" xfId="0"/>
    <cellStyle name="60% - Accent4 4" xfId="0"/>
    <cellStyle name="60% - Accent4 4 2" xfId="0"/>
    <cellStyle name="60% - Accent4 4 2 2" xfId="0"/>
    <cellStyle name="60% - Accent4 4 3" xfId="0"/>
    <cellStyle name="60% - Accent4 4 3 2" xfId="0"/>
    <cellStyle name="60% - Accent4 4 4" xfId="0"/>
    <cellStyle name="60% - Accent4 4 4 2" xfId="0"/>
    <cellStyle name="60% - Accent4 4 5" xfId="0"/>
    <cellStyle name="60% - Accent4 4 5 2" xfId="0"/>
    <cellStyle name="60% - Accent4 4 6" xfId="0"/>
    <cellStyle name="60% - Accent4 4 7" xfId="0"/>
    <cellStyle name="60% - Accent4 40" xfId="0"/>
    <cellStyle name="60% - Accent4 41" xfId="0"/>
    <cellStyle name="60% - Accent4 4_Profitability Detail NT$ Sep-12" xfId="0"/>
    <cellStyle name="60% - Accent4 5" xfId="0"/>
    <cellStyle name="60% - Accent4 5 2" xfId="0"/>
    <cellStyle name="60% - Accent4 5 3" xfId="0"/>
    <cellStyle name="60% - Accent4 5 4" xfId="0"/>
    <cellStyle name="60% - Accent4 6" xfId="0"/>
    <cellStyle name="60% - Accent4 6 2" xfId="0"/>
    <cellStyle name="60% - Accent4 6 3" xfId="0"/>
    <cellStyle name="60% - Accent4 7" xfId="0"/>
    <cellStyle name="60% - Accent4 7 2" xfId="0"/>
    <cellStyle name="60% - Accent4 8" xfId="0"/>
    <cellStyle name="60% - Accent4 8 2" xfId="0"/>
    <cellStyle name="60% - Accent4 9" xfId="0"/>
    <cellStyle name="60% - Accent4 9 2" xfId="0"/>
    <cellStyle name="60% - Accent4_ALL inventory onhand data 0912" xfId="0"/>
    <cellStyle name="60% - Accent5" xfId="0"/>
    <cellStyle name="60% - Accent5 10" xfId="0"/>
    <cellStyle name="60% - Accent5 10 2" xfId="0"/>
    <cellStyle name="60% - Accent5 11" xfId="0"/>
    <cellStyle name="60% - Accent5 11 2" xfId="0"/>
    <cellStyle name="60% - Accent5 12" xfId="0"/>
    <cellStyle name="60% - Accent5 12 2" xfId="0"/>
    <cellStyle name="60% - Accent5 13" xfId="0"/>
    <cellStyle name="60% - Accent5 13 2" xfId="0"/>
    <cellStyle name="60% - Accent5 14" xfId="0"/>
    <cellStyle name="60% - Accent5 14 2" xfId="0"/>
    <cellStyle name="60% - Accent5 15" xfId="0"/>
    <cellStyle name="60% - Accent5 15 2" xfId="0"/>
    <cellStyle name="60% - Accent5 16" xfId="0"/>
    <cellStyle name="60% - Accent5 16 2" xfId="0"/>
    <cellStyle name="60% - Accent5 17" xfId="0"/>
    <cellStyle name="60% - Accent5 17 2" xfId="0"/>
    <cellStyle name="60% - Accent5 18" xfId="0"/>
    <cellStyle name="60% - Accent5 18 2" xfId="0"/>
    <cellStyle name="60% - Accent5 19" xfId="0"/>
    <cellStyle name="60% - Accent5 19 2" xfId="0"/>
    <cellStyle name="60% - Accent5 2" xfId="0"/>
    <cellStyle name="60% - Accent5 2 2" xfId="0"/>
    <cellStyle name="60% - Accent5 2 2 2" xfId="0"/>
    <cellStyle name="60% - Accent5 2 2 3" xfId="0"/>
    <cellStyle name="60% - Accent5 2 3" xfId="0"/>
    <cellStyle name="60% - Accent5 2 3 2" xfId="0"/>
    <cellStyle name="60% - Accent5 2 3 3" xfId="0"/>
    <cellStyle name="60% - Accent5 2 4" xfId="0"/>
    <cellStyle name="60% - Accent5 2 4 2" xfId="0"/>
    <cellStyle name="60% - Accent5 2 5" xfId="0"/>
    <cellStyle name="60% - Accent5 2 5 2" xfId="0"/>
    <cellStyle name="60% - Accent5 2 6" xfId="0"/>
    <cellStyle name="60% - Accent5 2 7" xfId="0"/>
    <cellStyle name="60% - Accent5 2 8" xfId="0"/>
    <cellStyle name="60% - Accent5 20" xfId="0"/>
    <cellStyle name="60% - Accent5 20 2" xfId="0"/>
    <cellStyle name="60% - Accent5 21" xfId="0"/>
    <cellStyle name="60% - Accent5 21 2" xfId="0"/>
    <cellStyle name="60% - Accent5 22" xfId="0"/>
    <cellStyle name="60% - Accent5 22 2" xfId="0"/>
    <cellStyle name="60% - Accent5 23" xfId="0"/>
    <cellStyle name="60% - Accent5 24" xfId="0"/>
    <cellStyle name="60% - Accent5 25" xfId="0"/>
    <cellStyle name="60% - Accent5 26" xfId="0"/>
    <cellStyle name="60% - Accent5 27" xfId="0"/>
    <cellStyle name="60% - Accent5 28" xfId="0"/>
    <cellStyle name="60% - Accent5 29" xfId="0"/>
    <cellStyle name="60% - Accent5 2_Profitability Detail NT$ Sep-12" xfId="0"/>
    <cellStyle name="60% - Accent5 3" xfId="0"/>
    <cellStyle name="60% - Accent5 3 2" xfId="0"/>
    <cellStyle name="60% - Accent5 3 2 2" xfId="0"/>
    <cellStyle name="60% - Accent5 3 3" xfId="0"/>
    <cellStyle name="60% - Accent5 3 3 2" xfId="0"/>
    <cellStyle name="60% - Accent5 3 4" xfId="0"/>
    <cellStyle name="60% - Accent5 3 4 2" xfId="0"/>
    <cellStyle name="60% - Accent5 3 5" xfId="0"/>
    <cellStyle name="60% - Accent5 3 5 2" xfId="0"/>
    <cellStyle name="60% - Accent5 3 6" xfId="0"/>
    <cellStyle name="60% - Accent5 3 7" xfId="0"/>
    <cellStyle name="60% - Accent5 30" xfId="0"/>
    <cellStyle name="60% - Accent5 31" xfId="0"/>
    <cellStyle name="60% - Accent5 32" xfId="0"/>
    <cellStyle name="60% - Accent5 33" xfId="0"/>
    <cellStyle name="60% - Accent5 34" xfId="0"/>
    <cellStyle name="60% - Accent5 35" xfId="0"/>
    <cellStyle name="60% - Accent5 3_Profitability Detail NT$ Sep-12" xfId="0"/>
    <cellStyle name="60% - Accent5 4" xfId="0"/>
    <cellStyle name="60% - Accent5 4 2" xfId="0"/>
    <cellStyle name="60% - Accent5 4 2 2" xfId="0"/>
    <cellStyle name="60% - Accent5 4 3" xfId="0"/>
    <cellStyle name="60% - Accent5 4 3 2" xfId="0"/>
    <cellStyle name="60% - Accent5 4 4" xfId="0"/>
    <cellStyle name="60% - Accent5 4 4 2" xfId="0"/>
    <cellStyle name="60% - Accent5 4 5" xfId="0"/>
    <cellStyle name="60% - Accent5 4 5 2" xfId="0"/>
    <cellStyle name="60% - Accent5 4 6" xfId="0"/>
    <cellStyle name="60% - Accent5 4 7" xfId="0"/>
    <cellStyle name="60% - Accent5 4_Profitability Detail NT$ Sep-12" xfId="0"/>
    <cellStyle name="60% - Accent5 5" xfId="0"/>
    <cellStyle name="60% - Accent5 5 2" xfId="0"/>
    <cellStyle name="60% - Accent5 5 3" xfId="0"/>
    <cellStyle name="60% - Accent5 5 4" xfId="0"/>
    <cellStyle name="60% - Accent5 6" xfId="0"/>
    <cellStyle name="60% - Accent5 6 2" xfId="0"/>
    <cellStyle name="60% - Accent5 7" xfId="0"/>
    <cellStyle name="60% - Accent5 7 2" xfId="0"/>
    <cellStyle name="60% - Accent5 8" xfId="0"/>
    <cellStyle name="60% - Accent5 8 2" xfId="0"/>
    <cellStyle name="60% - Accent5 9" xfId="0"/>
    <cellStyle name="60% - Accent5 9 2" xfId="0"/>
    <cellStyle name="60% - Accent5_ALL inventory onhand data 0912" xfId="0"/>
    <cellStyle name="60% - Accent6" xfId="0"/>
    <cellStyle name="60% - Accent6 10" xfId="0"/>
    <cellStyle name="60% - Accent6 10 2" xfId="0"/>
    <cellStyle name="60% - Accent6 11" xfId="0"/>
    <cellStyle name="60% - Accent6 11 2" xfId="0"/>
    <cellStyle name="60% - Accent6 12" xfId="0"/>
    <cellStyle name="60% - Accent6 12 2" xfId="0"/>
    <cellStyle name="60% - Accent6 13" xfId="0"/>
    <cellStyle name="60% - Accent6 13 2" xfId="0"/>
    <cellStyle name="60% - Accent6 14" xfId="0"/>
    <cellStyle name="60% - Accent6 14 2" xfId="0"/>
    <cellStyle name="60% - Accent6 15" xfId="0"/>
    <cellStyle name="60% - Accent6 15 2" xfId="0"/>
    <cellStyle name="60% - Accent6 16" xfId="0"/>
    <cellStyle name="60% - Accent6 16 2" xfId="0"/>
    <cellStyle name="60% - Accent6 17" xfId="0"/>
    <cellStyle name="60% - Accent6 17 2" xfId="0"/>
    <cellStyle name="60% - Accent6 18" xfId="0"/>
    <cellStyle name="60% - Accent6 18 2" xfId="0"/>
    <cellStyle name="60% - Accent6 19" xfId="0"/>
    <cellStyle name="60% - Accent6 19 2" xfId="0"/>
    <cellStyle name="60% - Accent6 2" xfId="0"/>
    <cellStyle name="60% - Accent6 2 2" xfId="0"/>
    <cellStyle name="60% - Accent6 2 2 2" xfId="0"/>
    <cellStyle name="60% - Accent6 2 2 3" xfId="0"/>
    <cellStyle name="60% - Accent6 2 3" xfId="0"/>
    <cellStyle name="60% - Accent6 2 3 2" xfId="0"/>
    <cellStyle name="60% - Accent6 2 3 3" xfId="0"/>
    <cellStyle name="60% - Accent6 2 4" xfId="0"/>
    <cellStyle name="60% - Accent6 2 4 2" xfId="0"/>
    <cellStyle name="60% - Accent6 2 5" xfId="0"/>
    <cellStyle name="60% - Accent6 2 5 2" xfId="0"/>
    <cellStyle name="60% - Accent6 2 6" xfId="0"/>
    <cellStyle name="60% - Accent6 2 7" xfId="0"/>
    <cellStyle name="60% - Accent6 2 8" xfId="0"/>
    <cellStyle name="60% - Accent6 20" xfId="0"/>
    <cellStyle name="60% - Accent6 20 2" xfId="0"/>
    <cellStyle name="60% - Accent6 21" xfId="0"/>
    <cellStyle name="60% - Accent6 21 2" xfId="0"/>
    <cellStyle name="60% - Accent6 22" xfId="0"/>
    <cellStyle name="60% - Accent6 22 2" xfId="0"/>
    <cellStyle name="60% - Accent6 23" xfId="0"/>
    <cellStyle name="60% - Accent6 24" xfId="0"/>
    <cellStyle name="60% - Accent6 25" xfId="0"/>
    <cellStyle name="60% - Accent6 26" xfId="0"/>
    <cellStyle name="60% - Accent6 27" xfId="0"/>
    <cellStyle name="60% - Accent6 28" xfId="0"/>
    <cellStyle name="60% - Accent6 29" xfId="0"/>
    <cellStyle name="60% - Accent6 2_Profitability Detail NT$ Sep-12" xfId="0"/>
    <cellStyle name="60% - Accent6 3" xfId="0"/>
    <cellStyle name="60% - Accent6 3 2" xfId="0"/>
    <cellStyle name="60% - Accent6 3 2 2" xfId="0"/>
    <cellStyle name="60% - Accent6 3 3" xfId="0"/>
    <cellStyle name="60% - Accent6 3 3 2" xfId="0"/>
    <cellStyle name="60% - Accent6 3 4" xfId="0"/>
    <cellStyle name="60% - Accent6 3 4 2" xfId="0"/>
    <cellStyle name="60% - Accent6 3 5" xfId="0"/>
    <cellStyle name="60% - Accent6 3 5 2" xfId="0"/>
    <cellStyle name="60% - Accent6 3 6" xfId="0"/>
    <cellStyle name="60% - Accent6 3 7" xfId="0"/>
    <cellStyle name="60% - Accent6 30" xfId="0"/>
    <cellStyle name="60% - Accent6 31" xfId="0"/>
    <cellStyle name="60% - Accent6 32" xfId="0"/>
    <cellStyle name="60% - Accent6 33" xfId="0"/>
    <cellStyle name="60% - Accent6 34" xfId="0"/>
    <cellStyle name="60% - Accent6 35" xfId="0"/>
    <cellStyle name="60% - Accent6 36" xfId="0"/>
    <cellStyle name="60% - Accent6 37" xfId="0"/>
    <cellStyle name="60% - Accent6 38" xfId="0"/>
    <cellStyle name="60% - Accent6 39" xfId="0"/>
    <cellStyle name="60% - Accent6 3_Profitability Detail NT$ Sep-12" xfId="0"/>
    <cellStyle name="60% - Accent6 4" xfId="0"/>
    <cellStyle name="60% - Accent6 4 2" xfId="0"/>
    <cellStyle name="60% - Accent6 4 2 2" xfId="0"/>
    <cellStyle name="60% - Accent6 4 3" xfId="0"/>
    <cellStyle name="60% - Accent6 4 3 2" xfId="0"/>
    <cellStyle name="60% - Accent6 4 4" xfId="0"/>
    <cellStyle name="60% - Accent6 4 4 2" xfId="0"/>
    <cellStyle name="60% - Accent6 4 5" xfId="0"/>
    <cellStyle name="60% - Accent6 4 5 2" xfId="0"/>
    <cellStyle name="60% - Accent6 4 6" xfId="0"/>
    <cellStyle name="60% - Accent6 4 7" xfId="0"/>
    <cellStyle name="60% - Accent6 40" xfId="0"/>
    <cellStyle name="60% - Accent6 41" xfId="0"/>
    <cellStyle name="60% - Accent6 4_Profitability Detail NT$ Sep-12" xfId="0"/>
    <cellStyle name="60% - Accent6 5" xfId="0"/>
    <cellStyle name="60% - Accent6 5 2" xfId="0"/>
    <cellStyle name="60% - Accent6 5 3" xfId="0"/>
    <cellStyle name="60% - Accent6 5 4" xfId="0"/>
    <cellStyle name="60% - Accent6 6" xfId="0"/>
    <cellStyle name="60% - Accent6 6 2" xfId="0"/>
    <cellStyle name="60% - Accent6 7" xfId="0"/>
    <cellStyle name="60% - Accent6 7 2" xfId="0"/>
    <cellStyle name="60% - Accent6 8" xfId="0"/>
    <cellStyle name="60% - Accent6 8 2" xfId="0"/>
    <cellStyle name="60% - Accent6 9" xfId="0"/>
    <cellStyle name="60% - Accent6 9 2" xfId="0"/>
    <cellStyle name="60% - Accent6_ALL inventory onhand data 0912" xfId="0"/>
    <cellStyle name="60% - Akzent1" xfId="0"/>
    <cellStyle name="60% - Akzent1 2" xfId="0"/>
    <cellStyle name="60% - Akzent2" xfId="0"/>
    <cellStyle name="60% - Akzent2 2" xfId="0"/>
    <cellStyle name="60% - Akzent3" xfId="0"/>
    <cellStyle name="60% - Akzent3 2" xfId="0"/>
    <cellStyle name="60% - Akzent4" xfId="0"/>
    <cellStyle name="60% - Akzent4 2" xfId="0"/>
    <cellStyle name="60% - Akzent5" xfId="0"/>
    <cellStyle name="60% - Akzent5 2" xfId="0"/>
    <cellStyle name="60% - Akzent6" xfId="0"/>
    <cellStyle name="60% - Akzent6 2" xfId="0"/>
    <cellStyle name="60% - 强调文字颜色 1" xfId="0"/>
    <cellStyle name="60% - 强调文字颜色 1 2" xfId="0"/>
    <cellStyle name="60% - 强调文字颜色 2" xfId="0"/>
    <cellStyle name="60% - 强调文字颜色 2 2" xfId="0"/>
    <cellStyle name="60% - 强调文字颜色 3" xfId="0"/>
    <cellStyle name="60% - 强调文字颜色 3 2" xfId="0"/>
    <cellStyle name="60% - 强调文字颜色 4" xfId="0"/>
    <cellStyle name="60% - 强调文字颜色 4 2" xfId="0"/>
    <cellStyle name="60% - 强调文字颜色 5" xfId="0"/>
    <cellStyle name="60% - 强调文字颜色 5 2" xfId="0"/>
    <cellStyle name="60% - 强调文字颜色 6" xfId="0"/>
    <cellStyle name="60% - 强调文字颜色 6 2" xfId="0"/>
    <cellStyle name="60% - 輔色1 2" xfId="0"/>
    <cellStyle name="60% - 輔色1 2 2" xfId="0"/>
    <cellStyle name="60% - 輔色1 2 3" xfId="0"/>
    <cellStyle name="60% - 輔色1 3" xfId="0"/>
    <cellStyle name="60% - 輔色2 2" xfId="0"/>
    <cellStyle name="60% - 輔色2 2 2" xfId="0"/>
    <cellStyle name="60% - 輔色2 2 3" xfId="0"/>
    <cellStyle name="60% - 輔色2 3" xfId="0"/>
    <cellStyle name="60% - 輔色3 2" xfId="0"/>
    <cellStyle name="60% - 輔色3 2 2" xfId="0"/>
    <cellStyle name="60% - 輔色3 2 3" xfId="0"/>
    <cellStyle name="60% - 輔色3 3" xfId="0"/>
    <cellStyle name="60% - 輔色4 2" xfId="0"/>
    <cellStyle name="60% - 輔色4 2 2" xfId="0"/>
    <cellStyle name="60% - 輔色4 2 3" xfId="0"/>
    <cellStyle name="60% - 輔色4 3" xfId="0"/>
    <cellStyle name="60% - 輔色5 2" xfId="0"/>
    <cellStyle name="60% - 輔色5 2 2" xfId="0"/>
    <cellStyle name="60% - 輔色5 2 3" xfId="0"/>
    <cellStyle name="60% - 輔色5 3" xfId="0"/>
    <cellStyle name="60% - 輔色6 2" xfId="0"/>
    <cellStyle name="60% - 輔色6 2 2" xfId="0"/>
    <cellStyle name="60% - 輔色6 2 3" xfId="0"/>
    <cellStyle name="60% - 輔色6 3" xfId="0"/>
    <cellStyle name="60 % - Accent1" xfId="0"/>
    <cellStyle name="60 % - Accent1 2" xfId="0"/>
    <cellStyle name="60 % - Accent2" xfId="0"/>
    <cellStyle name="60 % - Accent2 2" xfId="0"/>
    <cellStyle name="60 % - Accent3" xfId="0"/>
    <cellStyle name="60 % - Accent3 2" xfId="0"/>
    <cellStyle name="60 % - Accent4" xfId="0"/>
    <cellStyle name="60 % - Accent4 2" xfId="0"/>
    <cellStyle name="60 % - Accent5" xfId="0"/>
    <cellStyle name="60 % - Accent5 2" xfId="0"/>
    <cellStyle name="60 % - Accent6" xfId="0"/>
    <cellStyle name="60 % - Accent6 2" xfId="0"/>
    <cellStyle name="?" xfId="0"/>
    <cellStyle name="? 2" xfId="0"/>
    <cellStyle name="?_Lenovo CLI Ramp up Plan-0813 的 工作表" xfId="0"/>
    <cellStyle name="?_Lenovo CLI Ramp up Plan-0813 的 工作表 2" xfId="0"/>
    <cellStyle name="?_Lenovo CLI Ramp up Plan-0813 的 工作表_13-wk VSI_Revised" xfId="0"/>
    <cellStyle name="?_Lenovo CLI Ramp up Plan-0813 的 工作表_13-wk VSI_Revised 2" xfId="0"/>
    <cellStyle name="?_Lenovo CLI Ramp up Plan-0813 的 工作表_WMR VSI" xfId="0"/>
    <cellStyle name="?_Lenovo CLI Ramp up Plan-0813 的 工作表_WMR VSI 2" xfId="0"/>
    <cellStyle name="_03-Dec-2010" xfId="0"/>
    <cellStyle name="_03-Dec-2010 2" xfId="0"/>
    <cellStyle name="_041129 WMR_VSI" xfId="0"/>
    <cellStyle name="_041129 WMR_VSI 2" xfId="0"/>
    <cellStyle name="_041129 WMR_VSI 2 2" xfId="0"/>
    <cellStyle name="_041129 WMR_VSI 3" xfId="0"/>
    <cellStyle name="_041129 WMR_VSI_050121 WMR_VSC" xfId="0"/>
    <cellStyle name="_041129 WMR_VSI_050121 WMR_VSC 2" xfId="0"/>
    <cellStyle name="_041129 WMR_VSI_050121 WMR_VSC_080822 WMR-VSC" xfId="0"/>
    <cellStyle name="_041129 WMR_VSI_050121 WMR_VSC_080822 WMR-VSC 2" xfId="0"/>
    <cellStyle name="_041129 WMR_VSI_050121 WMR_VSC_080829 WMR" xfId="0"/>
    <cellStyle name="_041129 WMR_VSI_050121 WMR_VSC_080829 WMR 2" xfId="0"/>
    <cellStyle name="_041129 WMR_VSI_050121 WMR_VSC_080905 WMR-VSC" xfId="0"/>
    <cellStyle name="_041129 WMR_VSI_050121 WMR_VSC_080905 WMR-VSC 2" xfId="0"/>
    <cellStyle name="_041129 WMR_VSI_050121 WMR_VSC_080912 WMR-VSC" xfId="0"/>
    <cellStyle name="_041129 WMR_VSI_050121 WMR_VSC_080912 WMR-VSC 2" xfId="0"/>
    <cellStyle name="_041129 WMR_VSI_050121 WMR_VSC_080919 WMR-VSC" xfId="0"/>
    <cellStyle name="_041129 WMR_VSI_050121 WMR_VSC_080919 WMR-VSC 2" xfId="0"/>
    <cellStyle name="_041129 WMR_VSI_050121 WMR_VSC_080926 WMR-VSC" xfId="0"/>
    <cellStyle name="_041129 WMR_VSI_050121 WMR_VSC_080926 WMR-VSC 2" xfId="0"/>
    <cellStyle name="_041129 WMR_VSI_050121 WMR_VSC_081003 WMR-VSC_1" xfId="0"/>
    <cellStyle name="_041129 WMR_VSI_050121 WMR_VSC_081003 WMR-VSC_1 2" xfId="0"/>
    <cellStyle name="_041129 WMR_VSI_050121 WMR_VSC_081010 WMR-VSC" xfId="0"/>
    <cellStyle name="_041129 WMR_VSI_050121 WMR_VSC_081010 WMR-VSC 2" xfId="0"/>
    <cellStyle name="_041129 WMR_VSI_050121 WMR_VSC_081017 WMR-VSC_1" xfId="0"/>
    <cellStyle name="_041129 WMR_VSI_050121 WMR_VSC_081017 WMR-VSC_1 2" xfId="0"/>
    <cellStyle name="_041129 WMR_VSI_050121 WMR_VSC_081024 WMR-VSC" xfId="0"/>
    <cellStyle name="_041129 WMR_VSI_050121 WMR_VSC_081024 WMR-VSC 2" xfId="0"/>
    <cellStyle name="_041129 WMR_VSI_050121 WMR_VSC_081031 WMR-VSC" xfId="0"/>
    <cellStyle name="_041129 WMR_VSI_050121 WMR_VSC_081031 WMR-VSC 2" xfId="0"/>
    <cellStyle name="_041129 WMR_VSI_050121 WMR_VSC_081107 WMR-VSC (2)" xfId="0"/>
    <cellStyle name="_041129 WMR_VSI_050121 WMR_VSC_081107 WMR-VSC (2) 2" xfId="0"/>
    <cellStyle name="_041129 WMR_VSI_050121 WMR_VSC_081107 WMR-VSC_1" xfId="0"/>
    <cellStyle name="_041129 WMR_VSI_050121 WMR_VSC_081107 WMR-VSC_1 2" xfId="0"/>
    <cellStyle name="_041129 WMR_VSI_050121 WMR_VSC_081114 WMR-VSC" xfId="0"/>
    <cellStyle name="_041129 WMR_VSI_050121 WMR_VSC_081114 WMR-VSC 2" xfId="0"/>
    <cellStyle name="_041129 WMR_VSI_050121 WMR_VSC_081121 WMR-VSC" xfId="0"/>
    <cellStyle name="_041129 WMR_VSI_050121 WMR_VSC_081121 WMR-VSC 2" xfId="0"/>
    <cellStyle name="_041129 WMR_VSI_050121 WMR_VSC_081128 WMR-VSC" xfId="0"/>
    <cellStyle name="_041129 WMR_VSI_050121 WMR_VSC_081128 WMR-VSC 2" xfId="0"/>
    <cellStyle name="_041129 WMR_VSI_050121 WMR_VSC_081128 WMR-VSC_1" xfId="0"/>
    <cellStyle name="_041129 WMR_VSI_050121 WMR_VSC_081128 WMR-VSC_1 2" xfId="0"/>
    <cellStyle name="_041129 WMR_VSI_050121 WMR_VSC_081205 WMR-VSC" xfId="0"/>
    <cellStyle name="_041129 WMR_VSI_050121 WMR_VSC_081205 WMR-VSC 2" xfId="0"/>
    <cellStyle name="_041129 WMR_VSI_050121 WMR_VSC_081212 WMR-VSC" xfId="0"/>
    <cellStyle name="_041129 WMR_VSI_050121 WMR_VSC_081212 WMR-VSC 2" xfId="0"/>
    <cellStyle name="_041129 WMR_VSI_050121 WMR_VSC_081219 WMR-VSC" xfId="0"/>
    <cellStyle name="_041129 WMR_VSI_050121 WMR_VSC_081219 WMR-VSC 2" xfId="0"/>
    <cellStyle name="_041129 WMR_VSI_050121 WMR_VSC_090102 WMR-VSC" xfId="0"/>
    <cellStyle name="_041129 WMR_VSI_050121 WMR_VSC_090102 WMR-VSC 2" xfId="0"/>
    <cellStyle name="_041129 WMR_VSI_050121 WMR_VSC_090424 WMR_VSE (2)" xfId="0"/>
    <cellStyle name="_041129 WMR_VSI_050121 WMR_VSC_090424 WMR_VSE (2) 2" xfId="0"/>
    <cellStyle name="_041129 WMR_VSI_050121 WMR_VSC_090703 WMR-VSC" xfId="0"/>
    <cellStyle name="_041129 WMR_VSI_050121 WMR_VSC_090703 WMR-VSC 2" xfId="0"/>
    <cellStyle name="_041129 WMR_VSI_050121 WMR_VSC_AP Turn Days old" xfId="0"/>
    <cellStyle name="_041129 WMR_VSI_050121 WMR_VSC_AP Turn Days old 2" xfId="0"/>
    <cellStyle name="_041129 WMR_VSI_050121 WMR_VSC_Cash" xfId="0"/>
    <cellStyle name="_041129 WMR_VSI_050121 WMR_VSC_Cash 2" xfId="0"/>
    <cellStyle name="_041129 WMR_VSI_050121 WMR_VSC_Charts" xfId="0"/>
    <cellStyle name="_041129 WMR_VSI_050121 WMR_VSC_Charts 2" xfId="0"/>
    <cellStyle name="_041129 WMR_VSI_050121 WMR_VSC_Inv Data" xfId="0"/>
    <cellStyle name="_041129 WMR_VSI_050121 WMR_VSC_Inv Data 2" xfId="0"/>
    <cellStyle name="_041129 WMR_VSI_050121 WMR_VSC_Inventory Pivot" xfId="0"/>
    <cellStyle name="_041129 WMR_VSI_050121 WMR_VSC_Inventory Pivot 2" xfId="0"/>
    <cellStyle name="_041129 WMR_VSI_050121 WMR_VSC_NEW WMR" xfId="0"/>
    <cellStyle name="_041129 WMR_VSI_050121 WMR_VSC_NEW WMR 2" xfId="0"/>
    <cellStyle name="_041129 WMR_VSI_050121 WMR_VSC_OpenOrder Data" xfId="0"/>
    <cellStyle name="_041129 WMR_VSI_050121 WMR_VSC_OpenOrder Data 2" xfId="0"/>
    <cellStyle name="_041129 WMR_VSI_050121 WMR_VSC_Revenue % Forecast" xfId="0"/>
    <cellStyle name="_041129 WMR_VSI_050121 WMR_VSC_Revenue % Forecast 2" xfId="0"/>
    <cellStyle name="_041129 WMR_VSI_050121 WMR_VSC_Turn Days" xfId="0"/>
    <cellStyle name="_041129 WMR_VSI_050121 WMR_VSC_Turn Days 2" xfId="0"/>
    <cellStyle name="_041129 WMR_VSI_050121 WMR_VSC_VDL" xfId="0"/>
    <cellStyle name="_041129 WMR_VSI_050121 WMR_VSC_VDL 2" xfId="0"/>
    <cellStyle name="_041129 WMR_VSI_050121 WMR_VSC_VSA" xfId="0"/>
    <cellStyle name="_041129 WMR_VSI_050121 WMR_VSC_VSA 2" xfId="0"/>
    <cellStyle name="_041129 WMR_VSI_050121 WMR_VSC_VSA Cash Flow Model (6-4-07)" xfId="0"/>
    <cellStyle name="_041129 WMR_VSI_050121 WMR_VSC_VSA Cash Flow Model (6-4-07) 2" xfId="0"/>
    <cellStyle name="_041129 WMR_VSI_050121 WMR_VSC_VSACE" xfId="0"/>
    <cellStyle name="_041129 WMR_VSI_050121 WMR_VSC_VSACE 2" xfId="0"/>
    <cellStyle name="_041129 WMR_VSI_050121 WMR_VSC_VSC" xfId="0"/>
    <cellStyle name="_041129 WMR_VSI_050121 WMR_VSC_VSC 2" xfId="0"/>
    <cellStyle name="_041129 WMR_VSI_050121 WMR_VSC_VSCN" xfId="0"/>
    <cellStyle name="_041129 WMR_VSI_050121 WMR_VSC_VSCN 2" xfId="0"/>
    <cellStyle name="_041129 WMR_VSI_050121 WMR_VSC_VSE" xfId="0"/>
    <cellStyle name="_041129 WMR_VSI_050121 WMR_VSC_VSE 2" xfId="0"/>
    <cellStyle name="_041129 WMR_VSI_050121 WMR_VSC_VSE WMR Workbook 08-07-09" xfId="0"/>
    <cellStyle name="_041129 WMR_VSI_050121 WMR_VSC_VSE WMR Workbook 08-07-09 2" xfId="0"/>
    <cellStyle name="_041129 WMR_VSI_050121 WMR_VSC_VSE WMR Workbook 11-19-10" xfId="0"/>
    <cellStyle name="_041129 WMR_VSI_050121 WMR_VSC_VSE WMR Workbook 11-19-10 2" xfId="0"/>
    <cellStyle name="_041129 WMR_VSI_050121 WMR_VSC_VSE WMR Workbook 12-31-10" xfId="0"/>
    <cellStyle name="_041129 WMR_VSI_050121 WMR_VSC_VSE WMR Workbook 12-31-10 2" xfId="0"/>
    <cellStyle name="_041129 WMR_VSI_050121 WMR_VSC_VSI" xfId="0"/>
    <cellStyle name="_041129 WMR_VSI_050121 WMR_VSC_VSI 2" xfId="0"/>
    <cellStyle name="_041129 WMR_VSI_050121 WMR_VSC_WMR" xfId="0"/>
    <cellStyle name="_041129 WMR_VSI_050121 WMR_VSC_WMR (by QTY)" xfId="0"/>
    <cellStyle name="_041129 WMR_VSI_050121 WMR_VSC_WMR (by QTY) 2" xfId="0"/>
    <cellStyle name="_041129 WMR_VSI_050121 WMR_VSC_WMR 2" xfId="0"/>
    <cellStyle name="_041129 WMR_VSI_050121 WMR_VSC_WMR 3" xfId="0"/>
    <cellStyle name="_041129 WMR_VSI_050121 WMR_VSC_WMR 4" xfId="0"/>
    <cellStyle name="_041129 WMR_VSI_050422 WMR_VSC" xfId="0"/>
    <cellStyle name="_041129 WMR_VSI_050422 WMR_VSC 2" xfId="0"/>
    <cellStyle name="_041129 WMR_VSI_050422 WMR_VSC_080822 WMR-VSC" xfId="0"/>
    <cellStyle name="_041129 WMR_VSI_050422 WMR_VSC_080822 WMR-VSC 2" xfId="0"/>
    <cellStyle name="_041129 WMR_VSI_050422 WMR_VSC_080829 WMR" xfId="0"/>
    <cellStyle name="_041129 WMR_VSI_050422 WMR_VSC_080829 WMR 2" xfId="0"/>
    <cellStyle name="_041129 WMR_VSI_050422 WMR_VSC_080905 WMR-VSC" xfId="0"/>
    <cellStyle name="_041129 WMR_VSI_050422 WMR_VSC_080905 WMR-VSC 2" xfId="0"/>
    <cellStyle name="_041129 WMR_VSI_050422 WMR_VSC_080912 WMR-VSC" xfId="0"/>
    <cellStyle name="_041129 WMR_VSI_050422 WMR_VSC_080912 WMR-VSC 2" xfId="0"/>
    <cellStyle name="_041129 WMR_VSI_050422 WMR_VSC_080919 WMR-VSC" xfId="0"/>
    <cellStyle name="_041129 WMR_VSI_050422 WMR_VSC_080919 WMR-VSC 2" xfId="0"/>
    <cellStyle name="_041129 WMR_VSI_050422 WMR_VSC_080926 WMR-VSC" xfId="0"/>
    <cellStyle name="_041129 WMR_VSI_050422 WMR_VSC_080926 WMR-VSC 2" xfId="0"/>
    <cellStyle name="_041129 WMR_VSI_050422 WMR_VSC_081003 WMR-VSC_1" xfId="0"/>
    <cellStyle name="_041129 WMR_VSI_050422 WMR_VSC_081003 WMR-VSC_1 2" xfId="0"/>
    <cellStyle name="_041129 WMR_VSI_050422 WMR_VSC_081010 WMR-VSC" xfId="0"/>
    <cellStyle name="_041129 WMR_VSI_050422 WMR_VSC_081010 WMR-VSC 2" xfId="0"/>
    <cellStyle name="_041129 WMR_VSI_050422 WMR_VSC_081017 WMR-VSC_1" xfId="0"/>
    <cellStyle name="_041129 WMR_VSI_050422 WMR_VSC_081017 WMR-VSC_1 2" xfId="0"/>
    <cellStyle name="_041129 WMR_VSI_050422 WMR_VSC_081024 WMR-VSC" xfId="0"/>
    <cellStyle name="_041129 WMR_VSI_050422 WMR_VSC_081024 WMR-VSC 2" xfId="0"/>
    <cellStyle name="_041129 WMR_VSI_050422 WMR_VSC_081031 WMR-VSC" xfId="0"/>
    <cellStyle name="_041129 WMR_VSI_050422 WMR_VSC_081031 WMR-VSC 2" xfId="0"/>
    <cellStyle name="_041129 WMR_VSI_050422 WMR_VSC_081107 WMR-VSC (2)" xfId="0"/>
    <cellStyle name="_041129 WMR_VSI_050422 WMR_VSC_081107 WMR-VSC (2) 2" xfId="0"/>
    <cellStyle name="_041129 WMR_VSI_050422 WMR_VSC_081107 WMR-VSC_1" xfId="0"/>
    <cellStyle name="_041129 WMR_VSI_050422 WMR_VSC_081107 WMR-VSC_1 2" xfId="0"/>
    <cellStyle name="_041129 WMR_VSI_050422 WMR_VSC_081114 WMR-VSC" xfId="0"/>
    <cellStyle name="_041129 WMR_VSI_050422 WMR_VSC_081114 WMR-VSC 2" xfId="0"/>
    <cellStyle name="_041129 WMR_VSI_050422 WMR_VSC_081121 WMR-VSC" xfId="0"/>
    <cellStyle name="_041129 WMR_VSI_050422 WMR_VSC_081121 WMR-VSC 2" xfId="0"/>
    <cellStyle name="_041129 WMR_VSI_050422 WMR_VSC_081128 WMR-VSC" xfId="0"/>
    <cellStyle name="_041129 WMR_VSI_050422 WMR_VSC_081128 WMR-VSC 2" xfId="0"/>
    <cellStyle name="_041129 WMR_VSI_050422 WMR_VSC_081128 WMR-VSC_1" xfId="0"/>
    <cellStyle name="_041129 WMR_VSI_050422 WMR_VSC_081128 WMR-VSC_1 2" xfId="0"/>
    <cellStyle name="_041129 WMR_VSI_050422 WMR_VSC_081205 WMR-VSC" xfId="0"/>
    <cellStyle name="_041129 WMR_VSI_050422 WMR_VSC_081205 WMR-VSC 2" xfId="0"/>
    <cellStyle name="_041129 WMR_VSI_050422 WMR_VSC_081212 WMR-VSC" xfId="0"/>
    <cellStyle name="_041129 WMR_VSI_050422 WMR_VSC_081212 WMR-VSC 2" xfId="0"/>
    <cellStyle name="_041129 WMR_VSI_050422 WMR_VSC_081219 WMR-VSC" xfId="0"/>
    <cellStyle name="_041129 WMR_VSI_050422 WMR_VSC_081219 WMR-VSC 2" xfId="0"/>
    <cellStyle name="_041129 WMR_VSI_050422 WMR_VSC_090102 WMR-VSC" xfId="0"/>
    <cellStyle name="_041129 WMR_VSI_050422 WMR_VSC_090102 WMR-VSC 2" xfId="0"/>
    <cellStyle name="_041129 WMR_VSI_050422 WMR_VSC_090424 WMR_VSE (2)" xfId="0"/>
    <cellStyle name="_041129 WMR_VSI_050422 WMR_VSC_090424 WMR_VSE (2) 2" xfId="0"/>
    <cellStyle name="_041129 WMR_VSI_050422 WMR_VSC_090703 WMR-VSC" xfId="0"/>
    <cellStyle name="_041129 WMR_VSI_050422 WMR_VSC_090703 WMR-VSC 2" xfId="0"/>
    <cellStyle name="_041129 WMR_VSI_050422 WMR_VSC_AP Turn Days old" xfId="0"/>
    <cellStyle name="_041129 WMR_VSI_050422 WMR_VSC_AP Turn Days old 2" xfId="0"/>
    <cellStyle name="_041129 WMR_VSI_050422 WMR_VSC_Cash" xfId="0"/>
    <cellStyle name="_041129 WMR_VSI_050422 WMR_VSC_Cash 2" xfId="0"/>
    <cellStyle name="_041129 WMR_VSI_050422 WMR_VSC_Charts" xfId="0"/>
    <cellStyle name="_041129 WMR_VSI_050422 WMR_VSC_Charts 2" xfId="0"/>
    <cellStyle name="_041129 WMR_VSI_050422 WMR_VSC_Inv Data" xfId="0"/>
    <cellStyle name="_041129 WMR_VSI_050422 WMR_VSC_Inv Data 2" xfId="0"/>
    <cellStyle name="_041129 WMR_VSI_050422 WMR_VSC_Inventory Pivot" xfId="0"/>
    <cellStyle name="_041129 WMR_VSI_050422 WMR_VSC_Inventory Pivot 2" xfId="0"/>
    <cellStyle name="_041129 WMR_VSI_050422 WMR_VSC_NEW WMR" xfId="0"/>
    <cellStyle name="_041129 WMR_VSI_050422 WMR_VSC_NEW WMR 2" xfId="0"/>
    <cellStyle name="_041129 WMR_VSI_050422 WMR_VSC_OpenOrder Data" xfId="0"/>
    <cellStyle name="_041129 WMR_VSI_050422 WMR_VSC_OpenOrder Data 2" xfId="0"/>
    <cellStyle name="_041129 WMR_VSI_050422 WMR_VSC_Revenue % Forecast" xfId="0"/>
    <cellStyle name="_041129 WMR_VSI_050422 WMR_VSC_Revenue % Forecast 2" xfId="0"/>
    <cellStyle name="_041129 WMR_VSI_050422 WMR_VSC_Turn Days" xfId="0"/>
    <cellStyle name="_041129 WMR_VSI_050422 WMR_VSC_Turn Days 2" xfId="0"/>
    <cellStyle name="_041129 WMR_VSI_050422 WMR_VSC_VDL" xfId="0"/>
    <cellStyle name="_041129 WMR_VSI_050422 WMR_VSC_VDL 2" xfId="0"/>
    <cellStyle name="_041129 WMR_VSI_050422 WMR_VSC_VSA" xfId="0"/>
    <cellStyle name="_041129 WMR_VSI_050422 WMR_VSC_VSA 2" xfId="0"/>
    <cellStyle name="_041129 WMR_VSI_050422 WMR_VSC_VSA Cash Flow Model (6-4-07)" xfId="0"/>
    <cellStyle name="_041129 WMR_VSI_050422 WMR_VSC_VSA Cash Flow Model (6-4-07) 2" xfId="0"/>
    <cellStyle name="_041129 WMR_VSI_050422 WMR_VSC_VSACE" xfId="0"/>
    <cellStyle name="_041129 WMR_VSI_050422 WMR_VSC_VSACE 2" xfId="0"/>
    <cellStyle name="_041129 WMR_VSI_050422 WMR_VSC_VSC" xfId="0"/>
    <cellStyle name="_041129 WMR_VSI_050422 WMR_VSC_VSC 2" xfId="0"/>
    <cellStyle name="_041129 WMR_VSI_050422 WMR_VSC_VSCN" xfId="0"/>
    <cellStyle name="_041129 WMR_VSI_050422 WMR_VSC_VSCN 2" xfId="0"/>
    <cellStyle name="_041129 WMR_VSI_050422 WMR_VSC_VSE" xfId="0"/>
    <cellStyle name="_041129 WMR_VSI_050422 WMR_VSC_VSE 2" xfId="0"/>
    <cellStyle name="_041129 WMR_VSI_050422 WMR_VSC_VSE WMR Workbook 08-07-09" xfId="0"/>
    <cellStyle name="_041129 WMR_VSI_050422 WMR_VSC_VSE WMR Workbook 08-07-09 2" xfId="0"/>
    <cellStyle name="_041129 WMR_VSI_050422 WMR_VSC_VSE WMR Workbook 11-19-10" xfId="0"/>
    <cellStyle name="_041129 WMR_VSI_050422 WMR_VSC_VSE WMR Workbook 11-19-10 2" xfId="0"/>
    <cellStyle name="_041129 WMR_VSI_050422 WMR_VSC_VSE WMR Workbook 12-31-10" xfId="0"/>
    <cellStyle name="_041129 WMR_VSI_050422 WMR_VSC_VSE WMR Workbook 12-31-10 2" xfId="0"/>
    <cellStyle name="_041129 WMR_VSI_050422 WMR_VSC_VSI" xfId="0"/>
    <cellStyle name="_041129 WMR_VSI_050422 WMR_VSC_VSI 2" xfId="0"/>
    <cellStyle name="_041129 WMR_VSI_050422 WMR_VSC_WMR" xfId="0"/>
    <cellStyle name="_041129 WMR_VSI_050422 WMR_VSC_WMR (by QTY)" xfId="0"/>
    <cellStyle name="_041129 WMR_VSI_050422 WMR_VSC_WMR (by QTY) 2" xfId="0"/>
    <cellStyle name="_041129 WMR_VSI_050422 WMR_VSC_WMR 2" xfId="0"/>
    <cellStyle name="_041129 WMR_VSI_050422 WMR_VSC_WMR 3" xfId="0"/>
    <cellStyle name="_041129 WMR_VSI_050422 WMR_VSC_WMR 4" xfId="0"/>
    <cellStyle name="_041129 WMR_VSI_080606 WMR-VSC" xfId="0"/>
    <cellStyle name="_041129 WMR_VSI_080606 WMR-VSC 2" xfId="0"/>
    <cellStyle name="_041129 WMR_VSI_080606 WMR_VSA" xfId="0"/>
    <cellStyle name="_041129 WMR_VSI_080606 WMR_VSA 2" xfId="0"/>
    <cellStyle name="_041129 WMR_VSI_080606 WMR_VSA Template_POS 5weeks" xfId="0"/>
    <cellStyle name="_041129 WMR_VSI_080606 WMR_VSA Template_POS 5weeks 2" xfId="0"/>
    <cellStyle name="_041129 WMR_VSI_080613 new WMR_VSCN" xfId="0"/>
    <cellStyle name="_041129 WMR_VSI_080613 new WMR_VSCN 2" xfId="0"/>
    <cellStyle name="_041129 WMR_VSI_080620 VSE-WMR" xfId="0"/>
    <cellStyle name="_041129 WMR_VSI_080620 VSE-WMR 2" xfId="0"/>
    <cellStyle name="_041129 WMR_VSI_080822 WMR-VSC" xfId="0"/>
    <cellStyle name="_041129 WMR_VSI_080822 WMR-VSC 2" xfId="0"/>
    <cellStyle name="_041129 WMR_VSI_080829 VSI Cash Flow Forecast" xfId="0"/>
    <cellStyle name="_041129 WMR_VSI_080829 VSI Cash Flow Forecast 2" xfId="0"/>
    <cellStyle name="_041129 WMR_VSI_080829 VSI Cash Flow Forecast_VSA Cash Forecast 04-4-10" xfId="0"/>
    <cellStyle name="_041129 WMR_VSI_080829 VSI Cash Flow Forecast_VSA Cash Forecast 04-4-10 2" xfId="0"/>
    <cellStyle name="_041129 WMR_VSI_080829 WMR" xfId="0"/>
    <cellStyle name="_041129 WMR_VSI_080829 WMR 2" xfId="0"/>
    <cellStyle name="_041129 WMR_VSI_080905 WMR-VSC" xfId="0"/>
    <cellStyle name="_041129 WMR_VSI_080905 WMR-VSC 2" xfId="0"/>
    <cellStyle name="_041129 WMR_VSI_080912 WMR-VSC" xfId="0"/>
    <cellStyle name="_041129 WMR_VSI_080912 WMR-VSC 2" xfId="0"/>
    <cellStyle name="_041129 WMR_VSI_080919 WMR-VSC" xfId="0"/>
    <cellStyle name="_041129 WMR_VSI_080919 WMR-VSC 2" xfId="0"/>
    <cellStyle name="_041129 WMR_VSI_080926 WMR-VSC" xfId="0"/>
    <cellStyle name="_041129 WMR_VSI_080926 WMR-VSC 2" xfId="0"/>
    <cellStyle name="_041129 WMR_VSI_081003 WMR-VSC_1" xfId="0"/>
    <cellStyle name="_041129 WMR_VSI_081003 WMR-VSC_1 2" xfId="0"/>
    <cellStyle name="_041129 WMR_VSI_081003 WMR_VSA" xfId="0"/>
    <cellStyle name="_041129 WMR_VSI_081003 WMR_VSA 2" xfId="0"/>
    <cellStyle name="_041129 WMR_VSI_081010 WMR-VSC" xfId="0"/>
    <cellStyle name="_041129 WMR_VSI_081010 WMR-VSC 2" xfId="0"/>
    <cellStyle name="_041129 WMR_VSI_081017 WMR-VSC_1" xfId="0"/>
    <cellStyle name="_041129 WMR_VSI_081017 WMR-VSC_1 2" xfId="0"/>
    <cellStyle name="_041129 WMR_VSI_081024 WMR-VSC" xfId="0"/>
    <cellStyle name="_041129 WMR_VSI_081024 WMR-VSC 2" xfId="0"/>
    <cellStyle name="_041129 WMR_VSI_081031 WMR-VSC" xfId="0"/>
    <cellStyle name="_041129 WMR_VSI_081031 WMR-VSC 2" xfId="0"/>
    <cellStyle name="_041129 WMR_VSI_081107 WMR-VSC (2)" xfId="0"/>
    <cellStyle name="_041129 WMR_VSI_081107 WMR-VSC (2) 2" xfId="0"/>
    <cellStyle name="_041129 WMR_VSI_081107 WMR-VSC_1" xfId="0"/>
    <cellStyle name="_041129 WMR_VSI_081107 WMR-VSC_1 2" xfId="0"/>
    <cellStyle name="_041129 WMR_VSI_081114 WMR-VSC" xfId="0"/>
    <cellStyle name="_041129 WMR_VSI_081114 WMR-VSC 2" xfId="0"/>
    <cellStyle name="_041129 WMR_VSI_081121 WMR-VSC" xfId="0"/>
    <cellStyle name="_041129 WMR_VSI_081121 WMR-VSC 2" xfId="0"/>
    <cellStyle name="_041129 WMR_VSI_081128 WMR-VSC" xfId="0"/>
    <cellStyle name="_041129 WMR_VSI_081128 WMR-VSC 2" xfId="0"/>
    <cellStyle name="_041129 WMR_VSI_081128 WMR-VSC_1" xfId="0"/>
    <cellStyle name="_041129 WMR_VSI_081128 WMR-VSC_1 2" xfId="0"/>
    <cellStyle name="_041129 WMR_VSI_081205 WMR-VSC" xfId="0"/>
    <cellStyle name="_041129 WMR_VSI_081205 WMR-VSC 2" xfId="0"/>
    <cellStyle name="_041129 WMR_VSI_081212 WMR-VSC" xfId="0"/>
    <cellStyle name="_041129 WMR_VSI_081212 WMR-VSC 2" xfId="0"/>
    <cellStyle name="_041129 WMR_VSI_081219 WMR-VSC" xfId="0"/>
    <cellStyle name="_041129 WMR_VSI_081219 WMR-VSC 2" xfId="0"/>
    <cellStyle name="_041129 WMR_VSI_081226 VSE Cash Flow Forecast-1" xfId="0"/>
    <cellStyle name="_041129 WMR_VSI_081226 VSE Cash Flow Forecast-1 2" xfId="0"/>
    <cellStyle name="_041129 WMR_VSI_090102 WMR-VSC" xfId="0"/>
    <cellStyle name="_041129 WMR_VSI_090102 WMR-VSC 2" xfId="0"/>
    <cellStyle name="_041129 WMR_VSI_090102 WMR_VSA" xfId="0"/>
    <cellStyle name="_041129 WMR_VSI_090102 WMR_VSA 2" xfId="0"/>
    <cellStyle name="_041129 WMR_VSI_090424 WMR_VSA-Template" xfId="0"/>
    <cellStyle name="_041129 WMR_VSI_090424 WMR_VSA-Template (2)" xfId="0"/>
    <cellStyle name="_041129 WMR_VSI_090424 WMR_VSA-Template (2) 2" xfId="0"/>
    <cellStyle name="_041129 WMR_VSI_090424 WMR_VSA-Template 2" xfId="0"/>
    <cellStyle name="_041129 WMR_VSI_090424 WMR_VSA-Template 3" xfId="0"/>
    <cellStyle name="_041129 WMR_VSI_090424 WMR_VSA-Template 4" xfId="0"/>
    <cellStyle name="_041129 WMR_VSI_090424 WMR_VSE (2)" xfId="0"/>
    <cellStyle name="_041129 WMR_VSI_090424 WMR_VSE (2) 2" xfId="0"/>
    <cellStyle name="_041129 WMR_VSI_090703 WMR-VSC" xfId="0"/>
    <cellStyle name="_041129 WMR_VSI_090703 WMR-VSC 2" xfId="0"/>
    <cellStyle name="_041129 WMR_VSI_1" xfId="0"/>
    <cellStyle name="_041129 WMR_VSI_1 2" xfId="0"/>
    <cellStyle name="_041129 WMR_VSI_100305 VSE Cash Flow Forecast_Draft" xfId="0"/>
    <cellStyle name="_041129 WMR_VSI_100305 VSE Cash Flow Forecast_Draft 2" xfId="0"/>
    <cellStyle name="_041129 WMR_VSI_13-wk VSA_Revised" xfId="0"/>
    <cellStyle name="_041129 WMR_VSI_13-wk VSA_Revised 2" xfId="0"/>
    <cellStyle name="_041129 WMR_VSI_13-wk VSCN Revised" xfId="0"/>
    <cellStyle name="_041129 WMR_VSI_13-wk VSCN Revised 2" xfId="0"/>
    <cellStyle name="_041129 WMR_VSI_13-wk VSCN_Revised" xfId="0"/>
    <cellStyle name="_041129 WMR_VSI_13-wk VSCN_Revised 2" xfId="0"/>
    <cellStyle name="_041129 WMR_VSI_13-wk VSE - Old" xfId="0"/>
    <cellStyle name="_041129 WMR_VSI_13-wk VSE - Old 2" xfId="0"/>
    <cellStyle name="_041129 WMR_VSI_13-wk VSE Revised" xfId="0"/>
    <cellStyle name="_041129 WMR_VSI_13-wk VSE Revised 2" xfId="0"/>
    <cellStyle name="_041129 WMR_VSI_13-wk VSE_Revised" xfId="0"/>
    <cellStyle name="_041129 WMR_VSI_13-wk VSE_Revised 2" xfId="0"/>
    <cellStyle name="_041129 WMR_VSI_13-wk VSI Revised" xfId="0"/>
    <cellStyle name="_041129 WMR_VSI_13-wk VSI Revised 2" xfId="0"/>
    <cellStyle name="_041129 WMR_VSI_13-wk VSI_Revised" xfId="0"/>
    <cellStyle name="_041129 WMR_VSI_13-wk VSI_Revised 2" xfId="0"/>
    <cellStyle name="_041129 WMR_VSI_20081107 VSI Cash Flow Forecast" xfId="0"/>
    <cellStyle name="_041129 WMR_VSI_20081107 VSI Cash Flow Forecast 2" xfId="0"/>
    <cellStyle name="_041129 WMR_VSI_All Regions WMR Definitions - Updated 7-27-07" xfId="0"/>
    <cellStyle name="_041129 WMR_VSI_All Regions WMR Definitions - Updated 7-27-07 (3)" xfId="0"/>
    <cellStyle name="_041129 WMR_VSI_All Regions WMR Definitions - Updated 7-27-07 (3) 2" xfId="0"/>
    <cellStyle name="_041129 WMR_VSI_All Regions WMR Definitions - Updated 7-27-07 2" xfId="0"/>
    <cellStyle name="_041129 WMR_VSI_All Regions WMR Definitions - Updated 7-27-07 3" xfId="0"/>
    <cellStyle name="_041129 WMR_VSI_All Regions WMR Definitions - Updated 7-27-07 4" xfId="0"/>
    <cellStyle name="_041129 WMR_VSI_AP Turn Days old" xfId="0"/>
    <cellStyle name="_041129 WMR_VSI_AP Turn Days old 2" xfId="0"/>
    <cellStyle name="_041129 WMR_VSI_AP Vendors" xfId="0"/>
    <cellStyle name="_041129 WMR_VSI_AP Vendors 2" xfId="0"/>
    <cellStyle name="_041129 WMR_VSI_Buy Plan adj" xfId="0"/>
    <cellStyle name="_041129 WMR_VSI_Buy Plan adj 2" xfId="0"/>
    <cellStyle name="_041129 WMR_VSI_Buy plan From DSB" xfId="0"/>
    <cellStyle name="_041129 WMR_VSI_Buy plan From DSB 2" xfId="0"/>
    <cellStyle name="_041129 WMR_VSI_Buy Plan raw " xfId="0"/>
    <cellStyle name="_041129 WMR_VSI_Buy Plan raw  2" xfId="0"/>
    <cellStyle name="_041129 WMR_VSI_Cash" xfId="0"/>
    <cellStyle name="_041129 WMR_VSI_Cash 2" xfId="0"/>
    <cellStyle name="_041129 WMR_VSI_Charts" xfId="0"/>
    <cellStyle name="_041129 WMR_VSI_Charts 2" xfId="0"/>
    <cellStyle name="_041129 WMR_VSI_DCR" xfId="0"/>
    <cellStyle name="_041129 WMR_VSI_DCR 2" xfId="0"/>
    <cellStyle name="_041129 WMR_VSI_DCR Trend Chart" xfId="0"/>
    <cellStyle name="_041129 WMR_VSI_DCR Trend Chart 2" xfId="0"/>
    <cellStyle name="_041129 WMR_VSI_DSB &amp; Actuals" xfId="0"/>
    <cellStyle name="_041129 WMR_VSI_DSB &amp; Actuals 2" xfId="0"/>
    <cellStyle name="_041129 WMR_VSI_DSB vs On water chart" xfId="0"/>
    <cellStyle name="_041129 WMR_VSI_DSB vs On water chart 2" xfId="0"/>
    <cellStyle name="_041129 WMR_VSI_DSBvsWFP" xfId="0"/>
    <cellStyle name="_041129 WMR_VSI_DSBvsWFP 2" xfId="0"/>
    <cellStyle name="_041129 WMR_VSI_Innolux Display Corporation" xfId="0"/>
    <cellStyle name="_041129 WMR_VSI_Innolux Display Corporation 2" xfId="0"/>
    <cellStyle name="_041129 WMR_VSI_Inv Data" xfId="0"/>
    <cellStyle name="_041129 WMR_VSI_Inv Data 2" xfId="0"/>
    <cellStyle name="_041129 WMR_VSI_Inventory Cashflow" xfId="0"/>
    <cellStyle name="_041129 WMR_VSI_Inventory Cashflow 2" xfId="0"/>
    <cellStyle name="_041129 WMR_VSI_Inventory Pivot" xfId="0"/>
    <cellStyle name="_041129 WMR_VSI_Inventory Pivot 2" xfId="0"/>
    <cellStyle name="_041129 WMR_VSI_Invoice" xfId="0"/>
    <cellStyle name="_041129 WMR_VSI_Invoice 2" xfId="0"/>
    <cellStyle name="_041129 WMR_VSI_J &amp; W Technology Ltd" xfId="0"/>
    <cellStyle name="_041129 WMR_VSI_J &amp; W Technology Ltd 2" xfId="0"/>
    <cellStyle name="_041129 WMR_VSI_New Calculation of Inventory turn day" xfId="0"/>
    <cellStyle name="_041129 WMR_VSI_New Calculation of Inventory turn day 2" xfId="0"/>
    <cellStyle name="_041129 WMR_VSI_new WMR" xfId="0"/>
    <cellStyle name="_041129 WMR_VSI_new WMR 2" xfId="0"/>
    <cellStyle name="_041129 WMR_VSI_new WMR_080822 WMR-VSC" xfId="0"/>
    <cellStyle name="_041129 WMR_VSI_new WMR_080822 WMR-VSC 2" xfId="0"/>
    <cellStyle name="_041129 WMR_VSI_new WMR_080829 WMR" xfId="0"/>
    <cellStyle name="_041129 WMR_VSI_new WMR_080829 WMR 2" xfId="0"/>
    <cellStyle name="_041129 WMR_VSI_new WMR_080905 WMR-VSC" xfId="0"/>
    <cellStyle name="_041129 WMR_VSI_new WMR_080905 WMR-VSC 2" xfId="0"/>
    <cellStyle name="_041129 WMR_VSI_new WMR_080912 WMR-VSC" xfId="0"/>
    <cellStyle name="_041129 WMR_VSI_new WMR_080912 WMR-VSC 2" xfId="0"/>
    <cellStyle name="_041129 WMR_VSI_new WMR_080919 WMR-VSC" xfId="0"/>
    <cellStyle name="_041129 WMR_VSI_new WMR_080919 WMR-VSC 2" xfId="0"/>
    <cellStyle name="_041129 WMR_VSI_new WMR_080926 WMR-VSC" xfId="0"/>
    <cellStyle name="_041129 WMR_VSI_new WMR_080926 WMR-VSC 2" xfId="0"/>
    <cellStyle name="_041129 WMR_VSI_new WMR_081003 WMR-VSC_1" xfId="0"/>
    <cellStyle name="_041129 WMR_VSI_new WMR_081003 WMR-VSC_1 2" xfId="0"/>
    <cellStyle name="_041129 WMR_VSI_new WMR_081010 WMR-VSC" xfId="0"/>
    <cellStyle name="_041129 WMR_VSI_new WMR_081010 WMR-VSC 2" xfId="0"/>
    <cellStyle name="_041129 WMR_VSI_new WMR_081017 WMR-VSC_1" xfId="0"/>
    <cellStyle name="_041129 WMR_VSI_new WMR_081017 WMR-VSC_1 2" xfId="0"/>
    <cellStyle name="_041129 WMR_VSI_new WMR_081024 WMR-VSC" xfId="0"/>
    <cellStyle name="_041129 WMR_VSI_new WMR_081024 WMR-VSC 2" xfId="0"/>
    <cellStyle name="_041129 WMR_VSI_new WMR_081031 WMR-VSC" xfId="0"/>
    <cellStyle name="_041129 WMR_VSI_new WMR_081031 WMR-VSC 2" xfId="0"/>
    <cellStyle name="_041129 WMR_VSI_new WMR_081107 WMR-VSC (2)" xfId="0"/>
    <cellStyle name="_041129 WMR_VSI_new WMR_081107 WMR-VSC (2) 2" xfId="0"/>
    <cellStyle name="_041129 WMR_VSI_new WMR_081107 WMR-VSC_1" xfId="0"/>
    <cellStyle name="_041129 WMR_VSI_new WMR_081107 WMR-VSC_1 2" xfId="0"/>
    <cellStyle name="_041129 WMR_VSI_new WMR_081114 WMR-VSC" xfId="0"/>
    <cellStyle name="_041129 WMR_VSI_new WMR_081114 WMR-VSC 2" xfId="0"/>
    <cellStyle name="_041129 WMR_VSI_new WMR_081121 WMR-VSC" xfId="0"/>
    <cellStyle name="_041129 WMR_VSI_new WMR_081121 WMR-VSC 2" xfId="0"/>
    <cellStyle name="_041129 WMR_VSI_new WMR_081128 WMR-VSC" xfId="0"/>
    <cellStyle name="_041129 WMR_VSI_new WMR_081128 WMR-VSC 2" xfId="0"/>
    <cellStyle name="_041129 WMR_VSI_new WMR_081128 WMR-VSC_1" xfId="0"/>
    <cellStyle name="_041129 WMR_VSI_new WMR_081128 WMR-VSC_1 2" xfId="0"/>
    <cellStyle name="_041129 WMR_VSI_new WMR_081205 WMR-VSC" xfId="0"/>
    <cellStyle name="_041129 WMR_VSI_new WMR_081205 WMR-VSC 2" xfId="0"/>
    <cellStyle name="_041129 WMR_VSI_new WMR_081212 WMR-VSC" xfId="0"/>
    <cellStyle name="_041129 WMR_VSI_new WMR_081212 WMR-VSC 2" xfId="0"/>
    <cellStyle name="_041129 WMR_VSI_new WMR_081219 WMR-VSC" xfId="0"/>
    <cellStyle name="_041129 WMR_VSI_new WMR_081219 WMR-VSC 2" xfId="0"/>
    <cellStyle name="_041129 WMR_VSI_new WMR_090102 WMR-VSC" xfId="0"/>
    <cellStyle name="_041129 WMR_VSI_new WMR_090102 WMR-VSC 2" xfId="0"/>
    <cellStyle name="_041129 WMR_VSI_new WMR_090424 WMR_VSE (2)" xfId="0"/>
    <cellStyle name="_041129 WMR_VSI_new WMR_090424 WMR_VSE (2) 2" xfId="0"/>
    <cellStyle name="_041129 WMR_VSI_new WMR_090703 WMR-VSC" xfId="0"/>
    <cellStyle name="_041129 WMR_VSI_new WMR_090703 WMR-VSC 2" xfId="0"/>
    <cellStyle name="_041129 WMR_VSI_NEW WMR_1" xfId="0"/>
    <cellStyle name="_041129 WMR_VSI_NEW WMR_1 2" xfId="0"/>
    <cellStyle name="_041129 WMR_VSI_new WMR_AP Turn Days old" xfId="0"/>
    <cellStyle name="_041129 WMR_VSI_new WMR_AP Turn Days old 2" xfId="0"/>
    <cellStyle name="_041129 WMR_VSI_new WMR_Cash" xfId="0"/>
    <cellStyle name="_041129 WMR_VSI_new WMR_Cash 2" xfId="0"/>
    <cellStyle name="_041129 WMR_VSI_new WMR_Charts" xfId="0"/>
    <cellStyle name="_041129 WMR_VSI_new WMR_Charts 2" xfId="0"/>
    <cellStyle name="_041129 WMR_VSI_new WMR_Inv Data" xfId="0"/>
    <cellStyle name="_041129 WMR_VSI_new WMR_Inv Data 2" xfId="0"/>
    <cellStyle name="_041129 WMR_VSI_new WMR_Inventory Pivot" xfId="0"/>
    <cellStyle name="_041129 WMR_VSI_new WMR_Inventory Pivot 2" xfId="0"/>
    <cellStyle name="_041129 WMR_VSI_new WMR_NEW WMR" xfId="0"/>
    <cellStyle name="_041129 WMR_VSI_new WMR_NEW WMR 2" xfId="0"/>
    <cellStyle name="_041129 WMR_VSI_new WMR_OpenOrder Data" xfId="0"/>
    <cellStyle name="_041129 WMR_VSI_new WMR_OpenOrder Data 2" xfId="0"/>
    <cellStyle name="_041129 WMR_VSI_new WMR_Revenue % Forecast" xfId="0"/>
    <cellStyle name="_041129 WMR_VSI_new WMR_Revenue % Forecast 2" xfId="0"/>
    <cellStyle name="_041129 WMR_VSI_new WMR_Turn Days" xfId="0"/>
    <cellStyle name="_041129 WMR_VSI_new WMR_Turn Days 2" xfId="0"/>
    <cellStyle name="_041129 WMR_VSI_new WMR_VDL" xfId="0"/>
    <cellStyle name="_041129 WMR_VSI_new WMR_VDL 2" xfId="0"/>
    <cellStyle name="_041129 WMR_VSI_new WMR_VSA" xfId="0"/>
    <cellStyle name="_041129 WMR_VSI_new WMR_VSA 2" xfId="0"/>
    <cellStyle name="_041129 WMR_VSI_new WMR_VSA Cash Flow Model (6-4-07)" xfId="0"/>
    <cellStyle name="_041129 WMR_VSI_new WMR_VSA Cash Flow Model (6-4-07) 2" xfId="0"/>
    <cellStyle name="_041129 WMR_VSI_new WMR_VSACE" xfId="0"/>
    <cellStyle name="_041129 WMR_VSI_new WMR_VSACE 2" xfId="0"/>
    <cellStyle name="_041129 WMR_VSI_new WMR_VSC" xfId="0"/>
    <cellStyle name="_041129 WMR_VSI_new WMR_VSC 2" xfId="0"/>
    <cellStyle name="_041129 WMR_VSI_new WMR_VSCN" xfId="0"/>
    <cellStyle name="_041129 WMR_VSI_new WMR_VSCN 2" xfId="0"/>
    <cellStyle name="_041129 WMR_VSI_new WMR_VSE" xfId="0"/>
    <cellStyle name="_041129 WMR_VSI_new WMR_VSE 2" xfId="0"/>
    <cellStyle name="_041129 WMR_VSI_new WMR_VSE WMR Workbook 08-07-09" xfId="0"/>
    <cellStyle name="_041129 WMR_VSI_new WMR_VSE WMR Workbook 08-07-09 2" xfId="0"/>
    <cellStyle name="_041129 WMR_VSI_new WMR_VSE WMR Workbook 11-19-10" xfId="0"/>
    <cellStyle name="_041129 WMR_VSI_new WMR_VSE WMR Workbook 11-19-10 2" xfId="0"/>
    <cellStyle name="_041129 WMR_VSI_new WMR_VSE WMR Workbook 12-31-10" xfId="0"/>
    <cellStyle name="_041129 WMR_VSI_new WMR_VSE WMR Workbook 12-31-10 2" xfId="0"/>
    <cellStyle name="_041129 WMR_VSI_new WMR_VSI" xfId="0"/>
    <cellStyle name="_041129 WMR_VSI_new WMR_VSI 2" xfId="0"/>
    <cellStyle name="_041129 WMR_VSI_new WMR_WMR" xfId="0"/>
    <cellStyle name="_041129 WMR_VSI_new WMR_WMR (by QTY)" xfId="0"/>
    <cellStyle name="_041129 WMR_VSI_new WMR_WMR (by QTY) 2" xfId="0"/>
    <cellStyle name="_041129 WMR_VSI_new WMR_WMR 2" xfId="0"/>
    <cellStyle name="_041129 WMR_VSI_new WMR_WMR 3" xfId="0"/>
    <cellStyle name="_041129 WMR_VSI_new WMR_WMR 4" xfId="0"/>
    <cellStyle name="_041129 WMR_VSI_OpenOrder Data" xfId="0"/>
    <cellStyle name="_041129 WMR_VSI_OpenOrder Data 2" xfId="0"/>
    <cellStyle name="_041129 WMR_VSI_POS-2009" xfId="0"/>
    <cellStyle name="_041129 WMR_VSI_POS-2009 2" xfId="0"/>
    <cellStyle name="_041129 WMR_VSI_POS_COGS_$" xfId="0"/>
    <cellStyle name="_041129 WMR_VSI_POS_COGS_$ 2" xfId="0"/>
    <cellStyle name="_041129 WMR_VSI_POS_QTY" xfId="0"/>
    <cellStyle name="_041129 WMR_VSI_POS_QTY 2" xfId="0"/>
    <cellStyle name="_041129 WMR_VSI_Reconciliation" xfId="0"/>
    <cellStyle name="_041129 WMR_VSI_Reconciliation 2" xfId="0"/>
    <cellStyle name="_041129 WMR_VSI_Revenue % Forecast" xfId="0"/>
    <cellStyle name="_041129 WMR_VSI_Revenue % Forecast 2" xfId="0"/>
    <cellStyle name="_041129 WMR_VSI_Summary 091023" xfId="0"/>
    <cellStyle name="_041129 WMR_VSI_Summary 091023 2" xfId="0"/>
    <cellStyle name="_041129 WMR_VSI_Summary 091113" xfId="0"/>
    <cellStyle name="_041129 WMR_VSI_Summary 091113 2" xfId="0"/>
    <cellStyle name="_041129 WMR_VSI_Summary 091204" xfId="0"/>
    <cellStyle name="_041129 WMR_VSI_Summary 091204 2" xfId="0"/>
    <cellStyle name="_041129 WMR_VSI_Summary 100115" xfId="0"/>
    <cellStyle name="_041129 WMR_VSI_Summary 100115 2" xfId="0"/>
    <cellStyle name="_041129 WMR_VSI_Summary 100312" xfId="0"/>
    <cellStyle name="_041129 WMR_VSI_Summary 100312 2" xfId="0"/>
    <cellStyle name="_041129 WMR_VSI_Summary 100709" xfId="0"/>
    <cellStyle name="_041129 WMR_VSI_Summary 100709 2" xfId="0"/>
    <cellStyle name="_041129 WMR_VSI_Summary 100723" xfId="0"/>
    <cellStyle name="_041129 WMR_VSI_Summary 100723 2" xfId="0"/>
    <cellStyle name="_041129 WMR_VSI_Summary 100730" xfId="0"/>
    <cellStyle name="_041129 WMR_VSI_Summary 100730 2" xfId="0"/>
    <cellStyle name="_041129 WMR_VSI_Summary 100917" xfId="0"/>
    <cellStyle name="_041129 WMR_VSI_Summary 100917 2" xfId="0"/>
    <cellStyle name="_041129 WMR_VSI_Summary 101001" xfId="0"/>
    <cellStyle name="_041129 WMR_VSI_Summary 101001 2" xfId="0"/>
    <cellStyle name="_041129 WMR_VSI_Summary 101008" xfId="0"/>
    <cellStyle name="_041129 WMR_VSI_Summary 101008 2" xfId="0"/>
    <cellStyle name="_041129 WMR_VSI_Summary 101015" xfId="0"/>
    <cellStyle name="_041129 WMR_VSI_Summary 101015 2" xfId="0"/>
    <cellStyle name="_041129 WMR_VSI_Summary 101029" xfId="0"/>
    <cellStyle name="_041129 WMR_VSI_Summary 101029 2" xfId="0"/>
    <cellStyle name="_041129 WMR_VSI_Topstar" xfId="0"/>
    <cellStyle name="_041129 WMR_VSI_Topstar 2" xfId="0"/>
    <cellStyle name="_041129 WMR_VSI_TT" xfId="0"/>
    <cellStyle name="_041129 WMR_VSI_TT 2" xfId="0"/>
    <cellStyle name="_041129 WMR_VSI_Turn Days" xfId="0"/>
    <cellStyle name="_041129 WMR_VSI_Turn Days 2" xfId="0"/>
    <cellStyle name="_041129 WMR_VSI_VDL" xfId="0"/>
    <cellStyle name="_041129 WMR_VSI_VDL 2" xfId="0"/>
    <cellStyle name="_041129 WMR_VSI_VSA" xfId="0"/>
    <cellStyle name="_041129 WMR_VSI_VSA 2" xfId="0"/>
    <cellStyle name="_041129 WMR_VSI_VSA Cash Flow Model (6-4-07)" xfId="0"/>
    <cellStyle name="_041129 WMR_VSI_VSA Cash Flow Model (6-4-07) 2" xfId="0"/>
    <cellStyle name="_041129 WMR_VSI_VSA Cash Forecast 03-07-10 (2)" xfId="0"/>
    <cellStyle name="_041129 WMR_VSI_VSA Cash Forecast 03-07-10 (2) 2" xfId="0"/>
    <cellStyle name="_041129 WMR_VSI_VSA Cash Forecast 04-4-10" xfId="0"/>
    <cellStyle name="_041129 WMR_VSI_VSA Cash Forecast 04-4-10 2" xfId="0"/>
    <cellStyle name="_041129 WMR_VSI_VSA CE WMR" xfId="0"/>
    <cellStyle name="_041129 WMR_VSI_VSA CE WMR 101008" xfId="0"/>
    <cellStyle name="_041129 WMR_VSI_VSA CE WMR 101008 2" xfId="0"/>
    <cellStyle name="_041129 WMR_VSI_VSA CE WMR 2" xfId="0"/>
    <cellStyle name="_041129 WMR_VSI_VSACE" xfId="0"/>
    <cellStyle name="_041129 WMR_VSI_VSACE 2" xfId="0"/>
    <cellStyle name="_041129 WMR_VSI_VSC" xfId="0"/>
    <cellStyle name="_041129 WMR_VSI_VSC 2" xfId="0"/>
    <cellStyle name="_041129 WMR_VSI_VSCN" xfId="0"/>
    <cellStyle name="_041129 WMR_VSI_VSCN 2" xfId="0"/>
    <cellStyle name="_041129 WMR_VSI_VSE" xfId="0"/>
    <cellStyle name="_041129 WMR_VSI_VSE 2" xfId="0"/>
    <cellStyle name="_041129 WMR_VSI_VSE Cash Forecast 100820_Final" xfId="0"/>
    <cellStyle name="_041129 WMR_VSI_VSE Cash Forecast 100820_Final 2" xfId="0"/>
    <cellStyle name="_041129 WMR_VSI_VSE WMR Workbook 06-13-08" xfId="0"/>
    <cellStyle name="_041129 WMR_VSI_VSE WMR Workbook 06-13-08 2" xfId="0"/>
    <cellStyle name="_041129 WMR_VSI_VSE WMR Workbook 08-07-09" xfId="0"/>
    <cellStyle name="_041129 WMR_VSI_VSE WMR Workbook 08-07-09 2" xfId="0"/>
    <cellStyle name="_041129 WMR_VSI_VSE WMR Workbook 11-19-10" xfId="0"/>
    <cellStyle name="_041129 WMR_VSI_VSE WMR Workbook 11-19-10 2" xfId="0"/>
    <cellStyle name="_041129 WMR_VSI_VSE WMR Workbook 12-31-10" xfId="0"/>
    <cellStyle name="_041129 WMR_VSI_VSE WMR Workbook 12-31-10 2" xfId="0"/>
    <cellStyle name="_041129 WMR_VSI_VSE-WMR 2007" xfId="0"/>
    <cellStyle name="_041129 WMR_VSI_VSE-WMR 2007 2" xfId="0"/>
    <cellStyle name="_041129 WMR_VSI_VSE-WMR 2008_New Value" xfId="0"/>
    <cellStyle name="_041129 WMR_VSI_VSE-WMR 2008_New Value 2" xfId="0"/>
    <cellStyle name="_041129 WMR_VSI_VSI" xfId="0"/>
    <cellStyle name="_041129 WMR_VSI_VSI 2" xfId="0"/>
    <cellStyle name="_041129 WMR_VSI_VSI-WMR" xfId="0"/>
    <cellStyle name="_041129 WMR_VSI_VSI-WMR (2)" xfId="0"/>
    <cellStyle name="_041129 WMR_VSI_VSI-WMR (2) 2" xfId="0"/>
    <cellStyle name="_041129 WMR_VSI_VSI-WMR (4)" xfId="0"/>
    <cellStyle name="_041129 WMR_VSI_VSI-WMR (4) 2" xfId="0"/>
    <cellStyle name="_041129 WMR_VSI_VSI-WMR (5)" xfId="0"/>
    <cellStyle name="_041129 WMR_VSI_VSI-WMR (5) 2" xfId="0"/>
    <cellStyle name="_041129 WMR_VSI_VSI-WMR (6)" xfId="0"/>
    <cellStyle name="_041129 WMR_VSI_VSI-WMR (6) 2" xfId="0"/>
    <cellStyle name="_041129 WMR_VSI_VSI-WMR 10" xfId="0"/>
    <cellStyle name="_041129 WMR_VSI_VSI-WMR 2" xfId="0"/>
    <cellStyle name="_041129 WMR_VSI_VSI-WMR 2007-07-06" xfId="0"/>
    <cellStyle name="_041129 WMR_VSI_VSI-WMR 2007-07-06 2" xfId="0"/>
    <cellStyle name="_041129 WMR_VSI_VSI-WMR 2008-06-13" xfId="0"/>
    <cellStyle name="_041129 WMR_VSI_VSI-WMR 2008-06-13 2" xfId="0"/>
    <cellStyle name="_041129 WMR_VSI_VSI-WMR 2008-06-20" xfId="0"/>
    <cellStyle name="_041129 WMR_VSI_VSI-WMR 2008-06-20 2" xfId="0"/>
    <cellStyle name="_041129 WMR_VSI_VSI-WMR 2008-09-26" xfId="0"/>
    <cellStyle name="_041129 WMR_VSI_VSI-WMR 2008-09-26 2" xfId="0"/>
    <cellStyle name="_041129 WMR_VSI_VSI-WMR 3" xfId="0"/>
    <cellStyle name="_041129 WMR_VSI_VSI-WMR 4" xfId="0"/>
    <cellStyle name="_041129 WMR_VSI_VSI-WMR 5" xfId="0"/>
    <cellStyle name="_041129 WMR_VSI_VSI-WMR 6" xfId="0"/>
    <cellStyle name="_041129 WMR_VSI_VSI-WMR 7" xfId="0"/>
    <cellStyle name="_041129 WMR_VSI_VSI-WMR 8" xfId="0"/>
    <cellStyle name="_041129 WMR_VSI_VSI-WMR 9" xfId="0"/>
    <cellStyle name="_041129 WMR_VSI_VSI-WMR_080822 WMR-VSC" xfId="0"/>
    <cellStyle name="_041129 WMR_VSI_VSI-WMR_080822 WMR-VSC 2" xfId="0"/>
    <cellStyle name="_041129 WMR_VSI_VSI-WMR_080829 WMR" xfId="0"/>
    <cellStyle name="_041129 WMR_VSI_VSI-WMR_080829 WMR 2" xfId="0"/>
    <cellStyle name="_041129 WMR_VSI_VSI-WMR_080905 WMR-VSC" xfId="0"/>
    <cellStyle name="_041129 WMR_VSI_VSI-WMR_080905 WMR-VSC 2" xfId="0"/>
    <cellStyle name="_041129 WMR_VSI_VSI-WMR_080912 WMR-VSC" xfId="0"/>
    <cellStyle name="_041129 WMR_VSI_VSI-WMR_080912 WMR-VSC 2" xfId="0"/>
    <cellStyle name="_041129 WMR_VSI_VSI-WMR_080919 WMR-VSC" xfId="0"/>
    <cellStyle name="_041129 WMR_VSI_VSI-WMR_080919 WMR-VSC 2" xfId="0"/>
    <cellStyle name="_041129 WMR_VSI_VSI-WMR_080926 WMR-VSC" xfId="0"/>
    <cellStyle name="_041129 WMR_VSI_VSI-WMR_080926 WMR-VSC 2" xfId="0"/>
    <cellStyle name="_041129 WMR_VSI_VSI-WMR_081003 WMR-VSC_1" xfId="0"/>
    <cellStyle name="_041129 WMR_VSI_VSI-WMR_081003 WMR-VSC_1 2" xfId="0"/>
    <cellStyle name="_041129 WMR_VSI_VSI-WMR_081010 WMR-VSC" xfId="0"/>
    <cellStyle name="_041129 WMR_VSI_VSI-WMR_081010 WMR-VSC 2" xfId="0"/>
    <cellStyle name="_041129 WMR_VSI_VSI-WMR_081017 WMR-VSC_1" xfId="0"/>
    <cellStyle name="_041129 WMR_VSI_VSI-WMR_081017 WMR-VSC_1 2" xfId="0"/>
    <cellStyle name="_041129 WMR_VSI_VSI-WMR_081024 WMR-VSC" xfId="0"/>
    <cellStyle name="_041129 WMR_VSI_VSI-WMR_081024 WMR-VSC 2" xfId="0"/>
    <cellStyle name="_041129 WMR_VSI_VSI-WMR_081031 WMR-VSC" xfId="0"/>
    <cellStyle name="_041129 WMR_VSI_VSI-WMR_081031 WMR-VSC 2" xfId="0"/>
    <cellStyle name="_041129 WMR_VSI_VSI-WMR_081107 WMR-VSC (2)" xfId="0"/>
    <cellStyle name="_041129 WMR_VSI_VSI-WMR_081107 WMR-VSC (2) 2" xfId="0"/>
    <cellStyle name="_041129 WMR_VSI_VSI-WMR_081107 WMR-VSC_1" xfId="0"/>
    <cellStyle name="_041129 WMR_VSI_VSI-WMR_081107 WMR-VSC_1 2" xfId="0"/>
    <cellStyle name="_041129 WMR_VSI_VSI-WMR_081114 WMR-VSC" xfId="0"/>
    <cellStyle name="_041129 WMR_VSI_VSI-WMR_081114 WMR-VSC 2" xfId="0"/>
    <cellStyle name="_041129 WMR_VSI_VSI-WMR_081121 WMR-VSC" xfId="0"/>
    <cellStyle name="_041129 WMR_VSI_VSI-WMR_081121 WMR-VSC 2" xfId="0"/>
    <cellStyle name="_041129 WMR_VSI_VSI-WMR_081128 WMR-VSC" xfId="0"/>
    <cellStyle name="_041129 WMR_VSI_VSI-WMR_081128 WMR-VSC 2" xfId="0"/>
    <cellStyle name="_041129 WMR_VSI_VSI-WMR_081128 WMR-VSC_1" xfId="0"/>
    <cellStyle name="_041129 WMR_VSI_VSI-WMR_081128 WMR-VSC_1 2" xfId="0"/>
    <cellStyle name="_041129 WMR_VSI_VSI-WMR_081205 WMR-VSC" xfId="0"/>
    <cellStyle name="_041129 WMR_VSI_VSI-WMR_081205 WMR-VSC 2" xfId="0"/>
    <cellStyle name="_041129 WMR_VSI_VSI-WMR_081212 WMR-VSC" xfId="0"/>
    <cellStyle name="_041129 WMR_VSI_VSI-WMR_081212 WMR-VSC 2" xfId="0"/>
    <cellStyle name="_041129 WMR_VSI_VSI-WMR_081219 WMR-VSC" xfId="0"/>
    <cellStyle name="_041129 WMR_VSI_VSI-WMR_081219 WMR-VSC 2" xfId="0"/>
    <cellStyle name="_041129 WMR_VSI_VSI-WMR_090102 WMR-VSC" xfId="0"/>
    <cellStyle name="_041129 WMR_VSI_VSI-WMR_090102 WMR-VSC 2" xfId="0"/>
    <cellStyle name="_041129 WMR_VSI_VSI-WMR_090424 WMR_VSE (2)" xfId="0"/>
    <cellStyle name="_041129 WMR_VSI_VSI-WMR_090424 WMR_VSE (2) 2" xfId="0"/>
    <cellStyle name="_041129 WMR_VSI_VSI-WMR_090703 WMR-VSC" xfId="0"/>
    <cellStyle name="_041129 WMR_VSI_VSI-WMR_090703 WMR-VSC 2" xfId="0"/>
    <cellStyle name="_041129 WMR_VSI_VSI-WMR_AP Turn Days old" xfId="0"/>
    <cellStyle name="_041129 WMR_VSI_VSI-WMR_AP Turn Days old 2" xfId="0"/>
    <cellStyle name="_041129 WMR_VSI_VSI-WMR_Cash" xfId="0"/>
    <cellStyle name="_041129 WMR_VSI_VSI-WMR_Cash 2" xfId="0"/>
    <cellStyle name="_041129 WMR_VSI_VSI-WMR_Charts" xfId="0"/>
    <cellStyle name="_041129 WMR_VSI_VSI-WMR_Charts 2" xfId="0"/>
    <cellStyle name="_041129 WMR_VSI_VSI-WMR_Inv Data" xfId="0"/>
    <cellStyle name="_041129 WMR_VSI_VSI-WMR_Inv Data 2" xfId="0"/>
    <cellStyle name="_041129 WMR_VSI_VSI-WMR_Inventory Pivot" xfId="0"/>
    <cellStyle name="_041129 WMR_VSI_VSI-WMR_Inventory Pivot 2" xfId="0"/>
    <cellStyle name="_041129 WMR_VSI_VSI-WMR_NEW WMR" xfId="0"/>
    <cellStyle name="_041129 WMR_VSI_VSI-WMR_NEW WMR 2" xfId="0"/>
    <cellStyle name="_041129 WMR_VSI_VSI-WMR_OpenOrder Data" xfId="0"/>
    <cellStyle name="_041129 WMR_VSI_VSI-WMR_OpenOrder Data 2" xfId="0"/>
    <cellStyle name="_041129 WMR_VSI_VSI-WMR_Revenue % Forecast" xfId="0"/>
    <cellStyle name="_041129 WMR_VSI_VSI-WMR_Revenue % Forecast 2" xfId="0"/>
    <cellStyle name="_041129 WMR_VSI_VSI-WMR_Turn Days" xfId="0"/>
    <cellStyle name="_041129 WMR_VSI_VSI-WMR_Turn Days 2" xfId="0"/>
    <cellStyle name="_041129 WMR_VSI_VSI-WMR_VDL" xfId="0"/>
    <cellStyle name="_041129 WMR_VSI_VSI-WMR_VDL 2" xfId="0"/>
    <cellStyle name="_041129 WMR_VSI_VSI-WMR_VSA" xfId="0"/>
    <cellStyle name="_041129 WMR_VSI_VSI-WMR_VSA 2" xfId="0"/>
    <cellStyle name="_041129 WMR_VSI_VSI-WMR_VSA Cash Flow Model (6-4-07)" xfId="0"/>
    <cellStyle name="_041129 WMR_VSI_VSI-WMR_VSA Cash Flow Model (6-4-07) 2" xfId="0"/>
    <cellStyle name="_041129 WMR_VSI_VSI-WMR_VSACE" xfId="0"/>
    <cellStyle name="_041129 WMR_VSI_VSI-WMR_VSACE 2" xfId="0"/>
    <cellStyle name="_041129 WMR_VSI_VSI-WMR_VSC" xfId="0"/>
    <cellStyle name="_041129 WMR_VSI_VSI-WMR_VSC 2" xfId="0"/>
    <cellStyle name="_041129 WMR_VSI_VSI-WMR_VSCN" xfId="0"/>
    <cellStyle name="_041129 WMR_VSI_VSI-WMR_VSCN 2" xfId="0"/>
    <cellStyle name="_041129 WMR_VSI_VSI-WMR_VSE" xfId="0"/>
    <cellStyle name="_041129 WMR_VSI_VSI-WMR_VSE 2" xfId="0"/>
    <cellStyle name="_041129 WMR_VSI_VSI-WMR_VSE WMR Workbook 08-07-09" xfId="0"/>
    <cellStyle name="_041129 WMR_VSI_VSI-WMR_VSE WMR Workbook 08-07-09 2" xfId="0"/>
    <cellStyle name="_041129 WMR_VSI_VSI-WMR_VSE WMR Workbook 11-19-10" xfId="0"/>
    <cellStyle name="_041129 WMR_VSI_VSI-WMR_VSE WMR Workbook 11-19-10 2" xfId="0"/>
    <cellStyle name="_041129 WMR_VSI_VSI-WMR_VSE WMR Workbook 12-31-10" xfId="0"/>
    <cellStyle name="_041129 WMR_VSI_VSI-WMR_VSE WMR Workbook 12-31-10 2" xfId="0"/>
    <cellStyle name="_041129 WMR_VSI_VSI-WMR_VSI" xfId="0"/>
    <cellStyle name="_041129 WMR_VSI_VSI-WMR_VSI 2" xfId="0"/>
    <cellStyle name="_041129 WMR_VSI_VSI-WMR_WMR" xfId="0"/>
    <cellStyle name="_041129 WMR_VSI_VSI-WMR_WMR (by QTY)" xfId="0"/>
    <cellStyle name="_041129 WMR_VSI_VSI-WMR_WMR (by QTY) 2" xfId="0"/>
    <cellStyle name="_041129 WMR_VSI_VSI-WMR_WMR 2" xfId="0"/>
    <cellStyle name="_041129 WMR_VSI_VSI-WMR_WMR 3" xfId="0"/>
    <cellStyle name="_041129 WMR_VSI_VSI-WMR_WMR 4" xfId="0"/>
    <cellStyle name="_041129 WMR_VSI_WMR" xfId="0"/>
    <cellStyle name="_041129 WMR_VSI_WMR (by QTY)" xfId="0"/>
    <cellStyle name="_041129 WMR_VSI_WMR (by QTY) 2" xfId="0"/>
    <cellStyle name="_041129 WMR_VSI_WMR 2" xfId="0"/>
    <cellStyle name="_041129 WMR_VSI_WMR 3" xfId="0"/>
    <cellStyle name="_041129 WMR_VSI_WMR 4" xfId="0"/>
    <cellStyle name="_041129 WMR_VSI_WMR Definitions" xfId="0"/>
    <cellStyle name="_041129 WMR_VSI_WMR Definitions 2" xfId="0"/>
    <cellStyle name="_041129 WMR_VSI_WMR VSA" xfId="0"/>
    <cellStyle name="_041129 WMR_VSI_WMR VSA (by Value)" xfId="0"/>
    <cellStyle name="_041129 WMR_VSI_WMR VSA (by Value) 2" xfId="0"/>
    <cellStyle name="_041129 WMR_VSI_WMR VSA 2" xfId="0"/>
    <cellStyle name="_041129 WMR_VSI_WMR VSA 3" xfId="0"/>
    <cellStyle name="_041129 WMR_VSI_WMR VSA 4" xfId="0"/>
    <cellStyle name="_041129 WMR_VSI_WMR VSCN" xfId="0"/>
    <cellStyle name="_041129 WMR_VSI_WMR VSCN (by Value)" xfId="0"/>
    <cellStyle name="_041129 WMR_VSI_WMR VSCN (by Value) 2" xfId="0"/>
    <cellStyle name="_041129 WMR_VSI_WMR VSCN 2" xfId="0"/>
    <cellStyle name="_041129 WMR_VSI_WMR VSCN 3" xfId="0"/>
    <cellStyle name="_041129 WMR_VSI_WMR VSCN 4" xfId="0"/>
    <cellStyle name="_041129 WMR_VSI_WMR VSCN(by Value)" xfId="0"/>
    <cellStyle name="_041129 WMR_VSI_WMR VSCN(by Value) 2" xfId="0"/>
    <cellStyle name="_041129 WMR_VSI_WMR VSE" xfId="0"/>
    <cellStyle name="_041129 WMR_VSI_WMR VSE (by QTY)" xfId="0"/>
    <cellStyle name="_041129 WMR_VSI_WMR VSE (by QTY) 2" xfId="0"/>
    <cellStyle name="_041129 WMR_VSI_WMR VSE (by Value)" xfId="0"/>
    <cellStyle name="_041129 WMR_VSI_WMR VSE (by Value) 2" xfId="0"/>
    <cellStyle name="_041129 WMR_VSI_WMR VSE 2" xfId="0"/>
    <cellStyle name="_041129 WMR_VSI_WMR VSE 3" xfId="0"/>
    <cellStyle name="_041129 WMR_VSI_WMR VSE 4" xfId="0"/>
    <cellStyle name="_041129 WMR_VSI_WMR VSI" xfId="0"/>
    <cellStyle name="_041129 WMR_VSI_WMR VSI (by Value)" xfId="0"/>
    <cellStyle name="_041129 WMR_VSI_WMR VSI (by Value) 2" xfId="0"/>
    <cellStyle name="_041129 WMR_VSI_WMR VSI 2" xfId="0"/>
    <cellStyle name="_041129 WMR_VSI_WMR VSI 3" xfId="0"/>
    <cellStyle name="_041129 WMR_VSI_WMR VSI 4" xfId="0"/>
    <cellStyle name="_041129 WMR_VSI_WMR_VSCN (13 wks history restated)" xfId="0"/>
    <cellStyle name="_041129 WMR_VSI_WMR_VSCN (13 wks history restated) 2" xfId="0"/>
    <cellStyle name="_041129 WMR_VSI_WMR_VSCN (13 wks history restated)_080822 WMR-VSC" xfId="0"/>
    <cellStyle name="_041129 WMR_VSI_WMR_VSCN (13 wks history restated)_080822 WMR-VSC 2" xfId="0"/>
    <cellStyle name="_041129 WMR_VSI_WMR_VSCN (13 wks history restated)_080829 WMR" xfId="0"/>
    <cellStyle name="_041129 WMR_VSI_WMR_VSCN (13 wks history restated)_080829 WMR 2" xfId="0"/>
    <cellStyle name="_041129 WMR_VSI_WMR_VSCN (13 wks history restated)_080905 WMR-VSC" xfId="0"/>
    <cellStyle name="_041129 WMR_VSI_WMR_VSCN (13 wks history restated)_080905 WMR-VSC 2" xfId="0"/>
    <cellStyle name="_041129 WMR_VSI_WMR_VSCN (13 wks history restated)_080912 WMR-VSC" xfId="0"/>
    <cellStyle name="_041129 WMR_VSI_WMR_VSCN (13 wks history restated)_080912 WMR-VSC 2" xfId="0"/>
    <cellStyle name="_041129 WMR_VSI_WMR_VSCN (13 wks history restated)_080919 WMR-VSC" xfId="0"/>
    <cellStyle name="_041129 WMR_VSI_WMR_VSCN (13 wks history restated)_080919 WMR-VSC 2" xfId="0"/>
    <cellStyle name="_041129 WMR_VSI_WMR_VSCN (13 wks history restated)_080926 WMR-VSC" xfId="0"/>
    <cellStyle name="_041129 WMR_VSI_WMR_VSCN (13 wks history restated)_080926 WMR-VSC 2" xfId="0"/>
    <cellStyle name="_041129 WMR_VSI_WMR_VSCN (13 wks history restated)_081003 WMR-VSC_1" xfId="0"/>
    <cellStyle name="_041129 WMR_VSI_WMR_VSCN (13 wks history restated)_081003 WMR-VSC_1 2" xfId="0"/>
    <cellStyle name="_041129 WMR_VSI_WMR_VSCN (13 wks history restated)_081010 WMR-VSC" xfId="0"/>
    <cellStyle name="_041129 WMR_VSI_WMR_VSCN (13 wks history restated)_081010 WMR-VSC 2" xfId="0"/>
    <cellStyle name="_041129 WMR_VSI_WMR_VSCN (13 wks history restated)_081017 WMR-VSC_1" xfId="0"/>
    <cellStyle name="_041129 WMR_VSI_WMR_VSCN (13 wks history restated)_081017 WMR-VSC_1 2" xfId="0"/>
    <cellStyle name="_041129 WMR_VSI_WMR_VSCN (13 wks history restated)_081024 WMR-VSC" xfId="0"/>
    <cellStyle name="_041129 WMR_VSI_WMR_VSCN (13 wks history restated)_081024 WMR-VSC 2" xfId="0"/>
    <cellStyle name="_041129 WMR_VSI_WMR_VSCN (13 wks history restated)_081031 WMR-VSC" xfId="0"/>
    <cellStyle name="_041129 WMR_VSI_WMR_VSCN (13 wks history restated)_081031 WMR-VSC 2" xfId="0"/>
    <cellStyle name="_041129 WMR_VSI_WMR_VSCN (13 wks history restated)_081107 WMR-VSC (2)" xfId="0"/>
    <cellStyle name="_041129 WMR_VSI_WMR_VSCN (13 wks history restated)_081107 WMR-VSC (2) 2" xfId="0"/>
    <cellStyle name="_041129 WMR_VSI_WMR_VSCN (13 wks history restated)_081107 WMR-VSC_1" xfId="0"/>
    <cellStyle name="_041129 WMR_VSI_WMR_VSCN (13 wks history restated)_081107 WMR-VSC_1 2" xfId="0"/>
    <cellStyle name="_041129 WMR_VSI_WMR_VSCN (13 wks history restated)_081114 WMR-VSC" xfId="0"/>
    <cellStyle name="_041129 WMR_VSI_WMR_VSCN (13 wks history restated)_081114 WMR-VSC 2" xfId="0"/>
    <cellStyle name="_041129 WMR_VSI_WMR_VSCN (13 wks history restated)_081121 WMR-VSC" xfId="0"/>
    <cellStyle name="_041129 WMR_VSI_WMR_VSCN (13 wks history restated)_081121 WMR-VSC 2" xfId="0"/>
    <cellStyle name="_041129 WMR_VSI_WMR_VSCN (13 wks history restated)_081128 WMR-VSC" xfId="0"/>
    <cellStyle name="_041129 WMR_VSI_WMR_VSCN (13 wks history restated)_081128 WMR-VSC 2" xfId="0"/>
    <cellStyle name="_041129 WMR_VSI_WMR_VSCN (13 wks history restated)_081128 WMR-VSC_1" xfId="0"/>
    <cellStyle name="_041129 WMR_VSI_WMR_VSCN (13 wks history restated)_081128 WMR-VSC_1 2" xfId="0"/>
    <cellStyle name="_041129 WMR_VSI_WMR_VSCN (13 wks history restated)_081205 WMR-VSC" xfId="0"/>
    <cellStyle name="_041129 WMR_VSI_WMR_VSCN (13 wks history restated)_081205 WMR-VSC 2" xfId="0"/>
    <cellStyle name="_041129 WMR_VSI_WMR_VSCN (13 wks history restated)_081212 WMR-VSC" xfId="0"/>
    <cellStyle name="_041129 WMR_VSI_WMR_VSCN (13 wks history restated)_081212 WMR-VSC 2" xfId="0"/>
    <cellStyle name="_041129 WMR_VSI_WMR_VSCN (13 wks history restated)_081219 WMR-VSC" xfId="0"/>
    <cellStyle name="_041129 WMR_VSI_WMR_VSCN (13 wks history restated)_081219 WMR-VSC 2" xfId="0"/>
    <cellStyle name="_041129 WMR_VSI_WMR_VSCN (13 wks history restated)_090102 WMR-VSC" xfId="0"/>
    <cellStyle name="_041129 WMR_VSI_WMR_VSCN (13 wks history restated)_090102 WMR-VSC 2" xfId="0"/>
    <cellStyle name="_041129 WMR_VSI_WMR_VSCN (13 wks history restated)_090424 WMR_VSE (2)" xfId="0"/>
    <cellStyle name="_041129 WMR_VSI_WMR_VSCN (13 wks history restated)_090424 WMR_VSE (2) 2" xfId="0"/>
    <cellStyle name="_041129 WMR_VSI_WMR_VSCN (13 wks history restated)_090703 WMR-VSC" xfId="0"/>
    <cellStyle name="_041129 WMR_VSI_WMR_VSCN (13 wks history restated)_090703 WMR-VSC 2" xfId="0"/>
    <cellStyle name="_041129 WMR_VSI_WMR_VSCN (13 wks history restated)_AP Turn Days old" xfId="0"/>
    <cellStyle name="_041129 WMR_VSI_WMR_VSCN (13 wks history restated)_AP Turn Days old 2" xfId="0"/>
    <cellStyle name="_041129 WMR_VSI_WMR_VSCN (13 wks history restated)_Cash" xfId="0"/>
    <cellStyle name="_041129 WMR_VSI_WMR_VSCN (13 wks history restated)_Cash 2" xfId="0"/>
    <cellStyle name="_041129 WMR_VSI_WMR_VSCN (13 wks history restated)_Charts" xfId="0"/>
    <cellStyle name="_041129 WMR_VSI_WMR_VSCN (13 wks history restated)_Charts 2" xfId="0"/>
    <cellStyle name="_041129 WMR_VSI_WMR_VSCN (13 wks history restated)_Inv Data" xfId="0"/>
    <cellStyle name="_041129 WMR_VSI_WMR_VSCN (13 wks history restated)_Inv Data 2" xfId="0"/>
    <cellStyle name="_041129 WMR_VSI_WMR_VSCN (13 wks history restated)_Inventory Pivot" xfId="0"/>
    <cellStyle name="_041129 WMR_VSI_WMR_VSCN (13 wks history restated)_Inventory Pivot 2" xfId="0"/>
    <cellStyle name="_041129 WMR_VSI_WMR_VSCN (13 wks history restated)_NEW WMR" xfId="0"/>
    <cellStyle name="_041129 WMR_VSI_WMR_VSCN (13 wks history restated)_NEW WMR 2" xfId="0"/>
    <cellStyle name="_041129 WMR_VSI_WMR_VSCN (13 wks history restated)_OpenOrder Data" xfId="0"/>
    <cellStyle name="_041129 WMR_VSI_WMR_VSCN (13 wks history restated)_OpenOrder Data 2" xfId="0"/>
    <cellStyle name="_041129 WMR_VSI_WMR_VSCN (13 wks history restated)_Revenue % Forecast" xfId="0"/>
    <cellStyle name="_041129 WMR_VSI_WMR_VSCN (13 wks history restated)_Revenue % Forecast 2" xfId="0"/>
    <cellStyle name="_041129 WMR_VSI_WMR_VSCN (13 wks history restated)_Turn Days" xfId="0"/>
    <cellStyle name="_041129 WMR_VSI_WMR_VSCN (13 wks history restated)_Turn Days 2" xfId="0"/>
    <cellStyle name="_041129 WMR_VSI_WMR_VSCN (13 wks history restated)_VDL" xfId="0"/>
    <cellStyle name="_041129 WMR_VSI_WMR_VSCN (13 wks history restated)_VDL 2" xfId="0"/>
    <cellStyle name="_041129 WMR_VSI_WMR_VSCN (13 wks history restated)_VSA" xfId="0"/>
    <cellStyle name="_041129 WMR_VSI_WMR_VSCN (13 wks history restated)_VSA 2" xfId="0"/>
    <cellStyle name="_041129 WMR_VSI_WMR_VSCN (13 wks history restated)_VSA Cash Flow Model (6-4-07)" xfId="0"/>
    <cellStyle name="_041129 WMR_VSI_WMR_VSCN (13 wks history restated)_VSA Cash Flow Model (6-4-07) 2" xfId="0"/>
    <cellStyle name="_041129 WMR_VSI_WMR_VSCN (13 wks history restated)_VSACE" xfId="0"/>
    <cellStyle name="_041129 WMR_VSI_WMR_VSCN (13 wks history restated)_VSACE 2" xfId="0"/>
    <cellStyle name="_041129 WMR_VSI_WMR_VSCN (13 wks history restated)_VSC" xfId="0"/>
    <cellStyle name="_041129 WMR_VSI_WMR_VSCN (13 wks history restated)_VSC 2" xfId="0"/>
    <cellStyle name="_041129 WMR_VSI_WMR_VSCN (13 wks history restated)_VSCN" xfId="0"/>
    <cellStyle name="_041129 WMR_VSI_WMR_VSCN (13 wks history restated)_VSCN 2" xfId="0"/>
    <cellStyle name="_041129 WMR_VSI_WMR_VSCN (13 wks history restated)_VSE" xfId="0"/>
    <cellStyle name="_041129 WMR_VSI_WMR_VSCN (13 wks history restated)_VSE 2" xfId="0"/>
    <cellStyle name="_041129 WMR_VSI_WMR_VSCN (13 wks history restated)_VSE WMR Workbook 08-07-09" xfId="0"/>
    <cellStyle name="_041129 WMR_VSI_WMR_VSCN (13 wks history restated)_VSE WMR Workbook 08-07-09 2" xfId="0"/>
    <cellStyle name="_041129 WMR_VSI_WMR_VSCN (13 wks history restated)_VSE WMR Workbook 11-19-10" xfId="0"/>
    <cellStyle name="_041129 WMR_VSI_WMR_VSCN (13 wks history restated)_VSE WMR Workbook 11-19-10 2" xfId="0"/>
    <cellStyle name="_041129 WMR_VSI_WMR_VSCN (13 wks history restated)_VSE WMR Workbook 12-31-10" xfId="0"/>
    <cellStyle name="_041129 WMR_VSI_WMR_VSCN (13 wks history restated)_VSE WMR Workbook 12-31-10 2" xfId="0"/>
    <cellStyle name="_041129 WMR_VSI_WMR_VSCN (13 wks history restated)_VSI" xfId="0"/>
    <cellStyle name="_041129 WMR_VSI_WMR_VSCN (13 wks history restated)_VSI 2" xfId="0"/>
    <cellStyle name="_041129 WMR_VSI_WMR_VSCN (13 wks history restated)_WMR" xfId="0"/>
    <cellStyle name="_041129 WMR_VSI_WMR_VSCN (13 wks history restated)_WMR (by QTY)" xfId="0"/>
    <cellStyle name="_041129 WMR_VSI_WMR_VSCN (13 wks history restated)_WMR (by QTY) 2" xfId="0"/>
    <cellStyle name="_041129 WMR_VSI_WMR_VSCN (13 wks history restated)_WMR 2" xfId="0"/>
    <cellStyle name="_041129 WMR_VSI_WMR_VSCN (13 wks history restated)_WMR 3" xfId="0"/>
    <cellStyle name="_041129 WMR_VSI_WMR_VSCN (13 wks history restated)_WMR 4" xfId="0"/>
    <cellStyle name="_041129 WMR_VSI_WMR_VSI (13 wks history restated)" xfId="0"/>
    <cellStyle name="_041129 WMR_VSI_WMR_VSI (13 wks history restated) 2" xfId="0"/>
    <cellStyle name="_041129 WMR_VSI_WMR_VSI (13 wks history restated)_080822 WMR-VSC" xfId="0"/>
    <cellStyle name="_041129 WMR_VSI_WMR_VSI (13 wks history restated)_080822 WMR-VSC 2" xfId="0"/>
    <cellStyle name="_041129 WMR_VSI_WMR_VSI (13 wks history restated)_080829 WMR" xfId="0"/>
    <cellStyle name="_041129 WMR_VSI_WMR_VSI (13 wks history restated)_080829 WMR 2" xfId="0"/>
    <cellStyle name="_041129 WMR_VSI_WMR_VSI (13 wks history restated)_080905 WMR-VSC" xfId="0"/>
    <cellStyle name="_041129 WMR_VSI_WMR_VSI (13 wks history restated)_080905 WMR-VSC 2" xfId="0"/>
    <cellStyle name="_041129 WMR_VSI_WMR_VSI (13 wks history restated)_080912 WMR-VSC" xfId="0"/>
    <cellStyle name="_041129 WMR_VSI_WMR_VSI (13 wks history restated)_080912 WMR-VSC 2" xfId="0"/>
    <cellStyle name="_041129 WMR_VSI_WMR_VSI (13 wks history restated)_080919 WMR-VSC" xfId="0"/>
    <cellStyle name="_041129 WMR_VSI_WMR_VSI (13 wks history restated)_080919 WMR-VSC 2" xfId="0"/>
    <cellStyle name="_041129 WMR_VSI_WMR_VSI (13 wks history restated)_080926 WMR-VSC" xfId="0"/>
    <cellStyle name="_041129 WMR_VSI_WMR_VSI (13 wks history restated)_080926 WMR-VSC 2" xfId="0"/>
    <cellStyle name="_041129 WMR_VSI_WMR_VSI (13 wks history restated)_081003 WMR-VSC_1" xfId="0"/>
    <cellStyle name="_041129 WMR_VSI_WMR_VSI (13 wks history restated)_081003 WMR-VSC_1 2" xfId="0"/>
    <cellStyle name="_041129 WMR_VSI_WMR_VSI (13 wks history restated)_081010 WMR-VSC" xfId="0"/>
    <cellStyle name="_041129 WMR_VSI_WMR_VSI (13 wks history restated)_081010 WMR-VSC 2" xfId="0"/>
    <cellStyle name="_041129 WMR_VSI_WMR_VSI (13 wks history restated)_081017 WMR-VSC_1" xfId="0"/>
    <cellStyle name="_041129 WMR_VSI_WMR_VSI (13 wks history restated)_081017 WMR-VSC_1 2" xfId="0"/>
    <cellStyle name="_041129 WMR_VSI_WMR_VSI (13 wks history restated)_081024 WMR-VSC" xfId="0"/>
    <cellStyle name="_041129 WMR_VSI_WMR_VSI (13 wks history restated)_081024 WMR-VSC 2" xfId="0"/>
    <cellStyle name="_041129 WMR_VSI_WMR_VSI (13 wks history restated)_081031 WMR-VSC" xfId="0"/>
    <cellStyle name="_041129 WMR_VSI_WMR_VSI (13 wks history restated)_081031 WMR-VSC 2" xfId="0"/>
    <cellStyle name="_041129 WMR_VSI_WMR_VSI (13 wks history restated)_081107 WMR-VSC (2)" xfId="0"/>
    <cellStyle name="_041129 WMR_VSI_WMR_VSI (13 wks history restated)_081107 WMR-VSC (2) 2" xfId="0"/>
    <cellStyle name="_041129 WMR_VSI_WMR_VSI (13 wks history restated)_081107 WMR-VSC_1" xfId="0"/>
    <cellStyle name="_041129 WMR_VSI_WMR_VSI (13 wks history restated)_081107 WMR-VSC_1 2" xfId="0"/>
    <cellStyle name="_041129 WMR_VSI_WMR_VSI (13 wks history restated)_081114 WMR-VSC" xfId="0"/>
    <cellStyle name="_041129 WMR_VSI_WMR_VSI (13 wks history restated)_081114 WMR-VSC 2" xfId="0"/>
    <cellStyle name="_041129 WMR_VSI_WMR_VSI (13 wks history restated)_081121 WMR-VSC" xfId="0"/>
    <cellStyle name="_041129 WMR_VSI_WMR_VSI (13 wks history restated)_081121 WMR-VSC 2" xfId="0"/>
    <cellStyle name="_041129 WMR_VSI_WMR_VSI (13 wks history restated)_081128 WMR-VSC" xfId="0"/>
    <cellStyle name="_041129 WMR_VSI_WMR_VSI (13 wks history restated)_081128 WMR-VSC 2" xfId="0"/>
    <cellStyle name="_041129 WMR_VSI_WMR_VSI (13 wks history restated)_081128 WMR-VSC_1" xfId="0"/>
    <cellStyle name="_041129 WMR_VSI_WMR_VSI (13 wks history restated)_081128 WMR-VSC_1 2" xfId="0"/>
    <cellStyle name="_041129 WMR_VSI_WMR_VSI (13 wks history restated)_081205 WMR-VSC" xfId="0"/>
    <cellStyle name="_041129 WMR_VSI_WMR_VSI (13 wks history restated)_081205 WMR-VSC 2" xfId="0"/>
    <cellStyle name="_041129 WMR_VSI_WMR_VSI (13 wks history restated)_081212 WMR-VSC" xfId="0"/>
    <cellStyle name="_041129 WMR_VSI_WMR_VSI (13 wks history restated)_081212 WMR-VSC 2" xfId="0"/>
    <cellStyle name="_041129 WMR_VSI_WMR_VSI (13 wks history restated)_081219 WMR-VSC" xfId="0"/>
    <cellStyle name="_041129 WMR_VSI_WMR_VSI (13 wks history restated)_081219 WMR-VSC 2" xfId="0"/>
    <cellStyle name="_041129 WMR_VSI_WMR_VSI (13 wks history restated)_090102 WMR-VSC" xfId="0"/>
    <cellStyle name="_041129 WMR_VSI_WMR_VSI (13 wks history restated)_090102 WMR-VSC 2" xfId="0"/>
    <cellStyle name="_041129 WMR_VSI_WMR_VSI (13 wks history restated)_090424 WMR_VSE (2)" xfId="0"/>
    <cellStyle name="_041129 WMR_VSI_WMR_VSI (13 wks history restated)_090424 WMR_VSE (2) 2" xfId="0"/>
    <cellStyle name="_041129 WMR_VSI_WMR_VSI (13 wks history restated)_090703 WMR-VSC" xfId="0"/>
    <cellStyle name="_041129 WMR_VSI_WMR_VSI (13 wks history restated)_090703 WMR-VSC 2" xfId="0"/>
    <cellStyle name="_041129 WMR_VSI_WMR_VSI (13 wks history restated)_AP Turn Days old" xfId="0"/>
    <cellStyle name="_041129 WMR_VSI_WMR_VSI (13 wks history restated)_AP Turn Days old 2" xfId="0"/>
    <cellStyle name="_041129 WMR_VSI_WMR_VSI (13 wks history restated)_Cash" xfId="0"/>
    <cellStyle name="_041129 WMR_VSI_WMR_VSI (13 wks history restated)_Cash 2" xfId="0"/>
    <cellStyle name="_041129 WMR_VSI_WMR_VSI (13 wks history restated)_Charts" xfId="0"/>
    <cellStyle name="_041129 WMR_VSI_WMR_VSI (13 wks history restated)_Charts 2" xfId="0"/>
    <cellStyle name="_041129 WMR_VSI_WMR_VSI (13 wks history restated)_Inv Data" xfId="0"/>
    <cellStyle name="_041129 WMR_VSI_WMR_VSI (13 wks history restated)_Inv Data 2" xfId="0"/>
    <cellStyle name="_041129 WMR_VSI_WMR_VSI (13 wks history restated)_Inventory Pivot" xfId="0"/>
    <cellStyle name="_041129 WMR_VSI_WMR_VSI (13 wks history restated)_Inventory Pivot 2" xfId="0"/>
    <cellStyle name="_041129 WMR_VSI_WMR_VSI (13 wks history restated)_NEW WMR" xfId="0"/>
    <cellStyle name="_041129 WMR_VSI_WMR_VSI (13 wks history restated)_NEW WMR 2" xfId="0"/>
    <cellStyle name="_041129 WMR_VSI_WMR_VSI (13 wks history restated)_OpenOrder Data" xfId="0"/>
    <cellStyle name="_041129 WMR_VSI_WMR_VSI (13 wks history restated)_OpenOrder Data 2" xfId="0"/>
    <cellStyle name="_041129 WMR_VSI_WMR_VSI (13 wks history restated)_Revenue % Forecast" xfId="0"/>
    <cellStyle name="_041129 WMR_VSI_WMR_VSI (13 wks history restated)_Revenue % Forecast 2" xfId="0"/>
    <cellStyle name="_041129 WMR_VSI_WMR_VSI (13 wks history restated)_Turn Days" xfId="0"/>
    <cellStyle name="_041129 WMR_VSI_WMR_VSI (13 wks history restated)_Turn Days 2" xfId="0"/>
    <cellStyle name="_041129 WMR_VSI_WMR_VSI (13 wks history restated)_VDL" xfId="0"/>
    <cellStyle name="_041129 WMR_VSI_WMR_VSI (13 wks history restated)_VDL 2" xfId="0"/>
    <cellStyle name="_041129 WMR_VSI_WMR_VSI (13 wks history restated)_VSA" xfId="0"/>
    <cellStyle name="_041129 WMR_VSI_WMR_VSI (13 wks history restated)_VSA 2" xfId="0"/>
    <cellStyle name="_041129 WMR_VSI_WMR_VSI (13 wks history restated)_VSA Cash Flow Model (6-4-07)" xfId="0"/>
    <cellStyle name="_041129 WMR_VSI_WMR_VSI (13 wks history restated)_VSA Cash Flow Model (6-4-07) 2" xfId="0"/>
    <cellStyle name="_041129 WMR_VSI_WMR_VSI (13 wks history restated)_VSACE" xfId="0"/>
    <cellStyle name="_041129 WMR_VSI_WMR_VSI (13 wks history restated)_VSACE 2" xfId="0"/>
    <cellStyle name="_041129 WMR_VSI_WMR_VSI (13 wks history restated)_VSC" xfId="0"/>
    <cellStyle name="_041129 WMR_VSI_WMR_VSI (13 wks history restated)_VSC 2" xfId="0"/>
    <cellStyle name="_041129 WMR_VSI_WMR_VSI (13 wks history restated)_VSCN" xfId="0"/>
    <cellStyle name="_041129 WMR_VSI_WMR_VSI (13 wks history restated)_VSCN 2" xfId="0"/>
    <cellStyle name="_041129 WMR_VSI_WMR_VSI (13 wks history restated)_VSE" xfId="0"/>
    <cellStyle name="_041129 WMR_VSI_WMR_VSI (13 wks history restated)_VSE 2" xfId="0"/>
    <cellStyle name="_041129 WMR_VSI_WMR_VSI (13 wks history restated)_VSE WMR Workbook 08-07-09" xfId="0"/>
    <cellStyle name="_041129 WMR_VSI_WMR_VSI (13 wks history restated)_VSE WMR Workbook 08-07-09 2" xfId="0"/>
    <cellStyle name="_041129 WMR_VSI_WMR_VSI (13 wks history restated)_VSE WMR Workbook 11-19-10" xfId="0"/>
    <cellStyle name="_041129 WMR_VSI_WMR_VSI (13 wks history restated)_VSE WMR Workbook 11-19-10 2" xfId="0"/>
    <cellStyle name="_041129 WMR_VSI_WMR_VSI (13 wks history restated)_VSE WMR Workbook 12-31-10" xfId="0"/>
    <cellStyle name="_041129 WMR_VSI_WMR_VSI (13 wks history restated)_VSE WMR Workbook 12-31-10 2" xfId="0"/>
    <cellStyle name="_041129 WMR_VSI_WMR_VSI (13 wks history restated)_VSI" xfId="0"/>
    <cellStyle name="_041129 WMR_VSI_WMR_VSI (13 wks history restated)_VSI 2" xfId="0"/>
    <cellStyle name="_041129 WMR_VSI_WMR_VSI (13 wks history restated)_WMR" xfId="0"/>
    <cellStyle name="_041129 WMR_VSI_WMR_VSI (13 wks history restated)_WMR (by QTY)" xfId="0"/>
    <cellStyle name="_041129 WMR_VSI_WMR_VSI (13 wks history restated)_WMR (by QTY) 2" xfId="0"/>
    <cellStyle name="_041129 WMR_VSI_WMR_VSI (13 wks history restated)_WMR 2" xfId="0"/>
    <cellStyle name="_041129 WMR_VSI_WMR_VSI (13 wks history restated)_WMR 3" xfId="0"/>
    <cellStyle name="_041129 WMR_VSI_WMR_VSI (13 wks history restated)_WMR 4" xfId="0"/>
    <cellStyle name="_05-Nov-2010" xfId="0"/>
    <cellStyle name="_05-Nov-2010 2" xfId="0"/>
    <cellStyle name="_050121 WMR_VSC" xfId="0"/>
    <cellStyle name="_050121 WMR_VSC 2" xfId="0"/>
    <cellStyle name="_050121 WMR_VSC_080613 new WMR_VSCN" xfId="0"/>
    <cellStyle name="_050121 WMR_VSC_080613 new WMR_VSCN 2" xfId="0"/>
    <cellStyle name="_050121 WMR_VSC_080822 WMR-VSC" xfId="0"/>
    <cellStyle name="_050121 WMR_VSC_080822 WMR-VSC 2" xfId="0"/>
    <cellStyle name="_050121 WMR_VSC_080829 WMR" xfId="0"/>
    <cellStyle name="_050121 WMR_VSC_080829 WMR 2" xfId="0"/>
    <cellStyle name="_050121 WMR_VSC_080905 WMR-VSC" xfId="0"/>
    <cellStyle name="_050121 WMR_VSC_080905 WMR-VSC 2" xfId="0"/>
    <cellStyle name="_050121 WMR_VSC_080912 WMR-VSC" xfId="0"/>
    <cellStyle name="_050121 WMR_VSC_080912 WMR-VSC 2" xfId="0"/>
    <cellStyle name="_050121 WMR_VSC_080919 WMR-VSC" xfId="0"/>
    <cellStyle name="_050121 WMR_VSC_080919 WMR-VSC 2" xfId="0"/>
    <cellStyle name="_050121 WMR_VSC_080926 WMR-VSC" xfId="0"/>
    <cellStyle name="_050121 WMR_VSC_080926 WMR-VSC 2" xfId="0"/>
    <cellStyle name="_050121 WMR_VSC_081003 WMR-VSC_1" xfId="0"/>
    <cellStyle name="_050121 WMR_VSC_081003 WMR-VSC_1 2" xfId="0"/>
    <cellStyle name="_050121 WMR_VSC_081010 WMR-VSC" xfId="0"/>
    <cellStyle name="_050121 WMR_VSC_081010 WMR-VSC 2" xfId="0"/>
    <cellStyle name="_050121 WMR_VSC_081017 WMR-VSC_1" xfId="0"/>
    <cellStyle name="_050121 WMR_VSC_081017 WMR-VSC_1 2" xfId="0"/>
    <cellStyle name="_050121 WMR_VSC_081024 WMR-VSC" xfId="0"/>
    <cellStyle name="_050121 WMR_VSC_081024 WMR-VSC 2" xfId="0"/>
    <cellStyle name="_050121 WMR_VSC_081031 WMR-VSC" xfId="0"/>
    <cellStyle name="_050121 WMR_VSC_081031 WMR-VSC 2" xfId="0"/>
    <cellStyle name="_050121 WMR_VSC_081107 WMR-VSC (2)" xfId="0"/>
    <cellStyle name="_050121 WMR_VSC_081107 WMR-VSC (2) 2" xfId="0"/>
    <cellStyle name="_050121 WMR_VSC_081107 WMR-VSC_1" xfId="0"/>
    <cellStyle name="_050121 WMR_VSC_081107 WMR-VSC_1 2" xfId="0"/>
    <cellStyle name="_050121 WMR_VSC_081114 WMR-VSC" xfId="0"/>
    <cellStyle name="_050121 WMR_VSC_081114 WMR-VSC 2" xfId="0"/>
    <cellStyle name="_050121 WMR_VSC_081121 WMR-VSC" xfId="0"/>
    <cellStyle name="_050121 WMR_VSC_081121 WMR-VSC 2" xfId="0"/>
    <cellStyle name="_050121 WMR_VSC_081128 WMR-VSC" xfId="0"/>
    <cellStyle name="_050121 WMR_VSC_081128 WMR-VSC 2" xfId="0"/>
    <cellStyle name="_050121 WMR_VSC_081128 WMR-VSC_1" xfId="0"/>
    <cellStyle name="_050121 WMR_VSC_081128 WMR-VSC_1 2" xfId="0"/>
    <cellStyle name="_050121 WMR_VSC_081205 WMR-VSC" xfId="0"/>
    <cellStyle name="_050121 WMR_VSC_081205 WMR-VSC 2" xfId="0"/>
    <cellStyle name="_050121 WMR_VSC_081212 WMR-VSC" xfId="0"/>
    <cellStyle name="_050121 WMR_VSC_081212 WMR-VSC 2" xfId="0"/>
    <cellStyle name="_050121 WMR_VSC_081219 WMR-VSC" xfId="0"/>
    <cellStyle name="_050121 WMR_VSC_081219 WMR-VSC 2" xfId="0"/>
    <cellStyle name="_050121 WMR_VSC_090102 WMR-VSC" xfId="0"/>
    <cellStyle name="_050121 WMR_VSC_090102 WMR-VSC 2" xfId="0"/>
    <cellStyle name="_050121 WMR_VSC_090424 WMR_VSE (2)" xfId="0"/>
    <cellStyle name="_050121 WMR_VSC_090424 WMR_VSE (2) 2" xfId="0"/>
    <cellStyle name="_050121 WMR_VSC_090703 WMR-VSC" xfId="0"/>
    <cellStyle name="_050121 WMR_VSC_090703 WMR-VSC 2" xfId="0"/>
    <cellStyle name="_050121 WMR_VSC_All Regions WMR Definitions - Updated 7-27-07" xfId="0"/>
    <cellStyle name="_050121 WMR_VSC_All Regions WMR Definitions - Updated 7-27-07 (3)" xfId="0"/>
    <cellStyle name="_050121 WMR_VSC_All Regions WMR Definitions - Updated 7-27-07 (3) 2" xfId="0"/>
    <cellStyle name="_050121 WMR_VSC_All Regions WMR Definitions - Updated 7-27-07 2" xfId="0"/>
    <cellStyle name="_050121 WMR_VSC_All Regions WMR Definitions - Updated 7-27-07 3" xfId="0"/>
    <cellStyle name="_050121 WMR_VSC_All Regions WMR Definitions - Updated 7-27-07 4" xfId="0"/>
    <cellStyle name="_050121 WMR_VSC_AP Turn Days old" xfId="0"/>
    <cellStyle name="_050121 WMR_VSC_AP Turn Days old 2" xfId="0"/>
    <cellStyle name="_050121 WMR_VSC_Cash" xfId="0"/>
    <cellStyle name="_050121 WMR_VSC_Cash 2" xfId="0"/>
    <cellStyle name="_050121 WMR_VSC_Charts" xfId="0"/>
    <cellStyle name="_050121 WMR_VSC_Charts 2" xfId="0"/>
    <cellStyle name="_050121 WMR_VSC_Inv Data" xfId="0"/>
    <cellStyle name="_050121 WMR_VSC_Inv Data 2" xfId="0"/>
    <cellStyle name="_050121 WMR_VSC_Inventory Pivot" xfId="0"/>
    <cellStyle name="_050121 WMR_VSC_Inventory Pivot 2" xfId="0"/>
    <cellStyle name="_050121 WMR_VSC_New Calculation of Inventory turn day" xfId="0"/>
    <cellStyle name="_050121 WMR_VSC_New Calculation of Inventory turn day 2" xfId="0"/>
    <cellStyle name="_050121 WMR_VSC_NEW WMR" xfId="0"/>
    <cellStyle name="_050121 WMR_VSC_NEW WMR 2" xfId="0"/>
    <cellStyle name="_050121 WMR_VSC_OpenOrder Data" xfId="0"/>
    <cellStyle name="_050121 WMR_VSC_OpenOrder Data 2" xfId="0"/>
    <cellStyle name="_050121 WMR_VSC_Revenue % Forecast" xfId="0"/>
    <cellStyle name="_050121 WMR_VSC_Revenue % Forecast 2" xfId="0"/>
    <cellStyle name="_050121 WMR_VSC_Turn Days" xfId="0"/>
    <cellStyle name="_050121 WMR_VSC_Turn Days 2" xfId="0"/>
    <cellStyle name="_050121 WMR_VSC_VDL" xfId="0"/>
    <cellStyle name="_050121 WMR_VSC_VDL 2" xfId="0"/>
    <cellStyle name="_050121 WMR_VSC_VSA" xfId="0"/>
    <cellStyle name="_050121 WMR_VSC_VSA 2" xfId="0"/>
    <cellStyle name="_050121 WMR_VSC_VSA Cash Flow Model (6-4-07)" xfId="0"/>
    <cellStyle name="_050121 WMR_VSC_VSA Cash Flow Model (6-4-07) 2" xfId="0"/>
    <cellStyle name="_050121 WMR_VSC_VSACE" xfId="0"/>
    <cellStyle name="_050121 WMR_VSC_VSACE 2" xfId="0"/>
    <cellStyle name="_050121 WMR_VSC_VSC" xfId="0"/>
    <cellStyle name="_050121 WMR_VSC_VSC 2" xfId="0"/>
    <cellStyle name="_050121 WMR_VSC_VSCN" xfId="0"/>
    <cellStyle name="_050121 WMR_VSC_VSCN 2" xfId="0"/>
    <cellStyle name="_050121 WMR_VSC_VSE" xfId="0"/>
    <cellStyle name="_050121 WMR_VSC_VSE 2" xfId="0"/>
    <cellStyle name="_050121 WMR_VSC_VSE WMR Workbook 08-07-09" xfId="0"/>
    <cellStyle name="_050121 WMR_VSC_VSE WMR Workbook 08-07-09 2" xfId="0"/>
    <cellStyle name="_050121 WMR_VSC_VSE WMR Workbook 11-19-10" xfId="0"/>
    <cellStyle name="_050121 WMR_VSC_VSE WMR Workbook 11-19-10 2" xfId="0"/>
    <cellStyle name="_050121 WMR_VSC_VSE WMR Workbook 12-31-10" xfId="0"/>
    <cellStyle name="_050121 WMR_VSC_VSE WMR Workbook 12-31-10 2" xfId="0"/>
    <cellStyle name="_050121 WMR_VSC_VSI" xfId="0"/>
    <cellStyle name="_050121 WMR_VSC_VSI 2" xfId="0"/>
    <cellStyle name="_050121 WMR_VSC_VSI-WMR" xfId="0"/>
    <cellStyle name="_050121 WMR_VSC_VSI-WMR (5)" xfId="0"/>
    <cellStyle name="_050121 WMR_VSC_VSI-WMR (5) 2" xfId="0"/>
    <cellStyle name="_050121 WMR_VSC_VSI-WMR (6)" xfId="0"/>
    <cellStyle name="_050121 WMR_VSC_VSI-WMR (6) 2" xfId="0"/>
    <cellStyle name="_050121 WMR_VSC_VSI-WMR 10" xfId="0"/>
    <cellStyle name="_050121 WMR_VSC_VSI-WMR 2" xfId="0"/>
    <cellStyle name="_050121 WMR_VSC_VSI-WMR 2007-07-06" xfId="0"/>
    <cellStyle name="_050121 WMR_VSC_VSI-WMR 2007-07-06 2" xfId="0"/>
    <cellStyle name="_050121 WMR_VSC_VSI-WMR 3" xfId="0"/>
    <cellStyle name="_050121 WMR_VSC_VSI-WMR 4" xfId="0"/>
    <cellStyle name="_050121 WMR_VSC_VSI-WMR 5" xfId="0"/>
    <cellStyle name="_050121 WMR_VSC_VSI-WMR 6" xfId="0"/>
    <cellStyle name="_050121 WMR_VSC_VSI-WMR 7" xfId="0"/>
    <cellStyle name="_050121 WMR_VSC_VSI-WMR 8" xfId="0"/>
    <cellStyle name="_050121 WMR_VSC_VSI-WMR 9" xfId="0"/>
    <cellStyle name="_050121 WMR_VSC_VSI-WMR_080822 WMR-VSC" xfId="0"/>
    <cellStyle name="_050121 WMR_VSC_VSI-WMR_080822 WMR-VSC 2" xfId="0"/>
    <cellStyle name="_050121 WMR_VSC_VSI-WMR_080829 WMR" xfId="0"/>
    <cellStyle name="_050121 WMR_VSC_VSI-WMR_080829 WMR 2" xfId="0"/>
    <cellStyle name="_050121 WMR_VSC_VSI-WMR_080905 WMR-VSC" xfId="0"/>
    <cellStyle name="_050121 WMR_VSC_VSI-WMR_080905 WMR-VSC 2" xfId="0"/>
    <cellStyle name="_050121 WMR_VSC_VSI-WMR_080912 WMR-VSC" xfId="0"/>
    <cellStyle name="_050121 WMR_VSC_VSI-WMR_080912 WMR-VSC 2" xfId="0"/>
    <cellStyle name="_050121 WMR_VSC_VSI-WMR_080919 WMR-VSC" xfId="0"/>
    <cellStyle name="_050121 WMR_VSC_VSI-WMR_080919 WMR-VSC 2" xfId="0"/>
    <cellStyle name="_050121 WMR_VSC_VSI-WMR_080926 WMR-VSC" xfId="0"/>
    <cellStyle name="_050121 WMR_VSC_VSI-WMR_080926 WMR-VSC 2" xfId="0"/>
    <cellStyle name="_050121 WMR_VSC_VSI-WMR_081003 WMR-VSC_1" xfId="0"/>
    <cellStyle name="_050121 WMR_VSC_VSI-WMR_081003 WMR-VSC_1 2" xfId="0"/>
    <cellStyle name="_050121 WMR_VSC_VSI-WMR_081010 WMR-VSC" xfId="0"/>
    <cellStyle name="_050121 WMR_VSC_VSI-WMR_081010 WMR-VSC 2" xfId="0"/>
    <cellStyle name="_050121 WMR_VSC_VSI-WMR_081017 WMR-VSC_1" xfId="0"/>
    <cellStyle name="_050121 WMR_VSC_VSI-WMR_081017 WMR-VSC_1 2" xfId="0"/>
    <cellStyle name="_050121 WMR_VSC_VSI-WMR_081024 WMR-VSC" xfId="0"/>
    <cellStyle name="_050121 WMR_VSC_VSI-WMR_081024 WMR-VSC 2" xfId="0"/>
    <cellStyle name="_050121 WMR_VSC_VSI-WMR_081031 WMR-VSC" xfId="0"/>
    <cellStyle name="_050121 WMR_VSC_VSI-WMR_081031 WMR-VSC 2" xfId="0"/>
    <cellStyle name="_050121 WMR_VSC_VSI-WMR_081107 WMR-VSC (2)" xfId="0"/>
    <cellStyle name="_050121 WMR_VSC_VSI-WMR_081107 WMR-VSC (2) 2" xfId="0"/>
    <cellStyle name="_050121 WMR_VSC_VSI-WMR_081107 WMR-VSC_1" xfId="0"/>
    <cellStyle name="_050121 WMR_VSC_VSI-WMR_081107 WMR-VSC_1 2" xfId="0"/>
    <cellStyle name="_050121 WMR_VSC_VSI-WMR_081114 WMR-VSC" xfId="0"/>
    <cellStyle name="_050121 WMR_VSC_VSI-WMR_081114 WMR-VSC 2" xfId="0"/>
    <cellStyle name="_050121 WMR_VSC_VSI-WMR_081121 WMR-VSC" xfId="0"/>
    <cellStyle name="_050121 WMR_VSC_VSI-WMR_081121 WMR-VSC 2" xfId="0"/>
    <cellStyle name="_050121 WMR_VSC_VSI-WMR_081128 WMR-VSC" xfId="0"/>
    <cellStyle name="_050121 WMR_VSC_VSI-WMR_081128 WMR-VSC 2" xfId="0"/>
    <cellStyle name="_050121 WMR_VSC_VSI-WMR_081128 WMR-VSC_1" xfId="0"/>
    <cellStyle name="_050121 WMR_VSC_VSI-WMR_081128 WMR-VSC_1 2" xfId="0"/>
    <cellStyle name="_050121 WMR_VSC_VSI-WMR_081205 WMR-VSC" xfId="0"/>
    <cellStyle name="_050121 WMR_VSC_VSI-WMR_081205 WMR-VSC 2" xfId="0"/>
    <cellStyle name="_050121 WMR_VSC_VSI-WMR_081212 WMR-VSC" xfId="0"/>
    <cellStyle name="_050121 WMR_VSC_VSI-WMR_081212 WMR-VSC 2" xfId="0"/>
    <cellStyle name="_050121 WMR_VSC_VSI-WMR_081219 WMR-VSC" xfId="0"/>
    <cellStyle name="_050121 WMR_VSC_VSI-WMR_081219 WMR-VSC 2" xfId="0"/>
    <cellStyle name="_050121 WMR_VSC_VSI-WMR_090102 WMR-VSC" xfId="0"/>
    <cellStyle name="_050121 WMR_VSC_VSI-WMR_090102 WMR-VSC 2" xfId="0"/>
    <cellStyle name="_050121 WMR_VSC_VSI-WMR_090424 WMR_VSE (2)" xfId="0"/>
    <cellStyle name="_050121 WMR_VSC_VSI-WMR_090424 WMR_VSE (2) 2" xfId="0"/>
    <cellStyle name="_050121 WMR_VSC_VSI-WMR_090703 WMR-VSC" xfId="0"/>
    <cellStyle name="_050121 WMR_VSC_VSI-WMR_090703 WMR-VSC 2" xfId="0"/>
    <cellStyle name="_050121 WMR_VSC_VSI-WMR_AP Turn Days old" xfId="0"/>
    <cellStyle name="_050121 WMR_VSC_VSI-WMR_AP Turn Days old 2" xfId="0"/>
    <cellStyle name="_050121 WMR_VSC_VSI-WMR_Cash" xfId="0"/>
    <cellStyle name="_050121 WMR_VSC_VSI-WMR_Cash 2" xfId="0"/>
    <cellStyle name="_050121 WMR_VSC_VSI-WMR_Charts" xfId="0"/>
    <cellStyle name="_050121 WMR_VSC_VSI-WMR_Charts 2" xfId="0"/>
    <cellStyle name="_050121 WMR_VSC_VSI-WMR_Inv Data" xfId="0"/>
    <cellStyle name="_050121 WMR_VSC_VSI-WMR_Inv Data 2" xfId="0"/>
    <cellStyle name="_050121 WMR_VSC_VSI-WMR_Inventory Pivot" xfId="0"/>
    <cellStyle name="_050121 WMR_VSC_VSI-WMR_Inventory Pivot 2" xfId="0"/>
    <cellStyle name="_050121 WMR_VSC_VSI-WMR_NEW WMR" xfId="0"/>
    <cellStyle name="_050121 WMR_VSC_VSI-WMR_NEW WMR 2" xfId="0"/>
    <cellStyle name="_050121 WMR_VSC_VSI-WMR_OpenOrder Data" xfId="0"/>
    <cellStyle name="_050121 WMR_VSC_VSI-WMR_OpenOrder Data 2" xfId="0"/>
    <cellStyle name="_050121 WMR_VSC_VSI-WMR_Revenue % Forecast" xfId="0"/>
    <cellStyle name="_050121 WMR_VSC_VSI-WMR_Revenue % Forecast 2" xfId="0"/>
    <cellStyle name="_050121 WMR_VSC_VSI-WMR_Turn Days" xfId="0"/>
    <cellStyle name="_050121 WMR_VSC_VSI-WMR_Turn Days 2" xfId="0"/>
    <cellStyle name="_050121 WMR_VSC_VSI-WMR_VDL" xfId="0"/>
    <cellStyle name="_050121 WMR_VSC_VSI-WMR_VDL 2" xfId="0"/>
    <cellStyle name="_050121 WMR_VSC_VSI-WMR_VSA" xfId="0"/>
    <cellStyle name="_050121 WMR_VSC_VSI-WMR_VSA 2" xfId="0"/>
    <cellStyle name="_050121 WMR_VSC_VSI-WMR_VSA Cash Flow Model (6-4-07)" xfId="0"/>
    <cellStyle name="_050121 WMR_VSC_VSI-WMR_VSA Cash Flow Model (6-4-07) 2" xfId="0"/>
    <cellStyle name="_050121 WMR_VSC_VSI-WMR_VSACE" xfId="0"/>
    <cellStyle name="_050121 WMR_VSC_VSI-WMR_VSACE 2" xfId="0"/>
    <cellStyle name="_050121 WMR_VSC_VSI-WMR_VSC" xfId="0"/>
    <cellStyle name="_050121 WMR_VSC_VSI-WMR_VSC 2" xfId="0"/>
    <cellStyle name="_050121 WMR_VSC_VSI-WMR_VSCN" xfId="0"/>
    <cellStyle name="_050121 WMR_VSC_VSI-WMR_VSCN 2" xfId="0"/>
    <cellStyle name="_050121 WMR_VSC_VSI-WMR_VSE" xfId="0"/>
    <cellStyle name="_050121 WMR_VSC_VSI-WMR_VSE 2" xfId="0"/>
    <cellStyle name="_050121 WMR_VSC_VSI-WMR_VSE WMR Workbook 08-07-09" xfId="0"/>
    <cellStyle name="_050121 WMR_VSC_VSI-WMR_VSE WMR Workbook 08-07-09 2" xfId="0"/>
    <cellStyle name="_050121 WMR_VSC_VSI-WMR_VSE WMR Workbook 11-19-10" xfId="0"/>
    <cellStyle name="_050121 WMR_VSC_VSI-WMR_VSE WMR Workbook 11-19-10 2" xfId="0"/>
    <cellStyle name="_050121 WMR_VSC_VSI-WMR_VSE WMR Workbook 12-31-10" xfId="0"/>
    <cellStyle name="_050121 WMR_VSC_VSI-WMR_VSE WMR Workbook 12-31-10 2" xfId="0"/>
    <cellStyle name="_050121 WMR_VSC_VSI-WMR_VSI" xfId="0"/>
    <cellStyle name="_050121 WMR_VSC_VSI-WMR_VSI 2" xfId="0"/>
    <cellStyle name="_050121 WMR_VSC_VSI-WMR_WMR" xfId="0"/>
    <cellStyle name="_050121 WMR_VSC_VSI-WMR_WMR (by QTY)" xfId="0"/>
    <cellStyle name="_050121 WMR_VSC_VSI-WMR_WMR (by QTY) 2" xfId="0"/>
    <cellStyle name="_050121 WMR_VSC_VSI-WMR_WMR 2" xfId="0"/>
    <cellStyle name="_050121 WMR_VSC_VSI-WMR_WMR 3" xfId="0"/>
    <cellStyle name="_050121 WMR_VSC_VSI-WMR_WMR 4" xfId="0"/>
    <cellStyle name="_050121 WMR_VSC_WMR" xfId="0"/>
    <cellStyle name="_050121 WMR_VSC_WMR (by QTY)" xfId="0"/>
    <cellStyle name="_050121 WMR_VSC_WMR (by QTY) 2" xfId="0"/>
    <cellStyle name="_050121 WMR_VSC_WMR 2" xfId="0"/>
    <cellStyle name="_050121 WMR_VSC_WMR 3" xfId="0"/>
    <cellStyle name="_050121 WMR_VSC_WMR 4" xfId="0"/>
    <cellStyle name="_050121 WMR_VSC_WMR Definitions" xfId="0"/>
    <cellStyle name="_050121 WMR_VSC_WMR Definitions 2" xfId="0"/>
    <cellStyle name="_050121 WMR_VSC_WMR VSCN" xfId="0"/>
    <cellStyle name="_050121 WMR_VSC_WMR VSCN 2" xfId="0"/>
    <cellStyle name="_050121 WMR_VSC_WMR VSCN(by Value)" xfId="0"/>
    <cellStyle name="_050121 WMR_VSC_WMR VSCN(by Value) 2" xfId="0"/>
    <cellStyle name="_050422 WMR_VSC" xfId="0"/>
    <cellStyle name="_050422 WMR_VSC 2" xfId="0"/>
    <cellStyle name="_050422 WMR_VSC_080613 new WMR_VSCN" xfId="0"/>
    <cellStyle name="_050422 WMR_VSC_080613 new WMR_VSCN 2" xfId="0"/>
    <cellStyle name="_050422 WMR_VSC_080822 WMR-VSC" xfId="0"/>
    <cellStyle name="_050422 WMR_VSC_080822 WMR-VSC 2" xfId="0"/>
    <cellStyle name="_050422 WMR_VSC_080829 WMR" xfId="0"/>
    <cellStyle name="_050422 WMR_VSC_080829 WMR 2" xfId="0"/>
    <cellStyle name="_050422 WMR_VSC_080905 WMR-VSC" xfId="0"/>
    <cellStyle name="_050422 WMR_VSC_080905 WMR-VSC 2" xfId="0"/>
    <cellStyle name="_050422 WMR_VSC_080912 WMR-VSC" xfId="0"/>
    <cellStyle name="_050422 WMR_VSC_080912 WMR-VSC 2" xfId="0"/>
    <cellStyle name="_050422 WMR_VSC_080919 WMR-VSC" xfId="0"/>
    <cellStyle name="_050422 WMR_VSC_080919 WMR-VSC 2" xfId="0"/>
    <cellStyle name="_050422 WMR_VSC_080926 WMR-VSC" xfId="0"/>
    <cellStyle name="_050422 WMR_VSC_080926 WMR-VSC 2" xfId="0"/>
    <cellStyle name="_050422 WMR_VSC_081003 WMR-VSC_1" xfId="0"/>
    <cellStyle name="_050422 WMR_VSC_081003 WMR-VSC_1 2" xfId="0"/>
    <cellStyle name="_050422 WMR_VSC_081010 WMR-VSC" xfId="0"/>
    <cellStyle name="_050422 WMR_VSC_081010 WMR-VSC 2" xfId="0"/>
    <cellStyle name="_050422 WMR_VSC_081017 WMR-VSC_1" xfId="0"/>
    <cellStyle name="_050422 WMR_VSC_081017 WMR-VSC_1 2" xfId="0"/>
    <cellStyle name="_050422 WMR_VSC_081024 WMR-VSC" xfId="0"/>
    <cellStyle name="_050422 WMR_VSC_081024 WMR-VSC 2" xfId="0"/>
    <cellStyle name="_050422 WMR_VSC_081031 WMR-VSC" xfId="0"/>
    <cellStyle name="_050422 WMR_VSC_081031 WMR-VSC 2" xfId="0"/>
    <cellStyle name="_050422 WMR_VSC_081107 WMR-VSC (2)" xfId="0"/>
    <cellStyle name="_050422 WMR_VSC_081107 WMR-VSC (2) 2" xfId="0"/>
    <cellStyle name="_050422 WMR_VSC_081107 WMR-VSC_1" xfId="0"/>
    <cellStyle name="_050422 WMR_VSC_081107 WMR-VSC_1 2" xfId="0"/>
    <cellStyle name="_050422 WMR_VSC_081114 WMR-VSC" xfId="0"/>
    <cellStyle name="_050422 WMR_VSC_081114 WMR-VSC 2" xfId="0"/>
    <cellStyle name="_050422 WMR_VSC_081121 WMR-VSC" xfId="0"/>
    <cellStyle name="_050422 WMR_VSC_081121 WMR-VSC 2" xfId="0"/>
    <cellStyle name="_050422 WMR_VSC_081128 WMR-VSC" xfId="0"/>
    <cellStyle name="_050422 WMR_VSC_081128 WMR-VSC 2" xfId="0"/>
    <cellStyle name="_050422 WMR_VSC_081128 WMR-VSC_1" xfId="0"/>
    <cellStyle name="_050422 WMR_VSC_081128 WMR-VSC_1 2" xfId="0"/>
    <cellStyle name="_050422 WMR_VSC_081205 WMR-VSC" xfId="0"/>
    <cellStyle name="_050422 WMR_VSC_081205 WMR-VSC 2" xfId="0"/>
    <cellStyle name="_050422 WMR_VSC_081212 WMR-VSC" xfId="0"/>
    <cellStyle name="_050422 WMR_VSC_081212 WMR-VSC 2" xfId="0"/>
    <cellStyle name="_050422 WMR_VSC_081219 WMR-VSC" xfId="0"/>
    <cellStyle name="_050422 WMR_VSC_081219 WMR-VSC 2" xfId="0"/>
    <cellStyle name="_050422 WMR_VSC_090102 WMR-VSC" xfId="0"/>
    <cellStyle name="_050422 WMR_VSC_090102 WMR-VSC 2" xfId="0"/>
    <cellStyle name="_050422 WMR_VSC_090424 WMR_VSE (2)" xfId="0"/>
    <cellStyle name="_050422 WMR_VSC_090424 WMR_VSE (2) 2" xfId="0"/>
    <cellStyle name="_050422 WMR_VSC_090703 WMR-VSC" xfId="0"/>
    <cellStyle name="_050422 WMR_VSC_090703 WMR-VSC 2" xfId="0"/>
    <cellStyle name="_050422 WMR_VSC_All Regions WMR Definitions - Updated 7-27-07" xfId="0"/>
    <cellStyle name="_050422 WMR_VSC_All Regions WMR Definitions - Updated 7-27-07 (3)" xfId="0"/>
    <cellStyle name="_050422 WMR_VSC_All Regions WMR Definitions - Updated 7-27-07 (3) 2" xfId="0"/>
    <cellStyle name="_050422 WMR_VSC_All Regions WMR Definitions - Updated 7-27-07 2" xfId="0"/>
    <cellStyle name="_050422 WMR_VSC_All Regions WMR Definitions - Updated 7-27-07 3" xfId="0"/>
    <cellStyle name="_050422 WMR_VSC_All Regions WMR Definitions - Updated 7-27-07 4" xfId="0"/>
    <cellStyle name="_050422 WMR_VSC_AP Turn Days old" xfId="0"/>
    <cellStyle name="_050422 WMR_VSC_AP Turn Days old 2" xfId="0"/>
    <cellStyle name="_050422 WMR_VSC_Cash" xfId="0"/>
    <cellStyle name="_050422 WMR_VSC_Cash 2" xfId="0"/>
    <cellStyle name="_050422 WMR_VSC_Charts" xfId="0"/>
    <cellStyle name="_050422 WMR_VSC_Charts 2" xfId="0"/>
    <cellStyle name="_050422 WMR_VSC_Inv Data" xfId="0"/>
    <cellStyle name="_050422 WMR_VSC_Inv Data 2" xfId="0"/>
    <cellStyle name="_050422 WMR_VSC_Inventory Pivot" xfId="0"/>
    <cellStyle name="_050422 WMR_VSC_Inventory Pivot 2" xfId="0"/>
    <cellStyle name="_050422 WMR_VSC_New Calculation of Inventory turn day" xfId="0"/>
    <cellStyle name="_050422 WMR_VSC_New Calculation of Inventory turn day 2" xfId="0"/>
    <cellStyle name="_050422 WMR_VSC_NEW WMR" xfId="0"/>
    <cellStyle name="_050422 WMR_VSC_NEW WMR 2" xfId="0"/>
    <cellStyle name="_050422 WMR_VSC_OpenOrder Data" xfId="0"/>
    <cellStyle name="_050422 WMR_VSC_OpenOrder Data 2" xfId="0"/>
    <cellStyle name="_050422 WMR_VSC_Revenue % Forecast" xfId="0"/>
    <cellStyle name="_050422 WMR_VSC_Revenue % Forecast 2" xfId="0"/>
    <cellStyle name="_050422 WMR_VSC_Turn Days" xfId="0"/>
    <cellStyle name="_050422 WMR_VSC_Turn Days 2" xfId="0"/>
    <cellStyle name="_050422 WMR_VSC_VDL" xfId="0"/>
    <cellStyle name="_050422 WMR_VSC_VDL 2" xfId="0"/>
    <cellStyle name="_050422 WMR_VSC_VSA" xfId="0"/>
    <cellStyle name="_050422 WMR_VSC_VSA 2" xfId="0"/>
    <cellStyle name="_050422 WMR_VSC_VSA Cash Flow Model (6-4-07)" xfId="0"/>
    <cellStyle name="_050422 WMR_VSC_VSA Cash Flow Model (6-4-07) 2" xfId="0"/>
    <cellStyle name="_050422 WMR_VSC_VSACE" xfId="0"/>
    <cellStyle name="_050422 WMR_VSC_VSACE 2" xfId="0"/>
    <cellStyle name="_050422 WMR_VSC_VSC" xfId="0"/>
    <cellStyle name="_050422 WMR_VSC_VSC 2" xfId="0"/>
    <cellStyle name="_050422 WMR_VSC_VSCN" xfId="0"/>
    <cellStyle name="_050422 WMR_VSC_VSCN 2" xfId="0"/>
    <cellStyle name="_050422 WMR_VSC_VSE" xfId="0"/>
    <cellStyle name="_050422 WMR_VSC_VSE 2" xfId="0"/>
    <cellStyle name="_050422 WMR_VSC_VSE WMR Workbook 08-07-09" xfId="0"/>
    <cellStyle name="_050422 WMR_VSC_VSE WMR Workbook 08-07-09 2" xfId="0"/>
    <cellStyle name="_050422 WMR_VSC_VSE WMR Workbook 11-19-10" xfId="0"/>
    <cellStyle name="_050422 WMR_VSC_VSE WMR Workbook 11-19-10 2" xfId="0"/>
    <cellStyle name="_050422 WMR_VSC_VSE WMR Workbook 12-31-10" xfId="0"/>
    <cellStyle name="_050422 WMR_VSC_VSE WMR Workbook 12-31-10 2" xfId="0"/>
    <cellStyle name="_050422 WMR_VSC_VSI" xfId="0"/>
    <cellStyle name="_050422 WMR_VSC_VSI 2" xfId="0"/>
    <cellStyle name="_050422 WMR_VSC_VSI-WMR" xfId="0"/>
    <cellStyle name="_050422 WMR_VSC_VSI-WMR (5)" xfId="0"/>
    <cellStyle name="_050422 WMR_VSC_VSI-WMR (5) 2" xfId="0"/>
    <cellStyle name="_050422 WMR_VSC_VSI-WMR (6)" xfId="0"/>
    <cellStyle name="_050422 WMR_VSC_VSI-WMR (6) 2" xfId="0"/>
    <cellStyle name="_050422 WMR_VSC_VSI-WMR 10" xfId="0"/>
    <cellStyle name="_050422 WMR_VSC_VSI-WMR 2" xfId="0"/>
    <cellStyle name="_050422 WMR_VSC_VSI-WMR 2007-07-06" xfId="0"/>
    <cellStyle name="_050422 WMR_VSC_VSI-WMR 2007-07-06 2" xfId="0"/>
    <cellStyle name="_050422 WMR_VSC_VSI-WMR 3" xfId="0"/>
    <cellStyle name="_050422 WMR_VSC_VSI-WMR 4" xfId="0"/>
    <cellStyle name="_050422 WMR_VSC_VSI-WMR 5" xfId="0"/>
    <cellStyle name="_050422 WMR_VSC_VSI-WMR 6" xfId="0"/>
    <cellStyle name="_050422 WMR_VSC_VSI-WMR 7" xfId="0"/>
    <cellStyle name="_050422 WMR_VSC_VSI-WMR 8" xfId="0"/>
    <cellStyle name="_050422 WMR_VSC_VSI-WMR 9" xfId="0"/>
    <cellStyle name="_050422 WMR_VSC_VSI-WMR_080822 WMR-VSC" xfId="0"/>
    <cellStyle name="_050422 WMR_VSC_VSI-WMR_080822 WMR-VSC 2" xfId="0"/>
    <cellStyle name="_050422 WMR_VSC_VSI-WMR_080829 WMR" xfId="0"/>
    <cellStyle name="_050422 WMR_VSC_VSI-WMR_080829 WMR 2" xfId="0"/>
    <cellStyle name="_050422 WMR_VSC_VSI-WMR_080905 WMR-VSC" xfId="0"/>
    <cellStyle name="_050422 WMR_VSC_VSI-WMR_080905 WMR-VSC 2" xfId="0"/>
    <cellStyle name="_050422 WMR_VSC_VSI-WMR_080912 WMR-VSC" xfId="0"/>
    <cellStyle name="_050422 WMR_VSC_VSI-WMR_080912 WMR-VSC 2" xfId="0"/>
    <cellStyle name="_050422 WMR_VSC_VSI-WMR_080919 WMR-VSC" xfId="0"/>
    <cellStyle name="_050422 WMR_VSC_VSI-WMR_080919 WMR-VSC 2" xfId="0"/>
    <cellStyle name="_050422 WMR_VSC_VSI-WMR_080926 WMR-VSC" xfId="0"/>
    <cellStyle name="_050422 WMR_VSC_VSI-WMR_080926 WMR-VSC 2" xfId="0"/>
    <cellStyle name="_050422 WMR_VSC_VSI-WMR_081003 WMR-VSC_1" xfId="0"/>
    <cellStyle name="_050422 WMR_VSC_VSI-WMR_081003 WMR-VSC_1 2" xfId="0"/>
    <cellStyle name="_050422 WMR_VSC_VSI-WMR_081010 WMR-VSC" xfId="0"/>
    <cellStyle name="_050422 WMR_VSC_VSI-WMR_081010 WMR-VSC 2" xfId="0"/>
    <cellStyle name="_050422 WMR_VSC_VSI-WMR_081017 WMR-VSC_1" xfId="0"/>
    <cellStyle name="_050422 WMR_VSC_VSI-WMR_081017 WMR-VSC_1 2" xfId="0"/>
    <cellStyle name="_050422 WMR_VSC_VSI-WMR_081024 WMR-VSC" xfId="0"/>
    <cellStyle name="_050422 WMR_VSC_VSI-WMR_081024 WMR-VSC 2" xfId="0"/>
    <cellStyle name="_050422 WMR_VSC_VSI-WMR_081031 WMR-VSC" xfId="0"/>
    <cellStyle name="_050422 WMR_VSC_VSI-WMR_081031 WMR-VSC 2" xfId="0"/>
    <cellStyle name="_050422 WMR_VSC_VSI-WMR_081107 WMR-VSC (2)" xfId="0"/>
    <cellStyle name="_050422 WMR_VSC_VSI-WMR_081107 WMR-VSC (2) 2" xfId="0"/>
    <cellStyle name="_050422 WMR_VSC_VSI-WMR_081107 WMR-VSC_1" xfId="0"/>
    <cellStyle name="_050422 WMR_VSC_VSI-WMR_081107 WMR-VSC_1 2" xfId="0"/>
    <cellStyle name="_050422 WMR_VSC_VSI-WMR_081114 WMR-VSC" xfId="0"/>
    <cellStyle name="_050422 WMR_VSC_VSI-WMR_081114 WMR-VSC 2" xfId="0"/>
    <cellStyle name="_050422 WMR_VSC_VSI-WMR_081121 WMR-VSC" xfId="0"/>
    <cellStyle name="_050422 WMR_VSC_VSI-WMR_081121 WMR-VSC 2" xfId="0"/>
    <cellStyle name="_050422 WMR_VSC_VSI-WMR_081128 WMR-VSC" xfId="0"/>
    <cellStyle name="_050422 WMR_VSC_VSI-WMR_081128 WMR-VSC 2" xfId="0"/>
    <cellStyle name="_050422 WMR_VSC_VSI-WMR_081128 WMR-VSC_1" xfId="0"/>
    <cellStyle name="_050422 WMR_VSC_VSI-WMR_081128 WMR-VSC_1 2" xfId="0"/>
    <cellStyle name="_050422 WMR_VSC_VSI-WMR_081205 WMR-VSC" xfId="0"/>
    <cellStyle name="_050422 WMR_VSC_VSI-WMR_081205 WMR-VSC 2" xfId="0"/>
    <cellStyle name="_050422 WMR_VSC_VSI-WMR_081212 WMR-VSC" xfId="0"/>
    <cellStyle name="_050422 WMR_VSC_VSI-WMR_081212 WMR-VSC 2" xfId="0"/>
    <cellStyle name="_050422 WMR_VSC_VSI-WMR_081219 WMR-VSC" xfId="0"/>
    <cellStyle name="_050422 WMR_VSC_VSI-WMR_081219 WMR-VSC 2" xfId="0"/>
    <cellStyle name="_050422 WMR_VSC_VSI-WMR_090102 WMR-VSC" xfId="0"/>
    <cellStyle name="_050422 WMR_VSC_VSI-WMR_090102 WMR-VSC 2" xfId="0"/>
    <cellStyle name="_050422 WMR_VSC_VSI-WMR_090424 WMR_VSE (2)" xfId="0"/>
    <cellStyle name="_050422 WMR_VSC_VSI-WMR_090424 WMR_VSE (2) 2" xfId="0"/>
    <cellStyle name="_050422 WMR_VSC_VSI-WMR_090703 WMR-VSC" xfId="0"/>
    <cellStyle name="_050422 WMR_VSC_VSI-WMR_090703 WMR-VSC 2" xfId="0"/>
    <cellStyle name="_050422 WMR_VSC_VSI-WMR_AP Turn Days old" xfId="0"/>
    <cellStyle name="_050422 WMR_VSC_VSI-WMR_AP Turn Days old 2" xfId="0"/>
    <cellStyle name="_050422 WMR_VSC_VSI-WMR_Cash" xfId="0"/>
    <cellStyle name="_050422 WMR_VSC_VSI-WMR_Cash 2" xfId="0"/>
    <cellStyle name="_050422 WMR_VSC_VSI-WMR_Charts" xfId="0"/>
    <cellStyle name="_050422 WMR_VSC_VSI-WMR_Charts 2" xfId="0"/>
    <cellStyle name="_050422 WMR_VSC_VSI-WMR_Inv Data" xfId="0"/>
    <cellStyle name="_050422 WMR_VSC_VSI-WMR_Inv Data 2" xfId="0"/>
    <cellStyle name="_050422 WMR_VSC_VSI-WMR_Inventory Pivot" xfId="0"/>
    <cellStyle name="_050422 WMR_VSC_VSI-WMR_Inventory Pivot 2" xfId="0"/>
    <cellStyle name="_050422 WMR_VSC_VSI-WMR_NEW WMR" xfId="0"/>
    <cellStyle name="_050422 WMR_VSC_VSI-WMR_NEW WMR 2" xfId="0"/>
    <cellStyle name="_050422 WMR_VSC_VSI-WMR_OpenOrder Data" xfId="0"/>
    <cellStyle name="_050422 WMR_VSC_VSI-WMR_OpenOrder Data 2" xfId="0"/>
    <cellStyle name="_050422 WMR_VSC_VSI-WMR_Revenue % Forecast" xfId="0"/>
    <cellStyle name="_050422 WMR_VSC_VSI-WMR_Revenue % Forecast 2" xfId="0"/>
    <cellStyle name="_050422 WMR_VSC_VSI-WMR_Turn Days" xfId="0"/>
    <cellStyle name="_050422 WMR_VSC_VSI-WMR_Turn Days 2" xfId="0"/>
    <cellStyle name="_050422 WMR_VSC_VSI-WMR_VDL" xfId="0"/>
    <cellStyle name="_050422 WMR_VSC_VSI-WMR_VDL 2" xfId="0"/>
    <cellStyle name="_050422 WMR_VSC_VSI-WMR_VSA" xfId="0"/>
    <cellStyle name="_050422 WMR_VSC_VSI-WMR_VSA 2" xfId="0"/>
    <cellStyle name="_050422 WMR_VSC_VSI-WMR_VSA Cash Flow Model (6-4-07)" xfId="0"/>
    <cellStyle name="_050422 WMR_VSC_VSI-WMR_VSA Cash Flow Model (6-4-07) 2" xfId="0"/>
    <cellStyle name="_050422 WMR_VSC_VSI-WMR_VSACE" xfId="0"/>
    <cellStyle name="_050422 WMR_VSC_VSI-WMR_VSACE 2" xfId="0"/>
    <cellStyle name="_050422 WMR_VSC_VSI-WMR_VSC" xfId="0"/>
    <cellStyle name="_050422 WMR_VSC_VSI-WMR_VSC 2" xfId="0"/>
    <cellStyle name="_050422 WMR_VSC_VSI-WMR_VSCN" xfId="0"/>
    <cellStyle name="_050422 WMR_VSC_VSI-WMR_VSCN 2" xfId="0"/>
    <cellStyle name="_050422 WMR_VSC_VSI-WMR_VSE" xfId="0"/>
    <cellStyle name="_050422 WMR_VSC_VSI-WMR_VSE 2" xfId="0"/>
    <cellStyle name="_050422 WMR_VSC_VSI-WMR_VSE WMR Workbook 08-07-09" xfId="0"/>
    <cellStyle name="_050422 WMR_VSC_VSI-WMR_VSE WMR Workbook 08-07-09 2" xfId="0"/>
    <cellStyle name="_050422 WMR_VSC_VSI-WMR_VSE WMR Workbook 11-19-10" xfId="0"/>
    <cellStyle name="_050422 WMR_VSC_VSI-WMR_VSE WMR Workbook 11-19-10 2" xfId="0"/>
    <cellStyle name="_050422 WMR_VSC_VSI-WMR_VSE WMR Workbook 12-31-10" xfId="0"/>
    <cellStyle name="_050422 WMR_VSC_VSI-WMR_VSE WMR Workbook 12-31-10 2" xfId="0"/>
    <cellStyle name="_050422 WMR_VSC_VSI-WMR_VSI" xfId="0"/>
    <cellStyle name="_050422 WMR_VSC_VSI-WMR_VSI 2" xfId="0"/>
    <cellStyle name="_050422 WMR_VSC_VSI-WMR_WMR" xfId="0"/>
    <cellStyle name="_050422 WMR_VSC_VSI-WMR_WMR (by QTY)" xfId="0"/>
    <cellStyle name="_050422 WMR_VSC_VSI-WMR_WMR (by QTY) 2" xfId="0"/>
    <cellStyle name="_050422 WMR_VSC_VSI-WMR_WMR 2" xfId="0"/>
    <cellStyle name="_050422 WMR_VSC_VSI-WMR_WMR 3" xfId="0"/>
    <cellStyle name="_050422 WMR_VSC_VSI-WMR_WMR 4" xfId="0"/>
    <cellStyle name="_050422 WMR_VSC_WMR" xfId="0"/>
    <cellStyle name="_050422 WMR_VSC_WMR (by QTY)" xfId="0"/>
    <cellStyle name="_050422 WMR_VSC_WMR (by QTY) 2" xfId="0"/>
    <cellStyle name="_050422 WMR_VSC_WMR 2" xfId="0"/>
    <cellStyle name="_050422 WMR_VSC_WMR 3" xfId="0"/>
    <cellStyle name="_050422 WMR_VSC_WMR 4" xfId="0"/>
    <cellStyle name="_050422 WMR_VSC_WMR Definitions" xfId="0"/>
    <cellStyle name="_050422 WMR_VSC_WMR Definitions 2" xfId="0"/>
    <cellStyle name="_050422 WMR_VSC_WMR VSCN" xfId="0"/>
    <cellStyle name="_050422 WMR_VSC_WMR VSCN 2" xfId="0"/>
    <cellStyle name="_050422 WMR_VSC_WMR VSCN(by Value)" xfId="0"/>
    <cellStyle name="_050422 WMR_VSC_WMR VSCN(by Value) 2" xfId="0"/>
    <cellStyle name="_080606 WMR-VSC" xfId="0"/>
    <cellStyle name="_080606 WMR-VSC 2" xfId="0"/>
    <cellStyle name="_10-Dec-2010" xfId="0"/>
    <cellStyle name="_10-Dec-2010 2" xfId="0"/>
    <cellStyle name="_1008 Slow-LCM" xfId="0"/>
    <cellStyle name="_1008 Slow-LCM 2" xfId="0"/>
    <cellStyle name="_1008 Slow-LCM 2 2" xfId="0"/>
    <cellStyle name="_1008 Slow-LCM 3" xfId="0"/>
    <cellStyle name="_1009 Slow-LCM" xfId="0"/>
    <cellStyle name="_1009 Slow-LCM 2" xfId="0"/>
    <cellStyle name="_1009 Slow-LCM 2 2" xfId="0"/>
    <cellStyle name="_1009 Slow-LCM 3" xfId="0"/>
    <cellStyle name="_1010 Slow-LCM" xfId="0"/>
    <cellStyle name="_1010 Slow-LCM 2" xfId="0"/>
    <cellStyle name="_1010 Slow-LCM 2 2" xfId="0"/>
    <cellStyle name="_1010 Slow-LCM 3" xfId="0"/>
    <cellStyle name="_1011 Slow-LCM" xfId="0"/>
    <cellStyle name="_1011 Slow-LCM 2" xfId="0"/>
    <cellStyle name="_1011 Slow-LCM 2 2" xfId="0"/>
    <cellStyle name="_1011 Slow-LCM 3" xfId="0"/>
    <cellStyle name="_1012 Slow-LCM" xfId="0"/>
    <cellStyle name="_1012 Slow-LCM 2" xfId="0"/>
    <cellStyle name="_1012 Slow-LCM 2 2" xfId="0"/>
    <cellStyle name="_1012 Slow-LCM 3" xfId="0"/>
    <cellStyle name="_12-Nov-2010" xfId="0"/>
    <cellStyle name="_12-Nov-2010 2" xfId="0"/>
    <cellStyle name="_13-wk VSA_Revised" xfId="0"/>
    <cellStyle name="_13-wk VSA_Revised 2" xfId="0"/>
    <cellStyle name="_13-wk VSA_Revised 2 2" xfId="0"/>
    <cellStyle name="_13-wk VSA_Revised 3" xfId="0"/>
    <cellStyle name="_13-wk VSA_Revised_090703 WMR-VSC" xfId="0"/>
    <cellStyle name="_13-wk VSA_Revised_090703 WMR-VSC 2" xfId="0"/>
    <cellStyle name="_13-wk VSA_Revised_090703 WMR-VSC_13-wk VSA_Revised" xfId="0"/>
    <cellStyle name="_13-wk VSA_Revised_090703 WMR-VSC_13-wk VSA_Revised 2" xfId="0"/>
    <cellStyle name="_13-wk VSA_Revised_090703 WMR-VSC_NEW WMR" xfId="0"/>
    <cellStyle name="_13-wk VSA_Revised_090703 WMR-VSC_NEW WMR 2" xfId="0"/>
    <cellStyle name="_13-wk VSA_Revised_090703 WMR-VSC_NEW WMR_13-wk VSA_Revised" xfId="0"/>
    <cellStyle name="_13-wk VSA_Revised_090703 WMR-VSC_NEW WMR_13-wk VSA_Revised 2" xfId="0"/>
    <cellStyle name="_13-wk VSA_Revised_090703 WMR-VSC_NEW WMR_Charts" xfId="0"/>
    <cellStyle name="_13-wk VSA_Revised_090703 WMR-VSC_NEW WMR_Charts 2" xfId="0"/>
    <cellStyle name="_13-wk VSA_Revised_090703 WMR-VSC_VSA" xfId="0"/>
    <cellStyle name="_13-wk VSA_Revised_090703 WMR-VSC_VSA 2" xfId="0"/>
    <cellStyle name="_13-wk VSA_Revised_090703 WMR-VSC_VSA_13-wk VSA_Revised" xfId="0"/>
    <cellStyle name="_13-wk VSA_Revised_090703 WMR-VSC_VSA_13-wk VSA_Revised 2" xfId="0"/>
    <cellStyle name="_13-wk VSA_Revised_090703 WMR-VSC_VSA_Charts" xfId="0"/>
    <cellStyle name="_13-wk VSA_Revised_090703 WMR-VSC_VSA_Charts 2" xfId="0"/>
    <cellStyle name="_13-wk VSA_Revised_090703 WMR-VSC_VSC" xfId="0"/>
    <cellStyle name="_13-wk VSA_Revised_090703 WMR-VSC_VSC 2" xfId="0"/>
    <cellStyle name="_13-wk VSA_Revised_090703 WMR-VSC_VSC_13-wk VSA_Revised" xfId="0"/>
    <cellStyle name="_13-wk VSA_Revised_090703 WMR-VSC_VSC_13-wk VSA_Revised 2" xfId="0"/>
    <cellStyle name="_13-wk VSA_Revised_090703 WMR-VSC_VSC_Charts" xfId="0"/>
    <cellStyle name="_13-wk VSA_Revised_090703 WMR-VSC_VSC_Charts 2" xfId="0"/>
    <cellStyle name="_13-wk VSA_Revised_090703 WMR-VSC_VSCN" xfId="0"/>
    <cellStyle name="_13-wk VSA_Revised_090703 WMR-VSC_VSCN 2" xfId="0"/>
    <cellStyle name="_13-wk VSA_Revised_090703 WMR-VSC_VSCN_13-wk VSA_Revised" xfId="0"/>
    <cellStyle name="_13-wk VSA_Revised_090703 WMR-VSC_VSCN_13-wk VSA_Revised 2" xfId="0"/>
    <cellStyle name="_13-wk VSA_Revised_090703 WMR-VSC_VSCN_Charts" xfId="0"/>
    <cellStyle name="_13-wk VSA_Revised_090703 WMR-VSC_VSCN_Charts 2" xfId="0"/>
    <cellStyle name="_13-wk VSA_Revised_090703 WMR-VSC_VSE" xfId="0"/>
    <cellStyle name="_13-wk VSA_Revised_090703 WMR-VSC_VSE 2" xfId="0"/>
    <cellStyle name="_13-wk VSA_Revised_090703 WMR-VSC_VSE_13-wk VSA_Revised" xfId="0"/>
    <cellStyle name="_13-wk VSA_Revised_090703 WMR-VSC_VSE_13-wk VSA_Revised 2" xfId="0"/>
    <cellStyle name="_13-wk VSA_Revised_090703 WMR-VSC_VSE_Charts" xfId="0"/>
    <cellStyle name="_13-wk VSA_Revised_090703 WMR-VSC_VSE_Charts 2" xfId="0"/>
    <cellStyle name="_13-wk VSA_Revised_090703 WMR-VSC_VSI" xfId="0"/>
    <cellStyle name="_13-wk VSA_Revised_090703 WMR-VSC_VSI 2" xfId="0"/>
    <cellStyle name="_13-wk VSA_Revised_090703 WMR-VSC_VSI_13-wk VSA_Revised" xfId="0"/>
    <cellStyle name="_13-wk VSA_Revised_090703 WMR-VSC_VSI_13-wk VSA_Revised 2" xfId="0"/>
    <cellStyle name="_13-wk VSA_Revised_090703 WMR-VSC_VSI_Charts" xfId="0"/>
    <cellStyle name="_13-wk VSA_Revised_090703 WMR-VSC_VSI_Charts 2" xfId="0"/>
    <cellStyle name="_13-wk VSA_Revised_13-wk VSA_Revised" xfId="0"/>
    <cellStyle name="_13-wk VSA_Revised_13-wk VSA_Revised 2" xfId="0"/>
    <cellStyle name="_13-wk VSA_Revised_13-wk VSI_Revised" xfId="0"/>
    <cellStyle name="_13-wk VSA_Revised_13-wk VSI_Revised 2" xfId="0"/>
    <cellStyle name="_13-wk VSA_Revised_Charts" xfId="0"/>
    <cellStyle name="_13-wk VSA_Revised_Charts 2" xfId="0"/>
    <cellStyle name="_13-wk VSA_Revised_DCR" xfId="0"/>
    <cellStyle name="_13-wk VSA_Revised_DCR 2" xfId="0"/>
    <cellStyle name="_13-wk VSA_Revised_VSI" xfId="0"/>
    <cellStyle name="_13-wk VSA_Revised_VSI 2" xfId="0"/>
    <cellStyle name="_13-wk VSA_Revised_VSI_13-wk VSA_Revised" xfId="0"/>
    <cellStyle name="_13-wk VSA_Revised_VSI_13-wk VSA_Revised 2" xfId="0"/>
    <cellStyle name="_13-wk VSA_Revised_VSI_NEW WMR" xfId="0"/>
    <cellStyle name="_13-wk VSA_Revised_VSI_NEW WMR 2" xfId="0"/>
    <cellStyle name="_13-wk VSA_Revised_VSI_NEW WMR_13-wk VSA_Revised" xfId="0"/>
    <cellStyle name="_13-wk VSA_Revised_VSI_NEW WMR_13-wk VSA_Revised 2" xfId="0"/>
    <cellStyle name="_13-wk VSA_Revised_VSI_NEW WMR_Charts" xfId="0"/>
    <cellStyle name="_13-wk VSA_Revised_VSI_NEW WMR_Charts 2" xfId="0"/>
    <cellStyle name="_13-wk VSA_Revised_VSI_VSA" xfId="0"/>
    <cellStyle name="_13-wk VSA_Revised_VSI_VSA 2" xfId="0"/>
    <cellStyle name="_13-wk VSA_Revised_VSI_VSA_13-wk VSA_Revised" xfId="0"/>
    <cellStyle name="_13-wk VSA_Revised_VSI_VSA_13-wk VSA_Revised 2" xfId="0"/>
    <cellStyle name="_13-wk VSA_Revised_VSI_VSA_Charts" xfId="0"/>
    <cellStyle name="_13-wk VSA_Revised_VSI_VSA_Charts 2" xfId="0"/>
    <cellStyle name="_13-wk VSA_Revised_VSI_VSC" xfId="0"/>
    <cellStyle name="_13-wk VSA_Revised_VSI_VSC 2" xfId="0"/>
    <cellStyle name="_13-wk VSA_Revised_VSI_VSC_13-wk VSA_Revised" xfId="0"/>
    <cellStyle name="_13-wk VSA_Revised_VSI_VSC_13-wk VSA_Revised 2" xfId="0"/>
    <cellStyle name="_13-wk VSA_Revised_VSI_VSC_Charts" xfId="0"/>
    <cellStyle name="_13-wk VSA_Revised_VSI_VSC_Charts 2" xfId="0"/>
    <cellStyle name="_13-wk VSA_Revised_VSI_VSCN" xfId="0"/>
    <cellStyle name="_13-wk VSA_Revised_VSI_VSCN 2" xfId="0"/>
    <cellStyle name="_13-wk VSA_Revised_VSI_VSCN_13-wk VSA_Revised" xfId="0"/>
    <cellStyle name="_13-wk VSA_Revised_VSI_VSCN_13-wk VSA_Revised 2" xfId="0"/>
    <cellStyle name="_13-wk VSA_Revised_VSI_VSCN_Charts" xfId="0"/>
    <cellStyle name="_13-wk VSA_Revised_VSI_VSCN_Charts 2" xfId="0"/>
    <cellStyle name="_13-wk VSA_Revised_VSI_VSE" xfId="0"/>
    <cellStyle name="_13-wk VSA_Revised_VSI_VSE 2" xfId="0"/>
    <cellStyle name="_13-wk VSA_Revised_VSI_VSE_13-wk VSA_Revised" xfId="0"/>
    <cellStyle name="_13-wk VSA_Revised_VSI_VSE_13-wk VSA_Revised 2" xfId="0"/>
    <cellStyle name="_13-wk VSA_Revised_VSI_VSE_Charts" xfId="0"/>
    <cellStyle name="_13-wk VSA_Revised_VSI_VSE_Charts 2" xfId="0"/>
    <cellStyle name="_13-wk VSA_Revised_VSI_VSI" xfId="0"/>
    <cellStyle name="_13-wk VSA_Revised_VSI_VSI 2" xfId="0"/>
    <cellStyle name="_13-wk VSA_Revised_VSI_VSI_13-wk VSA_Revised" xfId="0"/>
    <cellStyle name="_13-wk VSA_Revised_VSI_VSI_13-wk VSA_Revised 2" xfId="0"/>
    <cellStyle name="_13-wk VSA_Revised_VSI_VSI_Charts" xfId="0"/>
    <cellStyle name="_13-wk VSA_Revised_VSI_VSI_Charts 2" xfId="0"/>
    <cellStyle name="_13-wk VSA_Revised_WMR VSI" xfId="0"/>
    <cellStyle name="_13-wk VSA_Revised_WMR VSI 2" xfId="0"/>
    <cellStyle name="_17-Dec-2010" xfId="0"/>
    <cellStyle name="_17-Dec-2010 2" xfId="0"/>
    <cellStyle name="_170907" xfId="0"/>
    <cellStyle name="_170907 2" xfId="0"/>
    <cellStyle name="_170907_2007 Margin Calc Check" xfId="0"/>
    <cellStyle name="_170907_2007 Margin Calc Check 2" xfId="0"/>
    <cellStyle name="_170907_2008 Margin Calc Check" xfId="0"/>
    <cellStyle name="_170907_2008 Margin Calc Check 2" xfId="0"/>
    <cellStyle name="_170907_Margin Calc Check" xfId="0"/>
    <cellStyle name="_170907_Margin Calc Check 100630" xfId="0"/>
    <cellStyle name="_170907_Margin Calc Check 100630 2" xfId="0"/>
    <cellStyle name="_170907_Margin Calc Check 100725" xfId="0"/>
    <cellStyle name="_170907_Margin Calc Check 100725 2" xfId="0"/>
    <cellStyle name="_170907_Margin Calc Check 100731" xfId="0"/>
    <cellStyle name="_170907_Margin Calc Check 100731 2" xfId="0"/>
    <cellStyle name="_170907_Margin Calc Check 100820" xfId="0"/>
    <cellStyle name="_170907_Margin Calc Check 100820 2" xfId="0"/>
    <cellStyle name="_170907_Margin Calc Check 100831" xfId="0"/>
    <cellStyle name="_170907_Margin Calc Check 100831 2" xfId="0"/>
    <cellStyle name="_170907_Margin Calc Check 100930" xfId="0"/>
    <cellStyle name="_170907_Margin Calc Check 100930 2" xfId="0"/>
    <cellStyle name="_170907_Margin Calc Check 101031" xfId="0"/>
    <cellStyle name="_170907_Margin Calc Check 101031 2" xfId="0"/>
    <cellStyle name="_170907_Margin Calc Check 2" xfId="0"/>
    <cellStyle name="_170907_Margin Calc Check-cost updated (2)" xfId="0"/>
    <cellStyle name="_170907_Margin Calc Check-cost updated (2) 2" xfId="0"/>
    <cellStyle name="_170907_Margin Calc Check-cost updated-14-05-10" xfId="0"/>
    <cellStyle name="_170907_Margin Calc Check-cost updated-14-05-10 2" xfId="0"/>
    <cellStyle name="_170907_Margin Calc Check-cost updated-21-04-10" xfId="0"/>
    <cellStyle name="_170907_Margin Calc Check-cost updated-21-04-10 2" xfId="0"/>
    <cellStyle name="_170907_Margin Calc Check-cost updated-21-05-10" xfId="0"/>
    <cellStyle name="_170907_Margin Calc Check-cost updated-21-05-10 2" xfId="0"/>
    <cellStyle name="_170907_Margin Calc Check-cost updated-22-01-10" xfId="0"/>
    <cellStyle name="_170907_Margin Calc Check-cost updated-22-01-10 2" xfId="0"/>
    <cellStyle name="_170907_Margin Calc Check-cost updated-28-02-10" xfId="0"/>
    <cellStyle name="_170907_Margin Calc Check-cost updated-28-02-10 2" xfId="0"/>
    <cellStyle name="_170907_Margin Calc Check-cost updated-30-04-10" xfId="0"/>
    <cellStyle name="_170907_Margin Calc Check-cost updated-30-04-10 2" xfId="0"/>
    <cellStyle name="_170907_Margin Calc Check-cost updated-31-01-10" xfId="0"/>
    <cellStyle name="_170907_Margin Calc Check-cost updated-31-01-10 2" xfId="0"/>
    <cellStyle name="_170907_Margin Calc Check-cost updated-31-12-09" xfId="0"/>
    <cellStyle name="_170907_Margin Calc Check-cost updated-31-12-09 2" xfId="0"/>
    <cellStyle name="_19-Nov-2010" xfId="0"/>
    <cellStyle name="_19-Nov-2010 (2)" xfId="0"/>
    <cellStyle name="_19-Nov-2010 (2) 2" xfId="0"/>
    <cellStyle name="_19-Nov-2010 2" xfId="0"/>
    <cellStyle name="_19-Nov-2010 3" xfId="0"/>
    <cellStyle name="_19-Nov-2010 4" xfId="0"/>
    <cellStyle name="_2007 CPC COGS 070814_cbt" xfId="0"/>
    <cellStyle name="_2007 CPC COGS 070814_cbt 2" xfId="0"/>
    <cellStyle name="_2007 CPC COGS 070814_cbt_CORP SG&amp;A" xfId="0"/>
    <cellStyle name="_2007 CPC COGS 070913_cbt" xfId="0"/>
    <cellStyle name="_2007 CPC COGS 070913_cbt 2" xfId="0"/>
    <cellStyle name="_2007 CPC COGS 070913_cbt_CORP SG&amp;A" xfId="0"/>
    <cellStyle name="_2007 CPC COGS 071024_cbt" xfId="0"/>
    <cellStyle name="_2007 CPC COGS 071024_cbt 2" xfId="0"/>
    <cellStyle name="_2007 CPC COGS 071024_cbt_CORP SG&amp;A" xfId="0"/>
    <cellStyle name="_2007 CPC COGS beginning_cbt" xfId="0"/>
    <cellStyle name="_2007 CPC COGS beginning_cbt 2" xfId="0"/>
    <cellStyle name="_2007 CPC COGS beginning_cbt_CORP SG&amp;A" xfId="0"/>
    <cellStyle name="_2007 CPC COGS LCD TV 0708" xfId="0"/>
    <cellStyle name="_2007 CPC COGS LCD TV 0708 2" xfId="0"/>
    <cellStyle name="_2007 CPC COGS LCD TV 0708-2" xfId="0"/>
    <cellStyle name="_2007 CPC COGS LCD TV 0708-2 2" xfId="0"/>
    <cellStyle name="_2007 CPC COGS LCD TV 0708-2_CORP SG&amp;A" xfId="0"/>
    <cellStyle name="_2007 CPC COGS LCD TV 0708_CORP SG&amp;A" xfId="0"/>
    <cellStyle name="_2007 CPC COGS LCD TV 0710 jo" xfId="0"/>
    <cellStyle name="_2007 CPC COGS LCD TV 0710 jo 2" xfId="0"/>
    <cellStyle name="_2007 CPC COGS LCD TV 0710 jo_CORP SG&amp;A" xfId="0"/>
    <cellStyle name="_2008" xfId="0"/>
    <cellStyle name="_2008 CPC COGS _cbt" xfId="0"/>
    <cellStyle name="_2008 CPC COGS _cbt 2" xfId="0"/>
    <cellStyle name="_2008 CPC COGS _cbt_CORP SG&amp;A" xfId="0"/>
    <cellStyle name="_2008 CPC COGS LCD TV" xfId="0"/>
    <cellStyle name="_2008 CPC COGS LCD TV 2" xfId="0"/>
    <cellStyle name="_2008 CPC COGS LCD TV_CORP SG&amp;A" xfId="0"/>
    <cellStyle name="_2008_2010 Existing SKU" xfId="0"/>
    <cellStyle name="_2009 FA (TWD) vsi" xfId="0"/>
    <cellStyle name="_2009 FA (TWD) vsi 2" xfId="0"/>
    <cellStyle name="_2009 FA (TWD) vsi_2011 FA (TWD) vsi" xfId="0"/>
    <cellStyle name="_2009 FA (TWD) vsi_2011 FA (TWD) vsi 2" xfId="0"/>
    <cellStyle name="_2009 FA (TWD) vsi_2011 FA (USD) vsi " xfId="0"/>
    <cellStyle name="_2009 FA (TWD) vsi_2011 FA (USD) vsi  2" xfId="0"/>
    <cellStyle name="_2009 FA (TWD) vsi_2012 FA (TWD) vsi" xfId="0"/>
    <cellStyle name="_2009 FA (TWD) vsi_2012 FA (TWD) vsi 2" xfId="0"/>
    <cellStyle name="_2009 FA (TWD) vsi_2012 FA (USD) vsi " xfId="0"/>
    <cellStyle name="_2009 FA (TWD) vsi_2012 FA (USD) vsi  2" xfId="0"/>
    <cellStyle name="_2009 FA (TWD) vsi_RETIREMEN vsi" xfId="0"/>
    <cellStyle name="_2009 FA (TWD) vsi_RETIREMEN vsi 2" xfId="0"/>
    <cellStyle name="_2009 FA (TWD) vsi_TB-TWD" xfId="0"/>
    <cellStyle name="_2009 FA (TWD) vsi_TB-TWD 2" xfId="0"/>
    <cellStyle name="_2009 FA (TWD) vsi_VSI FA Rollforward 1003" xfId="0"/>
    <cellStyle name="_2009 FA (TWD) vsi_VSI FA Rollforward 1003 2" xfId="0"/>
    <cellStyle name="_2009 FA (TWD) vsi_VSI FA Rollforward 1003_RETIREMEN vsi" xfId="0"/>
    <cellStyle name="_2009 FA (TWD) vsi_VSI FA Rollforward 1003_RETIREMEN vsi 2" xfId="0"/>
    <cellStyle name="_200906 Allowance for Bad Debt" xfId="0"/>
    <cellStyle name="_200906 Allowance for Bad Debt 2" xfId="0"/>
    <cellStyle name="_2010 FA (TWD) vsi" xfId="0"/>
    <cellStyle name="_2010 FA (TWD) vsi 2" xfId="0"/>
    <cellStyle name="_24-Dec-2010" xfId="0"/>
    <cellStyle name="_24-Dec-2010 2" xfId="0"/>
    <cellStyle name="_240907" xfId="0"/>
    <cellStyle name="_240907 2" xfId="0"/>
    <cellStyle name="_240907_2007 Margin Calc Check" xfId="0"/>
    <cellStyle name="_240907_2007 Margin Calc Check 2" xfId="0"/>
    <cellStyle name="_240907_2008 Margin Calc Check" xfId="0"/>
    <cellStyle name="_240907_2008 Margin Calc Check 2" xfId="0"/>
    <cellStyle name="_240907_Margin Calc Check" xfId="0"/>
    <cellStyle name="_240907_Margin Calc Check 100630" xfId="0"/>
    <cellStyle name="_240907_Margin Calc Check 100630 2" xfId="0"/>
    <cellStyle name="_240907_Margin Calc Check 100725" xfId="0"/>
    <cellStyle name="_240907_Margin Calc Check 100725 2" xfId="0"/>
    <cellStyle name="_240907_Margin Calc Check 100731" xfId="0"/>
    <cellStyle name="_240907_Margin Calc Check 100731 2" xfId="0"/>
    <cellStyle name="_240907_Margin Calc Check 100820" xfId="0"/>
    <cellStyle name="_240907_Margin Calc Check 100820 2" xfId="0"/>
    <cellStyle name="_240907_Margin Calc Check 100831" xfId="0"/>
    <cellStyle name="_240907_Margin Calc Check 100831 2" xfId="0"/>
    <cellStyle name="_240907_Margin Calc Check 100930" xfId="0"/>
    <cellStyle name="_240907_Margin Calc Check 100930 2" xfId="0"/>
    <cellStyle name="_240907_Margin Calc Check 101031" xfId="0"/>
    <cellStyle name="_240907_Margin Calc Check 101031 2" xfId="0"/>
    <cellStyle name="_240907_Margin Calc Check 2" xfId="0"/>
    <cellStyle name="_240907_Margin Calc Check-cost updated (2)" xfId="0"/>
    <cellStyle name="_240907_Margin Calc Check-cost updated (2) 2" xfId="0"/>
    <cellStyle name="_240907_Margin Calc Check-cost updated-14-05-10" xfId="0"/>
    <cellStyle name="_240907_Margin Calc Check-cost updated-14-05-10 2" xfId="0"/>
    <cellStyle name="_240907_Margin Calc Check-cost updated-21-04-10" xfId="0"/>
    <cellStyle name="_240907_Margin Calc Check-cost updated-21-04-10 2" xfId="0"/>
    <cellStyle name="_240907_Margin Calc Check-cost updated-21-05-10" xfId="0"/>
    <cellStyle name="_240907_Margin Calc Check-cost updated-21-05-10 2" xfId="0"/>
    <cellStyle name="_240907_Margin Calc Check-cost updated-22-01-10" xfId="0"/>
    <cellStyle name="_240907_Margin Calc Check-cost updated-22-01-10 2" xfId="0"/>
    <cellStyle name="_240907_Margin Calc Check-cost updated-28-02-10" xfId="0"/>
    <cellStyle name="_240907_Margin Calc Check-cost updated-28-02-10 2" xfId="0"/>
    <cellStyle name="_240907_Margin Calc Check-cost updated-30-04-10" xfId="0"/>
    <cellStyle name="_240907_Margin Calc Check-cost updated-30-04-10 2" xfId="0"/>
    <cellStyle name="_240907_Margin Calc Check-cost updated-31-01-10" xfId="0"/>
    <cellStyle name="_240907_Margin Calc Check-cost updated-31-01-10 2" xfId="0"/>
    <cellStyle name="_240907_Margin Calc Check-cost updated-31-12-09" xfId="0"/>
    <cellStyle name="_240907_Margin Calc Check-cost updated-31-12-09 2" xfId="0"/>
    <cellStyle name="_26-Nov-2010" xfId="0"/>
    <cellStyle name="_26-Nov-2010 2" xfId="0"/>
    <cellStyle name="_3&amp;4.GSC Reclass" xfId="0"/>
    <cellStyle name="_3&amp;4.GSC Reclass 2" xfId="0"/>
    <cellStyle name="_31-Dec-2010" xfId="0"/>
    <cellStyle name="_31-Dec-2010 2" xfId="0"/>
    <cellStyle name="_4 rolling weeks revenue prt mix" xfId="0"/>
    <cellStyle name="_4 rolling weeks revenue prt mix 2" xfId="0"/>
    <cellStyle name="_5.CPC to Regions" xfId="0"/>
    <cellStyle name="_5.CPC to Regions 2" xfId="0"/>
    <cellStyle name="_5.CPC to Regions_CORP SG&amp;A" xfId="0"/>
    <cellStyle name="_6.VSA BU Corp Alloc" xfId="0"/>
    <cellStyle name="_6.VSA BU Corp Alloc 2" xfId="0"/>
    <cellStyle name="_7.VSE BU Corp Alloc" xfId="0"/>
    <cellStyle name="_7.VSE BU Corp Alloc 2" xfId="0"/>
    <cellStyle name="_8.VSI BU Corp Alloc" xfId="0"/>
    <cellStyle name="_8.VSI BU Corp Alloc 2" xfId="0"/>
    <cellStyle name="_9.VSCN BU Corp Alloc" xfId="0"/>
    <cellStyle name="_9.VSCN BU Corp Alloc 2" xfId="0"/>
    <cellStyle name="_Andrei" xfId="0"/>
    <cellStyle name="_Andrei 2" xfId="0"/>
    <cellStyle name="_AP Data" xfId="0"/>
    <cellStyle name="_AP Data 2" xfId="0"/>
    <cellStyle name="_AP Turnover" xfId="0"/>
    <cellStyle name="_AP Turnover 2" xfId="0"/>
    <cellStyle name="_AP Vendors" xfId="0"/>
    <cellStyle name="_AP Vendors 2" xfId="0"/>
    <cellStyle name="_AP Vendors_1" xfId="0"/>
    <cellStyle name="_AP Vendors_1 2" xfId="0"/>
    <cellStyle name="_AR Collections (2)" xfId="0"/>
    <cellStyle name="_AR Collections (2) 2" xfId="0"/>
    <cellStyle name="_AR Collections(2)" xfId="0"/>
    <cellStyle name="_AR Collections(2) 2" xfId="0"/>
    <cellStyle name="_Arclite" xfId="0"/>
    <cellStyle name="_Arclite 2" xfId="0"/>
    <cellStyle name="_ASP Balance Sheet Entry - Jul 08" xfId="0"/>
    <cellStyle name="_ASP Balance Sheet Entry - Jul 08 2" xfId="0"/>
    <cellStyle name="_ASP Monthly Stock Report_July_ 2009_AV 31-07-09" xfId="0"/>
    <cellStyle name="_ASP Monthly Stock Report_July_ 2009_AV 31-07-09 2" xfId="0"/>
    <cellStyle name="_ASP Report Processing Info File - NLewis - 14.11.2003" xfId="0"/>
    <cellStyle name="_ASP Report Processing Info File - NLewis - 14.11.2003 2" xfId="0"/>
    <cellStyle name="_ASP Stock" xfId="0"/>
    <cellStyle name="_ASP Stock 2" xfId="0"/>
    <cellStyle name="_ASP Stock_ASP Balance Sheet Entry - Jul 08" xfId="0"/>
    <cellStyle name="_ASP Stock_ASP Balance Sheet Entry - Jul 08 2" xfId="0"/>
    <cellStyle name="_ASP Stock_ASP Monthly Stock Report_July_ 2009_AV 31-07-09" xfId="0"/>
    <cellStyle name="_ASP Stock_ASP Monthly Stock Report_July_ 2009_AV 31-07-09 2" xfId="0"/>
    <cellStyle name="_Before Allocation" xfId="0"/>
    <cellStyle name="_BER BS" xfId="0"/>
    <cellStyle name="_BER BS 2" xfId="0"/>
    <cellStyle name="_Berd approved" xfId="0"/>
    <cellStyle name="_Berd approved 2" xfId="0"/>
    <cellStyle name="_Berd approved by Jessie" xfId="0"/>
    <cellStyle name="_Berd approved by Jessie 2" xfId="0"/>
    <cellStyle name="_Book1" xfId="0"/>
    <cellStyle name="_Book1 2" xfId="0"/>
    <cellStyle name="_Buy Plan" xfId="0"/>
    <cellStyle name="_Buy Plan &amp; AP turn days" xfId="0"/>
    <cellStyle name="_Buy Plan &amp; AP turn days 2" xfId="0"/>
    <cellStyle name="_Buy Plan 2" xfId="0"/>
    <cellStyle name="_Buy Plan 3" xfId="0"/>
    <cellStyle name="_Buy Plan 4" xfId="0"/>
    <cellStyle name="_Buy Plan adj" xfId="0"/>
    <cellStyle name="_Buy Plan adj 2" xfId="0"/>
    <cellStyle name="_Buy Plan raw " xfId="0"/>
    <cellStyle name="_Buy Plan raw  2" xfId="0"/>
    <cellStyle name="_Buy Plan_Buy Plan raw " xfId="0"/>
    <cellStyle name="_Buy Plan_Buy Plan raw  2" xfId="0"/>
    <cellStyle name="_Buy Plan_DSBvsWFP" xfId="0"/>
    <cellStyle name="_Buy Plan_DSBvsWFP 2" xfId="0"/>
    <cellStyle name="_cash balance" xfId="0"/>
    <cellStyle name="_cash balance 2" xfId="0"/>
    <cellStyle name="_cash book Oct-10" xfId="0"/>
    <cellStyle name="_cash book Oct-10 2" xfId="0"/>
    <cellStyle name="_cash book Sep-10" xfId="0"/>
    <cellStyle name="_cash book Sep-10 2" xfId="0"/>
    <cellStyle name="_Cash Flow Forecast as of 043007" xfId="0"/>
    <cellStyle name="_Cash Flow Forecast as of 043007 2" xfId="0"/>
    <cellStyle name="_Cash Flow Forecast as of 043007_VSA Cash Flow Model (6-4-07)" xfId="0"/>
    <cellStyle name="_Cash Flow Forecast as of 043007_VSA Cash Flow Model (6-4-07) 2" xfId="0"/>
    <cellStyle name="_CBB" xfId="0"/>
    <cellStyle name="_CBB 2" xfId="0"/>
    <cellStyle name="_Central &amp; Eastern Europe" xfId="0"/>
    <cellStyle name="_Central &amp; Eastern Europe 2" xfId="0"/>
    <cellStyle name="_Chi Mei Optoelectronics Corp" xfId="0"/>
    <cellStyle name="_Chi Mei Optoelectronics Corp 2" xfId="0"/>
    <cellStyle name="_Clean Data" xfId="0"/>
    <cellStyle name="_Clean Data 2" xfId="0"/>
    <cellStyle name="_Clean Data_1" xfId="0"/>
    <cellStyle name="_Clean Data_1 2" xfId="0"/>
    <cellStyle name="_Clean Data_1_Clean Data" xfId="0"/>
    <cellStyle name="_Clean Data_1_Clean Data 2" xfId="0"/>
    <cellStyle name="_CMO Warranty Reclaim Report May_Original  2008" xfId="0"/>
    <cellStyle name="_CMO Warranty Reclaim Report May_Original  2008 2" xfId="0"/>
    <cellStyle name="_CMO_Intercompany" xfId="0"/>
    <cellStyle name="_CMO_Intercompany 2" xfId="0"/>
    <cellStyle name="_Consolidated $" xfId="0"/>
    <cellStyle name="_Consolidated $ 2" xfId="0"/>
    <cellStyle name="_Copy of asp stock_October 2006_SY 24.10.06" xfId="0"/>
    <cellStyle name="_Copy of asp stock_October 2006_SY 24.10.06 2" xfId="0"/>
    <cellStyle name="_Copy of VSE Payment Status_10-Apr-08_JG" xfId="0"/>
    <cellStyle name="_Copy of VSE Payment Status_10-Apr-08_JG 2" xfId="0"/>
    <cellStyle name="_Coretronic" xfId="0"/>
    <cellStyle name="_Coretronic 2" xfId="0"/>
    <cellStyle name="_Corp Adj" xfId="0"/>
    <cellStyle name="_Corp Adj 2" xfId="0"/>
    <cellStyle name="_Corp allocation (Royalty)" xfId="0"/>
    <cellStyle name="_Corp allocation (Royalty) 2" xfId="0"/>
    <cellStyle name="_correct- 2008 May Retail Returns1" xfId="0"/>
    <cellStyle name="_correct- 2008 May Retail Returns1 2" xfId="0"/>
    <cellStyle name="_CPC Amount" xfId="0"/>
    <cellStyle name="_CPC Amount_2010 Existing SKU" xfId="0"/>
    <cellStyle name="_CRT" xfId="0"/>
    <cellStyle name="_CRT 2" xfId="0"/>
    <cellStyle name="_CRT 3" xfId="0"/>
    <cellStyle name="_CRT 4" xfId="0"/>
    <cellStyle name="_CRT 5" xfId="0"/>
    <cellStyle name="_CRT_By Region" xfId="0"/>
    <cellStyle name="_CRT_CIS" xfId="0"/>
    <cellStyle name="_CRT_CIS 2" xfId="0"/>
    <cellStyle name="_CRT_CIS 3" xfId="0"/>
    <cellStyle name="_CRT_CIS 4" xfId="0"/>
    <cellStyle name="_CRT_CIS_By Region" xfId="0"/>
    <cellStyle name="_CRT_CIS_CORP SG&amp;A" xfId="0"/>
    <cellStyle name="_CRT_CIS_Digitizer" xfId="0"/>
    <cellStyle name="_CRT_CIS_GPS OTHER" xfId="0"/>
    <cellStyle name="_CRT_CIS_GPS OTHER 2" xfId="0"/>
    <cellStyle name="_CRT_CIS_GPS OTHER 3" xfId="0"/>
    <cellStyle name="_CRT_CIS_GPS OTHER 4" xfId="0"/>
    <cellStyle name="_CRT_CIS_GPS OTHER 5" xfId="0"/>
    <cellStyle name="_CRT_CIS_GPS OTHER 6" xfId="0"/>
    <cellStyle name="_CRT_CIS_GPS OTHER_By Region" xfId="0"/>
    <cellStyle name="_CRT_CIS_GPS OTHER_CORP SG&amp;A" xfId="0"/>
    <cellStyle name="_CRT_CIS_GPS OTHER_LCD" xfId="0"/>
    <cellStyle name="_CRT_CIS_GPS OTHER_PJ" xfId="0"/>
    <cellStyle name="_CRT_CIS_LCD" xfId="0"/>
    <cellStyle name="_CRT_CIS_LCD 2" xfId="0"/>
    <cellStyle name="_CRT_CIS_LCD 3" xfId="0"/>
    <cellStyle name="_CRT_CIS_LCD 4" xfId="0"/>
    <cellStyle name="_CRT_CIS_LCD_By Region" xfId="0"/>
    <cellStyle name="_CRT_CIS_LCD_CORP SG&amp;A" xfId="0"/>
    <cellStyle name="_CRT_CIS_LCD_LCD" xfId="0"/>
    <cellStyle name="_CRT_CIS_LCD_PJ" xfId="0"/>
    <cellStyle name="_CRT_CIS_lightling" xfId="0"/>
    <cellStyle name="_CRT_CIS_lightling 2" xfId="0"/>
    <cellStyle name="_CRT_CIS_lightling_By Region" xfId="0"/>
    <cellStyle name="_CRT_CIS_lightling_CORP SG&amp;A" xfId="0"/>
    <cellStyle name="_CRT_CIS_PC Products" xfId="0"/>
    <cellStyle name="_CRT_CIS_PC Products 2" xfId="0"/>
    <cellStyle name="_CRT_CIS_PC Products 3" xfId="0"/>
    <cellStyle name="_CRT_CIS_PC Products 4" xfId="0"/>
    <cellStyle name="_CRT_CIS_PC Products 5" xfId="0"/>
    <cellStyle name="_CRT_CIS_PC Products 6" xfId="0"/>
    <cellStyle name="_CRT_CIS_PC Products_By Region" xfId="0"/>
    <cellStyle name="_CRT_CIS_PC Products_CORP SG&amp;A" xfId="0"/>
    <cellStyle name="_CRT_CIS_PC Products_LCD" xfId="0"/>
    <cellStyle name="_CRT_CIS_PC Products_PJ" xfId="0"/>
    <cellStyle name="_CRT_CIS_VSA 111014" xfId="0"/>
    <cellStyle name="_CRT_CIS_VSA 111014 2" xfId="0"/>
    <cellStyle name="_CRT_CIS_VSA 111014 3" xfId="0"/>
    <cellStyle name="_CRT_CIS_VSA 111014 4" xfId="0"/>
    <cellStyle name="_CRT_CIS_VSA 111014 5" xfId="0"/>
    <cellStyle name="_CRT_CIS_VSA 111014 6" xfId="0"/>
    <cellStyle name="_CRT_CIS_VSA 111014_By Region" xfId="0"/>
    <cellStyle name="_CRT_CIS_VSA 111014_CORP SG&amp;A" xfId="0"/>
    <cellStyle name="_CRT_CIS_VSA 111014_LCD" xfId="0"/>
    <cellStyle name="_CRT_CIS_VSA 111014_PJ" xfId="0"/>
    <cellStyle name="_CRT_CIS_VSA Roll-Up (LW)" xfId="0"/>
    <cellStyle name="_CRT_CIS_VSA Roll-Up (LW) 2" xfId="0"/>
    <cellStyle name="_CRT_CIS_VSA Roll-Up (LW) 3" xfId="0"/>
    <cellStyle name="_CRT_CIS_VSA Roll-Up (LW) 4" xfId="0"/>
    <cellStyle name="_CRT_CIS_VSA Roll-Up (LW) 5" xfId="0"/>
    <cellStyle name="_CRT_CIS_VSA Roll-Up (LW) 6" xfId="0"/>
    <cellStyle name="_CRT_CIS_VSA Roll-Up (LW)_By Region" xfId="0"/>
    <cellStyle name="_CRT_CIS_VSA Roll-Up (LW)_CORP SG&amp;A" xfId="0"/>
    <cellStyle name="_CRT_CIS_VSA Roll-Up (LW)_LCD" xfId="0"/>
    <cellStyle name="_CRT_CIS_VSA Roll-Up (LW)_PJ" xfId="0"/>
    <cellStyle name="_CRT_CORP SG&amp;A" xfId="0"/>
    <cellStyle name="_CRT_CRT" xfId="0"/>
    <cellStyle name="_CRT_CRT 2" xfId="0"/>
    <cellStyle name="_CRT_CRT 3" xfId="0"/>
    <cellStyle name="_CRT_CRT 4" xfId="0"/>
    <cellStyle name="_CRT_CRT_By Region" xfId="0"/>
    <cellStyle name="_CRT_CRT_CORP SG&amp;A" xfId="0"/>
    <cellStyle name="_CRT_CRT_Digitizer" xfId="0"/>
    <cellStyle name="_CRT_CRT_GPS OTHER" xfId="0"/>
    <cellStyle name="_CRT_CRT_GPS OTHER 2" xfId="0"/>
    <cellStyle name="_CRT_CRT_GPS OTHER 3" xfId="0"/>
    <cellStyle name="_CRT_CRT_GPS OTHER 4" xfId="0"/>
    <cellStyle name="_CRT_CRT_GPS OTHER 5" xfId="0"/>
    <cellStyle name="_CRT_CRT_GPS OTHER 6" xfId="0"/>
    <cellStyle name="_CRT_CRT_GPS OTHER_By Region" xfId="0"/>
    <cellStyle name="_CRT_CRT_GPS OTHER_CORP SG&amp;A" xfId="0"/>
    <cellStyle name="_CRT_CRT_GPS OTHER_LCD" xfId="0"/>
    <cellStyle name="_CRT_CRT_GPS OTHER_PJ" xfId="0"/>
    <cellStyle name="_CRT_CRT_LCD" xfId="0"/>
    <cellStyle name="_CRT_CRT_LCD 2" xfId="0"/>
    <cellStyle name="_CRT_CRT_LCD 3" xfId="0"/>
    <cellStyle name="_CRT_CRT_LCD 4" xfId="0"/>
    <cellStyle name="_CRT_CRT_LCD_By Region" xfId="0"/>
    <cellStyle name="_CRT_CRT_LCD_CORP SG&amp;A" xfId="0"/>
    <cellStyle name="_CRT_CRT_LCD_LCD" xfId="0"/>
    <cellStyle name="_CRT_CRT_LCD_PJ" xfId="0"/>
    <cellStyle name="_CRT_CRT_lightling" xfId="0"/>
    <cellStyle name="_CRT_CRT_lightling 2" xfId="0"/>
    <cellStyle name="_CRT_CRT_lightling_By Region" xfId="0"/>
    <cellStyle name="_CRT_CRT_lightling_CORP SG&amp;A" xfId="0"/>
    <cellStyle name="_CRT_CRT_PC Products" xfId="0"/>
    <cellStyle name="_CRT_CRT_PC Products 2" xfId="0"/>
    <cellStyle name="_CRT_CRT_PC Products 3" xfId="0"/>
    <cellStyle name="_CRT_CRT_PC Products 4" xfId="0"/>
    <cellStyle name="_CRT_CRT_PC Products 5" xfId="0"/>
    <cellStyle name="_CRT_CRT_PC Products 6" xfId="0"/>
    <cellStyle name="_CRT_CRT_PC Products_By Region" xfId="0"/>
    <cellStyle name="_CRT_CRT_PC Products_CORP SG&amp;A" xfId="0"/>
    <cellStyle name="_CRT_CRT_PC Products_LCD" xfId="0"/>
    <cellStyle name="_CRT_CRT_PC Products_PJ" xfId="0"/>
    <cellStyle name="_CRT_CRT_VSA 111014" xfId="0"/>
    <cellStyle name="_CRT_CRT_VSA 111014 2" xfId="0"/>
    <cellStyle name="_CRT_CRT_VSA 111014 3" xfId="0"/>
    <cellStyle name="_CRT_CRT_VSA 111014 4" xfId="0"/>
    <cellStyle name="_CRT_CRT_VSA 111014 5" xfId="0"/>
    <cellStyle name="_CRT_CRT_VSA 111014 6" xfId="0"/>
    <cellStyle name="_CRT_CRT_VSA 111014_By Region" xfId="0"/>
    <cellStyle name="_CRT_CRT_VSA 111014_CORP SG&amp;A" xfId="0"/>
    <cellStyle name="_CRT_CRT_VSA 111014_LCD" xfId="0"/>
    <cellStyle name="_CRT_CRT_VSA 111014_PJ" xfId="0"/>
    <cellStyle name="_CRT_CRT_VSA Roll-Up (LW)" xfId="0"/>
    <cellStyle name="_CRT_CRT_VSA Roll-Up (LW) 2" xfId="0"/>
    <cellStyle name="_CRT_CRT_VSA Roll-Up (LW) 3" xfId="0"/>
    <cellStyle name="_CRT_CRT_VSA Roll-Up (LW) 4" xfId="0"/>
    <cellStyle name="_CRT_CRT_VSA Roll-Up (LW) 5" xfId="0"/>
    <cellStyle name="_CRT_CRT_VSA Roll-Up (LW) 6" xfId="0"/>
    <cellStyle name="_CRT_CRT_VSA Roll-Up (LW)_By Region" xfId="0"/>
    <cellStyle name="_CRT_CRT_VSA Roll-Up (LW)_CORP SG&amp;A" xfId="0"/>
    <cellStyle name="_CRT_CRT_VSA Roll-Up (LW)_LCD" xfId="0"/>
    <cellStyle name="_CRT_CRT_VSA Roll-Up (LW)_PJ" xfId="0"/>
    <cellStyle name="_CRT_Diff" xfId="0"/>
    <cellStyle name="_CRT_Diff 2" xfId="0"/>
    <cellStyle name="_CRT_Diff 3" xfId="0"/>
    <cellStyle name="_CRT_Diff 4" xfId="0"/>
    <cellStyle name="_CRT_Diff_By Region" xfId="0"/>
    <cellStyle name="_CRT_Diff_CORP SG&amp;A" xfId="0"/>
    <cellStyle name="_CRT_Diff_Digitizer" xfId="0"/>
    <cellStyle name="_CRT_Diff_GPS OTHER" xfId="0"/>
    <cellStyle name="_CRT_Diff_GPS OTHER 2" xfId="0"/>
    <cellStyle name="_CRT_Diff_GPS OTHER 3" xfId="0"/>
    <cellStyle name="_CRT_Diff_GPS OTHER 4" xfId="0"/>
    <cellStyle name="_CRT_Diff_GPS OTHER 5" xfId="0"/>
    <cellStyle name="_CRT_Diff_GPS OTHER 6" xfId="0"/>
    <cellStyle name="_CRT_Diff_GPS OTHER_By Region" xfId="0"/>
    <cellStyle name="_CRT_Diff_GPS OTHER_CORP SG&amp;A" xfId="0"/>
    <cellStyle name="_CRT_Diff_GPS OTHER_LCD" xfId="0"/>
    <cellStyle name="_CRT_Diff_GPS OTHER_PJ" xfId="0"/>
    <cellStyle name="_CRT_Diff_LCD" xfId="0"/>
    <cellStyle name="_CRT_Diff_LCD 2" xfId="0"/>
    <cellStyle name="_CRT_Diff_LCD 3" xfId="0"/>
    <cellStyle name="_CRT_Diff_LCD 4" xfId="0"/>
    <cellStyle name="_CRT_Diff_LCD_By Region" xfId="0"/>
    <cellStyle name="_CRT_Diff_LCD_CORP SG&amp;A" xfId="0"/>
    <cellStyle name="_CRT_Diff_LCD_LCD" xfId="0"/>
    <cellStyle name="_CRT_Diff_LCD_PJ" xfId="0"/>
    <cellStyle name="_CRT_Diff_lightling" xfId="0"/>
    <cellStyle name="_CRT_Diff_lightling 2" xfId="0"/>
    <cellStyle name="_CRT_Diff_lightling_By Region" xfId="0"/>
    <cellStyle name="_CRT_Diff_lightling_CORP SG&amp;A" xfId="0"/>
    <cellStyle name="_CRT_Diff_PC Products" xfId="0"/>
    <cellStyle name="_CRT_Diff_PC Products 2" xfId="0"/>
    <cellStyle name="_CRT_Diff_PC Products 3" xfId="0"/>
    <cellStyle name="_CRT_Diff_PC Products 4" xfId="0"/>
    <cellStyle name="_CRT_Diff_PC Products 5" xfId="0"/>
    <cellStyle name="_CRT_Diff_PC Products 6" xfId="0"/>
    <cellStyle name="_CRT_Diff_PC Products_By Region" xfId="0"/>
    <cellStyle name="_CRT_Diff_PC Products_CORP SG&amp;A" xfId="0"/>
    <cellStyle name="_CRT_Diff_PC Products_LCD" xfId="0"/>
    <cellStyle name="_CRT_Diff_PC Products_PJ" xfId="0"/>
    <cellStyle name="_CRT_Diff_VSA 111014" xfId="0"/>
    <cellStyle name="_CRT_Diff_VSA 111014 2" xfId="0"/>
    <cellStyle name="_CRT_Diff_VSA 111014 3" xfId="0"/>
    <cellStyle name="_CRT_Diff_VSA 111014 4" xfId="0"/>
    <cellStyle name="_CRT_Diff_VSA 111014 5" xfId="0"/>
    <cellStyle name="_CRT_Diff_VSA 111014 6" xfId="0"/>
    <cellStyle name="_CRT_Diff_VSA 111014_By Region" xfId="0"/>
    <cellStyle name="_CRT_Diff_VSA 111014_CORP SG&amp;A" xfId="0"/>
    <cellStyle name="_CRT_Diff_VSA 111014_LCD" xfId="0"/>
    <cellStyle name="_CRT_Diff_VSA 111014_PJ" xfId="0"/>
    <cellStyle name="_CRT_Diff_VSA Roll-Up (LW)" xfId="0"/>
    <cellStyle name="_CRT_Diff_VSA Roll-Up (LW) 2" xfId="0"/>
    <cellStyle name="_CRT_Diff_VSA Roll-Up (LW) 3" xfId="0"/>
    <cellStyle name="_CRT_Diff_VSA Roll-Up (LW) 4" xfId="0"/>
    <cellStyle name="_CRT_Diff_VSA Roll-Up (LW) 5" xfId="0"/>
    <cellStyle name="_CRT_Diff_VSA Roll-Up (LW) 6" xfId="0"/>
    <cellStyle name="_CRT_Diff_VSA Roll-Up (LW)_By Region" xfId="0"/>
    <cellStyle name="_CRT_Diff_VSA Roll-Up (LW)_CORP SG&amp;A" xfId="0"/>
    <cellStyle name="_CRT_Diff_VSA Roll-Up (LW)_LCD" xfId="0"/>
    <cellStyle name="_CRT_Diff_VSA Roll-Up (LW)_PJ" xfId="0"/>
    <cellStyle name="_CRT_Digital Product" xfId="0"/>
    <cellStyle name="_CRT_Digital Product 2" xfId="0"/>
    <cellStyle name="_CRT_Digital Product 3" xfId="0"/>
    <cellStyle name="_CRT_Digital Product 4" xfId="0"/>
    <cellStyle name="_CRT_Digital Product_By Region" xfId="0"/>
    <cellStyle name="_CRT_Digital Product_CORP SG&amp;A" xfId="0"/>
    <cellStyle name="_CRT_Digital Product_Digitizer" xfId="0"/>
    <cellStyle name="_CRT_Digital Product_GPS OTHER" xfId="0"/>
    <cellStyle name="_CRT_Digital Product_GPS OTHER 2" xfId="0"/>
    <cellStyle name="_CRT_Digital Product_GPS OTHER 3" xfId="0"/>
    <cellStyle name="_CRT_Digital Product_GPS OTHER 4" xfId="0"/>
    <cellStyle name="_CRT_Digital Product_GPS OTHER 5" xfId="0"/>
    <cellStyle name="_CRT_Digital Product_GPS OTHER 6" xfId="0"/>
    <cellStyle name="_CRT_Digital Product_GPS OTHER_By Region" xfId="0"/>
    <cellStyle name="_CRT_Digital Product_GPS OTHER_CORP SG&amp;A" xfId="0"/>
    <cellStyle name="_CRT_Digital Product_GPS OTHER_LCD" xfId="0"/>
    <cellStyle name="_CRT_Digital Product_GPS OTHER_PJ" xfId="0"/>
    <cellStyle name="_CRT_Digital Product_LCD" xfId="0"/>
    <cellStyle name="_CRT_Digital Product_LCD 2" xfId="0"/>
    <cellStyle name="_CRT_Digital Product_LCD 3" xfId="0"/>
    <cellStyle name="_CRT_Digital Product_LCD 4" xfId="0"/>
    <cellStyle name="_CRT_Digital Product_LCD_By Region" xfId="0"/>
    <cellStyle name="_CRT_Digital Product_LCD_CORP SG&amp;A" xfId="0"/>
    <cellStyle name="_CRT_Digital Product_LCD_LCD" xfId="0"/>
    <cellStyle name="_CRT_Digital Product_LCD_PJ" xfId="0"/>
    <cellStyle name="_CRT_Digital Product_lightling" xfId="0"/>
    <cellStyle name="_CRT_Digital Product_lightling 2" xfId="0"/>
    <cellStyle name="_CRT_Digital Product_lightling_By Region" xfId="0"/>
    <cellStyle name="_CRT_Digital Product_lightling_CORP SG&amp;A" xfId="0"/>
    <cellStyle name="_CRT_Digital Product_PC Products" xfId="0"/>
    <cellStyle name="_CRT_Digital Product_PC Products 2" xfId="0"/>
    <cellStyle name="_CRT_Digital Product_PC Products 3" xfId="0"/>
    <cellStyle name="_CRT_Digital Product_PC Products 4" xfId="0"/>
    <cellStyle name="_CRT_Digital Product_PC Products 5" xfId="0"/>
    <cellStyle name="_CRT_Digital Product_PC Products 6" xfId="0"/>
    <cellStyle name="_CRT_Digital Product_PC Products_By Region" xfId="0"/>
    <cellStyle name="_CRT_Digital Product_PC Products_CORP SG&amp;A" xfId="0"/>
    <cellStyle name="_CRT_Digital Product_PC Products_LCD" xfId="0"/>
    <cellStyle name="_CRT_Digital Product_PC Products_PJ" xfId="0"/>
    <cellStyle name="_CRT_Digital Product_VSA 111014" xfId="0"/>
    <cellStyle name="_CRT_Digital Product_VSA 111014 2" xfId="0"/>
    <cellStyle name="_CRT_Digital Product_VSA 111014 3" xfId="0"/>
    <cellStyle name="_CRT_Digital Product_VSA 111014 4" xfId="0"/>
    <cellStyle name="_CRT_Digital Product_VSA 111014 5" xfId="0"/>
    <cellStyle name="_CRT_Digital Product_VSA 111014 6" xfId="0"/>
    <cellStyle name="_CRT_Digital Product_VSA 111014_By Region" xfId="0"/>
    <cellStyle name="_CRT_Digital Product_VSA 111014_CORP SG&amp;A" xfId="0"/>
    <cellStyle name="_CRT_Digital Product_VSA 111014_LCD" xfId="0"/>
    <cellStyle name="_CRT_Digital Product_VSA 111014_PJ" xfId="0"/>
    <cellStyle name="_CRT_Digital Product_VSA Roll-Up (LW)" xfId="0"/>
    <cellStyle name="_CRT_Digital Product_VSA Roll-Up (LW) 2" xfId="0"/>
    <cellStyle name="_CRT_Digital Product_VSA Roll-Up (LW) 3" xfId="0"/>
    <cellStyle name="_CRT_Digital Product_VSA Roll-Up (LW) 4" xfId="0"/>
    <cellStyle name="_CRT_Digital Product_VSA Roll-Up (LW) 5" xfId="0"/>
    <cellStyle name="_CRT_Digital Product_VSA Roll-Up (LW) 6" xfId="0"/>
    <cellStyle name="_CRT_Digital Product_VSA Roll-Up (LW)_By Region" xfId="0"/>
    <cellStyle name="_CRT_Digital Product_VSA Roll-Up (LW)_CORP SG&amp;A" xfId="0"/>
    <cellStyle name="_CRT_Digital Product_VSA Roll-Up (LW)_LCD" xfId="0"/>
    <cellStyle name="_CRT_Digital Product_VSA Roll-Up (LW)_PJ" xfId="0"/>
    <cellStyle name="_CRT_Digital Signage" xfId="0"/>
    <cellStyle name="_CRT_Digital Signage 2" xfId="0"/>
    <cellStyle name="_CRT_Digital Signage 3" xfId="0"/>
    <cellStyle name="_CRT_Digital Signage 4" xfId="0"/>
    <cellStyle name="_CRT_Digital Signage_By Region" xfId="0"/>
    <cellStyle name="_CRT_Digital Signage_CORP SG&amp;A" xfId="0"/>
    <cellStyle name="_CRT_Digital Signage_Digitizer" xfId="0"/>
    <cellStyle name="_CRT_Digital Signage_GPS OTHER" xfId="0"/>
    <cellStyle name="_CRT_Digital Signage_GPS OTHER 2" xfId="0"/>
    <cellStyle name="_CRT_Digital Signage_GPS OTHER 3" xfId="0"/>
    <cellStyle name="_CRT_Digital Signage_GPS OTHER 4" xfId="0"/>
    <cellStyle name="_CRT_Digital Signage_GPS OTHER 5" xfId="0"/>
    <cellStyle name="_CRT_Digital Signage_GPS OTHER 6" xfId="0"/>
    <cellStyle name="_CRT_Digital Signage_GPS OTHER_By Region" xfId="0"/>
    <cellStyle name="_CRT_Digital Signage_GPS OTHER_CORP SG&amp;A" xfId="0"/>
    <cellStyle name="_CRT_Digital Signage_GPS OTHER_LCD" xfId="0"/>
    <cellStyle name="_CRT_Digital Signage_GPS OTHER_PJ" xfId="0"/>
    <cellStyle name="_CRT_Digital Signage_LCD" xfId="0"/>
    <cellStyle name="_CRT_Digital Signage_LCD 2" xfId="0"/>
    <cellStyle name="_CRT_Digital Signage_LCD 3" xfId="0"/>
    <cellStyle name="_CRT_Digital Signage_LCD 4" xfId="0"/>
    <cellStyle name="_CRT_Digital Signage_LCD_By Region" xfId="0"/>
    <cellStyle name="_CRT_Digital Signage_LCD_CORP SG&amp;A" xfId="0"/>
    <cellStyle name="_CRT_Digital Signage_LCD_LCD" xfId="0"/>
    <cellStyle name="_CRT_Digital Signage_LCD_PJ" xfId="0"/>
    <cellStyle name="_CRT_Digital Signage_lightling" xfId="0"/>
    <cellStyle name="_CRT_Digital Signage_lightling 2" xfId="0"/>
    <cellStyle name="_CRT_Digital Signage_lightling_By Region" xfId="0"/>
    <cellStyle name="_CRT_Digital Signage_lightling_CORP SG&amp;A" xfId="0"/>
    <cellStyle name="_CRT_Digital Signage_PC Products" xfId="0"/>
    <cellStyle name="_CRT_Digital Signage_PC Products 2" xfId="0"/>
    <cellStyle name="_CRT_Digital Signage_PC Products 3" xfId="0"/>
    <cellStyle name="_CRT_Digital Signage_PC Products 4" xfId="0"/>
    <cellStyle name="_CRT_Digital Signage_PC Products 5" xfId="0"/>
    <cellStyle name="_CRT_Digital Signage_PC Products 6" xfId="0"/>
    <cellStyle name="_CRT_Digital Signage_PC Products_By Region" xfId="0"/>
    <cellStyle name="_CRT_Digital Signage_PC Products_CORP SG&amp;A" xfId="0"/>
    <cellStyle name="_CRT_Digital Signage_PC Products_LCD" xfId="0"/>
    <cellStyle name="_CRT_Digital Signage_PC Products_PJ" xfId="0"/>
    <cellStyle name="_CRT_Digital Signage_VSA 111014" xfId="0"/>
    <cellStyle name="_CRT_Digital Signage_VSA 111014 2" xfId="0"/>
    <cellStyle name="_CRT_Digital Signage_VSA 111014 3" xfId="0"/>
    <cellStyle name="_CRT_Digital Signage_VSA 111014 4" xfId="0"/>
    <cellStyle name="_CRT_Digital Signage_VSA 111014 5" xfId="0"/>
    <cellStyle name="_CRT_Digital Signage_VSA 111014 6" xfId="0"/>
    <cellStyle name="_CRT_Digital Signage_VSA 111014_By Region" xfId="0"/>
    <cellStyle name="_CRT_Digital Signage_VSA 111014_CORP SG&amp;A" xfId="0"/>
    <cellStyle name="_CRT_Digital Signage_VSA 111014_LCD" xfId="0"/>
    <cellStyle name="_CRT_Digital Signage_VSA 111014_PJ" xfId="0"/>
    <cellStyle name="_CRT_Digital Signage_VSA Roll-Up (LW)" xfId="0"/>
    <cellStyle name="_CRT_Digital Signage_VSA Roll-Up (LW) 2" xfId="0"/>
    <cellStyle name="_CRT_Digital Signage_VSA Roll-Up (LW) 3" xfId="0"/>
    <cellStyle name="_CRT_Digital Signage_VSA Roll-Up (LW) 4" xfId="0"/>
    <cellStyle name="_CRT_Digital Signage_VSA Roll-Up (LW) 5" xfId="0"/>
    <cellStyle name="_CRT_Digital Signage_VSA Roll-Up (LW) 6" xfId="0"/>
    <cellStyle name="_CRT_Digital Signage_VSA Roll-Up (LW)_By Region" xfId="0"/>
    <cellStyle name="_CRT_Digital Signage_VSA Roll-Up (LW)_CORP SG&amp;A" xfId="0"/>
    <cellStyle name="_CRT_Digital Signage_VSA Roll-Up (LW)_LCD" xfId="0"/>
    <cellStyle name="_CRT_Digital Signage_VSA Roll-Up (LW)_PJ" xfId="0"/>
    <cellStyle name="_CRT_Digitizer" xfId="0"/>
    <cellStyle name="_CRT_DMA(VMP)" xfId="0"/>
    <cellStyle name="_CRT_DMA(VMP) 2" xfId="0"/>
    <cellStyle name="_CRT_DMA(VMP) 3" xfId="0"/>
    <cellStyle name="_CRT_DMA(VMP) 4" xfId="0"/>
    <cellStyle name="_CRT_DMA(VMP)_By Region" xfId="0"/>
    <cellStyle name="_CRT_DMA(VMP)_CORP SG&amp;A" xfId="0"/>
    <cellStyle name="_CRT_DMA(VMP)_Digitizer" xfId="0"/>
    <cellStyle name="_CRT_DMA(VMP)_GPS OTHER" xfId="0"/>
    <cellStyle name="_CRT_DMA(VMP)_GPS OTHER 2" xfId="0"/>
    <cellStyle name="_CRT_DMA(VMP)_GPS OTHER 3" xfId="0"/>
    <cellStyle name="_CRT_DMA(VMP)_GPS OTHER 4" xfId="0"/>
    <cellStyle name="_CRT_DMA(VMP)_GPS OTHER 5" xfId="0"/>
    <cellStyle name="_CRT_DMA(VMP)_GPS OTHER 6" xfId="0"/>
    <cellStyle name="_CRT_DMA(VMP)_GPS OTHER_By Region" xfId="0"/>
    <cellStyle name="_CRT_DMA(VMP)_GPS OTHER_CORP SG&amp;A" xfId="0"/>
    <cellStyle name="_CRT_DMA(VMP)_GPS OTHER_LCD" xfId="0"/>
    <cellStyle name="_CRT_DMA(VMP)_GPS OTHER_PJ" xfId="0"/>
    <cellStyle name="_CRT_DMA(VMP)_LCD" xfId="0"/>
    <cellStyle name="_CRT_DMA(VMP)_LCD 2" xfId="0"/>
    <cellStyle name="_CRT_DMA(VMP)_LCD 3" xfId="0"/>
    <cellStyle name="_CRT_DMA(VMP)_LCD 4" xfId="0"/>
    <cellStyle name="_CRT_DMA(VMP)_LCD_By Region" xfId="0"/>
    <cellStyle name="_CRT_DMA(VMP)_LCD_CORP SG&amp;A" xfId="0"/>
    <cellStyle name="_CRT_DMA(VMP)_LCD_LCD" xfId="0"/>
    <cellStyle name="_CRT_DMA(VMP)_LCD_PJ" xfId="0"/>
    <cellStyle name="_CRT_DMA(VMP)_lightling" xfId="0"/>
    <cellStyle name="_CRT_DMA(VMP)_lightling 2" xfId="0"/>
    <cellStyle name="_CRT_DMA(VMP)_lightling_By Region" xfId="0"/>
    <cellStyle name="_CRT_DMA(VMP)_lightling_CORP SG&amp;A" xfId="0"/>
    <cellStyle name="_CRT_DMA(VMP)_PC Products" xfId="0"/>
    <cellStyle name="_CRT_DMA(VMP)_PC Products 2" xfId="0"/>
    <cellStyle name="_CRT_DMA(VMP)_PC Products 3" xfId="0"/>
    <cellStyle name="_CRT_DMA(VMP)_PC Products 4" xfId="0"/>
    <cellStyle name="_CRT_DMA(VMP)_PC Products 5" xfId="0"/>
    <cellStyle name="_CRT_DMA(VMP)_PC Products 6" xfId="0"/>
    <cellStyle name="_CRT_DMA(VMP)_PC Products_By Region" xfId="0"/>
    <cellStyle name="_CRT_DMA(VMP)_PC Products_CORP SG&amp;A" xfId="0"/>
    <cellStyle name="_CRT_DMA(VMP)_PC Products_LCD" xfId="0"/>
    <cellStyle name="_CRT_DMA(VMP)_PC Products_PJ" xfId="0"/>
    <cellStyle name="_CRT_DMA(VMP)_VSA 111014" xfId="0"/>
    <cellStyle name="_CRT_DMA(VMP)_VSA 111014 2" xfId="0"/>
    <cellStyle name="_CRT_DMA(VMP)_VSA 111014 3" xfId="0"/>
    <cellStyle name="_CRT_DMA(VMP)_VSA 111014 4" xfId="0"/>
    <cellStyle name="_CRT_DMA(VMP)_VSA 111014 5" xfId="0"/>
    <cellStyle name="_CRT_DMA(VMP)_VSA 111014 6" xfId="0"/>
    <cellStyle name="_CRT_DMA(VMP)_VSA 111014_By Region" xfId="0"/>
    <cellStyle name="_CRT_DMA(VMP)_VSA 111014_CORP SG&amp;A" xfId="0"/>
    <cellStyle name="_CRT_DMA(VMP)_VSA 111014_LCD" xfId="0"/>
    <cellStyle name="_CRT_DMA(VMP)_VSA 111014_PJ" xfId="0"/>
    <cellStyle name="_CRT_DMA(VMP)_VSA Roll-Up (LW)" xfId="0"/>
    <cellStyle name="_CRT_DMA(VMP)_VSA Roll-Up (LW) 2" xfId="0"/>
    <cellStyle name="_CRT_DMA(VMP)_VSA Roll-Up (LW) 3" xfId="0"/>
    <cellStyle name="_CRT_DMA(VMP)_VSA Roll-Up (LW) 4" xfId="0"/>
    <cellStyle name="_CRT_DMA(VMP)_VSA Roll-Up (LW) 5" xfId="0"/>
    <cellStyle name="_CRT_DMA(VMP)_VSA Roll-Up (LW) 6" xfId="0"/>
    <cellStyle name="_CRT_DMA(VMP)_VSA Roll-Up (LW)_By Region" xfId="0"/>
    <cellStyle name="_CRT_DMA(VMP)_VSA Roll-Up (LW)_CORP SG&amp;A" xfId="0"/>
    <cellStyle name="_CRT_DMA(VMP)_VSA Roll-Up (LW)_LCD" xfId="0"/>
    <cellStyle name="_CRT_DMA(VMP)_VSA Roll-Up (LW)_PJ" xfId="0"/>
    <cellStyle name="_CRT_DPF" xfId="0"/>
    <cellStyle name="_CRT_DPF 2" xfId="0"/>
    <cellStyle name="_CRT_DPF 3" xfId="0"/>
    <cellStyle name="_CRT_DPF 4" xfId="0"/>
    <cellStyle name="_CRT_DPF_By Region" xfId="0"/>
    <cellStyle name="_CRT_DPF_CORP SG&amp;A" xfId="0"/>
    <cellStyle name="_CRT_DPF_Digitizer" xfId="0"/>
    <cellStyle name="_CRT_DPF_GPS OTHER" xfId="0"/>
    <cellStyle name="_CRT_DPF_GPS OTHER 2" xfId="0"/>
    <cellStyle name="_CRT_DPF_GPS OTHER 3" xfId="0"/>
    <cellStyle name="_CRT_DPF_GPS OTHER 4" xfId="0"/>
    <cellStyle name="_CRT_DPF_GPS OTHER 5" xfId="0"/>
    <cellStyle name="_CRT_DPF_GPS OTHER 6" xfId="0"/>
    <cellStyle name="_CRT_DPF_GPS OTHER_By Region" xfId="0"/>
    <cellStyle name="_CRT_DPF_GPS OTHER_CORP SG&amp;A" xfId="0"/>
    <cellStyle name="_CRT_DPF_GPS OTHER_LCD" xfId="0"/>
    <cellStyle name="_CRT_DPF_GPS OTHER_PJ" xfId="0"/>
    <cellStyle name="_CRT_DPF_LCD" xfId="0"/>
    <cellStyle name="_CRT_DPF_LCD 2" xfId="0"/>
    <cellStyle name="_CRT_DPF_LCD 3" xfId="0"/>
    <cellStyle name="_CRT_DPF_LCD 4" xfId="0"/>
    <cellStyle name="_CRT_DPF_LCD_By Region" xfId="0"/>
    <cellStyle name="_CRT_DPF_LCD_CORP SG&amp;A" xfId="0"/>
    <cellStyle name="_CRT_DPF_LCD_LCD" xfId="0"/>
    <cellStyle name="_CRT_DPF_LCD_PJ" xfId="0"/>
    <cellStyle name="_CRT_DPF_lightling" xfId="0"/>
    <cellStyle name="_CRT_DPF_lightling 2" xfId="0"/>
    <cellStyle name="_CRT_DPF_lightling_By Region" xfId="0"/>
    <cellStyle name="_CRT_DPF_lightling_CORP SG&amp;A" xfId="0"/>
    <cellStyle name="_CRT_DPF_PC Products" xfId="0"/>
    <cellStyle name="_CRT_DPF_PC Products 2" xfId="0"/>
    <cellStyle name="_CRT_DPF_PC Products 3" xfId="0"/>
    <cellStyle name="_CRT_DPF_PC Products 4" xfId="0"/>
    <cellStyle name="_CRT_DPF_PC Products 5" xfId="0"/>
    <cellStyle name="_CRT_DPF_PC Products 6" xfId="0"/>
    <cellStyle name="_CRT_DPF_PC Products_By Region" xfId="0"/>
    <cellStyle name="_CRT_DPF_PC Products_CORP SG&amp;A" xfId="0"/>
    <cellStyle name="_CRT_DPF_PC Products_LCD" xfId="0"/>
    <cellStyle name="_CRT_DPF_PC Products_PJ" xfId="0"/>
    <cellStyle name="_CRT_DPF_VSA 111014" xfId="0"/>
    <cellStyle name="_CRT_DPF_VSA 111014 2" xfId="0"/>
    <cellStyle name="_CRT_DPF_VSA 111014 3" xfId="0"/>
    <cellStyle name="_CRT_DPF_VSA 111014 4" xfId="0"/>
    <cellStyle name="_CRT_DPF_VSA 111014 5" xfId="0"/>
    <cellStyle name="_CRT_DPF_VSA 111014 6" xfId="0"/>
    <cellStyle name="_CRT_DPF_VSA 111014_By Region" xfId="0"/>
    <cellStyle name="_CRT_DPF_VSA 111014_CORP SG&amp;A" xfId="0"/>
    <cellStyle name="_CRT_DPF_VSA 111014_LCD" xfId="0"/>
    <cellStyle name="_CRT_DPF_VSA 111014_PJ" xfId="0"/>
    <cellStyle name="_CRT_DPF_VSA Roll-Up (LW)" xfId="0"/>
    <cellStyle name="_CRT_DPF_VSA Roll-Up (LW) 2" xfId="0"/>
    <cellStyle name="_CRT_DPF_VSA Roll-Up (LW) 3" xfId="0"/>
    <cellStyle name="_CRT_DPF_VSA Roll-Up (LW) 4" xfId="0"/>
    <cellStyle name="_CRT_DPF_VSA Roll-Up (LW) 5" xfId="0"/>
    <cellStyle name="_CRT_DPF_VSA Roll-Up (LW) 6" xfId="0"/>
    <cellStyle name="_CRT_DPF_VSA Roll-Up (LW)_By Region" xfId="0"/>
    <cellStyle name="_CRT_DPF_VSA Roll-Up (LW)_CORP SG&amp;A" xfId="0"/>
    <cellStyle name="_CRT_DPF_VSA Roll-Up (LW)_LCD" xfId="0"/>
    <cellStyle name="_CRT_DPF_VSA Roll-Up (LW)_PJ" xfId="0"/>
    <cellStyle name="_CRT_DS" xfId="0"/>
    <cellStyle name="_CRT_DS 2" xfId="0"/>
    <cellStyle name="_CRT_DS 3" xfId="0"/>
    <cellStyle name="_CRT_DS 4" xfId="0"/>
    <cellStyle name="_CRT_DS_By Region" xfId="0"/>
    <cellStyle name="_CRT_DS_CORP SG&amp;A" xfId="0"/>
    <cellStyle name="_CRT_DS_Digitizer" xfId="0"/>
    <cellStyle name="_CRT_DS_GPS OTHER" xfId="0"/>
    <cellStyle name="_CRT_DS_GPS OTHER 2" xfId="0"/>
    <cellStyle name="_CRT_DS_GPS OTHER 3" xfId="0"/>
    <cellStyle name="_CRT_DS_GPS OTHER 4" xfId="0"/>
    <cellStyle name="_CRT_DS_GPS OTHER 5" xfId="0"/>
    <cellStyle name="_CRT_DS_GPS OTHER 6" xfId="0"/>
    <cellStyle name="_CRT_DS_GPS OTHER_By Region" xfId="0"/>
    <cellStyle name="_CRT_DS_GPS OTHER_CORP SG&amp;A" xfId="0"/>
    <cellStyle name="_CRT_DS_GPS OTHER_LCD" xfId="0"/>
    <cellStyle name="_CRT_DS_GPS OTHER_PJ" xfId="0"/>
    <cellStyle name="_CRT_DS_LCD" xfId="0"/>
    <cellStyle name="_CRT_DS_LCD 2" xfId="0"/>
    <cellStyle name="_CRT_DS_LCD 3" xfId="0"/>
    <cellStyle name="_CRT_DS_LCD 4" xfId="0"/>
    <cellStyle name="_CRT_DS_LCD_By Region" xfId="0"/>
    <cellStyle name="_CRT_DS_LCD_CORP SG&amp;A" xfId="0"/>
    <cellStyle name="_CRT_DS_LCD_LCD" xfId="0"/>
    <cellStyle name="_CRT_DS_LCD_PJ" xfId="0"/>
    <cellStyle name="_CRT_DS_lightling" xfId="0"/>
    <cellStyle name="_CRT_DS_lightling 2" xfId="0"/>
    <cellStyle name="_CRT_DS_lightling_By Region" xfId="0"/>
    <cellStyle name="_CRT_DS_lightling_CORP SG&amp;A" xfId="0"/>
    <cellStyle name="_CRT_DS_PC Products" xfId="0"/>
    <cellStyle name="_CRT_DS_PC Products 2" xfId="0"/>
    <cellStyle name="_CRT_DS_PC Products 3" xfId="0"/>
    <cellStyle name="_CRT_DS_PC Products 4" xfId="0"/>
    <cellStyle name="_CRT_DS_PC Products 5" xfId="0"/>
    <cellStyle name="_CRT_DS_PC Products 6" xfId="0"/>
    <cellStyle name="_CRT_DS_PC Products_By Region" xfId="0"/>
    <cellStyle name="_CRT_DS_PC Products_CORP SG&amp;A" xfId="0"/>
    <cellStyle name="_CRT_DS_PC Products_LCD" xfId="0"/>
    <cellStyle name="_CRT_DS_PC Products_PJ" xfId="0"/>
    <cellStyle name="_CRT_DS_VSA 111014" xfId="0"/>
    <cellStyle name="_CRT_DS_VSA 111014 2" xfId="0"/>
    <cellStyle name="_CRT_DS_VSA 111014 3" xfId="0"/>
    <cellStyle name="_CRT_DS_VSA 111014 4" xfId="0"/>
    <cellStyle name="_CRT_DS_VSA 111014 5" xfId="0"/>
    <cellStyle name="_CRT_DS_VSA 111014 6" xfId="0"/>
    <cellStyle name="_CRT_DS_VSA 111014_By Region" xfId="0"/>
    <cellStyle name="_CRT_DS_VSA 111014_CORP SG&amp;A" xfId="0"/>
    <cellStyle name="_CRT_DS_VSA 111014_LCD" xfId="0"/>
    <cellStyle name="_CRT_DS_VSA 111014_PJ" xfId="0"/>
    <cellStyle name="_CRT_DS_VSA Roll-Up (LW)" xfId="0"/>
    <cellStyle name="_CRT_DS_VSA Roll-Up (LW) 2" xfId="0"/>
    <cellStyle name="_CRT_DS_VSA Roll-Up (LW) 3" xfId="0"/>
    <cellStyle name="_CRT_DS_VSA Roll-Up (LW) 4" xfId="0"/>
    <cellStyle name="_CRT_DS_VSA Roll-Up (LW) 5" xfId="0"/>
    <cellStyle name="_CRT_DS_VSA Roll-Up (LW) 6" xfId="0"/>
    <cellStyle name="_CRT_DS_VSA Roll-Up (LW)_By Region" xfId="0"/>
    <cellStyle name="_CRT_DS_VSA Roll-Up (LW)_CORP SG&amp;A" xfId="0"/>
    <cellStyle name="_CRT_DS_VSA Roll-Up (LW)_LCD" xfId="0"/>
    <cellStyle name="_CRT_DS_VSA Roll-Up (LW)_PJ" xfId="0"/>
    <cellStyle name="_CRT_DVD_TV" xfId="0"/>
    <cellStyle name="_CRT_DVD_TV 2" xfId="0"/>
    <cellStyle name="_CRT_DVD_TV 3" xfId="0"/>
    <cellStyle name="_CRT_DVD_TV 4" xfId="0"/>
    <cellStyle name="_CRT_DVD_TV_By Region" xfId="0"/>
    <cellStyle name="_CRT_DVD_TV_CORP SG&amp;A" xfId="0"/>
    <cellStyle name="_CRT_DVD_TV_Digitizer" xfId="0"/>
    <cellStyle name="_CRT_DVD_TV_GPS OTHER" xfId="0"/>
    <cellStyle name="_CRT_DVD_TV_GPS OTHER 2" xfId="0"/>
    <cellStyle name="_CRT_DVD_TV_GPS OTHER 3" xfId="0"/>
    <cellStyle name="_CRT_DVD_TV_GPS OTHER 4" xfId="0"/>
    <cellStyle name="_CRT_DVD_TV_GPS OTHER 5" xfId="0"/>
    <cellStyle name="_CRT_DVD_TV_GPS OTHER 6" xfId="0"/>
    <cellStyle name="_CRT_DVD_TV_GPS OTHER_By Region" xfId="0"/>
    <cellStyle name="_CRT_DVD_TV_GPS OTHER_CORP SG&amp;A" xfId="0"/>
    <cellStyle name="_CRT_DVD_TV_GPS OTHER_LCD" xfId="0"/>
    <cellStyle name="_CRT_DVD_TV_GPS OTHER_PJ" xfId="0"/>
    <cellStyle name="_CRT_DVD_TV_LCD" xfId="0"/>
    <cellStyle name="_CRT_DVD_TV_LCD 2" xfId="0"/>
    <cellStyle name="_CRT_DVD_TV_LCD 3" xfId="0"/>
    <cellStyle name="_CRT_DVD_TV_LCD 4" xfId="0"/>
    <cellStyle name="_CRT_DVD_TV_LCD_By Region" xfId="0"/>
    <cellStyle name="_CRT_DVD_TV_LCD_CORP SG&amp;A" xfId="0"/>
    <cellStyle name="_CRT_DVD_TV_LCD_LCD" xfId="0"/>
    <cellStyle name="_CRT_DVD_TV_LCD_PJ" xfId="0"/>
    <cellStyle name="_CRT_DVD_TV_lightling" xfId="0"/>
    <cellStyle name="_CRT_DVD_TV_lightling 2" xfId="0"/>
    <cellStyle name="_CRT_DVD_TV_lightling_By Region" xfId="0"/>
    <cellStyle name="_CRT_DVD_TV_lightling_CORP SG&amp;A" xfId="0"/>
    <cellStyle name="_CRT_DVD_TV_PC Products" xfId="0"/>
    <cellStyle name="_CRT_DVD_TV_PC Products 2" xfId="0"/>
    <cellStyle name="_CRT_DVD_TV_PC Products 3" xfId="0"/>
    <cellStyle name="_CRT_DVD_TV_PC Products 4" xfId="0"/>
    <cellStyle name="_CRT_DVD_TV_PC Products 5" xfId="0"/>
    <cellStyle name="_CRT_DVD_TV_PC Products 6" xfId="0"/>
    <cellStyle name="_CRT_DVD_TV_PC Products_By Region" xfId="0"/>
    <cellStyle name="_CRT_DVD_TV_PC Products_CORP SG&amp;A" xfId="0"/>
    <cellStyle name="_CRT_DVD_TV_PC Products_LCD" xfId="0"/>
    <cellStyle name="_CRT_DVD_TV_PC Products_PJ" xfId="0"/>
    <cellStyle name="_CRT_DVD_TV_VSA 111014" xfId="0"/>
    <cellStyle name="_CRT_DVD_TV_VSA 111014 2" xfId="0"/>
    <cellStyle name="_CRT_DVD_TV_VSA 111014 3" xfId="0"/>
    <cellStyle name="_CRT_DVD_TV_VSA 111014 4" xfId="0"/>
    <cellStyle name="_CRT_DVD_TV_VSA 111014 5" xfId="0"/>
    <cellStyle name="_CRT_DVD_TV_VSA 111014 6" xfId="0"/>
    <cellStyle name="_CRT_DVD_TV_VSA 111014_By Region" xfId="0"/>
    <cellStyle name="_CRT_DVD_TV_VSA 111014_CORP SG&amp;A" xfId="0"/>
    <cellStyle name="_CRT_DVD_TV_VSA 111014_LCD" xfId="0"/>
    <cellStyle name="_CRT_DVD_TV_VSA 111014_PJ" xfId="0"/>
    <cellStyle name="_CRT_DVD_TV_VSA Roll-Up (LW)" xfId="0"/>
    <cellStyle name="_CRT_DVD_TV_VSA Roll-Up (LW) 2" xfId="0"/>
    <cellStyle name="_CRT_DVD_TV_VSA Roll-Up (LW) 3" xfId="0"/>
    <cellStyle name="_CRT_DVD_TV_VSA Roll-Up (LW) 4" xfId="0"/>
    <cellStyle name="_CRT_DVD_TV_VSA Roll-Up (LW) 5" xfId="0"/>
    <cellStyle name="_CRT_DVD_TV_VSA Roll-Up (LW) 6" xfId="0"/>
    <cellStyle name="_CRT_DVD_TV_VSA Roll-Up (LW)_By Region" xfId="0"/>
    <cellStyle name="_CRT_DVD_TV_VSA Roll-Up (LW)_CORP SG&amp;A" xfId="0"/>
    <cellStyle name="_CRT_DVD_TV_VSA Roll-Up (LW)_LCD" xfId="0"/>
    <cellStyle name="_CRT_DVD_TV_VSA Roll-Up (LW)_PJ" xfId="0"/>
    <cellStyle name="_CRT_GPS OTHER" xfId="0"/>
    <cellStyle name="_CRT_GPS OTHER 2" xfId="0"/>
    <cellStyle name="_CRT_GPS OTHER 3" xfId="0"/>
    <cellStyle name="_CRT_GPS OTHER 4" xfId="0"/>
    <cellStyle name="_CRT_GPS OTHER 5" xfId="0"/>
    <cellStyle name="_CRT_GPS OTHER 6" xfId="0"/>
    <cellStyle name="_CRT_GPS OTHER_By Region" xfId="0"/>
    <cellStyle name="_CRT_GPS OTHER_CORP SG&amp;A" xfId="0"/>
    <cellStyle name="_CRT_GPS OTHER_LCD" xfId="0"/>
    <cellStyle name="_CRT_GPS OTHER_PJ" xfId="0"/>
    <cellStyle name="_CRT_LCD" xfId="0"/>
    <cellStyle name="_CRT_LCD 2" xfId="0"/>
    <cellStyle name="_CRT_LCD 3" xfId="0"/>
    <cellStyle name="_CRT_LCD 4" xfId="0"/>
    <cellStyle name="_CRT_LCD_1" xfId="0"/>
    <cellStyle name="_CRT_LCD_1 2" xfId="0"/>
    <cellStyle name="_CRT_LCD_1 3" xfId="0"/>
    <cellStyle name="_CRT_LCD_1 4" xfId="0"/>
    <cellStyle name="_CRT_LCD_1_By Region" xfId="0"/>
    <cellStyle name="_CRT_LCD_1_CORP SG&amp;A" xfId="0"/>
    <cellStyle name="_CRT_LCD_1_LCD" xfId="0"/>
    <cellStyle name="_CRT_LCD_1_PJ" xfId="0"/>
    <cellStyle name="_CRT_LCD_By Region" xfId="0"/>
    <cellStyle name="_CRT_LCD_CORP SG&amp;A" xfId="0"/>
    <cellStyle name="_CRT_LCD_Digitizer" xfId="0"/>
    <cellStyle name="_CRT_LCD_GPS OTHER" xfId="0"/>
    <cellStyle name="_CRT_LCD_GPS OTHER 2" xfId="0"/>
    <cellStyle name="_CRT_LCD_GPS OTHER 3" xfId="0"/>
    <cellStyle name="_CRT_LCD_GPS OTHER 4" xfId="0"/>
    <cellStyle name="_CRT_LCD_GPS OTHER 5" xfId="0"/>
    <cellStyle name="_CRT_LCD_GPS OTHER 6" xfId="0"/>
    <cellStyle name="_CRT_LCD_GPS OTHER_By Region" xfId="0"/>
    <cellStyle name="_CRT_LCD_GPS OTHER_CORP SG&amp;A" xfId="0"/>
    <cellStyle name="_CRT_LCD_GPS OTHER_LCD" xfId="0"/>
    <cellStyle name="_CRT_LCD_GPS OTHER_PJ" xfId="0"/>
    <cellStyle name="_CRT_LCD_LCD" xfId="0"/>
    <cellStyle name="_CRT_LCD_LCD 2" xfId="0"/>
    <cellStyle name="_CRT_LCD_LCD 3" xfId="0"/>
    <cellStyle name="_CRT_LCD_LCD 4" xfId="0"/>
    <cellStyle name="_CRT_LCD_LCD_By Region" xfId="0"/>
    <cellStyle name="_CRT_LCD_LCD_CORP SG&amp;A" xfId="0"/>
    <cellStyle name="_CRT_LCD_LCD_LCD" xfId="0"/>
    <cellStyle name="_CRT_LCD_LCD_PJ" xfId="0"/>
    <cellStyle name="_CRT_LCD_lightling" xfId="0"/>
    <cellStyle name="_CRT_LCD_lightling 2" xfId="0"/>
    <cellStyle name="_CRT_LCD_lightling_By Region" xfId="0"/>
    <cellStyle name="_CRT_LCD_lightling_CORP SG&amp;A" xfId="0"/>
    <cellStyle name="_CRT_LCD_PC Products" xfId="0"/>
    <cellStyle name="_CRT_LCD_PC Products 2" xfId="0"/>
    <cellStyle name="_CRT_LCD_PC Products 3" xfId="0"/>
    <cellStyle name="_CRT_LCD_PC Products 4" xfId="0"/>
    <cellStyle name="_CRT_LCD_PC Products 5" xfId="0"/>
    <cellStyle name="_CRT_LCD_PC Products 6" xfId="0"/>
    <cellStyle name="_CRT_LCD_PC Products_By Region" xfId="0"/>
    <cellStyle name="_CRT_LCD_PC Products_CORP SG&amp;A" xfId="0"/>
    <cellStyle name="_CRT_LCD_PC Products_LCD" xfId="0"/>
    <cellStyle name="_CRT_LCD_PC Products_PJ" xfId="0"/>
    <cellStyle name="_CRT_LCD_VSA 111014" xfId="0"/>
    <cellStyle name="_CRT_LCD_VSA 111014 2" xfId="0"/>
    <cellStyle name="_CRT_LCD_VSA 111014 3" xfId="0"/>
    <cellStyle name="_CRT_LCD_VSA 111014 4" xfId="0"/>
    <cellStyle name="_CRT_LCD_VSA 111014 5" xfId="0"/>
    <cellStyle name="_CRT_LCD_VSA 111014 6" xfId="0"/>
    <cellStyle name="_CRT_LCD_VSA 111014_By Region" xfId="0"/>
    <cellStyle name="_CRT_LCD_VSA 111014_CORP SG&amp;A" xfId="0"/>
    <cellStyle name="_CRT_LCD_VSA 111014_LCD" xfId="0"/>
    <cellStyle name="_CRT_LCD_VSA 111014_PJ" xfId="0"/>
    <cellStyle name="_CRT_LCD_VSA Roll-Up (LW)" xfId="0"/>
    <cellStyle name="_CRT_LCD_VSA Roll-Up (LW) 2" xfId="0"/>
    <cellStyle name="_CRT_LCD_VSA Roll-Up (LW) 3" xfId="0"/>
    <cellStyle name="_CRT_LCD_VSA Roll-Up (LW) 4" xfId="0"/>
    <cellStyle name="_CRT_LCD_VSA Roll-Up (LW) 5" xfId="0"/>
    <cellStyle name="_CRT_LCD_VSA Roll-Up (LW) 6" xfId="0"/>
    <cellStyle name="_CRT_LCD_VSA Roll-Up (LW)_By Region" xfId="0"/>
    <cellStyle name="_CRT_LCD_VSA Roll-Up (LW)_CORP SG&amp;A" xfId="0"/>
    <cellStyle name="_CRT_LCD_VSA Roll-Up (LW)_LCD" xfId="0"/>
    <cellStyle name="_CRT_LCD_VSA Roll-Up (LW)_PJ" xfId="0"/>
    <cellStyle name="_CRT_LCDTV" xfId="0"/>
    <cellStyle name="_CRT_LCDTV 2" xfId="0"/>
    <cellStyle name="_CRT_LCDTV 3" xfId="0"/>
    <cellStyle name="_CRT_LCDTV 4" xfId="0"/>
    <cellStyle name="_CRT_LCDTV_By Region" xfId="0"/>
    <cellStyle name="_CRT_LCDTV_CORP SG&amp;A" xfId="0"/>
    <cellStyle name="_CRT_LCDTV_Digitizer" xfId="0"/>
    <cellStyle name="_CRT_LCDTV_GPS OTHER" xfId="0"/>
    <cellStyle name="_CRT_LCDTV_GPS OTHER 2" xfId="0"/>
    <cellStyle name="_CRT_LCDTV_GPS OTHER 3" xfId="0"/>
    <cellStyle name="_CRT_LCDTV_GPS OTHER 4" xfId="0"/>
    <cellStyle name="_CRT_LCDTV_GPS OTHER 5" xfId="0"/>
    <cellStyle name="_CRT_LCDTV_GPS OTHER 6" xfId="0"/>
    <cellStyle name="_CRT_LCDTV_GPS OTHER_By Region" xfId="0"/>
    <cellStyle name="_CRT_LCDTV_GPS OTHER_CORP SG&amp;A" xfId="0"/>
    <cellStyle name="_CRT_LCDTV_GPS OTHER_LCD" xfId="0"/>
    <cellStyle name="_CRT_LCDTV_GPS OTHER_PJ" xfId="0"/>
    <cellStyle name="_CRT_LCDTV_LCD" xfId="0"/>
    <cellStyle name="_CRT_LCDTV_LCD 2" xfId="0"/>
    <cellStyle name="_CRT_LCDTV_LCD 3" xfId="0"/>
    <cellStyle name="_CRT_LCDTV_LCD 4" xfId="0"/>
    <cellStyle name="_CRT_LCDTV_LCD_By Region" xfId="0"/>
    <cellStyle name="_CRT_LCDTV_LCD_CORP SG&amp;A" xfId="0"/>
    <cellStyle name="_CRT_LCDTV_LCD_LCD" xfId="0"/>
    <cellStyle name="_CRT_LCDTV_LCD_PJ" xfId="0"/>
    <cellStyle name="_CRT_LCDTV_lightling" xfId="0"/>
    <cellStyle name="_CRT_LCDTV_lightling 2" xfId="0"/>
    <cellStyle name="_CRT_LCDTV_lightling_By Region" xfId="0"/>
    <cellStyle name="_CRT_LCDTV_lightling_CORP SG&amp;A" xfId="0"/>
    <cellStyle name="_CRT_LCDTV_PC Products" xfId="0"/>
    <cellStyle name="_CRT_LCDTV_PC Products 2" xfId="0"/>
    <cellStyle name="_CRT_LCDTV_PC Products 3" xfId="0"/>
    <cellStyle name="_CRT_LCDTV_PC Products 4" xfId="0"/>
    <cellStyle name="_CRT_LCDTV_PC Products 5" xfId="0"/>
    <cellStyle name="_CRT_LCDTV_PC Products 6" xfId="0"/>
    <cellStyle name="_CRT_LCDTV_PC Products_By Region" xfId="0"/>
    <cellStyle name="_CRT_LCDTV_PC Products_CORP SG&amp;A" xfId="0"/>
    <cellStyle name="_CRT_LCDTV_PC Products_LCD" xfId="0"/>
    <cellStyle name="_CRT_LCDTV_PC Products_PJ" xfId="0"/>
    <cellStyle name="_CRT_LCDTV_VSA 111014" xfId="0"/>
    <cellStyle name="_CRT_LCDTV_VSA 111014 2" xfId="0"/>
    <cellStyle name="_CRT_LCDTV_VSA 111014 3" xfId="0"/>
    <cellStyle name="_CRT_LCDTV_VSA 111014 4" xfId="0"/>
    <cellStyle name="_CRT_LCDTV_VSA 111014 5" xfId="0"/>
    <cellStyle name="_CRT_LCDTV_VSA 111014 6" xfId="0"/>
    <cellStyle name="_CRT_LCDTV_VSA 111014_By Region" xfId="0"/>
    <cellStyle name="_CRT_LCDTV_VSA 111014_CORP SG&amp;A" xfId="0"/>
    <cellStyle name="_CRT_LCDTV_VSA 111014_LCD" xfId="0"/>
    <cellStyle name="_CRT_LCDTV_VSA 111014_PJ" xfId="0"/>
    <cellStyle name="_CRT_LCDTV_VSA Roll-Up (LW)" xfId="0"/>
    <cellStyle name="_CRT_LCDTV_VSA Roll-Up (LW) 2" xfId="0"/>
    <cellStyle name="_CRT_LCDTV_VSA Roll-Up (LW) 3" xfId="0"/>
    <cellStyle name="_CRT_LCDTV_VSA Roll-Up (LW) 4" xfId="0"/>
    <cellStyle name="_CRT_LCDTV_VSA Roll-Up (LW) 5" xfId="0"/>
    <cellStyle name="_CRT_LCDTV_VSA Roll-Up (LW) 6" xfId="0"/>
    <cellStyle name="_CRT_LCDTV_VSA Roll-Up (LW)_By Region" xfId="0"/>
    <cellStyle name="_CRT_LCDTV_VSA Roll-Up (LW)_CORP SG&amp;A" xfId="0"/>
    <cellStyle name="_CRT_LCDTV_VSA Roll-Up (LW)_LCD" xfId="0"/>
    <cellStyle name="_CRT_LCDTV_VSA Roll-Up (LW)_PJ" xfId="0"/>
    <cellStyle name="_CRT_lightling" xfId="0"/>
    <cellStyle name="_CRT_lightling 2" xfId="0"/>
    <cellStyle name="_CRT_lightling_By Region" xfId="0"/>
    <cellStyle name="_CRT_lightling_CORP SG&amp;A" xfId="0"/>
    <cellStyle name="_CRT_MNT" xfId="0"/>
    <cellStyle name="_CRT_MNT 2" xfId="0"/>
    <cellStyle name="_CRT_MNT 3" xfId="0"/>
    <cellStyle name="_CRT_MNT 4" xfId="0"/>
    <cellStyle name="_CRT_MNT_By Region" xfId="0"/>
    <cellStyle name="_CRT_MNT_CORP SG&amp;A" xfId="0"/>
    <cellStyle name="_CRT_MNT_Digitizer" xfId="0"/>
    <cellStyle name="_CRT_MNT_GPS OTHER" xfId="0"/>
    <cellStyle name="_CRT_MNT_GPS OTHER 2" xfId="0"/>
    <cellStyle name="_CRT_MNT_GPS OTHER 3" xfId="0"/>
    <cellStyle name="_CRT_MNT_GPS OTHER 4" xfId="0"/>
    <cellStyle name="_CRT_MNT_GPS OTHER 5" xfId="0"/>
    <cellStyle name="_CRT_MNT_GPS OTHER 6" xfId="0"/>
    <cellStyle name="_CRT_MNT_GPS OTHER_By Region" xfId="0"/>
    <cellStyle name="_CRT_MNT_GPS OTHER_CORP SG&amp;A" xfId="0"/>
    <cellStyle name="_CRT_MNT_GPS OTHER_LCD" xfId="0"/>
    <cellStyle name="_CRT_MNT_GPS OTHER_PJ" xfId="0"/>
    <cellStyle name="_CRT_MNT_LCD" xfId="0"/>
    <cellStyle name="_CRT_MNT_LCD 2" xfId="0"/>
    <cellStyle name="_CRT_MNT_LCD 3" xfId="0"/>
    <cellStyle name="_CRT_MNT_LCD 4" xfId="0"/>
    <cellStyle name="_CRT_MNT_LCD_By Region" xfId="0"/>
    <cellStyle name="_CRT_MNT_LCD_CORP SG&amp;A" xfId="0"/>
    <cellStyle name="_CRT_MNT_LCD_LCD" xfId="0"/>
    <cellStyle name="_CRT_MNT_LCD_PJ" xfId="0"/>
    <cellStyle name="_CRT_MNT_lightling" xfId="0"/>
    <cellStyle name="_CRT_MNT_lightling 2" xfId="0"/>
    <cellStyle name="_CRT_MNT_lightling_By Region" xfId="0"/>
    <cellStyle name="_CRT_MNT_lightling_CORP SG&amp;A" xfId="0"/>
    <cellStyle name="_CRT_MNT_PC Products" xfId="0"/>
    <cellStyle name="_CRT_MNT_PC Products 2" xfId="0"/>
    <cellStyle name="_CRT_MNT_PC Products 3" xfId="0"/>
    <cellStyle name="_CRT_MNT_PC Products 4" xfId="0"/>
    <cellStyle name="_CRT_MNT_PC Products 5" xfId="0"/>
    <cellStyle name="_CRT_MNT_PC Products 6" xfId="0"/>
    <cellStyle name="_CRT_MNT_PC Products_By Region" xfId="0"/>
    <cellStyle name="_CRT_MNT_PC Products_CORP SG&amp;A" xfId="0"/>
    <cellStyle name="_CRT_MNT_PC Products_LCD" xfId="0"/>
    <cellStyle name="_CRT_MNT_PC Products_PJ" xfId="0"/>
    <cellStyle name="_CRT_MNT_VSA 111014" xfId="0"/>
    <cellStyle name="_CRT_MNT_VSA 111014 2" xfId="0"/>
    <cellStyle name="_CRT_MNT_VSA 111014 3" xfId="0"/>
    <cellStyle name="_CRT_MNT_VSA 111014 4" xfId="0"/>
    <cellStyle name="_CRT_MNT_VSA 111014 5" xfId="0"/>
    <cellStyle name="_CRT_MNT_VSA 111014 6" xfId="0"/>
    <cellStyle name="_CRT_MNT_VSA 111014_By Region" xfId="0"/>
    <cellStyle name="_CRT_MNT_VSA 111014_CORP SG&amp;A" xfId="0"/>
    <cellStyle name="_CRT_MNT_VSA 111014_LCD" xfId="0"/>
    <cellStyle name="_CRT_MNT_VSA 111014_PJ" xfId="0"/>
    <cellStyle name="_CRT_MNT_VSA Roll-Up (LW)" xfId="0"/>
    <cellStyle name="_CRT_MNT_VSA Roll-Up (LW) 2" xfId="0"/>
    <cellStyle name="_CRT_MNT_VSA Roll-Up (LW) 3" xfId="0"/>
    <cellStyle name="_CRT_MNT_VSA Roll-Up (LW) 4" xfId="0"/>
    <cellStyle name="_CRT_MNT_VSA Roll-Up (LW) 5" xfId="0"/>
    <cellStyle name="_CRT_MNT_VSA Roll-Up (LW) 6" xfId="0"/>
    <cellStyle name="_CRT_MNT_VSA Roll-Up (LW)_By Region" xfId="0"/>
    <cellStyle name="_CRT_MNT_VSA Roll-Up (LW)_CORP SG&amp;A" xfId="0"/>
    <cellStyle name="_CRT_MNT_VSA Roll-Up (LW)_LCD" xfId="0"/>
    <cellStyle name="_CRT_MNT_VSA Roll-Up (LW)_PJ" xfId="0"/>
    <cellStyle name="_CRT_Other" xfId="0"/>
    <cellStyle name="_CRT_Other 2" xfId="0"/>
    <cellStyle name="_CRT_Other 3" xfId="0"/>
    <cellStyle name="_CRT_Other 4" xfId="0"/>
    <cellStyle name="_CRT_Other_By Region" xfId="0"/>
    <cellStyle name="_CRT_Other_CORP SG&amp;A" xfId="0"/>
    <cellStyle name="_CRT_Other_Digitizer" xfId="0"/>
    <cellStyle name="_CRT_Other_GPS OTHER" xfId="0"/>
    <cellStyle name="_CRT_Other_GPS OTHER 2" xfId="0"/>
    <cellStyle name="_CRT_Other_GPS OTHER 3" xfId="0"/>
    <cellStyle name="_CRT_Other_GPS OTHER 4" xfId="0"/>
    <cellStyle name="_CRT_Other_GPS OTHER 5" xfId="0"/>
    <cellStyle name="_CRT_Other_GPS OTHER 6" xfId="0"/>
    <cellStyle name="_CRT_Other_GPS OTHER_By Region" xfId="0"/>
    <cellStyle name="_CRT_Other_GPS OTHER_CORP SG&amp;A" xfId="0"/>
    <cellStyle name="_CRT_Other_GPS OTHER_LCD" xfId="0"/>
    <cellStyle name="_CRT_Other_GPS OTHER_PJ" xfId="0"/>
    <cellStyle name="_CRT_Other_LCD" xfId="0"/>
    <cellStyle name="_CRT_Other_LCD 2" xfId="0"/>
    <cellStyle name="_CRT_Other_LCD 3" xfId="0"/>
    <cellStyle name="_CRT_Other_LCD 4" xfId="0"/>
    <cellStyle name="_CRT_Other_LCD_By Region" xfId="0"/>
    <cellStyle name="_CRT_Other_LCD_CORP SG&amp;A" xfId="0"/>
    <cellStyle name="_CRT_Other_LCD_LCD" xfId="0"/>
    <cellStyle name="_CRT_Other_LCD_PJ" xfId="0"/>
    <cellStyle name="_CRT_Other_lightling" xfId="0"/>
    <cellStyle name="_CRT_Other_lightling 2" xfId="0"/>
    <cellStyle name="_CRT_Other_lightling_By Region" xfId="0"/>
    <cellStyle name="_CRT_Other_lightling_CORP SG&amp;A" xfId="0"/>
    <cellStyle name="_CRT_Other_PC Products" xfId="0"/>
    <cellStyle name="_CRT_Other_PC Products 2" xfId="0"/>
    <cellStyle name="_CRT_Other_PC Products 3" xfId="0"/>
    <cellStyle name="_CRT_Other_PC Products 4" xfId="0"/>
    <cellStyle name="_CRT_Other_PC Products 5" xfId="0"/>
    <cellStyle name="_CRT_Other_PC Products 6" xfId="0"/>
    <cellStyle name="_CRT_Other_PC Products_By Region" xfId="0"/>
    <cellStyle name="_CRT_Other_PC Products_CORP SG&amp;A" xfId="0"/>
    <cellStyle name="_CRT_Other_PC Products_LCD" xfId="0"/>
    <cellStyle name="_CRT_Other_PC Products_PJ" xfId="0"/>
    <cellStyle name="_CRT_Other_VSA 111014" xfId="0"/>
    <cellStyle name="_CRT_Other_VSA 111014 2" xfId="0"/>
    <cellStyle name="_CRT_Other_VSA 111014 3" xfId="0"/>
    <cellStyle name="_CRT_Other_VSA 111014 4" xfId="0"/>
    <cellStyle name="_CRT_Other_VSA 111014 5" xfId="0"/>
    <cellStyle name="_CRT_Other_VSA 111014 6" xfId="0"/>
    <cellStyle name="_CRT_Other_VSA 111014_By Region" xfId="0"/>
    <cellStyle name="_CRT_Other_VSA 111014_CORP SG&amp;A" xfId="0"/>
    <cellStyle name="_CRT_Other_VSA 111014_LCD" xfId="0"/>
    <cellStyle name="_CRT_Other_VSA 111014_PJ" xfId="0"/>
    <cellStyle name="_CRT_Other_VSA Roll-Up (LW)" xfId="0"/>
    <cellStyle name="_CRT_Other_VSA Roll-Up (LW) 2" xfId="0"/>
    <cellStyle name="_CRT_Other_VSA Roll-Up (LW) 3" xfId="0"/>
    <cellStyle name="_CRT_Other_VSA Roll-Up (LW) 4" xfId="0"/>
    <cellStyle name="_CRT_Other_VSA Roll-Up (LW) 5" xfId="0"/>
    <cellStyle name="_CRT_Other_VSA Roll-Up (LW) 6" xfId="0"/>
    <cellStyle name="_CRT_Other_VSA Roll-Up (LW)_By Region" xfId="0"/>
    <cellStyle name="_CRT_Other_VSA Roll-Up (LW)_CORP SG&amp;A" xfId="0"/>
    <cellStyle name="_CRT_Other_VSA Roll-Up (LW)_LCD" xfId="0"/>
    <cellStyle name="_CRT_Other_VSA Roll-Up (LW)_PJ" xfId="0"/>
    <cellStyle name="_CRT_PC" xfId="0"/>
    <cellStyle name="_CRT_PC 2" xfId="0"/>
    <cellStyle name="_CRT_PC 3" xfId="0"/>
    <cellStyle name="_CRT_PC 4" xfId="0"/>
    <cellStyle name="_CRT_PC Products" xfId="0"/>
    <cellStyle name="_CRT_PC Products 2" xfId="0"/>
    <cellStyle name="_CRT_PC Products 3" xfId="0"/>
    <cellStyle name="_CRT_PC Products 4" xfId="0"/>
    <cellStyle name="_CRT_PC Products 5" xfId="0"/>
    <cellStyle name="_CRT_PC Products 6" xfId="0"/>
    <cellStyle name="_CRT_PC Products_By Region" xfId="0"/>
    <cellStyle name="_CRT_PC Products_CORP SG&amp;A" xfId="0"/>
    <cellStyle name="_CRT_PC Products_LCD" xfId="0"/>
    <cellStyle name="_CRT_PC Products_PJ" xfId="0"/>
    <cellStyle name="_CRT_PC_By Region" xfId="0"/>
    <cellStyle name="_CRT_PC_CORP SG&amp;A" xfId="0"/>
    <cellStyle name="_CRT_PC_Digitizer" xfId="0"/>
    <cellStyle name="_CRT_PC_DT" xfId="0"/>
    <cellStyle name="_CRT_PC_DT 2" xfId="0"/>
    <cellStyle name="_CRT_PC_DT_By Region" xfId="0"/>
    <cellStyle name="_CRT_PC_DT_CORP SG&amp;A" xfId="0"/>
    <cellStyle name="_CRT_PC_GPS OTHER" xfId="0"/>
    <cellStyle name="_CRT_PC_GPS OTHER 2" xfId="0"/>
    <cellStyle name="_CRT_PC_GPS OTHER 3" xfId="0"/>
    <cellStyle name="_CRT_PC_GPS OTHER 4" xfId="0"/>
    <cellStyle name="_CRT_PC_GPS OTHER 5" xfId="0"/>
    <cellStyle name="_CRT_PC_GPS OTHER 6" xfId="0"/>
    <cellStyle name="_CRT_PC_GPS OTHER_By Region" xfId="0"/>
    <cellStyle name="_CRT_PC_GPS OTHER_CORP SG&amp;A" xfId="0"/>
    <cellStyle name="_CRT_PC_GPS OTHER_LCD" xfId="0"/>
    <cellStyle name="_CRT_PC_GPS OTHER_PJ" xfId="0"/>
    <cellStyle name="_CRT_PC_LCD" xfId="0"/>
    <cellStyle name="_CRT_PC_LCD 2" xfId="0"/>
    <cellStyle name="_CRT_PC_LCD 3" xfId="0"/>
    <cellStyle name="_CRT_PC_LCD 4" xfId="0"/>
    <cellStyle name="_CRT_PC_LCD_By Region" xfId="0"/>
    <cellStyle name="_CRT_PC_LCD_CORP SG&amp;A" xfId="0"/>
    <cellStyle name="_CRT_PC_LCD_LCD" xfId="0"/>
    <cellStyle name="_CRT_PC_LCD_PJ" xfId="0"/>
    <cellStyle name="_CRT_PC_lightling" xfId="0"/>
    <cellStyle name="_CRT_PC_lightling 2" xfId="0"/>
    <cellStyle name="_CRT_PC_lightling_By Region" xfId="0"/>
    <cellStyle name="_CRT_PC_lightling_CORP SG&amp;A" xfId="0"/>
    <cellStyle name="_CRT_PC_PC Products" xfId="0"/>
    <cellStyle name="_CRT_PC_PC Products 2" xfId="0"/>
    <cellStyle name="_CRT_PC_PC Products 3" xfId="0"/>
    <cellStyle name="_CRT_PC_PC Products 4" xfId="0"/>
    <cellStyle name="_CRT_PC_PC Products 5" xfId="0"/>
    <cellStyle name="_CRT_PC_PC Products 6" xfId="0"/>
    <cellStyle name="_CRT_PC_PC Products_By Region" xfId="0"/>
    <cellStyle name="_CRT_PC_PC Products_CORP SG&amp;A" xfId="0"/>
    <cellStyle name="_CRT_PC_PC Products_LCD" xfId="0"/>
    <cellStyle name="_CRT_PC_PC Products_PJ" xfId="0"/>
    <cellStyle name="_CRT_PC_TV" xfId="0"/>
    <cellStyle name="_CRT_PC_TV 2" xfId="0"/>
    <cellStyle name="_CRT_PC_TV 3" xfId="0"/>
    <cellStyle name="_CRT_PC_TV 4" xfId="0"/>
    <cellStyle name="_CRT_PC_TV_By Region" xfId="0"/>
    <cellStyle name="_CRT_PC_TV_CORP SG&amp;A" xfId="0"/>
    <cellStyle name="_CRT_PC_TV_Digitizer" xfId="0"/>
    <cellStyle name="_CRT_PC_TV_GPS OTHER" xfId="0"/>
    <cellStyle name="_CRT_PC_TV_GPS OTHER 2" xfId="0"/>
    <cellStyle name="_CRT_PC_TV_GPS OTHER 3" xfId="0"/>
    <cellStyle name="_CRT_PC_TV_GPS OTHER 4" xfId="0"/>
    <cellStyle name="_CRT_PC_TV_GPS OTHER 5" xfId="0"/>
    <cellStyle name="_CRT_PC_TV_GPS OTHER 6" xfId="0"/>
    <cellStyle name="_CRT_PC_TV_GPS OTHER_By Region" xfId="0"/>
    <cellStyle name="_CRT_PC_TV_GPS OTHER_CORP SG&amp;A" xfId="0"/>
    <cellStyle name="_CRT_PC_TV_GPS OTHER_LCD" xfId="0"/>
    <cellStyle name="_CRT_PC_TV_GPS OTHER_PJ" xfId="0"/>
    <cellStyle name="_CRT_PC_TV_LCD" xfId="0"/>
    <cellStyle name="_CRT_PC_TV_LCD 2" xfId="0"/>
    <cellStyle name="_CRT_PC_TV_LCD 3" xfId="0"/>
    <cellStyle name="_CRT_PC_TV_LCD 4" xfId="0"/>
    <cellStyle name="_CRT_PC_TV_LCD_By Region" xfId="0"/>
    <cellStyle name="_CRT_PC_TV_LCD_CORP SG&amp;A" xfId="0"/>
    <cellStyle name="_CRT_PC_TV_LCD_LCD" xfId="0"/>
    <cellStyle name="_CRT_PC_TV_LCD_PJ" xfId="0"/>
    <cellStyle name="_CRT_PC_TV_lightling" xfId="0"/>
    <cellStyle name="_CRT_PC_TV_lightling 2" xfId="0"/>
    <cellStyle name="_CRT_PC_TV_lightling_By Region" xfId="0"/>
    <cellStyle name="_CRT_PC_TV_lightling_CORP SG&amp;A" xfId="0"/>
    <cellStyle name="_CRT_PC_TV_PC Products" xfId="0"/>
    <cellStyle name="_CRT_PC_TV_PC Products 2" xfId="0"/>
    <cellStyle name="_CRT_PC_TV_PC Products 3" xfId="0"/>
    <cellStyle name="_CRT_PC_TV_PC Products 4" xfId="0"/>
    <cellStyle name="_CRT_PC_TV_PC Products 5" xfId="0"/>
    <cellStyle name="_CRT_PC_TV_PC Products 6" xfId="0"/>
    <cellStyle name="_CRT_PC_TV_PC Products_By Region" xfId="0"/>
    <cellStyle name="_CRT_PC_TV_PC Products_CORP SG&amp;A" xfId="0"/>
    <cellStyle name="_CRT_PC_TV_PC Products_LCD" xfId="0"/>
    <cellStyle name="_CRT_PC_TV_PC Products_PJ" xfId="0"/>
    <cellStyle name="_CRT_PC_TV_VSA 111014" xfId="0"/>
    <cellStyle name="_CRT_PC_TV_VSA 111014 2" xfId="0"/>
    <cellStyle name="_CRT_PC_TV_VSA 111014 3" xfId="0"/>
    <cellStyle name="_CRT_PC_TV_VSA 111014 4" xfId="0"/>
    <cellStyle name="_CRT_PC_TV_VSA 111014 5" xfId="0"/>
    <cellStyle name="_CRT_PC_TV_VSA 111014 6" xfId="0"/>
    <cellStyle name="_CRT_PC_TV_VSA 111014_By Region" xfId="0"/>
    <cellStyle name="_CRT_PC_TV_VSA 111014_CORP SG&amp;A" xfId="0"/>
    <cellStyle name="_CRT_PC_TV_VSA 111014_LCD" xfId="0"/>
    <cellStyle name="_CRT_PC_TV_VSA 111014_PJ" xfId="0"/>
    <cellStyle name="_CRT_PC_TV_VSA Roll-Up (LW)" xfId="0"/>
    <cellStyle name="_CRT_PC_TV_VSA Roll-Up (LW) 2" xfId="0"/>
    <cellStyle name="_CRT_PC_TV_VSA Roll-Up (LW) 3" xfId="0"/>
    <cellStyle name="_CRT_PC_TV_VSA Roll-Up (LW) 4" xfId="0"/>
    <cellStyle name="_CRT_PC_TV_VSA Roll-Up (LW) 5" xfId="0"/>
    <cellStyle name="_CRT_PC_TV_VSA Roll-Up (LW) 6" xfId="0"/>
    <cellStyle name="_CRT_PC_TV_VSA Roll-Up (LW)_By Region" xfId="0"/>
    <cellStyle name="_CRT_PC_TV_VSA Roll-Up (LW)_CORP SG&amp;A" xfId="0"/>
    <cellStyle name="_CRT_PC_TV_VSA Roll-Up (LW)_LCD" xfId="0"/>
    <cellStyle name="_CRT_PC_TV_VSA Roll-Up (LW)_PJ" xfId="0"/>
    <cellStyle name="_CRT_PC_VSA 111014" xfId="0"/>
    <cellStyle name="_CRT_PC_VSA 111014 2" xfId="0"/>
    <cellStyle name="_CRT_PC_VSA 111014 3" xfId="0"/>
    <cellStyle name="_CRT_PC_VSA 111014 4" xfId="0"/>
    <cellStyle name="_CRT_PC_VSA 111014 5" xfId="0"/>
    <cellStyle name="_CRT_PC_VSA 111014 6" xfId="0"/>
    <cellStyle name="_CRT_PC_VSA 111014_By Region" xfId="0"/>
    <cellStyle name="_CRT_PC_VSA 111014_CORP SG&amp;A" xfId="0"/>
    <cellStyle name="_CRT_PC_VSA 111014_LCD" xfId="0"/>
    <cellStyle name="_CRT_PC_VSA 111014_PJ" xfId="0"/>
    <cellStyle name="_CRT_PC_VSA Roll-Up (LW)" xfId="0"/>
    <cellStyle name="_CRT_PC_VSA Roll-Up (LW) 2" xfId="0"/>
    <cellStyle name="_CRT_PC_VSA Roll-Up (LW) 3" xfId="0"/>
    <cellStyle name="_CRT_PC_VSA Roll-Up (LW) 4" xfId="0"/>
    <cellStyle name="_CRT_PC_VSA Roll-Up (LW) 5" xfId="0"/>
    <cellStyle name="_CRT_PC_VSA Roll-Up (LW) 6" xfId="0"/>
    <cellStyle name="_CRT_PC_VSA Roll-Up (LW)_By Region" xfId="0"/>
    <cellStyle name="_CRT_PC_VSA Roll-Up (LW)_CORP SG&amp;A" xfId="0"/>
    <cellStyle name="_CRT_PC_VSA Roll-Up (LW)_LCD" xfId="0"/>
    <cellStyle name="_CRT_PC_VSA Roll-Up (LW)_PJ" xfId="0"/>
    <cellStyle name="_CRT_PJ" xfId="0"/>
    <cellStyle name="_CRT_PJ 2" xfId="0"/>
    <cellStyle name="_CRT_PJ 3" xfId="0"/>
    <cellStyle name="_CRT_PJ 4" xfId="0"/>
    <cellStyle name="_CRT_PJ_By Region" xfId="0"/>
    <cellStyle name="_CRT_PJ_CORP SG&amp;A" xfId="0"/>
    <cellStyle name="_CRT_PJ_Digitizer" xfId="0"/>
    <cellStyle name="_CRT_PJ_GPS OTHER" xfId="0"/>
    <cellStyle name="_CRT_PJ_GPS OTHER 2" xfId="0"/>
    <cellStyle name="_CRT_PJ_GPS OTHER 3" xfId="0"/>
    <cellStyle name="_CRT_PJ_GPS OTHER 4" xfId="0"/>
    <cellStyle name="_CRT_PJ_GPS OTHER 5" xfId="0"/>
    <cellStyle name="_CRT_PJ_GPS OTHER 6" xfId="0"/>
    <cellStyle name="_CRT_PJ_GPS OTHER_By Region" xfId="0"/>
    <cellStyle name="_CRT_PJ_GPS OTHER_CORP SG&amp;A" xfId="0"/>
    <cellStyle name="_CRT_PJ_GPS OTHER_LCD" xfId="0"/>
    <cellStyle name="_CRT_PJ_GPS OTHER_PJ" xfId="0"/>
    <cellStyle name="_CRT_PJ_LCD" xfId="0"/>
    <cellStyle name="_CRT_PJ_LCD 2" xfId="0"/>
    <cellStyle name="_CRT_PJ_LCD 3" xfId="0"/>
    <cellStyle name="_CRT_PJ_LCD 4" xfId="0"/>
    <cellStyle name="_CRT_PJ_LCD_By Region" xfId="0"/>
    <cellStyle name="_CRT_PJ_LCD_CORP SG&amp;A" xfId="0"/>
    <cellStyle name="_CRT_PJ_LCD_LCD" xfId="0"/>
    <cellStyle name="_CRT_PJ_LCD_PJ" xfId="0"/>
    <cellStyle name="_CRT_PJ_lightling" xfId="0"/>
    <cellStyle name="_CRT_PJ_lightling 2" xfId="0"/>
    <cellStyle name="_CRT_PJ_lightling_By Region" xfId="0"/>
    <cellStyle name="_CRT_PJ_lightling_CORP SG&amp;A" xfId="0"/>
    <cellStyle name="_CRT_PJ_PC Products" xfId="0"/>
    <cellStyle name="_CRT_PJ_PC Products 2" xfId="0"/>
    <cellStyle name="_CRT_PJ_PC Products 3" xfId="0"/>
    <cellStyle name="_CRT_PJ_PC Products 4" xfId="0"/>
    <cellStyle name="_CRT_PJ_PC Products 5" xfId="0"/>
    <cellStyle name="_CRT_PJ_PC Products 6" xfId="0"/>
    <cellStyle name="_CRT_PJ_PC Products_By Region" xfId="0"/>
    <cellStyle name="_CRT_PJ_PC Products_CORP SG&amp;A" xfId="0"/>
    <cellStyle name="_CRT_PJ_PC Products_LCD" xfId="0"/>
    <cellStyle name="_CRT_PJ_PC Products_PJ" xfId="0"/>
    <cellStyle name="_CRT_PJ_VSA 111014" xfId="0"/>
    <cellStyle name="_CRT_PJ_VSA 111014 2" xfId="0"/>
    <cellStyle name="_CRT_PJ_VSA 111014 3" xfId="0"/>
    <cellStyle name="_CRT_PJ_VSA 111014 4" xfId="0"/>
    <cellStyle name="_CRT_PJ_VSA 111014 5" xfId="0"/>
    <cellStyle name="_CRT_PJ_VSA 111014 6" xfId="0"/>
    <cellStyle name="_CRT_PJ_VSA 111014_By Region" xfId="0"/>
    <cellStyle name="_CRT_PJ_VSA 111014_CORP SG&amp;A" xfId="0"/>
    <cellStyle name="_CRT_PJ_VSA 111014_LCD" xfId="0"/>
    <cellStyle name="_CRT_PJ_VSA 111014_PJ" xfId="0"/>
    <cellStyle name="_CRT_PJ_VSA Roll-Up (LW)" xfId="0"/>
    <cellStyle name="_CRT_PJ_VSA Roll-Up (LW) 2" xfId="0"/>
    <cellStyle name="_CRT_PJ_VSA Roll-Up (LW) 3" xfId="0"/>
    <cellStyle name="_CRT_PJ_VSA Roll-Up (LW) 4" xfId="0"/>
    <cellStyle name="_CRT_PJ_VSA Roll-Up (LW) 5" xfId="0"/>
    <cellStyle name="_CRT_PJ_VSA Roll-Up (LW) 6" xfId="0"/>
    <cellStyle name="_CRT_PJ_VSA Roll-Up (LW)_By Region" xfId="0"/>
    <cellStyle name="_CRT_PJ_VSA Roll-Up (LW)_CORP SG&amp;A" xfId="0"/>
    <cellStyle name="_CRT_PJ_VSA Roll-Up (LW)_LCD" xfId="0"/>
    <cellStyle name="_CRT_PJ_VSA Roll-Up (LW)_PJ" xfId="0"/>
    <cellStyle name="_CRT_PMP(VPD)" xfId="0"/>
    <cellStyle name="_CRT_PMP(VPD) 2" xfId="0"/>
    <cellStyle name="_CRT_PMP(VPD) 3" xfId="0"/>
    <cellStyle name="_CRT_PMP(VPD) 4" xfId="0"/>
    <cellStyle name="_CRT_PMP(VPD)_By Region" xfId="0"/>
    <cellStyle name="_CRT_PMP(VPD)_CORP SG&amp;A" xfId="0"/>
    <cellStyle name="_CRT_PMP(VPD)_Digitizer" xfId="0"/>
    <cellStyle name="_CRT_PMP(VPD)_GPS OTHER" xfId="0"/>
    <cellStyle name="_CRT_PMP(VPD)_GPS OTHER 2" xfId="0"/>
    <cellStyle name="_CRT_PMP(VPD)_GPS OTHER 3" xfId="0"/>
    <cellStyle name="_CRT_PMP(VPD)_GPS OTHER 4" xfId="0"/>
    <cellStyle name="_CRT_PMP(VPD)_GPS OTHER 5" xfId="0"/>
    <cellStyle name="_CRT_PMP(VPD)_GPS OTHER 6" xfId="0"/>
    <cellStyle name="_CRT_PMP(VPD)_GPS OTHER_By Region" xfId="0"/>
    <cellStyle name="_CRT_PMP(VPD)_GPS OTHER_CORP SG&amp;A" xfId="0"/>
    <cellStyle name="_CRT_PMP(VPD)_GPS OTHER_LCD" xfId="0"/>
    <cellStyle name="_CRT_PMP(VPD)_GPS OTHER_PJ" xfId="0"/>
    <cellStyle name="_CRT_PMP(VPD)_LCD" xfId="0"/>
    <cellStyle name="_CRT_PMP(VPD)_LCD 2" xfId="0"/>
    <cellStyle name="_CRT_PMP(VPD)_LCD 3" xfId="0"/>
    <cellStyle name="_CRT_PMP(VPD)_LCD 4" xfId="0"/>
    <cellStyle name="_CRT_PMP(VPD)_LCD_By Region" xfId="0"/>
    <cellStyle name="_CRT_PMP(VPD)_LCD_CORP SG&amp;A" xfId="0"/>
    <cellStyle name="_CRT_PMP(VPD)_LCD_LCD" xfId="0"/>
    <cellStyle name="_CRT_PMP(VPD)_LCD_PJ" xfId="0"/>
    <cellStyle name="_CRT_PMP(VPD)_lightling" xfId="0"/>
    <cellStyle name="_CRT_PMP(VPD)_lightling 2" xfId="0"/>
    <cellStyle name="_CRT_PMP(VPD)_lightling_By Region" xfId="0"/>
    <cellStyle name="_CRT_PMP(VPD)_lightling_CORP SG&amp;A" xfId="0"/>
    <cellStyle name="_CRT_PMP(VPD)_PC Products" xfId="0"/>
    <cellStyle name="_CRT_PMP(VPD)_PC Products 2" xfId="0"/>
    <cellStyle name="_CRT_PMP(VPD)_PC Products 3" xfId="0"/>
    <cellStyle name="_CRT_PMP(VPD)_PC Products 4" xfId="0"/>
    <cellStyle name="_CRT_PMP(VPD)_PC Products 5" xfId="0"/>
    <cellStyle name="_CRT_PMP(VPD)_PC Products 6" xfId="0"/>
    <cellStyle name="_CRT_PMP(VPD)_PC Products_By Region" xfId="0"/>
    <cellStyle name="_CRT_PMP(VPD)_PC Products_CORP SG&amp;A" xfId="0"/>
    <cellStyle name="_CRT_PMP(VPD)_PC Products_LCD" xfId="0"/>
    <cellStyle name="_CRT_PMP(VPD)_PC Products_PJ" xfId="0"/>
    <cellStyle name="_CRT_PMP(VPD)_VSA 111014" xfId="0"/>
    <cellStyle name="_CRT_PMP(VPD)_VSA 111014 2" xfId="0"/>
    <cellStyle name="_CRT_PMP(VPD)_VSA 111014 3" xfId="0"/>
    <cellStyle name="_CRT_PMP(VPD)_VSA 111014 4" xfId="0"/>
    <cellStyle name="_CRT_PMP(VPD)_VSA 111014 5" xfId="0"/>
    <cellStyle name="_CRT_PMP(VPD)_VSA 111014 6" xfId="0"/>
    <cellStyle name="_CRT_PMP(VPD)_VSA 111014_By Region" xfId="0"/>
    <cellStyle name="_CRT_PMP(VPD)_VSA 111014_CORP SG&amp;A" xfId="0"/>
    <cellStyle name="_CRT_PMP(VPD)_VSA 111014_LCD" xfId="0"/>
    <cellStyle name="_CRT_PMP(VPD)_VSA 111014_PJ" xfId="0"/>
    <cellStyle name="_CRT_PMP(VPD)_VSA Roll-Up (LW)" xfId="0"/>
    <cellStyle name="_CRT_PMP(VPD)_VSA Roll-Up (LW) 2" xfId="0"/>
    <cellStyle name="_CRT_PMP(VPD)_VSA Roll-Up (LW) 3" xfId="0"/>
    <cellStyle name="_CRT_PMP(VPD)_VSA Roll-Up (LW) 4" xfId="0"/>
    <cellStyle name="_CRT_PMP(VPD)_VSA Roll-Up (LW) 5" xfId="0"/>
    <cellStyle name="_CRT_PMP(VPD)_VSA Roll-Up (LW) 6" xfId="0"/>
    <cellStyle name="_CRT_PMP(VPD)_VSA Roll-Up (LW)_By Region" xfId="0"/>
    <cellStyle name="_CRT_PMP(VPD)_VSA Roll-Up (LW)_CORP SG&amp;A" xfId="0"/>
    <cellStyle name="_CRT_PMP(VPD)_VSA Roll-Up (LW)_LCD" xfId="0"/>
    <cellStyle name="_CRT_PMP(VPD)_VSA Roll-Up (LW)_PJ" xfId="0"/>
    <cellStyle name="_CRT_Pocket TV" xfId="0"/>
    <cellStyle name="_CRT_Pocket TV 2" xfId="0"/>
    <cellStyle name="_CRT_Pocket TV 3" xfId="0"/>
    <cellStyle name="_CRT_Pocket TV 4" xfId="0"/>
    <cellStyle name="_CRT_Pocket TV_By Region" xfId="0"/>
    <cellStyle name="_CRT_Pocket TV_CORP SG&amp;A" xfId="0"/>
    <cellStyle name="_CRT_Pocket TV_Digitizer" xfId="0"/>
    <cellStyle name="_CRT_Pocket TV_GPS OTHER" xfId="0"/>
    <cellStyle name="_CRT_Pocket TV_GPS OTHER 2" xfId="0"/>
    <cellStyle name="_CRT_Pocket TV_GPS OTHER 3" xfId="0"/>
    <cellStyle name="_CRT_Pocket TV_GPS OTHER 4" xfId="0"/>
    <cellStyle name="_CRT_Pocket TV_GPS OTHER 5" xfId="0"/>
    <cellStyle name="_CRT_Pocket TV_GPS OTHER 6" xfId="0"/>
    <cellStyle name="_CRT_Pocket TV_GPS OTHER_By Region" xfId="0"/>
    <cellStyle name="_CRT_Pocket TV_GPS OTHER_CORP SG&amp;A" xfId="0"/>
    <cellStyle name="_CRT_Pocket TV_GPS OTHER_LCD" xfId="0"/>
    <cellStyle name="_CRT_Pocket TV_GPS OTHER_PJ" xfId="0"/>
    <cellStyle name="_CRT_Pocket TV_LCD" xfId="0"/>
    <cellStyle name="_CRT_Pocket TV_LCD 2" xfId="0"/>
    <cellStyle name="_CRT_Pocket TV_LCD 3" xfId="0"/>
    <cellStyle name="_CRT_Pocket TV_LCD 4" xfId="0"/>
    <cellStyle name="_CRT_Pocket TV_LCD_By Region" xfId="0"/>
    <cellStyle name="_CRT_Pocket TV_LCD_CORP SG&amp;A" xfId="0"/>
    <cellStyle name="_CRT_Pocket TV_LCD_LCD" xfId="0"/>
    <cellStyle name="_CRT_Pocket TV_LCD_PJ" xfId="0"/>
    <cellStyle name="_CRT_Pocket TV_lightling" xfId="0"/>
    <cellStyle name="_CRT_Pocket TV_lightling 2" xfId="0"/>
    <cellStyle name="_CRT_Pocket TV_lightling_By Region" xfId="0"/>
    <cellStyle name="_CRT_Pocket TV_lightling_CORP SG&amp;A" xfId="0"/>
    <cellStyle name="_CRT_Pocket TV_PC Products" xfId="0"/>
    <cellStyle name="_CRT_Pocket TV_PC Products 2" xfId="0"/>
    <cellStyle name="_CRT_Pocket TV_PC Products 3" xfId="0"/>
    <cellStyle name="_CRT_Pocket TV_PC Products 4" xfId="0"/>
    <cellStyle name="_CRT_Pocket TV_PC Products 5" xfId="0"/>
    <cellStyle name="_CRT_Pocket TV_PC Products 6" xfId="0"/>
    <cellStyle name="_CRT_Pocket TV_PC Products_By Region" xfId="0"/>
    <cellStyle name="_CRT_Pocket TV_PC Products_CORP SG&amp;A" xfId="0"/>
    <cellStyle name="_CRT_Pocket TV_PC Products_LCD" xfId="0"/>
    <cellStyle name="_CRT_Pocket TV_PC Products_PJ" xfId="0"/>
    <cellStyle name="_CRT_Pocket TV_VSA 111014" xfId="0"/>
    <cellStyle name="_CRT_Pocket TV_VSA 111014 2" xfId="0"/>
    <cellStyle name="_CRT_Pocket TV_VSA 111014 3" xfId="0"/>
    <cellStyle name="_CRT_Pocket TV_VSA 111014 4" xfId="0"/>
    <cellStyle name="_CRT_Pocket TV_VSA 111014 5" xfId="0"/>
    <cellStyle name="_CRT_Pocket TV_VSA 111014 6" xfId="0"/>
    <cellStyle name="_CRT_Pocket TV_VSA 111014_By Region" xfId="0"/>
    <cellStyle name="_CRT_Pocket TV_VSA 111014_CORP SG&amp;A" xfId="0"/>
    <cellStyle name="_CRT_Pocket TV_VSA 111014_LCD" xfId="0"/>
    <cellStyle name="_CRT_Pocket TV_VSA 111014_PJ" xfId="0"/>
    <cellStyle name="_CRT_Pocket TV_VSA Roll-Up (LW)" xfId="0"/>
    <cellStyle name="_CRT_Pocket TV_VSA Roll-Up (LW) 2" xfId="0"/>
    <cellStyle name="_CRT_Pocket TV_VSA Roll-Up (LW) 3" xfId="0"/>
    <cellStyle name="_CRT_Pocket TV_VSA Roll-Up (LW) 4" xfId="0"/>
    <cellStyle name="_CRT_Pocket TV_VSA Roll-Up (LW) 5" xfId="0"/>
    <cellStyle name="_CRT_Pocket TV_VSA Roll-Up (LW) 6" xfId="0"/>
    <cellStyle name="_CRT_Pocket TV_VSA Roll-Up (LW)_By Region" xfId="0"/>
    <cellStyle name="_CRT_Pocket TV_VSA Roll-Up (LW)_CORP SG&amp;A" xfId="0"/>
    <cellStyle name="_CRT_Pocket TV_VSA Roll-Up (LW)_LCD" xfId="0"/>
    <cellStyle name="_CRT_Pocket TV_VSA Roll-Up (LW)_PJ" xfId="0"/>
    <cellStyle name="_CRT_Pocket_TV" xfId="0"/>
    <cellStyle name="_CRT_Pocket_TV 2" xfId="0"/>
    <cellStyle name="_CRT_Pocket_TV 3" xfId="0"/>
    <cellStyle name="_CRT_Pocket_TV 4" xfId="0"/>
    <cellStyle name="_CRT_Pocket_TV_By Region" xfId="0"/>
    <cellStyle name="_CRT_Pocket_TV_CORP SG&amp;A" xfId="0"/>
    <cellStyle name="_CRT_Pocket_TV_Digitizer" xfId="0"/>
    <cellStyle name="_CRT_Pocket_TV_GPS OTHER" xfId="0"/>
    <cellStyle name="_CRT_Pocket_TV_GPS OTHER 2" xfId="0"/>
    <cellStyle name="_CRT_Pocket_TV_GPS OTHER 3" xfId="0"/>
    <cellStyle name="_CRT_Pocket_TV_GPS OTHER 4" xfId="0"/>
    <cellStyle name="_CRT_Pocket_TV_GPS OTHER 5" xfId="0"/>
    <cellStyle name="_CRT_Pocket_TV_GPS OTHER 6" xfId="0"/>
    <cellStyle name="_CRT_Pocket_TV_GPS OTHER_By Region" xfId="0"/>
    <cellStyle name="_CRT_Pocket_TV_GPS OTHER_CORP SG&amp;A" xfId="0"/>
    <cellStyle name="_CRT_Pocket_TV_GPS OTHER_LCD" xfId="0"/>
    <cellStyle name="_CRT_Pocket_TV_GPS OTHER_PJ" xfId="0"/>
    <cellStyle name="_CRT_Pocket_TV_LCD" xfId="0"/>
    <cellStyle name="_CRT_Pocket_TV_LCD 2" xfId="0"/>
    <cellStyle name="_CRT_Pocket_TV_LCD 3" xfId="0"/>
    <cellStyle name="_CRT_Pocket_TV_LCD 4" xfId="0"/>
    <cellStyle name="_CRT_Pocket_TV_LCD_By Region" xfId="0"/>
    <cellStyle name="_CRT_Pocket_TV_LCD_CORP SG&amp;A" xfId="0"/>
    <cellStyle name="_CRT_Pocket_TV_LCD_LCD" xfId="0"/>
    <cellStyle name="_CRT_Pocket_TV_LCD_PJ" xfId="0"/>
    <cellStyle name="_CRT_Pocket_TV_lightling" xfId="0"/>
    <cellStyle name="_CRT_Pocket_TV_lightling 2" xfId="0"/>
    <cellStyle name="_CRT_Pocket_TV_lightling_By Region" xfId="0"/>
    <cellStyle name="_CRT_Pocket_TV_lightling_CORP SG&amp;A" xfId="0"/>
    <cellStyle name="_CRT_Pocket_TV_PC Products" xfId="0"/>
    <cellStyle name="_CRT_Pocket_TV_PC Products 2" xfId="0"/>
    <cellStyle name="_CRT_Pocket_TV_PC Products 3" xfId="0"/>
    <cellStyle name="_CRT_Pocket_TV_PC Products 4" xfId="0"/>
    <cellStyle name="_CRT_Pocket_TV_PC Products 5" xfId="0"/>
    <cellStyle name="_CRT_Pocket_TV_PC Products 6" xfId="0"/>
    <cellStyle name="_CRT_Pocket_TV_PC Products_By Region" xfId="0"/>
    <cellStyle name="_CRT_Pocket_TV_PC Products_CORP SG&amp;A" xfId="0"/>
    <cellStyle name="_CRT_Pocket_TV_PC Products_LCD" xfId="0"/>
    <cellStyle name="_CRT_Pocket_TV_PC Products_PJ" xfId="0"/>
    <cellStyle name="_CRT_Pocket_TV_VSA 111014" xfId="0"/>
    <cellStyle name="_CRT_Pocket_TV_VSA 111014 2" xfId="0"/>
    <cellStyle name="_CRT_Pocket_TV_VSA 111014 3" xfId="0"/>
    <cellStyle name="_CRT_Pocket_TV_VSA 111014 4" xfId="0"/>
    <cellStyle name="_CRT_Pocket_TV_VSA 111014 5" xfId="0"/>
    <cellStyle name="_CRT_Pocket_TV_VSA 111014 6" xfId="0"/>
    <cellStyle name="_CRT_Pocket_TV_VSA 111014_By Region" xfId="0"/>
    <cellStyle name="_CRT_Pocket_TV_VSA 111014_CORP SG&amp;A" xfId="0"/>
    <cellStyle name="_CRT_Pocket_TV_VSA 111014_LCD" xfId="0"/>
    <cellStyle name="_CRT_Pocket_TV_VSA 111014_PJ" xfId="0"/>
    <cellStyle name="_CRT_Pocket_TV_VSA Roll-Up (LW)" xfId="0"/>
    <cellStyle name="_CRT_Pocket_TV_VSA Roll-Up (LW) 2" xfId="0"/>
    <cellStyle name="_CRT_Pocket_TV_VSA Roll-Up (LW) 3" xfId="0"/>
    <cellStyle name="_CRT_Pocket_TV_VSA Roll-Up (LW) 4" xfId="0"/>
    <cellStyle name="_CRT_Pocket_TV_VSA Roll-Up (LW) 5" xfId="0"/>
    <cellStyle name="_CRT_Pocket_TV_VSA Roll-Up (LW) 6" xfId="0"/>
    <cellStyle name="_CRT_Pocket_TV_VSA Roll-Up (LW)_By Region" xfId="0"/>
    <cellStyle name="_CRT_Pocket_TV_VSA Roll-Up (LW)_CORP SG&amp;A" xfId="0"/>
    <cellStyle name="_CRT_Pocket_TV_VSA Roll-Up (LW)_LCD" xfId="0"/>
    <cellStyle name="_CRT_Pocket_TV_VSA Roll-Up (LW)_PJ" xfId="0"/>
    <cellStyle name="_CRT_TV" xfId="0"/>
    <cellStyle name="_CRT_TV 2" xfId="0"/>
    <cellStyle name="_CRT_TV 3" xfId="0"/>
    <cellStyle name="_CRT_TV 4" xfId="0"/>
    <cellStyle name="_CRT_TV_By Region" xfId="0"/>
    <cellStyle name="_CRT_TV_CORP SG&amp;A" xfId="0"/>
    <cellStyle name="_CRT_TV_Digitizer" xfId="0"/>
    <cellStyle name="_CRT_TV_GPS OTHER" xfId="0"/>
    <cellStyle name="_CRT_TV_GPS OTHER 2" xfId="0"/>
    <cellStyle name="_CRT_TV_GPS OTHER 3" xfId="0"/>
    <cellStyle name="_CRT_TV_GPS OTHER 4" xfId="0"/>
    <cellStyle name="_CRT_TV_GPS OTHER 5" xfId="0"/>
    <cellStyle name="_CRT_TV_GPS OTHER 6" xfId="0"/>
    <cellStyle name="_CRT_TV_GPS OTHER_By Region" xfId="0"/>
    <cellStyle name="_CRT_TV_GPS OTHER_CORP SG&amp;A" xfId="0"/>
    <cellStyle name="_CRT_TV_GPS OTHER_LCD" xfId="0"/>
    <cellStyle name="_CRT_TV_GPS OTHER_PJ" xfId="0"/>
    <cellStyle name="_CRT_TV_LCD" xfId="0"/>
    <cellStyle name="_CRT_TV_LCD 2" xfId="0"/>
    <cellStyle name="_CRT_TV_LCD 3" xfId="0"/>
    <cellStyle name="_CRT_TV_LCD 4" xfId="0"/>
    <cellStyle name="_CRT_TV_LCD_By Region" xfId="0"/>
    <cellStyle name="_CRT_TV_LCD_CORP SG&amp;A" xfId="0"/>
    <cellStyle name="_CRT_TV_LCD_LCD" xfId="0"/>
    <cellStyle name="_CRT_TV_LCD_PJ" xfId="0"/>
    <cellStyle name="_CRT_TV_lightling" xfId="0"/>
    <cellStyle name="_CRT_TV_lightling 2" xfId="0"/>
    <cellStyle name="_CRT_TV_lightling_By Region" xfId="0"/>
    <cellStyle name="_CRT_TV_lightling_CORP SG&amp;A" xfId="0"/>
    <cellStyle name="_CRT_TV_PC Products" xfId="0"/>
    <cellStyle name="_CRT_TV_PC Products 2" xfId="0"/>
    <cellStyle name="_CRT_TV_PC Products 3" xfId="0"/>
    <cellStyle name="_CRT_TV_PC Products 4" xfId="0"/>
    <cellStyle name="_CRT_TV_PC Products 5" xfId="0"/>
    <cellStyle name="_CRT_TV_PC Products 6" xfId="0"/>
    <cellStyle name="_CRT_TV_PC Products_By Region" xfId="0"/>
    <cellStyle name="_CRT_TV_PC Products_CORP SG&amp;A" xfId="0"/>
    <cellStyle name="_CRT_TV_PC Products_LCD" xfId="0"/>
    <cellStyle name="_CRT_TV_PC Products_PJ" xfId="0"/>
    <cellStyle name="_CRT_TV_VSA 111014" xfId="0"/>
    <cellStyle name="_CRT_TV_VSA 111014 2" xfId="0"/>
    <cellStyle name="_CRT_TV_VSA 111014 3" xfId="0"/>
    <cellStyle name="_CRT_TV_VSA 111014 4" xfId="0"/>
    <cellStyle name="_CRT_TV_VSA 111014 5" xfId="0"/>
    <cellStyle name="_CRT_TV_VSA 111014 6" xfId="0"/>
    <cellStyle name="_CRT_TV_VSA 111014_By Region" xfId="0"/>
    <cellStyle name="_CRT_TV_VSA 111014_CORP SG&amp;A" xfId="0"/>
    <cellStyle name="_CRT_TV_VSA 111014_LCD" xfId="0"/>
    <cellStyle name="_CRT_TV_VSA 111014_PJ" xfId="0"/>
    <cellStyle name="_CRT_TV_VSA Roll-Up (LW)" xfId="0"/>
    <cellStyle name="_CRT_TV_VSA Roll-Up (LW) 2" xfId="0"/>
    <cellStyle name="_CRT_TV_VSA Roll-Up (LW) 3" xfId="0"/>
    <cellStyle name="_CRT_TV_VSA Roll-Up (LW) 4" xfId="0"/>
    <cellStyle name="_CRT_TV_VSA Roll-Up (LW) 5" xfId="0"/>
    <cellStyle name="_CRT_TV_VSA Roll-Up (LW) 6" xfId="0"/>
    <cellStyle name="_CRT_TV_VSA Roll-Up (LW)_By Region" xfId="0"/>
    <cellStyle name="_CRT_TV_VSA Roll-Up (LW)_CORP SG&amp;A" xfId="0"/>
    <cellStyle name="_CRT_TV_VSA Roll-Up (LW)_LCD" xfId="0"/>
    <cellStyle name="_CRT_TV_VSA Roll-Up (LW)_PJ" xfId="0"/>
    <cellStyle name="_CRT_VD" xfId="0"/>
    <cellStyle name="_CRT_VD 2" xfId="0"/>
    <cellStyle name="_CRT_VD 3" xfId="0"/>
    <cellStyle name="_CRT_VD 4" xfId="0"/>
    <cellStyle name="_CRT_VD_By Region" xfId="0"/>
    <cellStyle name="_CRT_VD_CORP SG&amp;A" xfId="0"/>
    <cellStyle name="_CRT_VD_Digitizer" xfId="0"/>
    <cellStyle name="_CRT_VD_GPS OTHER" xfId="0"/>
    <cellStyle name="_CRT_VD_GPS OTHER 2" xfId="0"/>
    <cellStyle name="_CRT_VD_GPS OTHER 3" xfId="0"/>
    <cellStyle name="_CRT_VD_GPS OTHER 4" xfId="0"/>
    <cellStyle name="_CRT_VD_GPS OTHER 5" xfId="0"/>
    <cellStyle name="_CRT_VD_GPS OTHER 6" xfId="0"/>
    <cellStyle name="_CRT_VD_GPS OTHER_By Region" xfId="0"/>
    <cellStyle name="_CRT_VD_GPS OTHER_CORP SG&amp;A" xfId="0"/>
    <cellStyle name="_CRT_VD_GPS OTHER_LCD" xfId="0"/>
    <cellStyle name="_CRT_VD_GPS OTHER_PJ" xfId="0"/>
    <cellStyle name="_CRT_VD_LCD" xfId="0"/>
    <cellStyle name="_CRT_VD_LCD 2" xfId="0"/>
    <cellStyle name="_CRT_VD_LCD 3" xfId="0"/>
    <cellStyle name="_CRT_VD_LCD 4" xfId="0"/>
    <cellStyle name="_CRT_VD_LCD_By Region" xfId="0"/>
    <cellStyle name="_CRT_VD_LCD_CORP SG&amp;A" xfId="0"/>
    <cellStyle name="_CRT_VD_LCD_LCD" xfId="0"/>
    <cellStyle name="_CRT_VD_LCD_PJ" xfId="0"/>
    <cellStyle name="_CRT_VD_lightling" xfId="0"/>
    <cellStyle name="_CRT_VD_lightling 2" xfId="0"/>
    <cellStyle name="_CRT_VD_lightling_By Region" xfId="0"/>
    <cellStyle name="_CRT_VD_lightling_CORP SG&amp;A" xfId="0"/>
    <cellStyle name="_CRT_VD_PC Products" xfId="0"/>
    <cellStyle name="_CRT_VD_PC Products 2" xfId="0"/>
    <cellStyle name="_CRT_VD_PC Products 3" xfId="0"/>
    <cellStyle name="_CRT_VD_PC Products 4" xfId="0"/>
    <cellStyle name="_CRT_VD_PC Products 5" xfId="0"/>
    <cellStyle name="_CRT_VD_PC Products 6" xfId="0"/>
    <cellStyle name="_CRT_VD_PC Products_By Region" xfId="0"/>
    <cellStyle name="_CRT_VD_PC Products_CORP SG&amp;A" xfId="0"/>
    <cellStyle name="_CRT_VD_PC Products_LCD" xfId="0"/>
    <cellStyle name="_CRT_VD_PC Products_PJ" xfId="0"/>
    <cellStyle name="_CRT_VD_VSA 111014" xfId="0"/>
    <cellStyle name="_CRT_VD_VSA 111014 2" xfId="0"/>
    <cellStyle name="_CRT_VD_VSA 111014 3" xfId="0"/>
    <cellStyle name="_CRT_VD_VSA 111014 4" xfId="0"/>
    <cellStyle name="_CRT_VD_VSA 111014 5" xfId="0"/>
    <cellStyle name="_CRT_VD_VSA 111014 6" xfId="0"/>
    <cellStyle name="_CRT_VD_VSA 111014_By Region" xfId="0"/>
    <cellStyle name="_CRT_VD_VSA 111014_CORP SG&amp;A" xfId="0"/>
    <cellStyle name="_CRT_VD_VSA 111014_LCD" xfId="0"/>
    <cellStyle name="_CRT_VD_VSA 111014_PJ" xfId="0"/>
    <cellStyle name="_CRT_VD_VSA Roll-Up (LW)" xfId="0"/>
    <cellStyle name="_CRT_VD_VSA Roll-Up (LW) 2" xfId="0"/>
    <cellStyle name="_CRT_VD_VSA Roll-Up (LW) 3" xfId="0"/>
    <cellStyle name="_CRT_VD_VSA Roll-Up (LW) 4" xfId="0"/>
    <cellStyle name="_CRT_VD_VSA Roll-Up (LW) 5" xfId="0"/>
    <cellStyle name="_CRT_VD_VSA Roll-Up (LW) 6" xfId="0"/>
    <cellStyle name="_CRT_VD_VSA Roll-Up (LW)_By Region" xfId="0"/>
    <cellStyle name="_CRT_VD_VSA Roll-Up (LW)_CORP SG&amp;A" xfId="0"/>
    <cellStyle name="_CRT_VD_VSA Roll-Up (LW)_LCD" xfId="0"/>
    <cellStyle name="_CRT_VD_VSA Roll-Up (LW)_PJ" xfId="0"/>
    <cellStyle name="_CRT_VSA 111014" xfId="0"/>
    <cellStyle name="_CRT_VSA 111014 2" xfId="0"/>
    <cellStyle name="_CRT_VSA 111014 3" xfId="0"/>
    <cellStyle name="_CRT_VSA 111014 4" xfId="0"/>
    <cellStyle name="_CRT_VSA 111014 5" xfId="0"/>
    <cellStyle name="_CRT_VSA 111014 6" xfId="0"/>
    <cellStyle name="_CRT_VSA 111014_By Region" xfId="0"/>
    <cellStyle name="_CRT_VSA 111014_CORP SG&amp;A" xfId="0"/>
    <cellStyle name="_CRT_VSA 111014_LCD" xfId="0"/>
    <cellStyle name="_CRT_VSA 111014_PJ" xfId="0"/>
    <cellStyle name="_CRT_VSA Roll-Up (LW)" xfId="0"/>
    <cellStyle name="_CRT_VSA Roll-Up (LW) 2" xfId="0"/>
    <cellStyle name="_CRT_VSA Roll-Up (LW) 3" xfId="0"/>
    <cellStyle name="_CRT_VSA Roll-Up (LW) 4" xfId="0"/>
    <cellStyle name="_CRT_VSA Roll-Up (LW) 5" xfId="0"/>
    <cellStyle name="_CRT_VSA Roll-Up (LW) 6" xfId="0"/>
    <cellStyle name="_CRT_VSA Roll-Up (LW)_By Region" xfId="0"/>
    <cellStyle name="_CRT_VSA Roll-Up (LW)_CORP SG&amp;A" xfId="0"/>
    <cellStyle name="_CRT_VSA Roll-Up (LW)_LCD" xfId="0"/>
    <cellStyle name="_CRT_VSA Roll-Up (LW)_PJ" xfId="0"/>
    <cellStyle name="_CRT_VSE 2011 Budget" xfId="0"/>
    <cellStyle name="_CRT_VSE 2011 Budget 2" xfId="0"/>
    <cellStyle name="_CRT_VSE 2011 Budget 3" xfId="0"/>
    <cellStyle name="_CRT_VSE 2011 Budget 4" xfId="0"/>
    <cellStyle name="_CRT_VSE 2011 Budget_By Region" xfId="0"/>
    <cellStyle name="_CRT_VSE 2011 Budget_CORP SG&amp;A" xfId="0"/>
    <cellStyle name="_CRT_VSE 2011 Budget_Digitizer" xfId="0"/>
    <cellStyle name="_CRT_VSE 2011 Budget_GPS OTHER" xfId="0"/>
    <cellStyle name="_CRT_VSE 2011 Budget_GPS OTHER 2" xfId="0"/>
    <cellStyle name="_CRT_VSE 2011 Budget_GPS OTHER 3" xfId="0"/>
    <cellStyle name="_CRT_VSE 2011 Budget_GPS OTHER 4" xfId="0"/>
    <cellStyle name="_CRT_VSE 2011 Budget_GPS OTHER 4 2" xfId="0"/>
    <cellStyle name="_CRT_VSE 2011 Budget_GPS OTHER_By Region" xfId="0"/>
    <cellStyle name="_CRT_VSE 2011 Budget_GPS OTHER_CORP SG&amp;A" xfId="0"/>
    <cellStyle name="_CRT_VSE 2011 Budget_GPS OTHER_LCD" xfId="0"/>
    <cellStyle name="_CRT_VSE 2011 Budget_GPS OTHER_PJ" xfId="0"/>
    <cellStyle name="_CRT_VSE 2011 Budget_LCD" xfId="0"/>
    <cellStyle name="_CRT_VSE 2011 Budget_LCD 2" xfId="0"/>
    <cellStyle name="_CRT_VSE 2011 Budget_LCD 3" xfId="0"/>
    <cellStyle name="_CRT_VSE 2011 Budget_LCD 4" xfId="0"/>
    <cellStyle name="_CRT_VSE 2011 Budget_LCD_By Region" xfId="0"/>
    <cellStyle name="_CRT_VSE 2011 Budget_LCD_CORP SG&amp;A" xfId="0"/>
    <cellStyle name="_CRT_VSE 2011 Budget_LCD_LCD" xfId="0"/>
    <cellStyle name="_CRT_VSE 2011 Budget_LCD_PJ" xfId="0"/>
    <cellStyle name="_CRT_VSE 2011 Budget_lightling" xfId="0"/>
    <cellStyle name="_CRT_VSE 2011 Budget_lightling 2" xfId="0"/>
    <cellStyle name="_CRT_VSE 2011 Budget_lightling_By Region" xfId="0"/>
    <cellStyle name="_CRT_VSE 2011 Budget_lightling_CORP SG&amp;A" xfId="0"/>
    <cellStyle name="_CRT_VSE 2011 Budget_PC Products" xfId="0"/>
    <cellStyle name="_CRT_VSE 2011 Budget_PC Products 2" xfId="0"/>
    <cellStyle name="_CRT_VSE 2011 Budget_PC Products 3" xfId="0"/>
    <cellStyle name="_CRT_VSE 2011 Budget_PC Products 4" xfId="0"/>
    <cellStyle name="_CRT_VSE 2011 Budget_PC Products 4 2" xfId="0"/>
    <cellStyle name="_CRT_VSE 2011 Budget_PC Products_By Region" xfId="0"/>
    <cellStyle name="_CRT_VSE 2011 Budget_PC Products_CORP SG&amp;A" xfId="0"/>
    <cellStyle name="_CRT_VSE 2011 Budget_PC Products_LCD" xfId="0"/>
    <cellStyle name="_CRT_VSE 2011 Budget_PC Products_PJ" xfId="0"/>
    <cellStyle name="_CRT_VSE 2011 Budget_VSA 111014" xfId="0"/>
    <cellStyle name="_CRT_VSE 2011 Budget_VSA 111014 2" xfId="0"/>
    <cellStyle name="_CRT_VSE 2011 Budget_VSA 111014 3" xfId="0"/>
    <cellStyle name="_CRT_VSE 2011 Budget_VSA 111014 4" xfId="0"/>
    <cellStyle name="_CRT_VSE 2011 Budget_VSA 111014 4 2" xfId="0"/>
    <cellStyle name="_CRT_VSE 2011 Budget_VSA 111014_By Region" xfId="0"/>
    <cellStyle name="_CRT_VSE 2011 Budget_VSA 111014_CORP SG&amp;A" xfId="0"/>
    <cellStyle name="_CRT_VSE 2011 Budget_VSA 111014_LCD" xfId="0"/>
    <cellStyle name="_CRT_VSE 2011 Budget_VSA 111014_PJ" xfId="0"/>
    <cellStyle name="_CRT_VSE 2011 Budget_VSA Roll-Up (LW)" xfId="0"/>
    <cellStyle name="_CRT_VSE 2011 Budget_VSA Roll-Up (LW) 2" xfId="0"/>
    <cellStyle name="_CRT_VSE 2011 Budget_VSA Roll-Up (LW) 3" xfId="0"/>
    <cellStyle name="_CRT_VSE 2011 Budget_VSA Roll-Up (LW) 4" xfId="0"/>
    <cellStyle name="_CRT_VSE 2011 Budget_VSA Roll-Up (LW) 4 2" xfId="0"/>
    <cellStyle name="_CRT_VSE 2011 Budget_VSA Roll-Up (LW)_By Region" xfId="0"/>
    <cellStyle name="_CRT_VSE 2011 Budget_VSA Roll-Up (LW)_CORP SG&amp;A" xfId="0"/>
    <cellStyle name="_CRT_VSE 2011 Budget_VSA Roll-Up (LW)_LCD" xfId="0"/>
    <cellStyle name="_CRT_VSE 2011 Budget_VSA Roll-Up (LW)_PJ" xfId="0"/>
    <cellStyle name="_CRT_VSE 2H  WFP review (Spring Global meeting)-conservative Adam working v3" xfId="0"/>
    <cellStyle name="_CRT_VSE 2H  WFP review (Spring Global meeting)-conservative Adam working v3 2" xfId="0"/>
    <cellStyle name="_CRT_VSE 2H  WFP review (Spring Global meeting)-conservative Adam working v3 3" xfId="0"/>
    <cellStyle name="_CRT_VSE 2H Rebalance 110712" xfId="0"/>
    <cellStyle name="_CRT_VSE 2H Rebalance 110712 2" xfId="0"/>
    <cellStyle name="_CRT_VSE 2H Rebalance 110712 3" xfId="0"/>
    <cellStyle name="_CRT_VSE 2H Rebalance 110712 4" xfId="0"/>
    <cellStyle name="_CRT_VSE 2H Rebalance 110712_By Region" xfId="0"/>
    <cellStyle name="_CRT_VSE 2H Rebalance 110712_CORP SG&amp;A" xfId="0"/>
    <cellStyle name="_CRT_VSE WFP 101203" xfId="0"/>
    <cellStyle name="_CRT_VSE WFP 101203 2" xfId="0"/>
    <cellStyle name="_CRT_VSE WFP 101203 3" xfId="0"/>
    <cellStyle name="_CRT_VSE WFP 101203 4" xfId="0"/>
    <cellStyle name="_CRT_VSE WFP 101203_By Region" xfId="0"/>
    <cellStyle name="_CRT_VSE WFP 101203_CORP SG&amp;A" xfId="0"/>
    <cellStyle name="_CRT_VSE WFP 110311" xfId="0"/>
    <cellStyle name="_CRT_VSE WFP 110311 2" xfId="0"/>
    <cellStyle name="_CRT_VSE WFP 110311 3" xfId="0"/>
    <cellStyle name="_CRT_VSE WFP 110311 4" xfId="0"/>
    <cellStyle name="_CRT_VSE WFP 110311_By Region" xfId="0"/>
    <cellStyle name="_CRT_VSE WFP 110311_CORP SG&amp;A" xfId="0"/>
    <cellStyle name="_CRT_VSE WFP 110415" xfId="0"/>
    <cellStyle name="_CRT_VSE WFP 110415 2" xfId="0"/>
    <cellStyle name="_CRT_VSE WFP 110415 3" xfId="0"/>
    <cellStyle name="_CRT_VSE WFP 110415 4" xfId="0"/>
    <cellStyle name="_CRT_VSE WFP 110415_By Region" xfId="0"/>
    <cellStyle name="_CRT_VSE WFP 110415_CORP SG&amp;A" xfId="0"/>
    <cellStyle name="_CRT_VSE WFP_100409" xfId="0"/>
    <cellStyle name="_CRT_VSE WFP_100409 2" xfId="0"/>
    <cellStyle name="_CRT_VSE WFP_100409 3" xfId="0"/>
    <cellStyle name="_CRT_VSE WFP_100409 4" xfId="0"/>
    <cellStyle name="_CRT_VSE WFP_100409_By Region" xfId="0"/>
    <cellStyle name="_CRT_VSE WFP_100409_CORP SG&amp;A" xfId="0"/>
    <cellStyle name="_CRT_VSE WFP_100409_Digitizer" xfId="0"/>
    <cellStyle name="_CRT_VSE WFP_100409_GPS OTHER" xfId="0"/>
    <cellStyle name="_CRT_VSE WFP_100409_GPS OTHER 2" xfId="0"/>
    <cellStyle name="_CRT_VSE WFP_100409_GPS OTHER 3" xfId="0"/>
    <cellStyle name="_CRT_VSE WFP_100409_GPS OTHER 4" xfId="0"/>
    <cellStyle name="_CRT_VSE WFP_100409_GPS OTHER 4 2" xfId="0"/>
    <cellStyle name="_CRT_VSE WFP_100409_GPS OTHER_By Region" xfId="0"/>
    <cellStyle name="_CRT_VSE WFP_100409_GPS OTHER_CORP SG&amp;A" xfId="0"/>
    <cellStyle name="_CRT_VSE WFP_100409_GPS OTHER_LCD" xfId="0"/>
    <cellStyle name="_CRT_VSE WFP_100409_GPS OTHER_PJ" xfId="0"/>
    <cellStyle name="_CRT_VSE WFP_100409_LCD" xfId="0"/>
    <cellStyle name="_CRT_VSE WFP_100409_LCD 2" xfId="0"/>
    <cellStyle name="_CRT_VSE WFP_100409_LCD 3" xfId="0"/>
    <cellStyle name="_CRT_VSE WFP_100409_LCD 4" xfId="0"/>
    <cellStyle name="_CRT_VSE WFP_100409_LCD_By Region" xfId="0"/>
    <cellStyle name="_CRT_VSE WFP_100409_LCD_CORP SG&amp;A" xfId="0"/>
    <cellStyle name="_CRT_VSE WFP_100409_LCD_LCD" xfId="0"/>
    <cellStyle name="_CRT_VSE WFP_100409_LCD_PJ" xfId="0"/>
    <cellStyle name="_CRT_VSE WFP_100409_lightling" xfId="0"/>
    <cellStyle name="_CRT_VSE WFP_100409_lightling 2" xfId="0"/>
    <cellStyle name="_CRT_VSE WFP_100409_lightling_By Region" xfId="0"/>
    <cellStyle name="_CRT_VSE WFP_100409_lightling_CORP SG&amp;A" xfId="0"/>
    <cellStyle name="_CRT_VSE WFP_100409_PC Products" xfId="0"/>
    <cellStyle name="_CRT_VSE WFP_100409_PC Products 2" xfId="0"/>
    <cellStyle name="_CRT_VSE WFP_100409_PC Products 3" xfId="0"/>
    <cellStyle name="_CRT_VSE WFP_100409_PC Products 4" xfId="0"/>
    <cellStyle name="_CRT_VSE WFP_100409_PC Products 4 2" xfId="0"/>
    <cellStyle name="_CRT_VSE WFP_100409_PC Products_By Region" xfId="0"/>
    <cellStyle name="_CRT_VSE WFP_100409_PC Products_CORP SG&amp;A" xfId="0"/>
    <cellStyle name="_CRT_VSE WFP_100409_PC Products_LCD" xfId="0"/>
    <cellStyle name="_CRT_VSE WFP_100409_PC Products_PJ" xfId="0"/>
    <cellStyle name="_CRT_VSE WFP_100409_VSA 111014" xfId="0"/>
    <cellStyle name="_CRT_VSE WFP_100409_VSA 111014 2" xfId="0"/>
    <cellStyle name="_CRT_VSE WFP_100409_VSA 111014 3" xfId="0"/>
    <cellStyle name="_CRT_VSE WFP_100409_VSA 111014 4" xfId="0"/>
    <cellStyle name="_CRT_VSE WFP_100409_VSA 111014 4 2" xfId="0"/>
    <cellStyle name="_CRT_VSE WFP_100409_VSA 111014_By Region" xfId="0"/>
    <cellStyle name="_CRT_VSE WFP_100409_VSA 111014_CORP SG&amp;A" xfId="0"/>
    <cellStyle name="_CRT_VSE WFP_100409_VSA 111014_LCD" xfId="0"/>
    <cellStyle name="_CRT_VSE WFP_100409_VSA 111014_PJ" xfId="0"/>
    <cellStyle name="_CRT_VSE WFP_100409_VSA Roll-Up (LW)" xfId="0"/>
    <cellStyle name="_CRT_VSE WFP_100409_VSA Roll-Up (LW) 2" xfId="0"/>
    <cellStyle name="_CRT_VSE WFP_100409_VSA Roll-Up (LW) 3" xfId="0"/>
    <cellStyle name="_CRT_VSE WFP_100409_VSA Roll-Up (LW) 4" xfId="0"/>
    <cellStyle name="_CRT_VSE WFP_100409_VSA Roll-Up (LW) 4 2" xfId="0"/>
    <cellStyle name="_CRT_VSE WFP_100409_VSA Roll-Up (LW)_By Region" xfId="0"/>
    <cellStyle name="_CRT_VSE WFP_100409_VSA Roll-Up (LW)_CORP SG&amp;A" xfId="0"/>
    <cellStyle name="_CRT_VSE WFP_100409_VSA Roll-Up (LW)_LCD" xfId="0"/>
    <cellStyle name="_CRT_VSE WFP_100409_VSA Roll-Up (LW)_PJ" xfId="0"/>
    <cellStyle name="_CRT_VSE WFP_100421 v2" xfId="0"/>
    <cellStyle name="_CRT_VSE WFP_100421 v2 2" xfId="0"/>
    <cellStyle name="_CRT_VSE WFP_100421 v2 3" xfId="0"/>
    <cellStyle name="_CRT_VSE WFP_100421 v2 4" xfId="0"/>
    <cellStyle name="_CRT_VSE WFP_100421 v2_By Region" xfId="0"/>
    <cellStyle name="_CRT_VSE WFP_100421 v2_CORP SG&amp;A" xfId="0"/>
    <cellStyle name="_CRT_VSE WFP_100421 v2_Digitizer" xfId="0"/>
    <cellStyle name="_CRT_VSE WFP_100421 v2_GPS OTHER" xfId="0"/>
    <cellStyle name="_CRT_VSE WFP_100421 v2_GPS OTHER 2" xfId="0"/>
    <cellStyle name="_CRT_VSE WFP_100421 v2_GPS OTHER 3" xfId="0"/>
    <cellStyle name="_CRT_VSE WFP_100421 v2_GPS OTHER 4" xfId="0"/>
    <cellStyle name="_CRT_VSE WFP_100421 v2_GPS OTHER 4 2" xfId="0"/>
    <cellStyle name="_CRT_VSE WFP_100421 v2_GPS OTHER_By Region" xfId="0"/>
    <cellStyle name="_CRT_VSE WFP_100421 v2_GPS OTHER_CORP SG&amp;A" xfId="0"/>
    <cellStyle name="_CRT_VSE WFP_100421 v2_GPS OTHER_LCD" xfId="0"/>
    <cellStyle name="_CRT_VSE WFP_100421 v2_GPS OTHER_PJ" xfId="0"/>
    <cellStyle name="_CRT_VSE WFP_100421 v2_LCD" xfId="0"/>
    <cellStyle name="_CRT_VSE WFP_100421 v2_LCD 2" xfId="0"/>
    <cellStyle name="_CRT_VSE WFP_100421 v2_LCD 3" xfId="0"/>
    <cellStyle name="_CRT_VSE WFP_100421 v2_LCD 4" xfId="0"/>
    <cellStyle name="_CRT_VSE WFP_100421 v2_LCD_By Region" xfId="0"/>
    <cellStyle name="_CRT_VSE WFP_100421 v2_LCD_CORP SG&amp;A" xfId="0"/>
    <cellStyle name="_CRT_VSE WFP_100421 v2_LCD_LCD" xfId="0"/>
    <cellStyle name="_CRT_VSE WFP_100421 v2_LCD_PJ" xfId="0"/>
    <cellStyle name="_CRT_VSE WFP_100421 v2_lightling" xfId="0"/>
    <cellStyle name="_CRT_VSE WFP_100421 v2_lightling 2" xfId="0"/>
    <cellStyle name="_CRT_VSE WFP_100421 v2_lightling_By Region" xfId="0"/>
    <cellStyle name="_CRT_VSE WFP_100421 v2_lightling_CORP SG&amp;A" xfId="0"/>
    <cellStyle name="_CRT_VSE WFP_100421 v2_PC Products" xfId="0"/>
    <cellStyle name="_CRT_VSE WFP_100421 v2_PC Products 2" xfId="0"/>
    <cellStyle name="_CRT_VSE WFP_100421 v2_PC Products 3" xfId="0"/>
    <cellStyle name="_CRT_VSE WFP_100421 v2_PC Products 4" xfId="0"/>
    <cellStyle name="_CRT_VSE WFP_100421 v2_PC Products 4 2" xfId="0"/>
    <cellStyle name="_CRT_VSE WFP_100421 v2_PC Products_By Region" xfId="0"/>
    <cellStyle name="_CRT_VSE WFP_100421 v2_PC Products_CORP SG&amp;A" xfId="0"/>
    <cellStyle name="_CRT_VSE WFP_100421 v2_PC Products_LCD" xfId="0"/>
    <cellStyle name="_CRT_VSE WFP_100421 v2_PC Products_PJ" xfId="0"/>
    <cellStyle name="_CRT_VSE WFP_100421 v2_VSA 111014" xfId="0"/>
    <cellStyle name="_CRT_VSE WFP_100421 v2_VSA 111014 2" xfId="0"/>
    <cellStyle name="_CRT_VSE WFP_100421 v2_VSA 111014 3" xfId="0"/>
    <cellStyle name="_CRT_VSE WFP_100421 v2_VSA 111014 4" xfId="0"/>
    <cellStyle name="_CRT_VSE WFP_100421 v2_VSA 111014 4 2" xfId="0"/>
    <cellStyle name="_CRT_VSE WFP_100421 v2_VSA 111014_By Region" xfId="0"/>
    <cellStyle name="_CRT_VSE WFP_100421 v2_VSA 111014_CORP SG&amp;A" xfId="0"/>
    <cellStyle name="_CRT_VSE WFP_100421 v2_VSA 111014_LCD" xfId="0"/>
    <cellStyle name="_CRT_VSE WFP_100421 v2_VSA 111014_PJ" xfId="0"/>
    <cellStyle name="_CRT_VSE WFP_100421 v2_VSA Roll-Up (LW)" xfId="0"/>
    <cellStyle name="_CRT_VSE WFP_100421 v2_VSA Roll-Up (LW) 2" xfId="0"/>
    <cellStyle name="_CRT_VSE WFP_100421 v2_VSA Roll-Up (LW) 3" xfId="0"/>
    <cellStyle name="_CRT_VSE WFP_100421 v2_VSA Roll-Up (LW) 4" xfId="0"/>
    <cellStyle name="_CRT_VSE WFP_100421 v2_VSA Roll-Up (LW) 4 2" xfId="0"/>
    <cellStyle name="_CRT_VSE WFP_100421 v2_VSA Roll-Up (LW)_By Region" xfId="0"/>
    <cellStyle name="_CRT_VSE WFP_100421 v2_VSA Roll-Up (LW)_CORP SG&amp;A" xfId="0"/>
    <cellStyle name="_CRT_VSE WFP_100421 v2_VSA Roll-Up (LW)_LCD" xfId="0"/>
    <cellStyle name="_CRT_VSE WFP_100421 v2_VSA Roll-Up (LW)_PJ" xfId="0"/>
    <cellStyle name="_CRT_VSE WFP_100507" xfId="0"/>
    <cellStyle name="_CRT_VSE WFP_100507 2" xfId="0"/>
    <cellStyle name="_CRT_VSE WFP_100507 3" xfId="0"/>
    <cellStyle name="_CRT_VSE WFP_100507 4" xfId="0"/>
    <cellStyle name="_CRT_VSE WFP_100507_By Region" xfId="0"/>
    <cellStyle name="_CRT_VSE WFP_100507_CORP SG&amp;A" xfId="0"/>
    <cellStyle name="_CRT_VSE WFP_100507_Digitizer" xfId="0"/>
    <cellStyle name="_CRT_VSE WFP_100507_GPS OTHER" xfId="0"/>
    <cellStyle name="_CRT_VSE WFP_100507_GPS OTHER 2" xfId="0"/>
    <cellStyle name="_CRT_VSE WFP_100507_GPS OTHER 3" xfId="0"/>
    <cellStyle name="_CRT_VSE WFP_100507_GPS OTHER 4" xfId="0"/>
    <cellStyle name="_CRT_VSE WFP_100507_GPS OTHER 4 2" xfId="0"/>
    <cellStyle name="_CRT_VSE WFP_100507_GPS OTHER_By Region" xfId="0"/>
    <cellStyle name="_CRT_VSE WFP_100507_GPS OTHER_CORP SG&amp;A" xfId="0"/>
    <cellStyle name="_CRT_VSE WFP_100507_GPS OTHER_LCD" xfId="0"/>
    <cellStyle name="_CRT_VSE WFP_100507_GPS OTHER_PJ" xfId="0"/>
    <cellStyle name="_CRT_VSE WFP_100507_LCD" xfId="0"/>
    <cellStyle name="_CRT_VSE WFP_100507_LCD 2" xfId="0"/>
    <cellStyle name="_CRT_VSE WFP_100507_LCD 3" xfId="0"/>
    <cellStyle name="_CRT_VSE WFP_100507_LCD 4" xfId="0"/>
    <cellStyle name="_CRT_VSE WFP_100507_LCD_By Region" xfId="0"/>
    <cellStyle name="_CRT_VSE WFP_100507_LCD_CORP SG&amp;A" xfId="0"/>
    <cellStyle name="_CRT_VSE WFP_100507_LCD_LCD" xfId="0"/>
    <cellStyle name="_CRT_VSE WFP_100507_LCD_PJ" xfId="0"/>
    <cellStyle name="_CRT_VSE WFP_100507_lightling" xfId="0"/>
    <cellStyle name="_CRT_VSE WFP_100507_lightling 2" xfId="0"/>
    <cellStyle name="_CRT_VSE WFP_100507_lightling_By Region" xfId="0"/>
    <cellStyle name="_CRT_VSE WFP_100507_lightling_CORP SG&amp;A" xfId="0"/>
    <cellStyle name="_CRT_VSE WFP_100507_PC Products" xfId="0"/>
    <cellStyle name="_CRT_VSE WFP_100507_PC Products 2" xfId="0"/>
    <cellStyle name="_CRT_VSE WFP_100507_PC Products 3" xfId="0"/>
    <cellStyle name="_CRT_VSE WFP_100507_PC Products 4" xfId="0"/>
    <cellStyle name="_CRT_VSE WFP_100507_PC Products 4 2" xfId="0"/>
    <cellStyle name="_CRT_VSE WFP_100507_PC Products_By Region" xfId="0"/>
    <cellStyle name="_CRT_VSE WFP_100507_PC Products_CORP SG&amp;A" xfId="0"/>
    <cellStyle name="_CRT_VSE WFP_100507_PC Products_LCD" xfId="0"/>
    <cellStyle name="_CRT_VSE WFP_100507_PC Products_PJ" xfId="0"/>
    <cellStyle name="_CRT_VSE WFP_100507_VSA 111014" xfId="0"/>
    <cellStyle name="_CRT_VSE WFP_100507_VSA 111014 2" xfId="0"/>
    <cellStyle name="_CRT_VSE WFP_100507_VSA 111014 3" xfId="0"/>
    <cellStyle name="_CRT_VSE WFP_100507_VSA 111014 4" xfId="0"/>
    <cellStyle name="_CRT_VSE WFP_100507_VSA 111014 4 2" xfId="0"/>
    <cellStyle name="_CRT_VSE WFP_100507_VSA 111014_By Region" xfId="0"/>
    <cellStyle name="_CRT_VSE WFP_100507_VSA 111014_CORP SG&amp;A" xfId="0"/>
    <cellStyle name="_CRT_VSE WFP_100507_VSA 111014_LCD" xfId="0"/>
    <cellStyle name="_CRT_VSE WFP_100507_VSA 111014_PJ" xfId="0"/>
    <cellStyle name="_CRT_VSE WFP_100507_VSA Roll-Up (LW)" xfId="0"/>
    <cellStyle name="_CRT_VSE WFP_100507_VSA Roll-Up (LW) 2" xfId="0"/>
    <cellStyle name="_CRT_VSE WFP_100507_VSA Roll-Up (LW) 3" xfId="0"/>
    <cellStyle name="_CRT_VSE WFP_100507_VSA Roll-Up (LW) 4" xfId="0"/>
    <cellStyle name="_CRT_VSE WFP_100507_VSA Roll-Up (LW) 4 2" xfId="0"/>
    <cellStyle name="_CRT_VSE WFP_100507_VSA Roll-Up (LW)_By Region" xfId="0"/>
    <cellStyle name="_CRT_VSE WFP_100507_VSA Roll-Up (LW)_CORP SG&amp;A" xfId="0"/>
    <cellStyle name="_CRT_VSE WFP_100507_VSA Roll-Up (LW)_LCD" xfId="0"/>
    <cellStyle name="_CRT_VSE WFP_100507_VSA Roll-Up (LW)_PJ" xfId="0"/>
    <cellStyle name="_CRT_VSE WFP_100608" xfId="0"/>
    <cellStyle name="_CRT_VSE WFP_100608 2" xfId="0"/>
    <cellStyle name="_CRT_VSE WFP_100608 3" xfId="0"/>
    <cellStyle name="_CRT_VSE WFP_100608 4" xfId="0"/>
    <cellStyle name="_CRT_VSE WFP_100608_By Region" xfId="0"/>
    <cellStyle name="_CRT_VSE WFP_100608_CORP SG&amp;A" xfId="0"/>
    <cellStyle name="_CRT_VSE WFP_100608_Digitizer" xfId="0"/>
    <cellStyle name="_CRT_VSE WFP_100608_GPS OTHER" xfId="0"/>
    <cellStyle name="_CRT_VSE WFP_100608_GPS OTHER 2" xfId="0"/>
    <cellStyle name="_CRT_VSE WFP_100608_GPS OTHER 3" xfId="0"/>
    <cellStyle name="_CRT_VSE WFP_100608_GPS OTHER 4" xfId="0"/>
    <cellStyle name="_CRT_VSE WFP_100608_GPS OTHER 4 2" xfId="0"/>
    <cellStyle name="_CRT_VSE WFP_100608_GPS OTHER_By Region" xfId="0"/>
    <cellStyle name="_CRT_VSE WFP_100608_GPS OTHER_CORP SG&amp;A" xfId="0"/>
    <cellStyle name="_CRT_VSE WFP_100608_GPS OTHER_LCD" xfId="0"/>
    <cellStyle name="_CRT_VSE WFP_100608_GPS OTHER_PJ" xfId="0"/>
    <cellStyle name="_CRT_VSE WFP_100608_LCD" xfId="0"/>
    <cellStyle name="_CRT_VSE WFP_100608_LCD 2" xfId="0"/>
    <cellStyle name="_CRT_VSE WFP_100608_LCD 3" xfId="0"/>
    <cellStyle name="_CRT_VSE WFP_100608_LCD 4" xfId="0"/>
    <cellStyle name="_CRT_VSE WFP_100608_LCD_By Region" xfId="0"/>
    <cellStyle name="_CRT_VSE WFP_100608_LCD_CORP SG&amp;A" xfId="0"/>
    <cellStyle name="_CRT_VSE WFP_100608_LCD_LCD" xfId="0"/>
    <cellStyle name="_CRT_VSE WFP_100608_LCD_PJ" xfId="0"/>
    <cellStyle name="_CRT_VSE WFP_100608_lightling" xfId="0"/>
    <cellStyle name="_CRT_VSE WFP_100608_lightling 2" xfId="0"/>
    <cellStyle name="_CRT_VSE WFP_100608_lightling_By Region" xfId="0"/>
    <cellStyle name="_CRT_VSE WFP_100608_lightling_CORP SG&amp;A" xfId="0"/>
    <cellStyle name="_CRT_VSE WFP_100608_PC Products" xfId="0"/>
    <cellStyle name="_CRT_VSE WFP_100608_PC Products 2" xfId="0"/>
    <cellStyle name="_CRT_VSE WFP_100608_PC Products 3" xfId="0"/>
    <cellStyle name="_CRT_VSE WFP_100608_PC Products 4" xfId="0"/>
    <cellStyle name="_CRT_VSE WFP_100608_PC Products 4 2" xfId="0"/>
    <cellStyle name="_CRT_VSE WFP_100608_PC Products_By Region" xfId="0"/>
    <cellStyle name="_CRT_VSE WFP_100608_PC Products_CORP SG&amp;A" xfId="0"/>
    <cellStyle name="_CRT_VSE WFP_100608_PC Products_LCD" xfId="0"/>
    <cellStyle name="_CRT_VSE WFP_100608_PC Products_PJ" xfId="0"/>
    <cellStyle name="_CRT_VSE WFP_100608_VSA 111014" xfId="0"/>
    <cellStyle name="_CRT_VSE WFP_100608_VSA 111014 2" xfId="0"/>
    <cellStyle name="_CRT_VSE WFP_100608_VSA 111014 3" xfId="0"/>
    <cellStyle name="_CRT_VSE WFP_100608_VSA 111014 4" xfId="0"/>
    <cellStyle name="_CRT_VSE WFP_100608_VSA 111014 4 2" xfId="0"/>
    <cellStyle name="_CRT_VSE WFP_100608_VSA 111014_By Region" xfId="0"/>
    <cellStyle name="_CRT_VSE WFP_100608_VSA 111014_CORP SG&amp;A" xfId="0"/>
    <cellStyle name="_CRT_VSE WFP_100608_VSA 111014_LCD" xfId="0"/>
    <cellStyle name="_CRT_VSE WFP_100608_VSA 111014_PJ" xfId="0"/>
    <cellStyle name="_CRT_VSE WFP_100608_VSA Roll-Up (LW)" xfId="0"/>
    <cellStyle name="_CRT_VSE WFP_100608_VSA Roll-Up (LW) 2" xfId="0"/>
    <cellStyle name="_CRT_VSE WFP_100608_VSA Roll-Up (LW) 3" xfId="0"/>
    <cellStyle name="_CRT_VSE WFP_100608_VSA Roll-Up (LW) 4" xfId="0"/>
    <cellStyle name="_CRT_VSE WFP_100608_VSA Roll-Up (LW) 4 2" xfId="0"/>
    <cellStyle name="_CRT_VSE WFP_100608_VSA Roll-Up (LW)_By Region" xfId="0"/>
    <cellStyle name="_CRT_VSE WFP_100608_VSA Roll-Up (LW)_CORP SG&amp;A" xfId="0"/>
    <cellStyle name="_CRT_VSE WFP_100608_VSA Roll-Up (LW)_LCD" xfId="0"/>
    <cellStyle name="_CRT_VSE WFP_100608_VSA Roll-Up (LW)_PJ" xfId="0"/>
    <cellStyle name="_CRT_VSE WFP_100625" xfId="0"/>
    <cellStyle name="_CRT_VSE WFP_100625 2" xfId="0"/>
    <cellStyle name="_CRT_VSE WFP_100625 3" xfId="0"/>
    <cellStyle name="_CRT_VSE WFP_100625 4" xfId="0"/>
    <cellStyle name="_CRT_VSE WFP_100625_By Region" xfId="0"/>
    <cellStyle name="_CRT_VSE WFP_100625_CORP SG&amp;A" xfId="0"/>
    <cellStyle name="_CRT_VSE WFP_100625_Digitizer" xfId="0"/>
    <cellStyle name="_CRT_VSE WFP_100625_GPS OTHER" xfId="0"/>
    <cellStyle name="_CRT_VSE WFP_100625_GPS OTHER 2" xfId="0"/>
    <cellStyle name="_CRT_VSE WFP_100625_GPS OTHER 3" xfId="0"/>
    <cellStyle name="_CRT_VSE WFP_100625_GPS OTHER 4" xfId="0"/>
    <cellStyle name="_CRT_VSE WFP_100625_GPS OTHER 4 2" xfId="0"/>
    <cellStyle name="_CRT_VSE WFP_100625_GPS OTHER_By Region" xfId="0"/>
    <cellStyle name="_CRT_VSE WFP_100625_GPS OTHER_CORP SG&amp;A" xfId="0"/>
    <cellStyle name="_CRT_VSE WFP_100625_GPS OTHER_LCD" xfId="0"/>
    <cellStyle name="_CRT_VSE WFP_100625_GPS OTHER_PJ" xfId="0"/>
    <cellStyle name="_CRT_VSE WFP_100625_LCD" xfId="0"/>
    <cellStyle name="_CRT_VSE WFP_100625_LCD 2" xfId="0"/>
    <cellStyle name="_CRT_VSE WFP_100625_LCD 3" xfId="0"/>
    <cellStyle name="_CRT_VSE WFP_100625_LCD 4" xfId="0"/>
    <cellStyle name="_CRT_VSE WFP_100625_LCD_By Region" xfId="0"/>
    <cellStyle name="_CRT_VSE WFP_100625_LCD_CORP SG&amp;A" xfId="0"/>
    <cellStyle name="_CRT_VSE WFP_100625_LCD_LCD" xfId="0"/>
    <cellStyle name="_CRT_VSE WFP_100625_LCD_PJ" xfId="0"/>
    <cellStyle name="_CRT_VSE WFP_100625_lightling" xfId="0"/>
    <cellStyle name="_CRT_VSE WFP_100625_lightling 2" xfId="0"/>
    <cellStyle name="_CRT_VSE WFP_100625_lightling_By Region" xfId="0"/>
    <cellStyle name="_CRT_VSE WFP_100625_lightling_CORP SG&amp;A" xfId="0"/>
    <cellStyle name="_CRT_VSE WFP_100625_PC Products" xfId="0"/>
    <cellStyle name="_CRT_VSE WFP_100625_PC Products 2" xfId="0"/>
    <cellStyle name="_CRT_VSE WFP_100625_PC Products 3" xfId="0"/>
    <cellStyle name="_CRT_VSE WFP_100625_PC Products 4" xfId="0"/>
    <cellStyle name="_CRT_VSE WFP_100625_PC Products 4 2" xfId="0"/>
    <cellStyle name="_CRT_VSE WFP_100625_PC Products_By Region" xfId="0"/>
    <cellStyle name="_CRT_VSE WFP_100625_PC Products_CORP SG&amp;A" xfId="0"/>
    <cellStyle name="_CRT_VSE WFP_100625_PC Products_LCD" xfId="0"/>
    <cellStyle name="_CRT_VSE WFP_100625_PC Products_PJ" xfId="0"/>
    <cellStyle name="_CRT_VSE WFP_100625_VSA 111014" xfId="0"/>
    <cellStyle name="_CRT_VSE WFP_100625_VSA 111014 2" xfId="0"/>
    <cellStyle name="_CRT_VSE WFP_100625_VSA 111014 3" xfId="0"/>
    <cellStyle name="_CRT_VSE WFP_100625_VSA 111014 4" xfId="0"/>
    <cellStyle name="_CRT_VSE WFP_100625_VSA 111014 4 2" xfId="0"/>
    <cellStyle name="_CRT_VSE WFP_100625_VSA 111014_By Region" xfId="0"/>
    <cellStyle name="_CRT_VSE WFP_100625_VSA 111014_CORP SG&amp;A" xfId="0"/>
    <cellStyle name="_CRT_VSE WFP_100625_VSA 111014_LCD" xfId="0"/>
    <cellStyle name="_CRT_VSE WFP_100625_VSA 111014_PJ" xfId="0"/>
    <cellStyle name="_CRT_VSE WFP_100625_VSA Roll-Up (LW)" xfId="0"/>
    <cellStyle name="_CRT_VSE WFP_100625_VSA Roll-Up (LW) 2" xfId="0"/>
    <cellStyle name="_CRT_VSE WFP_100625_VSA Roll-Up (LW) 3" xfId="0"/>
    <cellStyle name="_CRT_VSE WFP_100625_VSA Roll-Up (LW) 4" xfId="0"/>
    <cellStyle name="_CRT_VSE WFP_100625_VSA Roll-Up (LW) 4 2" xfId="0"/>
    <cellStyle name="_CRT_VSE WFP_100625_VSA Roll-Up (LW)_By Region" xfId="0"/>
    <cellStyle name="_CRT_VSE WFP_100625_VSA Roll-Up (LW)_CORP SG&amp;A" xfId="0"/>
    <cellStyle name="_CRT_VSE WFP_100625_VSA Roll-Up (LW)_LCD" xfId="0"/>
    <cellStyle name="_CRT_VSE WFP_100625_VSA Roll-Up (LW)_PJ" xfId="0"/>
    <cellStyle name="_CRT_VSE WFP_100708_3rd" xfId="0"/>
    <cellStyle name="_CRT_VSE WFP_100708_3rd 2" xfId="0"/>
    <cellStyle name="_CRT_VSE WFP_100708_3rd 3" xfId="0"/>
    <cellStyle name="_CRT_VSE WFP_100708_3rd 4" xfId="0"/>
    <cellStyle name="_CRT_VSE WFP_100708_3rd_By Region" xfId="0"/>
    <cellStyle name="_CRT_VSE WFP_100708_3rd_CORP SG&amp;A" xfId="0"/>
    <cellStyle name="_CRT_VSE WFP_100708_3rd_Digitizer" xfId="0"/>
    <cellStyle name="_CRT_VSE WFP_100708_3rd_GPS OTHER" xfId="0"/>
    <cellStyle name="_CRT_VSE WFP_100708_3rd_GPS OTHER 2" xfId="0"/>
    <cellStyle name="_CRT_VSE WFP_100708_3rd_GPS OTHER 3" xfId="0"/>
    <cellStyle name="_CRT_VSE WFP_100708_3rd_GPS OTHER 4" xfId="0"/>
    <cellStyle name="_CRT_VSE WFP_100708_3rd_GPS OTHER 4 2" xfId="0"/>
    <cellStyle name="_CRT_VSE WFP_100708_3rd_GPS OTHER_By Region" xfId="0"/>
    <cellStyle name="_CRT_VSE WFP_100708_3rd_GPS OTHER_CORP SG&amp;A" xfId="0"/>
    <cellStyle name="_CRT_VSE WFP_100708_3rd_GPS OTHER_LCD" xfId="0"/>
    <cellStyle name="_CRT_VSE WFP_100708_3rd_GPS OTHER_PJ" xfId="0"/>
    <cellStyle name="_CRT_VSE WFP_100708_3rd_LCD" xfId="0"/>
    <cellStyle name="_CRT_VSE WFP_100708_3rd_LCD 2" xfId="0"/>
    <cellStyle name="_CRT_VSE WFP_100708_3rd_LCD 3" xfId="0"/>
    <cellStyle name="_CRT_VSE WFP_100708_3rd_LCD 4" xfId="0"/>
    <cellStyle name="_CRT_VSE WFP_100708_3rd_LCD_By Region" xfId="0"/>
    <cellStyle name="_CRT_VSE WFP_100708_3rd_LCD_CORP SG&amp;A" xfId="0"/>
    <cellStyle name="_CRT_VSE WFP_100708_3rd_LCD_LCD" xfId="0"/>
    <cellStyle name="_CRT_VSE WFP_100708_3rd_LCD_PJ" xfId="0"/>
    <cellStyle name="_CRT_VSE WFP_100708_3rd_lightling" xfId="0"/>
    <cellStyle name="_CRT_VSE WFP_100708_3rd_lightling 2" xfId="0"/>
    <cellStyle name="_CRT_VSE WFP_100708_3rd_lightling_By Region" xfId="0"/>
    <cellStyle name="_CRT_VSE WFP_100708_3rd_lightling_CORP SG&amp;A" xfId="0"/>
    <cellStyle name="_CRT_VSE WFP_100708_3rd_PC Products" xfId="0"/>
    <cellStyle name="_CRT_VSE WFP_100708_3rd_PC Products 2" xfId="0"/>
    <cellStyle name="_CRT_VSE WFP_100708_3rd_PC Products 3" xfId="0"/>
    <cellStyle name="_CRT_VSE WFP_100708_3rd_PC Products 4" xfId="0"/>
    <cellStyle name="_CRT_VSE WFP_100708_3rd_PC Products 4 2" xfId="0"/>
    <cellStyle name="_CRT_VSE WFP_100708_3rd_PC Products_By Region" xfId="0"/>
    <cellStyle name="_CRT_VSE WFP_100708_3rd_PC Products_CORP SG&amp;A" xfId="0"/>
    <cellStyle name="_CRT_VSE WFP_100708_3rd_PC Products_LCD" xfId="0"/>
    <cellStyle name="_CRT_VSE WFP_100708_3rd_PC Products_PJ" xfId="0"/>
    <cellStyle name="_CRT_VSE WFP_100708_3rd_VSA 111014" xfId="0"/>
    <cellStyle name="_CRT_VSE WFP_100708_3rd_VSA 111014 2" xfId="0"/>
    <cellStyle name="_CRT_VSE WFP_100708_3rd_VSA 111014 3" xfId="0"/>
    <cellStyle name="_CRT_VSE WFP_100708_3rd_VSA 111014 4" xfId="0"/>
    <cellStyle name="_CRT_VSE WFP_100708_3rd_VSA 111014 4 2" xfId="0"/>
    <cellStyle name="_CRT_VSE WFP_100708_3rd_VSA 111014_By Region" xfId="0"/>
    <cellStyle name="_CRT_VSE WFP_100708_3rd_VSA 111014_CORP SG&amp;A" xfId="0"/>
    <cellStyle name="_CRT_VSE WFP_100708_3rd_VSA 111014_LCD" xfId="0"/>
    <cellStyle name="_CRT_VSE WFP_100708_3rd_VSA 111014_PJ" xfId="0"/>
    <cellStyle name="_CRT_VSE WFP_100708_3rd_VSA Roll-Up (LW)" xfId="0"/>
    <cellStyle name="_CRT_VSE WFP_100708_3rd_VSA Roll-Up (LW) 2" xfId="0"/>
    <cellStyle name="_CRT_VSE WFP_100708_3rd_VSA Roll-Up (LW) 3" xfId="0"/>
    <cellStyle name="_CRT_VSE WFP_100708_3rd_VSA Roll-Up (LW) 4" xfId="0"/>
    <cellStyle name="_CRT_VSE WFP_100708_3rd_VSA Roll-Up (LW) 4 2" xfId="0"/>
    <cellStyle name="_CRT_VSE WFP_100708_3rd_VSA Roll-Up (LW)_By Region" xfId="0"/>
    <cellStyle name="_CRT_VSE WFP_100708_3rd_VSA Roll-Up (LW)_CORP SG&amp;A" xfId="0"/>
    <cellStyle name="_CRT_VSE WFP_100708_3rd_VSA Roll-Up (LW)_LCD" xfId="0"/>
    <cellStyle name="_CRT_VSE WFP_100708_3rd_VSA Roll-Up (LW)_PJ" xfId="0"/>
    <cellStyle name="_CRT_VSE WFP_100726" xfId="0"/>
    <cellStyle name="_CRT_VSE WFP_100726 2" xfId="0"/>
    <cellStyle name="_CRT_VSE WFP_100726 3" xfId="0"/>
    <cellStyle name="_CRT_VSE WFP_100726 4" xfId="0"/>
    <cellStyle name="_CRT_VSE WFP_100726-1" xfId="0"/>
    <cellStyle name="_CRT_VSE WFP_100726-1 2" xfId="0"/>
    <cellStyle name="_CRT_VSE WFP_100726-1 3" xfId="0"/>
    <cellStyle name="_CRT_VSE WFP_100726-1 4" xfId="0"/>
    <cellStyle name="_CRT_VSE WFP_100726-1_By Region" xfId="0"/>
    <cellStyle name="_CRT_VSE WFP_100726-1_CORP SG&amp;A" xfId="0"/>
    <cellStyle name="_CRT_VSE WFP_100726-1_Digitizer" xfId="0"/>
    <cellStyle name="_CRT_VSE WFP_100726-1_GPS OTHER" xfId="0"/>
    <cellStyle name="_CRT_VSE WFP_100726-1_GPS OTHER 2" xfId="0"/>
    <cellStyle name="_CRT_VSE WFP_100726-1_GPS OTHER 3" xfId="0"/>
    <cellStyle name="_CRT_VSE WFP_100726-1_GPS OTHER 4" xfId="0"/>
    <cellStyle name="_CRT_VSE WFP_100726-1_GPS OTHER 4 2" xfId="0"/>
    <cellStyle name="_CRT_VSE WFP_100726-1_GPS OTHER_By Region" xfId="0"/>
    <cellStyle name="_CRT_VSE WFP_100726-1_GPS OTHER_CORP SG&amp;A" xfId="0"/>
    <cellStyle name="_CRT_VSE WFP_100726-1_GPS OTHER_LCD" xfId="0"/>
    <cellStyle name="_CRT_VSE WFP_100726-1_GPS OTHER_PJ" xfId="0"/>
    <cellStyle name="_CRT_VSE WFP_100726-1_LCD" xfId="0"/>
    <cellStyle name="_CRT_VSE WFP_100726-1_LCD 2" xfId="0"/>
    <cellStyle name="_CRT_VSE WFP_100726-1_LCD 3" xfId="0"/>
    <cellStyle name="_CRT_VSE WFP_100726-1_LCD 4" xfId="0"/>
    <cellStyle name="_CRT_VSE WFP_100726-1_LCD_By Region" xfId="0"/>
    <cellStyle name="_CRT_VSE WFP_100726-1_LCD_CORP SG&amp;A" xfId="0"/>
    <cellStyle name="_CRT_VSE WFP_100726-1_LCD_LCD" xfId="0"/>
    <cellStyle name="_CRT_VSE WFP_100726-1_LCD_PJ" xfId="0"/>
    <cellStyle name="_CRT_VSE WFP_100726-1_lightling" xfId="0"/>
    <cellStyle name="_CRT_VSE WFP_100726-1_lightling 2" xfId="0"/>
    <cellStyle name="_CRT_VSE WFP_100726-1_lightling_By Region" xfId="0"/>
    <cellStyle name="_CRT_VSE WFP_100726-1_lightling_CORP SG&amp;A" xfId="0"/>
    <cellStyle name="_CRT_VSE WFP_100726-1_PC Products" xfId="0"/>
    <cellStyle name="_CRT_VSE WFP_100726-1_PC Products 2" xfId="0"/>
    <cellStyle name="_CRT_VSE WFP_100726-1_PC Products 3" xfId="0"/>
    <cellStyle name="_CRT_VSE WFP_100726-1_PC Products 4" xfId="0"/>
    <cellStyle name="_CRT_VSE WFP_100726-1_PC Products 4 2" xfId="0"/>
    <cellStyle name="_CRT_VSE WFP_100726-1_PC Products_By Region" xfId="0"/>
    <cellStyle name="_CRT_VSE WFP_100726-1_PC Products_CORP SG&amp;A" xfId="0"/>
    <cellStyle name="_CRT_VSE WFP_100726-1_PC Products_LCD" xfId="0"/>
    <cellStyle name="_CRT_VSE WFP_100726-1_PC Products_PJ" xfId="0"/>
    <cellStyle name="_CRT_VSE WFP_100726-1_VSA 111014" xfId="0"/>
    <cellStyle name="_CRT_VSE WFP_100726-1_VSA 111014 2" xfId="0"/>
    <cellStyle name="_CRT_VSE WFP_100726-1_VSA 111014 3" xfId="0"/>
    <cellStyle name="_CRT_VSE WFP_100726-1_VSA 111014 4" xfId="0"/>
    <cellStyle name="_CRT_VSE WFP_100726-1_VSA 111014 4 2" xfId="0"/>
    <cellStyle name="_CRT_VSE WFP_100726-1_VSA 111014_By Region" xfId="0"/>
    <cellStyle name="_CRT_VSE WFP_100726-1_VSA 111014_CORP SG&amp;A" xfId="0"/>
    <cellStyle name="_CRT_VSE WFP_100726-1_VSA 111014_LCD" xfId="0"/>
    <cellStyle name="_CRT_VSE WFP_100726-1_VSA 111014_PJ" xfId="0"/>
    <cellStyle name="_CRT_VSE WFP_100726-1_VSA Roll-Up (LW)" xfId="0"/>
    <cellStyle name="_CRT_VSE WFP_100726-1_VSA Roll-Up (LW) 2" xfId="0"/>
    <cellStyle name="_CRT_VSE WFP_100726-1_VSA Roll-Up (LW) 3" xfId="0"/>
    <cellStyle name="_CRT_VSE WFP_100726-1_VSA Roll-Up (LW) 4" xfId="0"/>
    <cellStyle name="_CRT_VSE WFP_100726-1_VSA Roll-Up (LW) 4 2" xfId="0"/>
    <cellStyle name="_CRT_VSE WFP_100726-1_VSA Roll-Up (LW)_By Region" xfId="0"/>
    <cellStyle name="_CRT_VSE WFP_100726-1_VSA Roll-Up (LW)_CORP SG&amp;A" xfId="0"/>
    <cellStyle name="_CRT_VSE WFP_100726-1_VSA Roll-Up (LW)_LCD" xfId="0"/>
    <cellStyle name="_CRT_VSE WFP_100726-1_VSA Roll-Up (LW)_PJ" xfId="0"/>
    <cellStyle name="_CRT_VSE WFP_100726-2-yc" xfId="0"/>
    <cellStyle name="_CRT_VSE WFP_100726-2-yc 2" xfId="0"/>
    <cellStyle name="_CRT_VSE WFP_100726-2-yc 3" xfId="0"/>
    <cellStyle name="_CRT_VSE WFP_100726-2-yc 4" xfId="0"/>
    <cellStyle name="_CRT_VSE WFP_100726-2-yc_By Region" xfId="0"/>
    <cellStyle name="_CRT_VSE WFP_100726-2-yc_CORP SG&amp;A" xfId="0"/>
    <cellStyle name="_CRT_VSE WFP_100726-2-yc_Digitizer" xfId="0"/>
    <cellStyle name="_CRT_VSE WFP_100726-2-yc_GPS OTHER" xfId="0"/>
    <cellStyle name="_CRT_VSE WFP_100726-2-yc_GPS OTHER 2" xfId="0"/>
    <cellStyle name="_CRT_VSE WFP_100726-2-yc_GPS OTHER 3" xfId="0"/>
    <cellStyle name="_CRT_VSE WFP_100726-2-yc_GPS OTHER 4" xfId="0"/>
    <cellStyle name="_CRT_VSE WFP_100726-2-yc_GPS OTHER 4 2" xfId="0"/>
    <cellStyle name="_CRT_VSE WFP_100726-2-yc_GPS OTHER_By Region" xfId="0"/>
    <cellStyle name="_CRT_VSE WFP_100726-2-yc_GPS OTHER_CORP SG&amp;A" xfId="0"/>
    <cellStyle name="_CRT_VSE WFP_100726-2-yc_GPS OTHER_LCD" xfId="0"/>
    <cellStyle name="_CRT_VSE WFP_100726-2-yc_GPS OTHER_PJ" xfId="0"/>
    <cellStyle name="_CRT_VSE WFP_100726-2-yc_LCD" xfId="0"/>
    <cellStyle name="_CRT_VSE WFP_100726-2-yc_LCD 2" xfId="0"/>
    <cellStyle name="_CRT_VSE WFP_100726-2-yc_LCD 3" xfId="0"/>
    <cellStyle name="_CRT_VSE WFP_100726-2-yc_LCD 4" xfId="0"/>
    <cellStyle name="_CRT_VSE WFP_100726-2-yc_LCD_By Region" xfId="0"/>
    <cellStyle name="_CRT_VSE WFP_100726-2-yc_LCD_CORP SG&amp;A" xfId="0"/>
    <cellStyle name="_CRT_VSE WFP_100726-2-yc_LCD_LCD" xfId="0"/>
    <cellStyle name="_CRT_VSE WFP_100726-2-yc_LCD_PJ" xfId="0"/>
    <cellStyle name="_CRT_VSE WFP_100726-2-yc_lightling" xfId="0"/>
    <cellStyle name="_CRT_VSE WFP_100726-2-yc_lightling 2" xfId="0"/>
    <cellStyle name="_CRT_VSE WFP_100726-2-yc_lightling_By Region" xfId="0"/>
    <cellStyle name="_CRT_VSE WFP_100726-2-yc_lightling_CORP SG&amp;A" xfId="0"/>
    <cellStyle name="_CRT_VSE WFP_100726-2-yc_PC Products" xfId="0"/>
    <cellStyle name="_CRT_VSE WFP_100726-2-yc_PC Products 2" xfId="0"/>
    <cellStyle name="_CRT_VSE WFP_100726-2-yc_PC Products 3" xfId="0"/>
    <cellStyle name="_CRT_VSE WFP_100726-2-yc_PC Products 4" xfId="0"/>
    <cellStyle name="_CRT_VSE WFP_100726-2-yc_PC Products 4 2" xfId="0"/>
    <cellStyle name="_CRT_VSE WFP_100726-2-yc_PC Products_By Region" xfId="0"/>
    <cellStyle name="_CRT_VSE WFP_100726-2-yc_PC Products_CORP SG&amp;A" xfId="0"/>
    <cellStyle name="_CRT_VSE WFP_100726-2-yc_PC Products_LCD" xfId="0"/>
    <cellStyle name="_CRT_VSE WFP_100726-2-yc_PC Products_PJ" xfId="0"/>
    <cellStyle name="_CRT_VSE WFP_100726-2-yc_VSA 111014" xfId="0"/>
    <cellStyle name="_CRT_VSE WFP_100726-2-yc_VSA 111014 2" xfId="0"/>
    <cellStyle name="_CRT_VSE WFP_100726-2-yc_VSA 111014 3" xfId="0"/>
    <cellStyle name="_CRT_VSE WFP_100726-2-yc_VSA 111014 4" xfId="0"/>
    <cellStyle name="_CRT_VSE WFP_100726-2-yc_VSA 111014 4 2" xfId="0"/>
    <cellStyle name="_CRT_VSE WFP_100726-2-yc_VSA 111014_By Region" xfId="0"/>
    <cellStyle name="_CRT_VSE WFP_100726-2-yc_VSA 111014_CORP SG&amp;A" xfId="0"/>
    <cellStyle name="_CRT_VSE WFP_100726-2-yc_VSA 111014_LCD" xfId="0"/>
    <cellStyle name="_CRT_VSE WFP_100726-2-yc_VSA 111014_PJ" xfId="0"/>
    <cellStyle name="_CRT_VSE WFP_100726-2-yc_VSA Roll-Up (LW)" xfId="0"/>
    <cellStyle name="_CRT_VSE WFP_100726-2-yc_VSA Roll-Up (LW) 2" xfId="0"/>
    <cellStyle name="_CRT_VSE WFP_100726-2-yc_VSA Roll-Up (LW) 3" xfId="0"/>
    <cellStyle name="_CRT_VSE WFP_100726-2-yc_VSA Roll-Up (LW) 4" xfId="0"/>
    <cellStyle name="_CRT_VSE WFP_100726-2-yc_VSA Roll-Up (LW) 4 2" xfId="0"/>
    <cellStyle name="_CRT_VSE WFP_100726-2-yc_VSA Roll-Up (LW)_By Region" xfId="0"/>
    <cellStyle name="_CRT_VSE WFP_100726-2-yc_VSA Roll-Up (LW)_CORP SG&amp;A" xfId="0"/>
    <cellStyle name="_CRT_VSE WFP_100726-2-yc_VSA Roll-Up (LW)_LCD" xfId="0"/>
    <cellStyle name="_CRT_VSE WFP_100726-2-yc_VSA Roll-Up (LW)_PJ" xfId="0"/>
    <cellStyle name="_CRT_VSE WFP_100726_By Region" xfId="0"/>
    <cellStyle name="_CRT_VSE WFP_100726_CORP SG&amp;A" xfId="0"/>
    <cellStyle name="_CRT_VSE WFP_100726_Digitizer" xfId="0"/>
    <cellStyle name="_CRT_VSE WFP_100726_GPS OTHER" xfId="0"/>
    <cellStyle name="_CRT_VSE WFP_100726_GPS OTHER 2" xfId="0"/>
    <cellStyle name="_CRT_VSE WFP_100726_GPS OTHER 3" xfId="0"/>
    <cellStyle name="_CRT_VSE WFP_100726_GPS OTHER 4" xfId="0"/>
    <cellStyle name="_CRT_VSE WFP_100726_GPS OTHER 4 2" xfId="0"/>
    <cellStyle name="_CRT_VSE WFP_100726_GPS OTHER_By Region" xfId="0"/>
    <cellStyle name="_CRT_VSE WFP_100726_GPS OTHER_CORP SG&amp;A" xfId="0"/>
    <cellStyle name="_CRT_VSE WFP_100726_GPS OTHER_LCD" xfId="0"/>
    <cellStyle name="_CRT_VSE WFP_100726_GPS OTHER_PJ" xfId="0"/>
    <cellStyle name="_CRT_VSE WFP_100726_LCD" xfId="0"/>
    <cellStyle name="_CRT_VSE WFP_100726_LCD 2" xfId="0"/>
    <cellStyle name="_CRT_VSE WFP_100726_LCD 3" xfId="0"/>
    <cellStyle name="_CRT_VSE WFP_100726_LCD 4" xfId="0"/>
    <cellStyle name="_CRT_VSE WFP_100726_LCD_By Region" xfId="0"/>
    <cellStyle name="_CRT_VSE WFP_100726_LCD_CORP SG&amp;A" xfId="0"/>
    <cellStyle name="_CRT_VSE WFP_100726_LCD_LCD" xfId="0"/>
    <cellStyle name="_CRT_VSE WFP_100726_LCD_PJ" xfId="0"/>
    <cellStyle name="_CRT_VSE WFP_100726_lightling" xfId="0"/>
    <cellStyle name="_CRT_VSE WFP_100726_lightling 2" xfId="0"/>
    <cellStyle name="_CRT_VSE WFP_100726_lightling_By Region" xfId="0"/>
    <cellStyle name="_CRT_VSE WFP_100726_lightling_CORP SG&amp;A" xfId="0"/>
    <cellStyle name="_CRT_VSE WFP_100726_PC Products" xfId="0"/>
    <cellStyle name="_CRT_VSE WFP_100726_PC Products 2" xfId="0"/>
    <cellStyle name="_CRT_VSE WFP_100726_PC Products 3" xfId="0"/>
    <cellStyle name="_CRT_VSE WFP_100726_PC Products 4" xfId="0"/>
    <cellStyle name="_CRT_VSE WFP_100726_PC Products 4 2" xfId="0"/>
    <cellStyle name="_CRT_VSE WFP_100726_PC Products_By Region" xfId="0"/>
    <cellStyle name="_CRT_VSE WFP_100726_PC Products_CORP SG&amp;A" xfId="0"/>
    <cellStyle name="_CRT_VSE WFP_100726_PC Products_LCD" xfId="0"/>
    <cellStyle name="_CRT_VSE WFP_100726_PC Products_PJ" xfId="0"/>
    <cellStyle name="_CRT_VSE WFP_100726_VSA 111014" xfId="0"/>
    <cellStyle name="_CRT_VSE WFP_100726_VSA 111014 2" xfId="0"/>
    <cellStyle name="_CRT_VSE WFP_100726_VSA 111014 3" xfId="0"/>
    <cellStyle name="_CRT_VSE WFP_100726_VSA 111014 4" xfId="0"/>
    <cellStyle name="_CRT_VSE WFP_100726_VSA 111014 4 2" xfId="0"/>
    <cellStyle name="_CRT_VSE WFP_100726_VSA 111014_By Region" xfId="0"/>
    <cellStyle name="_CRT_VSE WFP_100726_VSA 111014_CORP SG&amp;A" xfId="0"/>
    <cellStyle name="_CRT_VSE WFP_100726_VSA 111014_LCD" xfId="0"/>
    <cellStyle name="_CRT_VSE WFP_100726_VSA 111014_PJ" xfId="0"/>
    <cellStyle name="_CRT_VSE WFP_100726_VSA Roll-Up (LW)" xfId="0"/>
    <cellStyle name="_CRT_VSE WFP_100726_VSA Roll-Up (LW) 2" xfId="0"/>
    <cellStyle name="_CRT_VSE WFP_100726_VSA Roll-Up (LW) 3" xfId="0"/>
    <cellStyle name="_CRT_VSE WFP_100726_VSA Roll-Up (LW) 4" xfId="0"/>
    <cellStyle name="_CRT_VSE WFP_100726_VSA Roll-Up (LW) 4 2" xfId="0"/>
    <cellStyle name="_CRT_VSE WFP_100726_VSA Roll-Up (LW)_By Region" xfId="0"/>
    <cellStyle name="_CRT_VSE WFP_100726_VSA Roll-Up (LW)_CORP SG&amp;A" xfId="0"/>
    <cellStyle name="_CRT_VSE WFP_100726_VSA Roll-Up (LW)_LCD" xfId="0"/>
    <cellStyle name="_CRT_VSE WFP_100726_VSA Roll-Up (LW)_PJ" xfId="0"/>
    <cellStyle name="_CRT_VSE WFP_100827-1" xfId="0"/>
    <cellStyle name="_CRT_VSE WFP_100827-1 2" xfId="0"/>
    <cellStyle name="_CRT_VSE WFP_100827-1 3" xfId="0"/>
    <cellStyle name="_CRT_VSE WFP_100827-1 4" xfId="0"/>
    <cellStyle name="_CRT_VSE WFP_100827-1_By Region" xfId="0"/>
    <cellStyle name="_CRT_VSE WFP_100827-1_CORP SG&amp;A" xfId="0"/>
    <cellStyle name="_CRT_VSE WFP_100827-1_Digitizer" xfId="0"/>
    <cellStyle name="_CRT_VSE WFP_100827-1_GPS OTHER" xfId="0"/>
    <cellStyle name="_CRT_VSE WFP_100827-1_GPS OTHER 2" xfId="0"/>
    <cellStyle name="_CRT_VSE WFP_100827-1_GPS OTHER 3" xfId="0"/>
    <cellStyle name="_CRT_VSE WFP_100827-1_GPS OTHER 4" xfId="0"/>
    <cellStyle name="_CRT_VSE WFP_100827-1_GPS OTHER 4 2" xfId="0"/>
    <cellStyle name="_CRT_VSE WFP_100827-1_GPS OTHER_By Region" xfId="0"/>
    <cellStyle name="_CRT_VSE WFP_100827-1_GPS OTHER_CORP SG&amp;A" xfId="0"/>
    <cellStyle name="_CRT_VSE WFP_100827-1_GPS OTHER_LCD" xfId="0"/>
    <cellStyle name="_CRT_VSE WFP_100827-1_GPS OTHER_PJ" xfId="0"/>
    <cellStyle name="_CRT_VSE WFP_100827-1_LCD" xfId="0"/>
    <cellStyle name="_CRT_VSE WFP_100827-1_LCD 2" xfId="0"/>
    <cellStyle name="_CRT_VSE WFP_100827-1_LCD 3" xfId="0"/>
    <cellStyle name="_CRT_VSE WFP_100827-1_LCD 4" xfId="0"/>
    <cellStyle name="_CRT_VSE WFP_100827-1_LCD_By Region" xfId="0"/>
    <cellStyle name="_CRT_VSE WFP_100827-1_LCD_CORP SG&amp;A" xfId="0"/>
    <cellStyle name="_CRT_VSE WFP_100827-1_LCD_LCD" xfId="0"/>
    <cellStyle name="_CRT_VSE WFP_100827-1_LCD_PJ" xfId="0"/>
    <cellStyle name="_CRT_VSE WFP_100827-1_lightling" xfId="0"/>
    <cellStyle name="_CRT_VSE WFP_100827-1_lightling 2" xfId="0"/>
    <cellStyle name="_CRT_VSE WFP_100827-1_lightling_By Region" xfId="0"/>
    <cellStyle name="_CRT_VSE WFP_100827-1_lightling_CORP SG&amp;A" xfId="0"/>
    <cellStyle name="_CRT_VSE WFP_100827-1_PC Products" xfId="0"/>
    <cellStyle name="_CRT_VSE WFP_100827-1_PC Products 2" xfId="0"/>
    <cellStyle name="_CRT_VSE WFP_100827-1_PC Products 3" xfId="0"/>
    <cellStyle name="_CRT_VSE WFP_100827-1_PC Products 4" xfId="0"/>
    <cellStyle name="_CRT_VSE WFP_100827-1_PC Products 4 2" xfId="0"/>
    <cellStyle name="_CRT_VSE WFP_100827-1_PC Products_By Region" xfId="0"/>
    <cellStyle name="_CRT_VSE WFP_100827-1_PC Products_CORP SG&amp;A" xfId="0"/>
    <cellStyle name="_CRT_VSE WFP_100827-1_PC Products_LCD" xfId="0"/>
    <cellStyle name="_CRT_VSE WFP_100827-1_PC Products_PJ" xfId="0"/>
    <cellStyle name="_CRT_VSE WFP_100827-1_VSA 111014" xfId="0"/>
    <cellStyle name="_CRT_VSE WFP_100827-1_VSA 111014 2" xfId="0"/>
    <cellStyle name="_CRT_VSE WFP_100827-1_VSA 111014 3" xfId="0"/>
    <cellStyle name="_CRT_VSE WFP_100827-1_VSA 111014 4" xfId="0"/>
    <cellStyle name="_CRT_VSE WFP_100827-1_VSA 111014 4 2" xfId="0"/>
    <cellStyle name="_CRT_VSE WFP_100827-1_VSA 111014_By Region" xfId="0"/>
    <cellStyle name="_CRT_VSE WFP_100827-1_VSA 111014_CORP SG&amp;A" xfId="0"/>
    <cellStyle name="_CRT_VSE WFP_100827-1_VSA 111014_LCD" xfId="0"/>
    <cellStyle name="_CRT_VSE WFP_100827-1_VSA 111014_PJ" xfId="0"/>
    <cellStyle name="_CRT_VSE WFP_100827-1_VSA Roll-Up (LW)" xfId="0"/>
    <cellStyle name="_CRT_VSE WFP_100827-1_VSA Roll-Up (LW) 2" xfId="0"/>
    <cellStyle name="_CRT_VSE WFP_100827-1_VSA Roll-Up (LW) 3" xfId="0"/>
    <cellStyle name="_CRT_VSE WFP_100827-1_VSA Roll-Up (LW) 4" xfId="0"/>
    <cellStyle name="_CRT_VSE WFP_100827-1_VSA Roll-Up (LW) 4 2" xfId="0"/>
    <cellStyle name="_CRT_VSE WFP_100827-1_VSA Roll-Up (LW)_By Region" xfId="0"/>
    <cellStyle name="_CRT_VSE WFP_100827-1_VSA Roll-Up (LW)_CORP SG&amp;A" xfId="0"/>
    <cellStyle name="_CRT_VSE WFP_100827-1_VSA Roll-Up (LW)_LCD" xfId="0"/>
    <cellStyle name="_CRT_VSE WFP_100827-1_VSA Roll-Up (LW)_PJ" xfId="0"/>
    <cellStyle name="_CRT_VSE WFP_101001" xfId="0"/>
    <cellStyle name="_CRT_VSE WFP_101001 2" xfId="0"/>
    <cellStyle name="_CRT_VSE WFP_101001 3" xfId="0"/>
    <cellStyle name="_CRT_VSE WFP_101001 4" xfId="0"/>
    <cellStyle name="_CRT_VSE WFP_101001_By Region" xfId="0"/>
    <cellStyle name="_CRT_VSE WFP_101001_CORP SG&amp;A" xfId="0"/>
    <cellStyle name="_CRT_VSE WFP_101001_Digitizer" xfId="0"/>
    <cellStyle name="_CRT_VSE WFP_101001_GPS OTHER" xfId="0"/>
    <cellStyle name="_CRT_VSE WFP_101001_GPS OTHER 2" xfId="0"/>
    <cellStyle name="_CRT_VSE WFP_101001_GPS OTHER 3" xfId="0"/>
    <cellStyle name="_CRT_VSE WFP_101001_GPS OTHER 4" xfId="0"/>
    <cellStyle name="_CRT_VSE WFP_101001_GPS OTHER 4 2" xfId="0"/>
    <cellStyle name="_CRT_VSE WFP_101001_GPS OTHER_By Region" xfId="0"/>
    <cellStyle name="_CRT_VSE WFP_101001_GPS OTHER_CORP SG&amp;A" xfId="0"/>
    <cellStyle name="_CRT_VSE WFP_101001_GPS OTHER_LCD" xfId="0"/>
    <cellStyle name="_CRT_VSE WFP_101001_GPS OTHER_PJ" xfId="0"/>
    <cellStyle name="_CRT_VSE WFP_101001_LCD" xfId="0"/>
    <cellStyle name="_CRT_VSE WFP_101001_LCD 2" xfId="0"/>
    <cellStyle name="_CRT_VSE WFP_101001_LCD 3" xfId="0"/>
    <cellStyle name="_CRT_VSE WFP_101001_LCD 4" xfId="0"/>
    <cellStyle name="_CRT_VSE WFP_101001_LCD_By Region" xfId="0"/>
    <cellStyle name="_CRT_VSE WFP_101001_LCD_CORP SG&amp;A" xfId="0"/>
    <cellStyle name="_CRT_VSE WFP_101001_LCD_LCD" xfId="0"/>
    <cellStyle name="_CRT_VSE WFP_101001_LCD_PJ" xfId="0"/>
    <cellStyle name="_CRT_VSE WFP_101001_lightling" xfId="0"/>
    <cellStyle name="_CRT_VSE WFP_101001_lightling 2" xfId="0"/>
    <cellStyle name="_CRT_VSE WFP_101001_lightling_By Region" xfId="0"/>
    <cellStyle name="_CRT_VSE WFP_101001_lightling_CORP SG&amp;A" xfId="0"/>
    <cellStyle name="_CRT_VSE WFP_101001_PC Products" xfId="0"/>
    <cellStyle name="_CRT_VSE WFP_101001_PC Products 2" xfId="0"/>
    <cellStyle name="_CRT_VSE WFP_101001_PC Products 3" xfId="0"/>
    <cellStyle name="_CRT_VSE WFP_101001_PC Products 4" xfId="0"/>
    <cellStyle name="_CRT_VSE WFP_101001_PC Products 4 2" xfId="0"/>
    <cellStyle name="_CRT_VSE WFP_101001_PC Products_By Region" xfId="0"/>
    <cellStyle name="_CRT_VSE WFP_101001_PC Products_CORP SG&amp;A" xfId="0"/>
    <cellStyle name="_CRT_VSE WFP_101001_PC Products_LCD" xfId="0"/>
    <cellStyle name="_CRT_VSE WFP_101001_PC Products_PJ" xfId="0"/>
    <cellStyle name="_CRT_VSE WFP_101001_VSA 111014" xfId="0"/>
    <cellStyle name="_CRT_VSE WFP_101001_VSA 111014 2" xfId="0"/>
    <cellStyle name="_CRT_VSE WFP_101001_VSA 111014 3" xfId="0"/>
    <cellStyle name="_CRT_VSE WFP_101001_VSA 111014 4" xfId="0"/>
    <cellStyle name="_CRT_VSE WFP_101001_VSA 111014 4 2" xfId="0"/>
    <cellStyle name="_CRT_VSE WFP_101001_VSA 111014_By Region" xfId="0"/>
    <cellStyle name="_CRT_VSE WFP_101001_VSA 111014_CORP SG&amp;A" xfId="0"/>
    <cellStyle name="_CRT_VSE WFP_101001_VSA 111014_LCD" xfId="0"/>
    <cellStyle name="_CRT_VSE WFP_101001_VSA 111014_PJ" xfId="0"/>
    <cellStyle name="_CRT_VSE WFP_101001_VSA Roll-Up (LW)" xfId="0"/>
    <cellStyle name="_CRT_VSE WFP_101001_VSA Roll-Up (LW) 2" xfId="0"/>
    <cellStyle name="_CRT_VSE WFP_101001_VSA Roll-Up (LW) 3" xfId="0"/>
    <cellStyle name="_CRT_VSE WFP_101001_VSA Roll-Up (LW) 4" xfId="0"/>
    <cellStyle name="_CRT_VSE WFP_101001_VSA Roll-Up (LW) 4 2" xfId="0"/>
    <cellStyle name="_CRT_VSE WFP_101001_VSA Roll-Up (LW)_By Region" xfId="0"/>
    <cellStyle name="_CRT_VSE WFP_101001_VSA Roll-Up (LW)_CORP SG&amp;A" xfId="0"/>
    <cellStyle name="_CRT_VSE WFP_101001_VSA Roll-Up (LW)_LCD" xfId="0"/>
    <cellStyle name="_CRT_VSE WFP_101001_VSA Roll-Up (LW)_PJ" xfId="0"/>
    <cellStyle name="_CRT_VSE WFP_101029-with more ViewPad 7" xfId="0"/>
    <cellStyle name="_CRT_VSE WFP_101029-with more ViewPad 7 2" xfId="0"/>
    <cellStyle name="_CRT_VSE WFP_101029-with more ViewPad 7 3" xfId="0"/>
    <cellStyle name="_CRT_VSE WFP_101029-with more ViewPad 7 4" xfId="0"/>
    <cellStyle name="_CRT_VSE WFP_101029-with more ViewPad 7_By Region" xfId="0"/>
    <cellStyle name="_CRT_VSE WFP_101029-with more ViewPad 7_CORP SG&amp;A" xfId="0"/>
    <cellStyle name="_CRT_VSE WFP_101029-with more ViewPad 7_Digitizer" xfId="0"/>
    <cellStyle name="_CRT_VSE WFP_101029-with more ViewPad 7_GPS OTHER" xfId="0"/>
    <cellStyle name="_CRT_VSE WFP_101029-with more ViewPad 7_GPS OTHER 2" xfId="0"/>
    <cellStyle name="_CRT_VSE WFP_101029-with more ViewPad 7_GPS OTHER 3" xfId="0"/>
    <cellStyle name="_CRT_VSE WFP_101029-with more ViewPad 7_GPS OTHER 4" xfId="0"/>
    <cellStyle name="_CRT_VSE WFP_101029-with more ViewPad 7_GPS OTHER 4 2" xfId="0"/>
    <cellStyle name="_CRT_VSE WFP_101029-with more ViewPad 7_GPS OTHER_By Region" xfId="0"/>
    <cellStyle name="_CRT_VSE WFP_101029-with more ViewPad 7_GPS OTHER_CORP SG&amp;A" xfId="0"/>
    <cellStyle name="_CRT_VSE WFP_101029-with more ViewPad 7_GPS OTHER_LCD" xfId="0"/>
    <cellStyle name="_CRT_VSE WFP_101029-with more ViewPad 7_GPS OTHER_PJ" xfId="0"/>
    <cellStyle name="_CRT_VSE WFP_101029-with more ViewPad 7_LCD" xfId="0"/>
    <cellStyle name="_CRT_VSE WFP_101029-with more ViewPad 7_LCD 2" xfId="0"/>
    <cellStyle name="_CRT_VSE WFP_101029-with more ViewPad 7_LCD 3" xfId="0"/>
    <cellStyle name="_CRT_VSE WFP_101029-with more ViewPad 7_LCD 4" xfId="0"/>
    <cellStyle name="_CRT_VSE WFP_101029-with more ViewPad 7_LCD_By Region" xfId="0"/>
    <cellStyle name="_CRT_VSE WFP_101029-with more ViewPad 7_LCD_CORP SG&amp;A" xfId="0"/>
    <cellStyle name="_CRT_VSE WFP_101029-with more ViewPad 7_LCD_LCD" xfId="0"/>
    <cellStyle name="_CRT_VSE WFP_101029-with more ViewPad 7_LCD_PJ" xfId="0"/>
    <cellStyle name="_CRT_VSE WFP_101029-with more ViewPad 7_lightling" xfId="0"/>
    <cellStyle name="_CRT_VSE WFP_101029-with more ViewPad 7_lightling 2" xfId="0"/>
    <cellStyle name="_CRT_VSE WFP_101029-with more ViewPad 7_lightling_By Region" xfId="0"/>
    <cellStyle name="_CRT_VSE WFP_101029-with more ViewPad 7_lightling_CORP SG&amp;A" xfId="0"/>
    <cellStyle name="_CRT_VSE WFP_101029-with more ViewPad 7_PC Products" xfId="0"/>
    <cellStyle name="_CRT_VSE WFP_101029-with more ViewPad 7_PC Products 2" xfId="0"/>
    <cellStyle name="_CRT_VSE WFP_101029-with more ViewPad 7_PC Products 3" xfId="0"/>
    <cellStyle name="_CRT_VSE WFP_101029-with more ViewPad 7_PC Products 4" xfId="0"/>
    <cellStyle name="_CRT_VSE WFP_101029-with more ViewPad 7_PC Products 4 2" xfId="0"/>
    <cellStyle name="_CRT_VSE WFP_101029-with more ViewPad 7_PC Products_By Region" xfId="0"/>
    <cellStyle name="_CRT_VSE WFP_101029-with more ViewPad 7_PC Products_CORP SG&amp;A" xfId="0"/>
    <cellStyle name="_CRT_VSE WFP_101029-with more ViewPad 7_PC Products_LCD" xfId="0"/>
    <cellStyle name="_CRT_VSE WFP_101029-with more ViewPad 7_PC Products_PJ" xfId="0"/>
    <cellStyle name="_CRT_VSE WFP_101029-with more ViewPad 7_VSA 111014" xfId="0"/>
    <cellStyle name="_CRT_VSE WFP_101029-with more ViewPad 7_VSA 111014 2" xfId="0"/>
    <cellStyle name="_CRT_VSE WFP_101029-with more ViewPad 7_VSA 111014 3" xfId="0"/>
    <cellStyle name="_CRT_VSE WFP_101029-with more ViewPad 7_VSA 111014 4" xfId="0"/>
    <cellStyle name="_CRT_VSE WFP_101029-with more ViewPad 7_VSA 111014 4 2" xfId="0"/>
    <cellStyle name="_CRT_VSE WFP_101029-with more ViewPad 7_VSA 111014_By Region" xfId="0"/>
    <cellStyle name="_CRT_VSE WFP_101029-with more ViewPad 7_VSA 111014_CORP SG&amp;A" xfId="0"/>
    <cellStyle name="_CRT_VSE WFP_101029-with more ViewPad 7_VSA 111014_LCD" xfId="0"/>
    <cellStyle name="_CRT_VSE WFP_101029-with more ViewPad 7_VSA 111014_PJ" xfId="0"/>
    <cellStyle name="_CRT_VSE WFP_101029-with more ViewPad 7_VSA Roll-Up (LW)" xfId="0"/>
    <cellStyle name="_CRT_VSE WFP_101029-with more ViewPad 7_VSA Roll-Up (LW) 2" xfId="0"/>
    <cellStyle name="_CRT_VSE WFP_101029-with more ViewPad 7_VSA Roll-Up (LW) 3" xfId="0"/>
    <cellStyle name="_CRT_VSE WFP_101029-with more ViewPad 7_VSA Roll-Up (LW) 4" xfId="0"/>
    <cellStyle name="_CRT_VSE WFP_101029-with more ViewPad 7_VSA Roll-Up (LW) 4 2" xfId="0"/>
    <cellStyle name="_CRT_VSE WFP_101029-with more ViewPad 7_VSA Roll-Up (LW)_By Region" xfId="0"/>
    <cellStyle name="_CRT_VSE WFP_101029-with more ViewPad 7_VSA Roll-Up (LW)_CORP SG&amp;A" xfId="0"/>
    <cellStyle name="_CRT_VSE WFP_101029-with more ViewPad 7_VSA Roll-Up (LW)_LCD" xfId="0"/>
    <cellStyle name="_CRT_VSE WFP_101029-with more ViewPad 7_VSA Roll-Up (LW)_PJ" xfId="0"/>
    <cellStyle name="_Datasheet" xfId="0"/>
    <cellStyle name="_Datasheet 2" xfId="0"/>
    <cellStyle name="_Delta Thailand" xfId="0"/>
    <cellStyle name="_Delta Thailand 2" xfId="0"/>
    <cellStyle name="_Digital Decade" xfId="0"/>
    <cellStyle name="_Digital Decade 2" xfId="0"/>
    <cellStyle name="_DMA DCR" xfId="0"/>
    <cellStyle name="_DMA DCR 2" xfId="0"/>
    <cellStyle name="_DMA DCR_VSE DCR Planning Model and Trend Charts 20100118" xfId="0"/>
    <cellStyle name="_DMA DCR_VSE DCR Planning Model and Trend Charts 20100118 2" xfId="0"/>
    <cellStyle name="_DMA DCR_VSE DCR Planning Model and Trend Charts 20100315" xfId="0"/>
    <cellStyle name="_DMA DCR_VSE DCR Planning Model and Trend Charts 20100315 2" xfId="0"/>
    <cellStyle name="_DPF" xfId="0"/>
    <cellStyle name="_DPF 2" xfId="0"/>
    <cellStyle name="_DPF 3" xfId="0"/>
    <cellStyle name="_DPF 4" xfId="0"/>
    <cellStyle name="_DPF 5" xfId="0"/>
    <cellStyle name="_DPF DCR" xfId="0"/>
    <cellStyle name="_DPF DCR 2" xfId="0"/>
    <cellStyle name="_DPF DCR_VSE DCR Planning Model and Trend Charts 20100118" xfId="0"/>
    <cellStyle name="_DPF DCR_VSE DCR Planning Model and Trend Charts 20100118 2" xfId="0"/>
    <cellStyle name="_DPF DCR_VSE DCR Planning Model and Trend Charts 20100315" xfId="0"/>
    <cellStyle name="_DPF DCR_VSE DCR Planning Model and Trend Charts 20100315 2" xfId="0"/>
    <cellStyle name="_DPF_By Region" xfId="0"/>
    <cellStyle name="_DPF_CIS" xfId="0"/>
    <cellStyle name="_DPF_CIS 2" xfId="0"/>
    <cellStyle name="_DPF_CIS 3" xfId="0"/>
    <cellStyle name="_DPF_CIS 4" xfId="0"/>
    <cellStyle name="_DPF_CIS_By Region" xfId="0"/>
    <cellStyle name="_DPF_CIS_CORP SG&amp;A" xfId="0"/>
    <cellStyle name="_DPF_CIS_Digitizer" xfId="0"/>
    <cellStyle name="_DPF_CIS_GPS OTHER" xfId="0"/>
    <cellStyle name="_DPF_CIS_GPS OTHER 2" xfId="0"/>
    <cellStyle name="_DPF_CIS_GPS OTHER 3" xfId="0"/>
    <cellStyle name="_DPF_CIS_GPS OTHER 4" xfId="0"/>
    <cellStyle name="_DPF_CIS_GPS OTHER 4 2" xfId="0"/>
    <cellStyle name="_DPF_CIS_GPS OTHER_By Region" xfId="0"/>
    <cellStyle name="_DPF_CIS_GPS OTHER_CORP SG&amp;A" xfId="0"/>
    <cellStyle name="_DPF_CIS_GPS OTHER_LCD" xfId="0"/>
    <cellStyle name="_DPF_CIS_GPS OTHER_PJ" xfId="0"/>
    <cellStyle name="_DPF_CIS_LCD" xfId="0"/>
    <cellStyle name="_DPF_CIS_LCD 2" xfId="0"/>
    <cellStyle name="_DPF_CIS_LCD 3" xfId="0"/>
    <cellStyle name="_DPF_CIS_LCD 4" xfId="0"/>
    <cellStyle name="_DPF_CIS_LCD_By Region" xfId="0"/>
    <cellStyle name="_DPF_CIS_LCD_CORP SG&amp;A" xfId="0"/>
    <cellStyle name="_DPF_CIS_LCD_LCD" xfId="0"/>
    <cellStyle name="_DPF_CIS_LCD_PJ" xfId="0"/>
    <cellStyle name="_DPF_CIS_lightling" xfId="0"/>
    <cellStyle name="_DPF_CIS_lightling 2" xfId="0"/>
    <cellStyle name="_DPF_CIS_lightling_By Region" xfId="0"/>
    <cellStyle name="_DPF_CIS_lightling_CORP SG&amp;A" xfId="0"/>
    <cellStyle name="_DPF_CIS_PC Products" xfId="0"/>
    <cellStyle name="_DPF_CIS_PC Products 2" xfId="0"/>
    <cellStyle name="_DPF_CIS_PC Products 3" xfId="0"/>
    <cellStyle name="_DPF_CIS_PC Products 4" xfId="0"/>
    <cellStyle name="_DPF_CIS_PC Products 4 2" xfId="0"/>
    <cellStyle name="_DPF_CIS_PC Products_By Region" xfId="0"/>
    <cellStyle name="_DPF_CIS_PC Products_CORP SG&amp;A" xfId="0"/>
    <cellStyle name="_DPF_CIS_PC Products_LCD" xfId="0"/>
    <cellStyle name="_DPF_CIS_PC Products_PJ" xfId="0"/>
    <cellStyle name="_DPF_CIS_VSA 111014" xfId="0"/>
    <cellStyle name="_DPF_CIS_VSA 111014 2" xfId="0"/>
    <cellStyle name="_DPF_CIS_VSA 111014 3" xfId="0"/>
    <cellStyle name="_DPF_CIS_VSA 111014 4" xfId="0"/>
    <cellStyle name="_DPF_CIS_VSA 111014 4 2" xfId="0"/>
    <cellStyle name="_DPF_CIS_VSA 111014_By Region" xfId="0"/>
    <cellStyle name="_DPF_CIS_VSA 111014_CORP SG&amp;A" xfId="0"/>
    <cellStyle name="_DPF_CIS_VSA 111014_LCD" xfId="0"/>
    <cellStyle name="_DPF_CIS_VSA 111014_PJ" xfId="0"/>
    <cellStyle name="_DPF_CIS_VSA Roll-Up (LW)" xfId="0"/>
    <cellStyle name="_DPF_CIS_VSA Roll-Up (LW) 2" xfId="0"/>
    <cellStyle name="_DPF_CIS_VSA Roll-Up (LW) 3" xfId="0"/>
    <cellStyle name="_DPF_CIS_VSA Roll-Up (LW) 4" xfId="0"/>
    <cellStyle name="_DPF_CIS_VSA Roll-Up (LW) 4 2" xfId="0"/>
    <cellStyle name="_DPF_CIS_VSA Roll-Up (LW)_By Region" xfId="0"/>
    <cellStyle name="_DPF_CIS_VSA Roll-Up (LW)_CORP SG&amp;A" xfId="0"/>
    <cellStyle name="_DPF_CIS_VSA Roll-Up (LW)_LCD" xfId="0"/>
    <cellStyle name="_DPF_CIS_VSA Roll-Up (LW)_PJ" xfId="0"/>
    <cellStyle name="_DPF_CORP SG&amp;A" xfId="0"/>
    <cellStyle name="_DPF_CRT" xfId="0"/>
    <cellStyle name="_DPF_CRT 2" xfId="0"/>
    <cellStyle name="_DPF_CRT 3" xfId="0"/>
    <cellStyle name="_DPF_CRT 4" xfId="0"/>
    <cellStyle name="_DPF_CRT_By Region" xfId="0"/>
    <cellStyle name="_DPF_CRT_CORP SG&amp;A" xfId="0"/>
    <cellStyle name="_DPF_CRT_Digitizer" xfId="0"/>
    <cellStyle name="_DPF_CRT_GPS OTHER" xfId="0"/>
    <cellStyle name="_DPF_CRT_GPS OTHER 2" xfId="0"/>
    <cellStyle name="_DPF_CRT_GPS OTHER 3" xfId="0"/>
    <cellStyle name="_DPF_CRT_GPS OTHER 4" xfId="0"/>
    <cellStyle name="_DPF_CRT_GPS OTHER 4 2" xfId="0"/>
    <cellStyle name="_DPF_CRT_GPS OTHER_By Region" xfId="0"/>
    <cellStyle name="_DPF_CRT_GPS OTHER_CORP SG&amp;A" xfId="0"/>
    <cellStyle name="_DPF_CRT_GPS OTHER_LCD" xfId="0"/>
    <cellStyle name="_DPF_CRT_GPS OTHER_PJ" xfId="0"/>
    <cellStyle name="_DPF_CRT_LCD" xfId="0"/>
    <cellStyle name="_DPF_CRT_LCD 2" xfId="0"/>
    <cellStyle name="_DPF_CRT_LCD 3" xfId="0"/>
    <cellStyle name="_DPF_CRT_LCD 4" xfId="0"/>
    <cellStyle name="_DPF_CRT_LCD_By Region" xfId="0"/>
    <cellStyle name="_DPF_CRT_LCD_CORP SG&amp;A" xfId="0"/>
    <cellStyle name="_DPF_CRT_LCD_LCD" xfId="0"/>
    <cellStyle name="_DPF_CRT_LCD_PJ" xfId="0"/>
    <cellStyle name="_DPF_CRT_lightling" xfId="0"/>
    <cellStyle name="_DPF_CRT_lightling 2" xfId="0"/>
    <cellStyle name="_DPF_CRT_lightling_By Region" xfId="0"/>
    <cellStyle name="_DPF_CRT_lightling_CORP SG&amp;A" xfId="0"/>
    <cellStyle name="_DPF_CRT_PC Products" xfId="0"/>
    <cellStyle name="_DPF_CRT_PC Products 2" xfId="0"/>
    <cellStyle name="_DPF_CRT_PC Products 3" xfId="0"/>
    <cellStyle name="_DPF_CRT_PC Products 4" xfId="0"/>
    <cellStyle name="_DPF_CRT_PC Products 4 2" xfId="0"/>
    <cellStyle name="_DPF_CRT_PC Products_By Region" xfId="0"/>
    <cellStyle name="_DPF_CRT_PC Products_CORP SG&amp;A" xfId="0"/>
    <cellStyle name="_DPF_CRT_PC Products_LCD" xfId="0"/>
    <cellStyle name="_DPF_CRT_PC Products_PJ" xfId="0"/>
    <cellStyle name="_DPF_CRT_VSA 111014" xfId="0"/>
    <cellStyle name="_DPF_CRT_VSA 111014 2" xfId="0"/>
    <cellStyle name="_DPF_CRT_VSA 111014 3" xfId="0"/>
    <cellStyle name="_DPF_CRT_VSA 111014 4" xfId="0"/>
    <cellStyle name="_DPF_CRT_VSA 111014 4 2" xfId="0"/>
    <cellStyle name="_DPF_CRT_VSA 111014_By Region" xfId="0"/>
    <cellStyle name="_DPF_CRT_VSA 111014_CORP SG&amp;A" xfId="0"/>
    <cellStyle name="_DPF_CRT_VSA 111014_LCD" xfId="0"/>
    <cellStyle name="_DPF_CRT_VSA 111014_PJ" xfId="0"/>
    <cellStyle name="_DPF_CRT_VSA Roll-Up (LW)" xfId="0"/>
    <cellStyle name="_DPF_CRT_VSA Roll-Up (LW) 2" xfId="0"/>
    <cellStyle name="_DPF_CRT_VSA Roll-Up (LW) 3" xfId="0"/>
    <cellStyle name="_DPF_CRT_VSA Roll-Up (LW) 4" xfId="0"/>
    <cellStyle name="_DPF_CRT_VSA Roll-Up (LW) 4 2" xfId="0"/>
    <cellStyle name="_DPF_CRT_VSA Roll-Up (LW)_By Region" xfId="0"/>
    <cellStyle name="_DPF_CRT_VSA Roll-Up (LW)_CORP SG&amp;A" xfId="0"/>
    <cellStyle name="_DPF_CRT_VSA Roll-Up (LW)_LCD" xfId="0"/>
    <cellStyle name="_DPF_CRT_VSA Roll-Up (LW)_PJ" xfId="0"/>
    <cellStyle name="_DPF_Diff" xfId="0"/>
    <cellStyle name="_DPF_Diff 2" xfId="0"/>
    <cellStyle name="_DPF_Diff 3" xfId="0"/>
    <cellStyle name="_DPF_Diff 4" xfId="0"/>
    <cellStyle name="_DPF_Diff_By Region" xfId="0"/>
    <cellStyle name="_DPF_Diff_CORP SG&amp;A" xfId="0"/>
    <cellStyle name="_DPF_Diff_Digitizer" xfId="0"/>
    <cellStyle name="_DPF_Diff_GPS OTHER" xfId="0"/>
    <cellStyle name="_DPF_Diff_GPS OTHER 2" xfId="0"/>
    <cellStyle name="_DPF_Diff_GPS OTHER 3" xfId="0"/>
    <cellStyle name="_DPF_Diff_GPS OTHER 4" xfId="0"/>
    <cellStyle name="_DPF_Diff_GPS OTHER 4 2" xfId="0"/>
    <cellStyle name="_DPF_Diff_GPS OTHER_By Region" xfId="0"/>
    <cellStyle name="_DPF_Diff_GPS OTHER_CORP SG&amp;A" xfId="0"/>
    <cellStyle name="_DPF_Diff_GPS OTHER_LCD" xfId="0"/>
    <cellStyle name="_DPF_Diff_GPS OTHER_PJ" xfId="0"/>
    <cellStyle name="_DPF_Diff_LCD" xfId="0"/>
    <cellStyle name="_DPF_Diff_LCD 2" xfId="0"/>
    <cellStyle name="_DPF_Diff_LCD 3" xfId="0"/>
    <cellStyle name="_DPF_Diff_LCD 4" xfId="0"/>
    <cellStyle name="_DPF_Diff_LCD_By Region" xfId="0"/>
    <cellStyle name="_DPF_Diff_LCD_CORP SG&amp;A" xfId="0"/>
    <cellStyle name="_DPF_Diff_LCD_LCD" xfId="0"/>
    <cellStyle name="_DPF_Diff_LCD_PJ" xfId="0"/>
    <cellStyle name="_DPF_Diff_lightling" xfId="0"/>
    <cellStyle name="_DPF_Diff_lightling 2" xfId="0"/>
    <cellStyle name="_DPF_Diff_lightling_By Region" xfId="0"/>
    <cellStyle name="_DPF_Diff_lightling_CORP SG&amp;A" xfId="0"/>
    <cellStyle name="_DPF_Diff_PC Products" xfId="0"/>
    <cellStyle name="_DPF_Diff_PC Products 2" xfId="0"/>
    <cellStyle name="_DPF_Diff_PC Products 3" xfId="0"/>
    <cellStyle name="_DPF_Diff_PC Products 4" xfId="0"/>
    <cellStyle name="_DPF_Diff_PC Products 4 2" xfId="0"/>
    <cellStyle name="_DPF_Diff_PC Products_By Region" xfId="0"/>
    <cellStyle name="_DPF_Diff_PC Products_CORP SG&amp;A" xfId="0"/>
    <cellStyle name="_DPF_Diff_PC Products_LCD" xfId="0"/>
    <cellStyle name="_DPF_Diff_PC Products_PJ" xfId="0"/>
    <cellStyle name="_DPF_Diff_VSA 111014" xfId="0"/>
    <cellStyle name="_DPF_Diff_VSA 111014 2" xfId="0"/>
    <cellStyle name="_DPF_Diff_VSA 111014 3" xfId="0"/>
    <cellStyle name="_DPF_Diff_VSA 111014 4" xfId="0"/>
    <cellStyle name="_DPF_Diff_VSA 111014 4 2" xfId="0"/>
    <cellStyle name="_DPF_Diff_VSA 111014_By Region" xfId="0"/>
    <cellStyle name="_DPF_Diff_VSA 111014_CORP SG&amp;A" xfId="0"/>
    <cellStyle name="_DPF_Diff_VSA 111014_LCD" xfId="0"/>
    <cellStyle name="_DPF_Diff_VSA 111014_PJ" xfId="0"/>
    <cellStyle name="_DPF_Diff_VSA Roll-Up (LW)" xfId="0"/>
    <cellStyle name="_DPF_Diff_VSA Roll-Up (LW) 2" xfId="0"/>
    <cellStyle name="_DPF_Diff_VSA Roll-Up (LW) 3" xfId="0"/>
    <cellStyle name="_DPF_Diff_VSA Roll-Up (LW) 4" xfId="0"/>
    <cellStyle name="_DPF_Diff_VSA Roll-Up (LW) 4 2" xfId="0"/>
    <cellStyle name="_DPF_Diff_VSA Roll-Up (LW)_By Region" xfId="0"/>
    <cellStyle name="_DPF_Diff_VSA Roll-Up (LW)_CORP SG&amp;A" xfId="0"/>
    <cellStyle name="_DPF_Diff_VSA Roll-Up (LW)_LCD" xfId="0"/>
    <cellStyle name="_DPF_Diff_VSA Roll-Up (LW)_PJ" xfId="0"/>
    <cellStyle name="_DPF_Digital Product" xfId="0"/>
    <cellStyle name="_DPF_Digital Product 2" xfId="0"/>
    <cellStyle name="_DPF_Digital Product 3" xfId="0"/>
    <cellStyle name="_DPF_Digital Product 4" xfId="0"/>
    <cellStyle name="_DPF_Digital Product_By Region" xfId="0"/>
    <cellStyle name="_DPF_Digital Product_CORP SG&amp;A" xfId="0"/>
    <cellStyle name="_DPF_Digital Product_Digitizer" xfId="0"/>
    <cellStyle name="_DPF_Digital Product_GPS OTHER" xfId="0"/>
    <cellStyle name="_DPF_Digital Product_GPS OTHER 2" xfId="0"/>
    <cellStyle name="_DPF_Digital Product_GPS OTHER 3" xfId="0"/>
    <cellStyle name="_DPF_Digital Product_GPS OTHER 4" xfId="0"/>
    <cellStyle name="_DPF_Digital Product_GPS OTHER 4 2" xfId="0"/>
    <cellStyle name="_DPF_Digital Product_GPS OTHER_By Region" xfId="0"/>
    <cellStyle name="_DPF_Digital Product_GPS OTHER_CORP SG&amp;A" xfId="0"/>
    <cellStyle name="_DPF_Digital Product_GPS OTHER_LCD" xfId="0"/>
    <cellStyle name="_DPF_Digital Product_GPS OTHER_PJ" xfId="0"/>
    <cellStyle name="_DPF_Digital Product_LCD" xfId="0"/>
    <cellStyle name="_DPF_Digital Product_LCD 2" xfId="0"/>
    <cellStyle name="_DPF_Digital Product_LCD 3" xfId="0"/>
    <cellStyle name="_DPF_Digital Product_LCD 4" xfId="0"/>
    <cellStyle name="_DPF_Digital Product_LCD_By Region" xfId="0"/>
    <cellStyle name="_DPF_Digital Product_LCD_CORP SG&amp;A" xfId="0"/>
    <cellStyle name="_DPF_Digital Product_LCD_LCD" xfId="0"/>
    <cellStyle name="_DPF_Digital Product_LCD_PJ" xfId="0"/>
    <cellStyle name="_DPF_Digital Product_lightling" xfId="0"/>
    <cellStyle name="_DPF_Digital Product_lightling 2" xfId="0"/>
    <cellStyle name="_DPF_Digital Product_lightling_By Region" xfId="0"/>
    <cellStyle name="_DPF_Digital Product_lightling_CORP SG&amp;A" xfId="0"/>
    <cellStyle name="_DPF_Digital Product_PC Products" xfId="0"/>
    <cellStyle name="_DPF_Digital Product_PC Products 2" xfId="0"/>
    <cellStyle name="_DPF_Digital Product_PC Products 3" xfId="0"/>
    <cellStyle name="_DPF_Digital Product_PC Products 4" xfId="0"/>
    <cellStyle name="_DPF_Digital Product_PC Products 4 2" xfId="0"/>
    <cellStyle name="_DPF_Digital Product_PC Products_By Region" xfId="0"/>
    <cellStyle name="_DPF_Digital Product_PC Products_CORP SG&amp;A" xfId="0"/>
    <cellStyle name="_DPF_Digital Product_PC Products_LCD" xfId="0"/>
    <cellStyle name="_DPF_Digital Product_PC Products_PJ" xfId="0"/>
    <cellStyle name="_DPF_Digital Product_VSA 111014" xfId="0"/>
    <cellStyle name="_DPF_Digital Product_VSA 111014 2" xfId="0"/>
    <cellStyle name="_DPF_Digital Product_VSA 111014 3" xfId="0"/>
    <cellStyle name="_DPF_Digital Product_VSA 111014 4" xfId="0"/>
    <cellStyle name="_DPF_Digital Product_VSA 111014 4 2" xfId="0"/>
    <cellStyle name="_DPF_Digital Product_VSA 111014_By Region" xfId="0"/>
    <cellStyle name="_DPF_Digital Product_VSA 111014_CORP SG&amp;A" xfId="0"/>
    <cellStyle name="_DPF_Digital Product_VSA 111014_LCD" xfId="0"/>
    <cellStyle name="_DPF_Digital Product_VSA 111014_PJ" xfId="0"/>
    <cellStyle name="_DPF_Digital Product_VSA Roll-Up (LW)" xfId="0"/>
    <cellStyle name="_DPF_Digital Product_VSA Roll-Up (LW) 2" xfId="0"/>
    <cellStyle name="_DPF_Digital Product_VSA Roll-Up (LW) 3" xfId="0"/>
    <cellStyle name="_DPF_Digital Product_VSA Roll-Up (LW) 4" xfId="0"/>
    <cellStyle name="_DPF_Digital Product_VSA Roll-Up (LW) 4 2" xfId="0"/>
    <cellStyle name="_DPF_Digital Product_VSA Roll-Up (LW)_By Region" xfId="0"/>
    <cellStyle name="_DPF_Digital Product_VSA Roll-Up (LW)_CORP SG&amp;A" xfId="0"/>
    <cellStyle name="_DPF_Digital Product_VSA Roll-Up (LW)_LCD" xfId="0"/>
    <cellStyle name="_DPF_Digital Product_VSA Roll-Up (LW)_PJ" xfId="0"/>
    <cellStyle name="_DPF_Digital Signage" xfId="0"/>
    <cellStyle name="_DPF_Digital Signage 2" xfId="0"/>
    <cellStyle name="_DPF_Digital Signage 3" xfId="0"/>
    <cellStyle name="_DPF_Digital Signage 4" xfId="0"/>
    <cellStyle name="_DPF_Digital Signage_By Region" xfId="0"/>
    <cellStyle name="_DPF_Digital Signage_CORP SG&amp;A" xfId="0"/>
    <cellStyle name="_DPF_Digital Signage_Digitizer" xfId="0"/>
    <cellStyle name="_DPF_Digital Signage_GPS OTHER" xfId="0"/>
    <cellStyle name="_DPF_Digital Signage_GPS OTHER 2" xfId="0"/>
    <cellStyle name="_DPF_Digital Signage_GPS OTHER 3" xfId="0"/>
    <cellStyle name="_DPF_Digital Signage_GPS OTHER 4" xfId="0"/>
    <cellStyle name="_DPF_Digital Signage_GPS OTHER 4 2" xfId="0"/>
    <cellStyle name="_DPF_Digital Signage_GPS OTHER_By Region" xfId="0"/>
    <cellStyle name="_DPF_Digital Signage_GPS OTHER_CORP SG&amp;A" xfId="0"/>
    <cellStyle name="_DPF_Digital Signage_GPS OTHER_LCD" xfId="0"/>
    <cellStyle name="_DPF_Digital Signage_GPS OTHER_PJ" xfId="0"/>
    <cellStyle name="_DPF_Digital Signage_LCD" xfId="0"/>
    <cellStyle name="_DPF_Digital Signage_LCD 2" xfId="0"/>
    <cellStyle name="_DPF_Digital Signage_LCD 3" xfId="0"/>
    <cellStyle name="_DPF_Digital Signage_LCD 4" xfId="0"/>
    <cellStyle name="_DPF_Digital Signage_LCD_By Region" xfId="0"/>
    <cellStyle name="_DPF_Digital Signage_LCD_CORP SG&amp;A" xfId="0"/>
    <cellStyle name="_DPF_Digital Signage_LCD_LCD" xfId="0"/>
    <cellStyle name="_DPF_Digital Signage_LCD_PJ" xfId="0"/>
    <cellStyle name="_DPF_Digital Signage_lightling" xfId="0"/>
    <cellStyle name="_DPF_Digital Signage_lightling 2" xfId="0"/>
    <cellStyle name="_DPF_Digital Signage_lightling_By Region" xfId="0"/>
    <cellStyle name="_DPF_Digital Signage_lightling_CORP SG&amp;A" xfId="0"/>
    <cellStyle name="_DPF_Digital Signage_PC Products" xfId="0"/>
    <cellStyle name="_DPF_Digital Signage_PC Products 2" xfId="0"/>
    <cellStyle name="_DPF_Digital Signage_PC Products 3" xfId="0"/>
    <cellStyle name="_DPF_Digital Signage_PC Products 4" xfId="0"/>
    <cellStyle name="_DPF_Digital Signage_PC Products 4 2" xfId="0"/>
    <cellStyle name="_DPF_Digital Signage_PC Products_By Region" xfId="0"/>
    <cellStyle name="_DPF_Digital Signage_PC Products_CORP SG&amp;A" xfId="0"/>
    <cellStyle name="_DPF_Digital Signage_PC Products_LCD" xfId="0"/>
    <cellStyle name="_DPF_Digital Signage_PC Products_PJ" xfId="0"/>
    <cellStyle name="_DPF_Digital Signage_VSA 111014" xfId="0"/>
    <cellStyle name="_DPF_Digital Signage_VSA 111014 2" xfId="0"/>
    <cellStyle name="_DPF_Digital Signage_VSA 111014 3" xfId="0"/>
    <cellStyle name="_DPF_Digital Signage_VSA 111014 4" xfId="0"/>
    <cellStyle name="_DPF_Digital Signage_VSA 111014 4 2" xfId="0"/>
    <cellStyle name="_DPF_Digital Signage_VSA 111014_By Region" xfId="0"/>
    <cellStyle name="_DPF_Digital Signage_VSA 111014_CORP SG&amp;A" xfId="0"/>
    <cellStyle name="_DPF_Digital Signage_VSA 111014_LCD" xfId="0"/>
    <cellStyle name="_DPF_Digital Signage_VSA 111014_PJ" xfId="0"/>
    <cellStyle name="_DPF_Digital Signage_VSA Roll-Up (LW)" xfId="0"/>
    <cellStyle name="_DPF_Digital Signage_VSA Roll-Up (LW) 2" xfId="0"/>
    <cellStyle name="_DPF_Digital Signage_VSA Roll-Up (LW) 3" xfId="0"/>
    <cellStyle name="_DPF_Digital Signage_VSA Roll-Up (LW) 4" xfId="0"/>
    <cellStyle name="_DPF_Digital Signage_VSA Roll-Up (LW) 4 2" xfId="0"/>
    <cellStyle name="_DPF_Digital Signage_VSA Roll-Up (LW)_By Region" xfId="0"/>
    <cellStyle name="_DPF_Digital Signage_VSA Roll-Up (LW)_CORP SG&amp;A" xfId="0"/>
    <cellStyle name="_DPF_Digital Signage_VSA Roll-Up (LW)_LCD" xfId="0"/>
    <cellStyle name="_DPF_Digital Signage_VSA Roll-Up (LW)_PJ" xfId="0"/>
    <cellStyle name="_DPF_Digitizer" xfId="0"/>
    <cellStyle name="_DPF_DMA(VMP)" xfId="0"/>
    <cellStyle name="_DPF_DMA(VMP) 2" xfId="0"/>
    <cellStyle name="_DPF_DMA(VMP) 3" xfId="0"/>
    <cellStyle name="_DPF_DMA(VMP) 4" xfId="0"/>
    <cellStyle name="_DPF_DMA(VMP)_By Region" xfId="0"/>
    <cellStyle name="_DPF_DMA(VMP)_CORP SG&amp;A" xfId="0"/>
    <cellStyle name="_DPF_DMA(VMP)_Digitizer" xfId="0"/>
    <cellStyle name="_DPF_DMA(VMP)_GPS OTHER" xfId="0"/>
    <cellStyle name="_DPF_DMA(VMP)_GPS OTHER 2" xfId="0"/>
    <cellStyle name="_DPF_DMA(VMP)_GPS OTHER 3" xfId="0"/>
    <cellStyle name="_DPF_DMA(VMP)_GPS OTHER 4" xfId="0"/>
    <cellStyle name="_DPF_DMA(VMP)_GPS OTHER 4 2" xfId="0"/>
    <cellStyle name="_DPF_DMA(VMP)_GPS OTHER_By Region" xfId="0"/>
    <cellStyle name="_DPF_DMA(VMP)_GPS OTHER_CORP SG&amp;A" xfId="0"/>
    <cellStyle name="_DPF_DMA(VMP)_GPS OTHER_LCD" xfId="0"/>
    <cellStyle name="_DPF_DMA(VMP)_GPS OTHER_PJ" xfId="0"/>
    <cellStyle name="_DPF_DMA(VMP)_LCD" xfId="0"/>
    <cellStyle name="_DPF_DMA(VMP)_LCD 2" xfId="0"/>
    <cellStyle name="_DPF_DMA(VMP)_LCD 3" xfId="0"/>
    <cellStyle name="_DPF_DMA(VMP)_LCD 4" xfId="0"/>
    <cellStyle name="_DPF_DMA(VMP)_LCD_By Region" xfId="0"/>
    <cellStyle name="_DPF_DMA(VMP)_LCD_CORP SG&amp;A" xfId="0"/>
    <cellStyle name="_DPF_DMA(VMP)_LCD_LCD" xfId="0"/>
    <cellStyle name="_DPF_DMA(VMP)_LCD_PJ" xfId="0"/>
    <cellStyle name="_DPF_DMA(VMP)_lightling" xfId="0"/>
    <cellStyle name="_DPF_DMA(VMP)_lightling 2" xfId="0"/>
    <cellStyle name="_DPF_DMA(VMP)_lightling_By Region" xfId="0"/>
    <cellStyle name="_DPF_DMA(VMP)_lightling_CORP SG&amp;A" xfId="0"/>
    <cellStyle name="_DPF_DMA(VMP)_PC Products" xfId="0"/>
    <cellStyle name="_DPF_DMA(VMP)_PC Products 2" xfId="0"/>
    <cellStyle name="_DPF_DMA(VMP)_PC Products 3" xfId="0"/>
    <cellStyle name="_DPF_DMA(VMP)_PC Products 4" xfId="0"/>
    <cellStyle name="_DPF_DMA(VMP)_PC Products 4 2" xfId="0"/>
    <cellStyle name="_DPF_DMA(VMP)_PC Products_By Region" xfId="0"/>
    <cellStyle name="_DPF_DMA(VMP)_PC Products_CORP SG&amp;A" xfId="0"/>
    <cellStyle name="_DPF_DMA(VMP)_PC Products_LCD" xfId="0"/>
    <cellStyle name="_DPF_DMA(VMP)_PC Products_PJ" xfId="0"/>
    <cellStyle name="_DPF_DMA(VMP)_VSA 111014" xfId="0"/>
    <cellStyle name="_DPF_DMA(VMP)_VSA 111014 2" xfId="0"/>
    <cellStyle name="_DPF_DMA(VMP)_VSA 111014 3" xfId="0"/>
    <cellStyle name="_DPF_DMA(VMP)_VSA 111014 4" xfId="0"/>
    <cellStyle name="_DPF_DMA(VMP)_VSA 111014 4 2" xfId="0"/>
    <cellStyle name="_DPF_DMA(VMP)_VSA 111014_By Region" xfId="0"/>
    <cellStyle name="_DPF_DMA(VMP)_VSA 111014_CORP SG&amp;A" xfId="0"/>
    <cellStyle name="_DPF_DMA(VMP)_VSA 111014_LCD" xfId="0"/>
    <cellStyle name="_DPF_DMA(VMP)_VSA 111014_PJ" xfId="0"/>
    <cellStyle name="_DPF_DMA(VMP)_VSA Roll-Up (LW)" xfId="0"/>
    <cellStyle name="_DPF_DMA(VMP)_VSA Roll-Up (LW) 2" xfId="0"/>
    <cellStyle name="_DPF_DMA(VMP)_VSA Roll-Up (LW) 3" xfId="0"/>
    <cellStyle name="_DPF_DMA(VMP)_VSA Roll-Up (LW) 4" xfId="0"/>
    <cellStyle name="_DPF_DMA(VMP)_VSA Roll-Up (LW) 4 2" xfId="0"/>
    <cellStyle name="_DPF_DMA(VMP)_VSA Roll-Up (LW)_By Region" xfId="0"/>
    <cellStyle name="_DPF_DMA(VMP)_VSA Roll-Up (LW)_CORP SG&amp;A" xfId="0"/>
    <cellStyle name="_DPF_DMA(VMP)_VSA Roll-Up (LW)_LCD" xfId="0"/>
    <cellStyle name="_DPF_DMA(VMP)_VSA Roll-Up (LW)_PJ" xfId="0"/>
    <cellStyle name="_DPF_DPF" xfId="0"/>
    <cellStyle name="_DPF_DPF 2" xfId="0"/>
    <cellStyle name="_DPF_DPF 3" xfId="0"/>
    <cellStyle name="_DPF_DPF 4" xfId="0"/>
    <cellStyle name="_DPF_DPF_By Region" xfId="0"/>
    <cellStyle name="_DPF_DPF_CORP SG&amp;A" xfId="0"/>
    <cellStyle name="_DPF_DPF_Digitizer" xfId="0"/>
    <cellStyle name="_DPF_DPF_GPS OTHER" xfId="0"/>
    <cellStyle name="_DPF_DPF_GPS OTHER 2" xfId="0"/>
    <cellStyle name="_DPF_DPF_GPS OTHER 3" xfId="0"/>
    <cellStyle name="_DPF_DPF_GPS OTHER 4" xfId="0"/>
    <cellStyle name="_DPF_DPF_GPS OTHER 4 2" xfId="0"/>
    <cellStyle name="_DPF_DPF_GPS OTHER_By Region" xfId="0"/>
    <cellStyle name="_DPF_DPF_GPS OTHER_CORP SG&amp;A" xfId="0"/>
    <cellStyle name="_DPF_DPF_GPS OTHER_LCD" xfId="0"/>
    <cellStyle name="_DPF_DPF_GPS OTHER_PJ" xfId="0"/>
    <cellStyle name="_DPF_DPF_LCD" xfId="0"/>
    <cellStyle name="_DPF_DPF_LCD 2" xfId="0"/>
    <cellStyle name="_DPF_DPF_LCD 3" xfId="0"/>
    <cellStyle name="_DPF_DPF_LCD 4" xfId="0"/>
    <cellStyle name="_DPF_DPF_LCD_By Region" xfId="0"/>
    <cellStyle name="_DPF_DPF_LCD_CORP SG&amp;A" xfId="0"/>
    <cellStyle name="_DPF_DPF_LCD_LCD" xfId="0"/>
    <cellStyle name="_DPF_DPF_LCD_PJ" xfId="0"/>
    <cellStyle name="_DPF_DPF_lightling" xfId="0"/>
    <cellStyle name="_DPF_DPF_lightling 2" xfId="0"/>
    <cellStyle name="_DPF_DPF_lightling_By Region" xfId="0"/>
    <cellStyle name="_DPF_DPF_lightling_CORP SG&amp;A" xfId="0"/>
    <cellStyle name="_DPF_DPF_PC Products" xfId="0"/>
    <cellStyle name="_DPF_DPF_PC Products 2" xfId="0"/>
    <cellStyle name="_DPF_DPF_PC Products 3" xfId="0"/>
    <cellStyle name="_DPF_DPF_PC Products 4" xfId="0"/>
    <cellStyle name="_DPF_DPF_PC Products 4 2" xfId="0"/>
    <cellStyle name="_DPF_DPF_PC Products_By Region" xfId="0"/>
    <cellStyle name="_DPF_DPF_PC Products_CORP SG&amp;A" xfId="0"/>
    <cellStyle name="_DPF_DPF_PC Products_LCD" xfId="0"/>
    <cellStyle name="_DPF_DPF_PC Products_PJ" xfId="0"/>
    <cellStyle name="_DPF_DPF_VSA 111014" xfId="0"/>
    <cellStyle name="_DPF_DPF_VSA 111014 2" xfId="0"/>
    <cellStyle name="_DPF_DPF_VSA 111014 3" xfId="0"/>
    <cellStyle name="_DPF_DPF_VSA 111014 4" xfId="0"/>
    <cellStyle name="_DPF_DPF_VSA 111014 4 2" xfId="0"/>
    <cellStyle name="_DPF_DPF_VSA 111014_By Region" xfId="0"/>
    <cellStyle name="_DPF_DPF_VSA 111014_CORP SG&amp;A" xfId="0"/>
    <cellStyle name="_DPF_DPF_VSA 111014_LCD" xfId="0"/>
    <cellStyle name="_DPF_DPF_VSA 111014_PJ" xfId="0"/>
    <cellStyle name="_DPF_DPF_VSA Roll-Up (LW)" xfId="0"/>
    <cellStyle name="_DPF_DPF_VSA Roll-Up (LW) 2" xfId="0"/>
    <cellStyle name="_DPF_DPF_VSA Roll-Up (LW) 3" xfId="0"/>
    <cellStyle name="_DPF_DPF_VSA Roll-Up (LW) 4" xfId="0"/>
    <cellStyle name="_DPF_DPF_VSA Roll-Up (LW) 4 2" xfId="0"/>
    <cellStyle name="_DPF_DPF_VSA Roll-Up (LW)_By Region" xfId="0"/>
    <cellStyle name="_DPF_DPF_VSA Roll-Up (LW)_CORP SG&amp;A" xfId="0"/>
    <cellStyle name="_DPF_DPF_VSA Roll-Up (LW)_LCD" xfId="0"/>
    <cellStyle name="_DPF_DPF_VSA Roll-Up (LW)_PJ" xfId="0"/>
    <cellStyle name="_DPF_DS" xfId="0"/>
    <cellStyle name="_DPF_DS 2" xfId="0"/>
    <cellStyle name="_DPF_DS 3" xfId="0"/>
    <cellStyle name="_DPF_DS 4" xfId="0"/>
    <cellStyle name="_DPF_DS_By Region" xfId="0"/>
    <cellStyle name="_DPF_DS_CORP SG&amp;A" xfId="0"/>
    <cellStyle name="_DPF_DS_Digitizer" xfId="0"/>
    <cellStyle name="_DPF_DS_GPS OTHER" xfId="0"/>
    <cellStyle name="_DPF_DS_GPS OTHER 2" xfId="0"/>
    <cellStyle name="_DPF_DS_GPS OTHER 3" xfId="0"/>
    <cellStyle name="_DPF_DS_GPS OTHER 4" xfId="0"/>
    <cellStyle name="_DPF_DS_GPS OTHER 4 2" xfId="0"/>
    <cellStyle name="_DPF_DS_GPS OTHER_By Region" xfId="0"/>
    <cellStyle name="_DPF_DS_GPS OTHER_CORP SG&amp;A" xfId="0"/>
    <cellStyle name="_DPF_DS_GPS OTHER_LCD" xfId="0"/>
    <cellStyle name="_DPF_DS_GPS OTHER_PJ" xfId="0"/>
    <cellStyle name="_DPF_DS_LCD" xfId="0"/>
    <cellStyle name="_DPF_DS_LCD 2" xfId="0"/>
    <cellStyle name="_DPF_DS_LCD 3" xfId="0"/>
    <cellStyle name="_DPF_DS_LCD 4" xfId="0"/>
    <cellStyle name="_DPF_DS_LCD_By Region" xfId="0"/>
    <cellStyle name="_DPF_DS_LCD_CORP SG&amp;A" xfId="0"/>
    <cellStyle name="_DPF_DS_LCD_LCD" xfId="0"/>
    <cellStyle name="_DPF_DS_LCD_PJ" xfId="0"/>
    <cellStyle name="_DPF_DS_lightling" xfId="0"/>
    <cellStyle name="_DPF_DS_lightling 2" xfId="0"/>
    <cellStyle name="_DPF_DS_lightling_By Region" xfId="0"/>
    <cellStyle name="_DPF_DS_lightling_CORP SG&amp;A" xfId="0"/>
    <cellStyle name="_DPF_DS_PC Products" xfId="0"/>
    <cellStyle name="_DPF_DS_PC Products 2" xfId="0"/>
    <cellStyle name="_DPF_DS_PC Products 3" xfId="0"/>
    <cellStyle name="_DPF_DS_PC Products 4" xfId="0"/>
    <cellStyle name="_DPF_DS_PC Products 4 2" xfId="0"/>
    <cellStyle name="_DPF_DS_PC Products_By Region" xfId="0"/>
    <cellStyle name="_DPF_DS_PC Products_CORP SG&amp;A" xfId="0"/>
    <cellStyle name="_DPF_DS_PC Products_LCD" xfId="0"/>
    <cellStyle name="_DPF_DS_PC Products_PJ" xfId="0"/>
    <cellStyle name="_DPF_DS_VSA 111014" xfId="0"/>
    <cellStyle name="_DPF_DS_VSA 111014 2" xfId="0"/>
    <cellStyle name="_DPF_DS_VSA 111014 3" xfId="0"/>
    <cellStyle name="_DPF_DS_VSA 111014 4" xfId="0"/>
    <cellStyle name="_DPF_DS_VSA 111014 4 2" xfId="0"/>
    <cellStyle name="_DPF_DS_VSA 111014_By Region" xfId="0"/>
    <cellStyle name="_DPF_DS_VSA 111014_CORP SG&amp;A" xfId="0"/>
    <cellStyle name="_DPF_DS_VSA 111014_LCD" xfId="0"/>
    <cellStyle name="_DPF_DS_VSA 111014_PJ" xfId="0"/>
    <cellStyle name="_DPF_DS_VSA Roll-Up (LW)" xfId="0"/>
    <cellStyle name="_DPF_DS_VSA Roll-Up (LW) 2" xfId="0"/>
    <cellStyle name="_DPF_DS_VSA Roll-Up (LW) 3" xfId="0"/>
    <cellStyle name="_DPF_DS_VSA Roll-Up (LW) 4" xfId="0"/>
    <cellStyle name="_DPF_DS_VSA Roll-Up (LW) 4 2" xfId="0"/>
    <cellStyle name="_DPF_DS_VSA Roll-Up (LW)_By Region" xfId="0"/>
    <cellStyle name="_DPF_DS_VSA Roll-Up (LW)_CORP SG&amp;A" xfId="0"/>
    <cellStyle name="_DPF_DS_VSA Roll-Up (LW)_LCD" xfId="0"/>
    <cellStyle name="_DPF_DS_VSA Roll-Up (LW)_PJ" xfId="0"/>
    <cellStyle name="_DPF_DVD_TV" xfId="0"/>
    <cellStyle name="_DPF_DVD_TV 2" xfId="0"/>
    <cellStyle name="_DPF_DVD_TV 3" xfId="0"/>
    <cellStyle name="_DPF_DVD_TV 4" xfId="0"/>
    <cellStyle name="_DPF_DVD_TV_By Region" xfId="0"/>
    <cellStyle name="_DPF_DVD_TV_CORP SG&amp;A" xfId="0"/>
    <cellStyle name="_DPF_DVD_TV_Digitizer" xfId="0"/>
    <cellStyle name="_DPF_DVD_TV_GPS OTHER" xfId="0"/>
    <cellStyle name="_DPF_DVD_TV_GPS OTHER 2" xfId="0"/>
    <cellStyle name="_DPF_DVD_TV_GPS OTHER 3" xfId="0"/>
    <cellStyle name="_DPF_DVD_TV_GPS OTHER 4" xfId="0"/>
    <cellStyle name="_DPF_DVD_TV_GPS OTHER 4 2" xfId="0"/>
    <cellStyle name="_DPF_DVD_TV_GPS OTHER_By Region" xfId="0"/>
    <cellStyle name="_DPF_DVD_TV_GPS OTHER_CORP SG&amp;A" xfId="0"/>
    <cellStyle name="_DPF_DVD_TV_GPS OTHER_LCD" xfId="0"/>
    <cellStyle name="_DPF_DVD_TV_GPS OTHER_PJ" xfId="0"/>
    <cellStyle name="_DPF_DVD_TV_LCD" xfId="0"/>
    <cellStyle name="_DPF_DVD_TV_LCD 2" xfId="0"/>
    <cellStyle name="_DPF_DVD_TV_LCD 3" xfId="0"/>
    <cellStyle name="_DPF_DVD_TV_LCD 4" xfId="0"/>
    <cellStyle name="_DPF_DVD_TV_LCD_By Region" xfId="0"/>
    <cellStyle name="_DPF_DVD_TV_LCD_CORP SG&amp;A" xfId="0"/>
    <cellStyle name="_DPF_DVD_TV_LCD_LCD" xfId="0"/>
    <cellStyle name="_DPF_DVD_TV_LCD_PJ" xfId="0"/>
    <cellStyle name="_DPF_DVD_TV_lightling" xfId="0"/>
    <cellStyle name="_DPF_DVD_TV_lightling 2" xfId="0"/>
    <cellStyle name="_DPF_DVD_TV_lightling_By Region" xfId="0"/>
    <cellStyle name="_DPF_DVD_TV_lightling_CORP SG&amp;A" xfId="0"/>
    <cellStyle name="_DPF_DVD_TV_PC Products" xfId="0"/>
    <cellStyle name="_DPF_DVD_TV_PC Products 2" xfId="0"/>
    <cellStyle name="_DPF_DVD_TV_PC Products 3" xfId="0"/>
    <cellStyle name="_DPF_DVD_TV_PC Products 4" xfId="0"/>
    <cellStyle name="_DPF_DVD_TV_PC Products 4 2" xfId="0"/>
    <cellStyle name="_DPF_DVD_TV_PC Products_By Region" xfId="0"/>
    <cellStyle name="_DPF_DVD_TV_PC Products_CORP SG&amp;A" xfId="0"/>
    <cellStyle name="_DPF_DVD_TV_PC Products_LCD" xfId="0"/>
    <cellStyle name="_DPF_DVD_TV_PC Products_PJ" xfId="0"/>
    <cellStyle name="_DPF_DVD_TV_VSA 111014" xfId="0"/>
    <cellStyle name="_DPF_DVD_TV_VSA 111014 2" xfId="0"/>
    <cellStyle name="_DPF_DVD_TV_VSA 111014 3" xfId="0"/>
    <cellStyle name="_DPF_DVD_TV_VSA 111014 4" xfId="0"/>
    <cellStyle name="_DPF_DVD_TV_VSA 111014 4 2" xfId="0"/>
    <cellStyle name="_DPF_DVD_TV_VSA 111014_By Region" xfId="0"/>
    <cellStyle name="_DPF_DVD_TV_VSA 111014_CORP SG&amp;A" xfId="0"/>
    <cellStyle name="_DPF_DVD_TV_VSA 111014_LCD" xfId="0"/>
    <cellStyle name="_DPF_DVD_TV_VSA 111014_PJ" xfId="0"/>
    <cellStyle name="_DPF_DVD_TV_VSA Roll-Up (LW)" xfId="0"/>
    <cellStyle name="_DPF_DVD_TV_VSA Roll-Up (LW) 2" xfId="0"/>
    <cellStyle name="_DPF_DVD_TV_VSA Roll-Up (LW) 3" xfId="0"/>
    <cellStyle name="_DPF_DVD_TV_VSA Roll-Up (LW) 4" xfId="0"/>
    <cellStyle name="_DPF_DVD_TV_VSA Roll-Up (LW) 4 2" xfId="0"/>
    <cellStyle name="_DPF_DVD_TV_VSA Roll-Up (LW)_By Region" xfId="0"/>
    <cellStyle name="_DPF_DVD_TV_VSA Roll-Up (LW)_CORP SG&amp;A" xfId="0"/>
    <cellStyle name="_DPF_DVD_TV_VSA Roll-Up (LW)_LCD" xfId="0"/>
    <cellStyle name="_DPF_DVD_TV_VSA Roll-Up (LW)_PJ" xfId="0"/>
    <cellStyle name="_DPF_GPS OTHER" xfId="0"/>
    <cellStyle name="_DPF_GPS OTHER 2" xfId="0"/>
    <cellStyle name="_DPF_GPS OTHER 3" xfId="0"/>
    <cellStyle name="_DPF_GPS OTHER 4" xfId="0"/>
    <cellStyle name="_DPF_GPS OTHER 4 2" xfId="0"/>
    <cellStyle name="_DPF_GPS OTHER_By Region" xfId="0"/>
    <cellStyle name="_DPF_GPS OTHER_CORP SG&amp;A" xfId="0"/>
    <cellStyle name="_DPF_GPS OTHER_LCD" xfId="0"/>
    <cellStyle name="_DPF_GPS OTHER_PJ" xfId="0"/>
    <cellStyle name="_DPF_LCD" xfId="0"/>
    <cellStyle name="_DPF_LCD 2" xfId="0"/>
    <cellStyle name="_DPF_LCD 3" xfId="0"/>
    <cellStyle name="_DPF_LCD 4" xfId="0"/>
    <cellStyle name="_DPF_LCD_1" xfId="0"/>
    <cellStyle name="_DPF_LCD_1 2" xfId="0"/>
    <cellStyle name="_DPF_LCD_1 3" xfId="0"/>
    <cellStyle name="_DPF_LCD_1 4" xfId="0"/>
    <cellStyle name="_DPF_LCD_1_By Region" xfId="0"/>
    <cellStyle name="_DPF_LCD_1_CORP SG&amp;A" xfId="0"/>
    <cellStyle name="_DPF_LCD_1_LCD" xfId="0"/>
    <cellStyle name="_DPF_LCD_1_PJ" xfId="0"/>
    <cellStyle name="_DPF_LCD_By Region" xfId="0"/>
    <cellStyle name="_DPF_LCD_CORP SG&amp;A" xfId="0"/>
    <cellStyle name="_DPF_LCD_Digitizer" xfId="0"/>
    <cellStyle name="_DPF_LCD_GPS OTHER" xfId="0"/>
    <cellStyle name="_DPF_LCD_GPS OTHER 2" xfId="0"/>
    <cellStyle name="_DPF_LCD_GPS OTHER 3" xfId="0"/>
    <cellStyle name="_DPF_LCD_GPS OTHER 4" xfId="0"/>
    <cellStyle name="_DPF_LCD_GPS OTHER 4 2" xfId="0"/>
    <cellStyle name="_DPF_LCD_GPS OTHER_By Region" xfId="0"/>
    <cellStyle name="_DPF_LCD_GPS OTHER_CORP SG&amp;A" xfId="0"/>
    <cellStyle name="_DPF_LCD_GPS OTHER_LCD" xfId="0"/>
    <cellStyle name="_DPF_LCD_GPS OTHER_PJ" xfId="0"/>
    <cellStyle name="_DPF_LCD_LCD" xfId="0"/>
    <cellStyle name="_DPF_LCD_LCD 2" xfId="0"/>
    <cellStyle name="_DPF_LCD_LCD 3" xfId="0"/>
    <cellStyle name="_DPF_LCD_LCD 4" xfId="0"/>
    <cellStyle name="_DPF_LCD_LCD_By Region" xfId="0"/>
    <cellStyle name="_DPF_LCD_LCD_CORP SG&amp;A" xfId="0"/>
    <cellStyle name="_DPF_LCD_LCD_LCD" xfId="0"/>
    <cellStyle name="_DPF_LCD_LCD_PJ" xfId="0"/>
    <cellStyle name="_DPF_LCD_lightling" xfId="0"/>
    <cellStyle name="_DPF_LCD_lightling 2" xfId="0"/>
    <cellStyle name="_DPF_LCD_lightling_By Region" xfId="0"/>
    <cellStyle name="_DPF_LCD_lightling_CORP SG&amp;A" xfId="0"/>
    <cellStyle name="_DPF_LCD_PC Products" xfId="0"/>
    <cellStyle name="_DPF_LCD_PC Products 2" xfId="0"/>
    <cellStyle name="_DPF_LCD_PC Products 3" xfId="0"/>
    <cellStyle name="_DPF_LCD_PC Products 4" xfId="0"/>
    <cellStyle name="_DPF_LCD_PC Products 4 2" xfId="0"/>
    <cellStyle name="_DPF_LCD_PC Products_By Region" xfId="0"/>
    <cellStyle name="_DPF_LCD_PC Products_CORP SG&amp;A" xfId="0"/>
    <cellStyle name="_DPF_LCD_PC Products_LCD" xfId="0"/>
    <cellStyle name="_DPF_LCD_PC Products_PJ" xfId="0"/>
    <cellStyle name="_DPF_LCD_VSA 111014" xfId="0"/>
    <cellStyle name="_DPF_LCD_VSA 111014 2" xfId="0"/>
    <cellStyle name="_DPF_LCD_VSA 111014 3" xfId="0"/>
    <cellStyle name="_DPF_LCD_VSA 111014 4" xfId="0"/>
    <cellStyle name="_DPF_LCD_VSA 111014 4 2" xfId="0"/>
    <cellStyle name="_DPF_LCD_VSA 111014_By Region" xfId="0"/>
    <cellStyle name="_DPF_LCD_VSA 111014_CORP SG&amp;A" xfId="0"/>
    <cellStyle name="_DPF_LCD_VSA 111014_LCD" xfId="0"/>
    <cellStyle name="_DPF_LCD_VSA 111014_PJ" xfId="0"/>
    <cellStyle name="_DPF_LCD_VSA Roll-Up (LW)" xfId="0"/>
    <cellStyle name="_DPF_LCD_VSA Roll-Up (LW) 2" xfId="0"/>
    <cellStyle name="_DPF_LCD_VSA Roll-Up (LW) 3" xfId="0"/>
    <cellStyle name="_DPF_LCD_VSA Roll-Up (LW) 4" xfId="0"/>
    <cellStyle name="_DPF_LCD_VSA Roll-Up (LW) 4 2" xfId="0"/>
    <cellStyle name="_DPF_LCD_VSA Roll-Up (LW)_By Region" xfId="0"/>
    <cellStyle name="_DPF_LCD_VSA Roll-Up (LW)_CORP SG&amp;A" xfId="0"/>
    <cellStyle name="_DPF_LCD_VSA Roll-Up (LW)_LCD" xfId="0"/>
    <cellStyle name="_DPF_LCD_VSA Roll-Up (LW)_PJ" xfId="0"/>
    <cellStyle name="_DPF_LCDTV" xfId="0"/>
    <cellStyle name="_DPF_LCDTV 2" xfId="0"/>
    <cellStyle name="_DPF_LCDTV 3" xfId="0"/>
    <cellStyle name="_DPF_LCDTV 4" xfId="0"/>
    <cellStyle name="_DPF_LCDTV_By Region" xfId="0"/>
    <cellStyle name="_DPF_LCDTV_CORP SG&amp;A" xfId="0"/>
    <cellStyle name="_DPF_LCDTV_Digitizer" xfId="0"/>
    <cellStyle name="_DPF_LCDTV_GPS OTHER" xfId="0"/>
    <cellStyle name="_DPF_LCDTV_GPS OTHER 2" xfId="0"/>
    <cellStyle name="_DPF_LCDTV_GPS OTHER 3" xfId="0"/>
    <cellStyle name="_DPF_LCDTV_GPS OTHER 4" xfId="0"/>
    <cellStyle name="_DPF_LCDTV_GPS OTHER 4 2" xfId="0"/>
    <cellStyle name="_DPF_LCDTV_GPS OTHER_By Region" xfId="0"/>
    <cellStyle name="_DPF_LCDTV_GPS OTHER_CORP SG&amp;A" xfId="0"/>
    <cellStyle name="_DPF_LCDTV_GPS OTHER_LCD" xfId="0"/>
    <cellStyle name="_DPF_LCDTV_GPS OTHER_PJ" xfId="0"/>
    <cellStyle name="_DPF_LCDTV_LCD" xfId="0"/>
    <cellStyle name="_DPF_LCDTV_LCD 2" xfId="0"/>
    <cellStyle name="_DPF_LCDTV_LCD 3" xfId="0"/>
    <cellStyle name="_DPF_LCDTV_LCD 4" xfId="0"/>
    <cellStyle name="_DPF_LCDTV_LCD_By Region" xfId="0"/>
    <cellStyle name="_DPF_LCDTV_LCD_CORP SG&amp;A" xfId="0"/>
    <cellStyle name="_DPF_LCDTV_LCD_LCD" xfId="0"/>
    <cellStyle name="_DPF_LCDTV_LCD_PJ" xfId="0"/>
    <cellStyle name="_DPF_LCDTV_lightling" xfId="0"/>
    <cellStyle name="_DPF_LCDTV_lightling 2" xfId="0"/>
    <cellStyle name="_DPF_LCDTV_lightling_By Region" xfId="0"/>
    <cellStyle name="_DPF_LCDTV_lightling_CORP SG&amp;A" xfId="0"/>
    <cellStyle name="_DPF_LCDTV_PC Products" xfId="0"/>
    <cellStyle name="_DPF_LCDTV_PC Products 2" xfId="0"/>
    <cellStyle name="_DPF_LCDTV_PC Products 3" xfId="0"/>
    <cellStyle name="_DPF_LCDTV_PC Products 4" xfId="0"/>
    <cellStyle name="_DPF_LCDTV_PC Products 4 2" xfId="0"/>
    <cellStyle name="_DPF_LCDTV_PC Products_By Region" xfId="0"/>
    <cellStyle name="_DPF_LCDTV_PC Products_CORP SG&amp;A" xfId="0"/>
    <cellStyle name="_DPF_LCDTV_PC Products_LCD" xfId="0"/>
    <cellStyle name="_DPF_LCDTV_PC Products_PJ" xfId="0"/>
    <cellStyle name="_DPF_LCDTV_VSA 111014" xfId="0"/>
    <cellStyle name="_DPF_LCDTV_VSA 111014 2" xfId="0"/>
    <cellStyle name="_DPF_LCDTV_VSA 111014 3" xfId="0"/>
    <cellStyle name="_DPF_LCDTV_VSA 111014 4" xfId="0"/>
    <cellStyle name="_DPF_LCDTV_VSA 111014 4 2" xfId="0"/>
    <cellStyle name="_DPF_LCDTV_VSA 111014_By Region" xfId="0"/>
    <cellStyle name="_DPF_LCDTV_VSA 111014_CORP SG&amp;A" xfId="0"/>
    <cellStyle name="_DPF_LCDTV_VSA 111014_LCD" xfId="0"/>
    <cellStyle name="_DPF_LCDTV_VSA 111014_PJ" xfId="0"/>
    <cellStyle name="_DPF_LCDTV_VSA Roll-Up (LW)" xfId="0"/>
    <cellStyle name="_DPF_LCDTV_VSA Roll-Up (LW) 2" xfId="0"/>
    <cellStyle name="_DPF_LCDTV_VSA Roll-Up (LW) 3" xfId="0"/>
    <cellStyle name="_DPF_LCDTV_VSA Roll-Up (LW) 4" xfId="0"/>
    <cellStyle name="_DPF_LCDTV_VSA Roll-Up (LW) 4 2" xfId="0"/>
    <cellStyle name="_DPF_LCDTV_VSA Roll-Up (LW)_By Region" xfId="0"/>
    <cellStyle name="_DPF_LCDTV_VSA Roll-Up (LW)_CORP SG&amp;A" xfId="0"/>
    <cellStyle name="_DPF_LCDTV_VSA Roll-Up (LW)_LCD" xfId="0"/>
    <cellStyle name="_DPF_LCDTV_VSA Roll-Up (LW)_PJ" xfId="0"/>
    <cellStyle name="_DPF_lightling" xfId="0"/>
    <cellStyle name="_DPF_lightling 2" xfId="0"/>
    <cellStyle name="_DPF_lightling_By Region" xfId="0"/>
    <cellStyle name="_DPF_lightling_CORP SG&amp;A" xfId="0"/>
    <cellStyle name="_DPF_MNT" xfId="0"/>
    <cellStyle name="_DPF_MNT 2" xfId="0"/>
    <cellStyle name="_DPF_MNT 3" xfId="0"/>
    <cellStyle name="_DPF_MNT 4" xfId="0"/>
    <cellStyle name="_DPF_MNT_By Region" xfId="0"/>
    <cellStyle name="_DPF_MNT_CORP SG&amp;A" xfId="0"/>
    <cellStyle name="_DPF_MNT_Digitizer" xfId="0"/>
    <cellStyle name="_DPF_MNT_GPS OTHER" xfId="0"/>
    <cellStyle name="_DPF_MNT_GPS OTHER 2" xfId="0"/>
    <cellStyle name="_DPF_MNT_GPS OTHER 3" xfId="0"/>
    <cellStyle name="_DPF_MNT_GPS OTHER 4" xfId="0"/>
    <cellStyle name="_DPF_MNT_GPS OTHER 4 2" xfId="0"/>
    <cellStyle name="_DPF_MNT_GPS OTHER_By Region" xfId="0"/>
    <cellStyle name="_DPF_MNT_GPS OTHER_CORP SG&amp;A" xfId="0"/>
    <cellStyle name="_DPF_MNT_GPS OTHER_LCD" xfId="0"/>
    <cellStyle name="_DPF_MNT_GPS OTHER_PJ" xfId="0"/>
    <cellStyle name="_DPF_MNT_LCD" xfId="0"/>
    <cellStyle name="_DPF_MNT_LCD 2" xfId="0"/>
    <cellStyle name="_DPF_MNT_LCD 3" xfId="0"/>
    <cellStyle name="_DPF_MNT_LCD 4" xfId="0"/>
    <cellStyle name="_DPF_MNT_LCD_By Region" xfId="0"/>
    <cellStyle name="_DPF_MNT_LCD_CORP SG&amp;A" xfId="0"/>
    <cellStyle name="_DPF_MNT_LCD_LCD" xfId="0"/>
    <cellStyle name="_DPF_MNT_LCD_PJ" xfId="0"/>
    <cellStyle name="_DPF_MNT_lightling" xfId="0"/>
    <cellStyle name="_DPF_MNT_lightling 2" xfId="0"/>
    <cellStyle name="_DPF_MNT_lightling_By Region" xfId="0"/>
    <cellStyle name="_DPF_MNT_lightling_CORP SG&amp;A" xfId="0"/>
    <cellStyle name="_DPF_MNT_PC Products" xfId="0"/>
    <cellStyle name="_DPF_MNT_PC Products 2" xfId="0"/>
    <cellStyle name="_DPF_MNT_PC Products 3" xfId="0"/>
    <cellStyle name="_DPF_MNT_PC Products 4" xfId="0"/>
    <cellStyle name="_DPF_MNT_PC Products 4 2" xfId="0"/>
    <cellStyle name="_DPF_MNT_PC Products_By Region" xfId="0"/>
    <cellStyle name="_DPF_MNT_PC Products_CORP SG&amp;A" xfId="0"/>
    <cellStyle name="_DPF_MNT_PC Products_LCD" xfId="0"/>
    <cellStyle name="_DPF_MNT_PC Products_PJ" xfId="0"/>
    <cellStyle name="_DPF_MNT_VSA 111014" xfId="0"/>
    <cellStyle name="_DPF_MNT_VSA 111014 2" xfId="0"/>
    <cellStyle name="_DPF_MNT_VSA 111014 3" xfId="0"/>
    <cellStyle name="_DPF_MNT_VSA 111014 4" xfId="0"/>
    <cellStyle name="_DPF_MNT_VSA 111014 4 2" xfId="0"/>
    <cellStyle name="_DPF_MNT_VSA 111014_By Region" xfId="0"/>
    <cellStyle name="_DPF_MNT_VSA 111014_CORP SG&amp;A" xfId="0"/>
    <cellStyle name="_DPF_MNT_VSA 111014_LCD" xfId="0"/>
    <cellStyle name="_DPF_MNT_VSA 111014_PJ" xfId="0"/>
    <cellStyle name="_DPF_MNT_VSA Roll-Up (LW)" xfId="0"/>
    <cellStyle name="_DPF_MNT_VSA Roll-Up (LW) 2" xfId="0"/>
    <cellStyle name="_DPF_MNT_VSA Roll-Up (LW) 3" xfId="0"/>
    <cellStyle name="_DPF_MNT_VSA Roll-Up (LW) 4" xfId="0"/>
    <cellStyle name="_DPF_MNT_VSA Roll-Up (LW) 4 2" xfId="0"/>
    <cellStyle name="_DPF_MNT_VSA Roll-Up (LW)_By Region" xfId="0"/>
    <cellStyle name="_DPF_MNT_VSA Roll-Up (LW)_CORP SG&amp;A" xfId="0"/>
    <cellStyle name="_DPF_MNT_VSA Roll-Up (LW)_LCD" xfId="0"/>
    <cellStyle name="_DPF_MNT_VSA Roll-Up (LW)_PJ" xfId="0"/>
    <cellStyle name="_DPF_Other" xfId="0"/>
    <cellStyle name="_DPF_Other 2" xfId="0"/>
    <cellStyle name="_DPF_Other 3" xfId="0"/>
    <cellStyle name="_DPF_Other 4" xfId="0"/>
    <cellStyle name="_DPF_Other_By Region" xfId="0"/>
    <cellStyle name="_DPF_Other_CORP SG&amp;A" xfId="0"/>
    <cellStyle name="_DPF_Other_Digitizer" xfId="0"/>
    <cellStyle name="_DPF_Other_GPS OTHER" xfId="0"/>
    <cellStyle name="_DPF_Other_GPS OTHER 2" xfId="0"/>
    <cellStyle name="_DPF_Other_GPS OTHER 3" xfId="0"/>
    <cellStyle name="_DPF_Other_GPS OTHER 4" xfId="0"/>
    <cellStyle name="_DPF_Other_GPS OTHER 4 2" xfId="0"/>
    <cellStyle name="_DPF_Other_GPS OTHER_By Region" xfId="0"/>
    <cellStyle name="_DPF_Other_GPS OTHER_CORP SG&amp;A" xfId="0"/>
    <cellStyle name="_DPF_Other_GPS OTHER_LCD" xfId="0"/>
    <cellStyle name="_DPF_Other_GPS OTHER_PJ" xfId="0"/>
    <cellStyle name="_DPF_Other_LCD" xfId="0"/>
    <cellStyle name="_DPF_Other_LCD 2" xfId="0"/>
    <cellStyle name="_DPF_Other_LCD 3" xfId="0"/>
    <cellStyle name="_DPF_Other_LCD 4" xfId="0"/>
    <cellStyle name="_DPF_Other_LCD_By Region" xfId="0"/>
    <cellStyle name="_DPF_Other_LCD_CORP SG&amp;A" xfId="0"/>
    <cellStyle name="_DPF_Other_LCD_LCD" xfId="0"/>
    <cellStyle name="_DPF_Other_LCD_PJ" xfId="0"/>
    <cellStyle name="_DPF_Other_lightling" xfId="0"/>
    <cellStyle name="_DPF_Other_lightling 2" xfId="0"/>
    <cellStyle name="_DPF_Other_lightling_By Region" xfId="0"/>
    <cellStyle name="_DPF_Other_lightling_CORP SG&amp;A" xfId="0"/>
    <cellStyle name="_DPF_Other_PC Products" xfId="0"/>
    <cellStyle name="_DPF_Other_PC Products 2" xfId="0"/>
    <cellStyle name="_DPF_Other_PC Products 3" xfId="0"/>
    <cellStyle name="_DPF_Other_PC Products 4" xfId="0"/>
    <cellStyle name="_DPF_Other_PC Products 4 2" xfId="0"/>
    <cellStyle name="_DPF_Other_PC Products_By Region" xfId="0"/>
    <cellStyle name="_DPF_Other_PC Products_CORP SG&amp;A" xfId="0"/>
    <cellStyle name="_DPF_Other_PC Products_LCD" xfId="0"/>
    <cellStyle name="_DPF_Other_PC Products_PJ" xfId="0"/>
    <cellStyle name="_DPF_Other_VSA 111014" xfId="0"/>
    <cellStyle name="_DPF_Other_VSA 111014 2" xfId="0"/>
    <cellStyle name="_DPF_Other_VSA 111014 3" xfId="0"/>
    <cellStyle name="_DPF_Other_VSA 111014 4" xfId="0"/>
    <cellStyle name="_DPF_Other_VSA 111014 4 2" xfId="0"/>
    <cellStyle name="_DPF_Other_VSA 111014_By Region" xfId="0"/>
    <cellStyle name="_DPF_Other_VSA 111014_CORP SG&amp;A" xfId="0"/>
    <cellStyle name="_DPF_Other_VSA 111014_LCD" xfId="0"/>
    <cellStyle name="_DPF_Other_VSA 111014_PJ" xfId="0"/>
    <cellStyle name="_DPF_Other_VSA Roll-Up (LW)" xfId="0"/>
    <cellStyle name="_DPF_Other_VSA Roll-Up (LW) 2" xfId="0"/>
    <cellStyle name="_DPF_Other_VSA Roll-Up (LW) 3" xfId="0"/>
    <cellStyle name="_DPF_Other_VSA Roll-Up (LW) 4" xfId="0"/>
    <cellStyle name="_DPF_Other_VSA Roll-Up (LW) 4 2" xfId="0"/>
    <cellStyle name="_DPF_Other_VSA Roll-Up (LW)_By Region" xfId="0"/>
    <cellStyle name="_DPF_Other_VSA Roll-Up (LW)_CORP SG&amp;A" xfId="0"/>
    <cellStyle name="_DPF_Other_VSA Roll-Up (LW)_LCD" xfId="0"/>
    <cellStyle name="_DPF_Other_VSA Roll-Up (LW)_PJ" xfId="0"/>
    <cellStyle name="_DPF_PC" xfId="0"/>
    <cellStyle name="_DPF_PC 2" xfId="0"/>
    <cellStyle name="_DPF_PC 3" xfId="0"/>
    <cellStyle name="_DPF_PC 4" xfId="0"/>
    <cellStyle name="_DPF_PC Products" xfId="0"/>
    <cellStyle name="_DPF_PC Products 2" xfId="0"/>
    <cellStyle name="_DPF_PC Products 3" xfId="0"/>
    <cellStyle name="_DPF_PC Products 4" xfId="0"/>
    <cellStyle name="_DPF_PC Products 4 2" xfId="0"/>
    <cellStyle name="_DPF_PC Products_By Region" xfId="0"/>
    <cellStyle name="_DPF_PC Products_CORP SG&amp;A" xfId="0"/>
    <cellStyle name="_DPF_PC Products_LCD" xfId="0"/>
    <cellStyle name="_DPF_PC Products_PJ" xfId="0"/>
    <cellStyle name="_DPF_PC_By Region" xfId="0"/>
    <cellStyle name="_DPF_PC_CORP SG&amp;A" xfId="0"/>
    <cellStyle name="_DPF_PC_Digitizer" xfId="0"/>
    <cellStyle name="_DPF_PC_DT" xfId="0"/>
    <cellStyle name="_DPF_PC_DT 2" xfId="0"/>
    <cellStyle name="_DPF_PC_DT_By Region" xfId="0"/>
    <cellStyle name="_DPF_PC_DT_CORP SG&amp;A" xfId="0"/>
    <cellStyle name="_DPF_PC_GPS OTHER" xfId="0"/>
    <cellStyle name="_DPF_PC_GPS OTHER 2" xfId="0"/>
    <cellStyle name="_DPF_PC_GPS OTHER 3" xfId="0"/>
    <cellStyle name="_DPF_PC_GPS OTHER 4" xfId="0"/>
    <cellStyle name="_DPF_PC_GPS OTHER 4 2" xfId="0"/>
    <cellStyle name="_DPF_PC_GPS OTHER_By Region" xfId="0"/>
    <cellStyle name="_DPF_PC_GPS OTHER_CORP SG&amp;A" xfId="0"/>
    <cellStyle name="_DPF_PC_GPS OTHER_LCD" xfId="0"/>
    <cellStyle name="_DPF_PC_GPS OTHER_PJ" xfId="0"/>
    <cellStyle name="_DPF_PC_LCD" xfId="0"/>
    <cellStyle name="_DPF_PC_LCD 2" xfId="0"/>
    <cellStyle name="_DPF_PC_LCD 3" xfId="0"/>
    <cellStyle name="_DPF_PC_LCD 4" xfId="0"/>
    <cellStyle name="_DPF_PC_LCD_By Region" xfId="0"/>
    <cellStyle name="_DPF_PC_LCD_CORP SG&amp;A" xfId="0"/>
    <cellStyle name="_DPF_PC_LCD_LCD" xfId="0"/>
    <cellStyle name="_DPF_PC_LCD_PJ" xfId="0"/>
    <cellStyle name="_DPF_PC_lightling" xfId="0"/>
    <cellStyle name="_DPF_PC_lightling 2" xfId="0"/>
    <cellStyle name="_DPF_PC_lightling_By Region" xfId="0"/>
    <cellStyle name="_DPF_PC_lightling_CORP SG&amp;A" xfId="0"/>
    <cellStyle name="_DPF_PC_PC Products" xfId="0"/>
    <cellStyle name="_DPF_PC_PC Products 2" xfId="0"/>
    <cellStyle name="_DPF_PC_PC Products 3" xfId="0"/>
    <cellStyle name="_DPF_PC_PC Products 4" xfId="0"/>
    <cellStyle name="_DPF_PC_PC Products 4 2" xfId="0"/>
    <cellStyle name="_DPF_PC_PC Products_By Region" xfId="0"/>
    <cellStyle name="_DPF_PC_PC Products_CORP SG&amp;A" xfId="0"/>
    <cellStyle name="_DPF_PC_PC Products_LCD" xfId="0"/>
    <cellStyle name="_DPF_PC_PC Products_PJ" xfId="0"/>
    <cellStyle name="_DPF_PC_TV" xfId="0"/>
    <cellStyle name="_DPF_PC_TV 2" xfId="0"/>
    <cellStyle name="_DPF_PC_TV 3" xfId="0"/>
    <cellStyle name="_DPF_PC_TV 4" xfId="0"/>
    <cellStyle name="_DPF_PC_TV_By Region" xfId="0"/>
    <cellStyle name="_DPF_PC_TV_CORP SG&amp;A" xfId="0"/>
    <cellStyle name="_DPF_PC_TV_Digitizer" xfId="0"/>
    <cellStyle name="_DPF_PC_TV_GPS OTHER" xfId="0"/>
    <cellStyle name="_DPF_PC_TV_GPS OTHER 2" xfId="0"/>
    <cellStyle name="_DPF_PC_TV_GPS OTHER 3" xfId="0"/>
    <cellStyle name="_DPF_PC_TV_GPS OTHER 4" xfId="0"/>
    <cellStyle name="_DPF_PC_TV_GPS OTHER 4 2" xfId="0"/>
    <cellStyle name="_DPF_PC_TV_GPS OTHER_By Region" xfId="0"/>
    <cellStyle name="_DPF_PC_TV_GPS OTHER_CORP SG&amp;A" xfId="0"/>
    <cellStyle name="_DPF_PC_TV_GPS OTHER_LCD" xfId="0"/>
    <cellStyle name="_DPF_PC_TV_GPS OTHER_PJ" xfId="0"/>
    <cellStyle name="_DPF_PC_TV_LCD" xfId="0"/>
    <cellStyle name="_DPF_PC_TV_LCD 2" xfId="0"/>
    <cellStyle name="_DPF_PC_TV_LCD 3" xfId="0"/>
    <cellStyle name="_DPF_PC_TV_LCD 4" xfId="0"/>
    <cellStyle name="_DPF_PC_TV_LCD_By Region" xfId="0"/>
    <cellStyle name="_DPF_PC_TV_LCD_CORP SG&amp;A" xfId="0"/>
    <cellStyle name="_DPF_PC_TV_LCD_LCD" xfId="0"/>
    <cellStyle name="_DPF_PC_TV_LCD_PJ" xfId="0"/>
    <cellStyle name="_DPF_PC_TV_lightling" xfId="0"/>
    <cellStyle name="_DPF_PC_TV_lightling 2" xfId="0"/>
    <cellStyle name="_DPF_PC_TV_lightling_By Region" xfId="0"/>
    <cellStyle name="_DPF_PC_TV_lightling_CORP SG&amp;A" xfId="0"/>
    <cellStyle name="_DPF_PC_TV_PC Products" xfId="0"/>
    <cellStyle name="_DPF_PC_TV_PC Products 2" xfId="0"/>
    <cellStyle name="_DPF_PC_TV_PC Products 3" xfId="0"/>
    <cellStyle name="_DPF_PC_TV_PC Products 4" xfId="0"/>
    <cellStyle name="_DPF_PC_TV_PC Products 4 2" xfId="0"/>
    <cellStyle name="_DPF_PC_TV_PC Products_By Region" xfId="0"/>
    <cellStyle name="_DPF_PC_TV_PC Products_CORP SG&amp;A" xfId="0"/>
    <cellStyle name="_DPF_PC_TV_PC Products_LCD" xfId="0"/>
    <cellStyle name="_DPF_PC_TV_PC Products_PJ" xfId="0"/>
    <cellStyle name="_DPF_PC_TV_VSA 111014" xfId="0"/>
    <cellStyle name="_DPF_PC_TV_VSA 111014 2" xfId="0"/>
    <cellStyle name="_DPF_PC_TV_VSA 111014 3" xfId="0"/>
    <cellStyle name="_DPF_PC_TV_VSA 111014 4" xfId="0"/>
    <cellStyle name="_DPF_PC_TV_VSA 111014 4 2" xfId="0"/>
    <cellStyle name="_DPF_PC_TV_VSA 111014_By Region" xfId="0"/>
    <cellStyle name="_DPF_PC_TV_VSA 111014_CORP SG&amp;A" xfId="0"/>
    <cellStyle name="_DPF_PC_TV_VSA 111014_LCD" xfId="0"/>
    <cellStyle name="_DPF_PC_TV_VSA 111014_PJ" xfId="0"/>
    <cellStyle name="_DPF_PC_TV_VSA Roll-Up (LW)" xfId="0"/>
    <cellStyle name="_DPF_PC_TV_VSA Roll-Up (LW) 2" xfId="0"/>
    <cellStyle name="_DPF_PC_TV_VSA Roll-Up (LW) 3" xfId="0"/>
    <cellStyle name="_DPF_PC_TV_VSA Roll-Up (LW) 4" xfId="0"/>
    <cellStyle name="_DPF_PC_TV_VSA Roll-Up (LW) 4 2" xfId="0"/>
    <cellStyle name="_DPF_PC_TV_VSA Roll-Up (LW)_By Region" xfId="0"/>
    <cellStyle name="_DPF_PC_TV_VSA Roll-Up (LW)_CORP SG&amp;A" xfId="0"/>
    <cellStyle name="_DPF_PC_TV_VSA Roll-Up (LW)_LCD" xfId="0"/>
    <cellStyle name="_DPF_PC_TV_VSA Roll-Up (LW)_PJ" xfId="0"/>
    <cellStyle name="_DPF_PC_VSA 111014" xfId="0"/>
    <cellStyle name="_DPF_PC_VSA 111014 2" xfId="0"/>
    <cellStyle name="_DPF_PC_VSA 111014 3" xfId="0"/>
    <cellStyle name="_DPF_PC_VSA 111014 4" xfId="0"/>
    <cellStyle name="_DPF_PC_VSA 111014 4 2" xfId="0"/>
    <cellStyle name="_DPF_PC_VSA 111014_By Region" xfId="0"/>
    <cellStyle name="_DPF_PC_VSA 111014_CORP SG&amp;A" xfId="0"/>
    <cellStyle name="_DPF_PC_VSA 111014_LCD" xfId="0"/>
    <cellStyle name="_DPF_PC_VSA 111014_PJ" xfId="0"/>
    <cellStyle name="_DPF_PC_VSA Roll-Up (LW)" xfId="0"/>
    <cellStyle name="_DPF_PC_VSA Roll-Up (LW) 2" xfId="0"/>
    <cellStyle name="_DPF_PC_VSA Roll-Up (LW) 3" xfId="0"/>
    <cellStyle name="_DPF_PC_VSA Roll-Up (LW) 4" xfId="0"/>
    <cellStyle name="_DPF_PC_VSA Roll-Up (LW) 4 2" xfId="0"/>
    <cellStyle name="_DPF_PC_VSA Roll-Up (LW)_By Region" xfId="0"/>
    <cellStyle name="_DPF_PC_VSA Roll-Up (LW)_CORP SG&amp;A" xfId="0"/>
    <cellStyle name="_DPF_PC_VSA Roll-Up (LW)_LCD" xfId="0"/>
    <cellStyle name="_DPF_PC_VSA Roll-Up (LW)_PJ" xfId="0"/>
    <cellStyle name="_DPF_PJ" xfId="0"/>
    <cellStyle name="_DPF_PJ 2" xfId="0"/>
    <cellStyle name="_DPF_PJ 3" xfId="0"/>
    <cellStyle name="_DPF_PJ 4" xfId="0"/>
    <cellStyle name="_DPF_PJ_By Region" xfId="0"/>
    <cellStyle name="_DPF_PJ_CORP SG&amp;A" xfId="0"/>
    <cellStyle name="_DPF_PJ_Digitizer" xfId="0"/>
    <cellStyle name="_DPF_PJ_GPS OTHER" xfId="0"/>
    <cellStyle name="_DPF_PJ_GPS OTHER 2" xfId="0"/>
    <cellStyle name="_DPF_PJ_GPS OTHER 3" xfId="0"/>
    <cellStyle name="_DPF_PJ_GPS OTHER 4" xfId="0"/>
    <cellStyle name="_DPF_PJ_GPS OTHER 4 2" xfId="0"/>
    <cellStyle name="_DPF_PJ_GPS OTHER_By Region" xfId="0"/>
    <cellStyle name="_DPF_PJ_GPS OTHER_CORP SG&amp;A" xfId="0"/>
    <cellStyle name="_DPF_PJ_GPS OTHER_LCD" xfId="0"/>
    <cellStyle name="_DPF_PJ_GPS OTHER_PJ" xfId="0"/>
    <cellStyle name="_DPF_PJ_LCD" xfId="0"/>
    <cellStyle name="_DPF_PJ_LCD 2" xfId="0"/>
    <cellStyle name="_DPF_PJ_LCD 3" xfId="0"/>
    <cellStyle name="_DPF_PJ_LCD 4" xfId="0"/>
    <cellStyle name="_DPF_PJ_LCD_By Region" xfId="0"/>
    <cellStyle name="_DPF_PJ_LCD_CORP SG&amp;A" xfId="0"/>
    <cellStyle name="_DPF_PJ_LCD_LCD" xfId="0"/>
    <cellStyle name="_DPF_PJ_LCD_PJ" xfId="0"/>
    <cellStyle name="_DPF_PJ_lightling" xfId="0"/>
    <cellStyle name="_DPF_PJ_lightling 2" xfId="0"/>
    <cellStyle name="_DPF_PJ_lightling_By Region" xfId="0"/>
    <cellStyle name="_DPF_PJ_lightling_CORP SG&amp;A" xfId="0"/>
    <cellStyle name="_DPF_PJ_PC Products" xfId="0"/>
    <cellStyle name="_DPF_PJ_PC Products 2" xfId="0"/>
    <cellStyle name="_DPF_PJ_PC Products 3" xfId="0"/>
    <cellStyle name="_DPF_PJ_PC Products 4" xfId="0"/>
    <cellStyle name="_DPF_PJ_PC Products 4 2" xfId="0"/>
    <cellStyle name="_DPF_PJ_PC Products_By Region" xfId="0"/>
    <cellStyle name="_DPF_PJ_PC Products_CORP SG&amp;A" xfId="0"/>
    <cellStyle name="_DPF_PJ_PC Products_LCD" xfId="0"/>
    <cellStyle name="_DPF_PJ_PC Products_PJ" xfId="0"/>
    <cellStyle name="_DPF_PJ_VSA 111014" xfId="0"/>
    <cellStyle name="_DPF_PJ_VSA 111014 2" xfId="0"/>
    <cellStyle name="_DPF_PJ_VSA 111014 3" xfId="0"/>
    <cellStyle name="_DPF_PJ_VSA 111014 4" xfId="0"/>
    <cellStyle name="_DPF_PJ_VSA 111014 4 2" xfId="0"/>
    <cellStyle name="_DPF_PJ_VSA 111014_By Region" xfId="0"/>
    <cellStyle name="_DPF_PJ_VSA 111014_CORP SG&amp;A" xfId="0"/>
    <cellStyle name="_DPF_PJ_VSA 111014_LCD" xfId="0"/>
    <cellStyle name="_DPF_PJ_VSA 111014_PJ" xfId="0"/>
    <cellStyle name="_DPF_PJ_VSA Roll-Up (LW)" xfId="0"/>
    <cellStyle name="_DPF_PJ_VSA Roll-Up (LW) 2" xfId="0"/>
    <cellStyle name="_DPF_PJ_VSA Roll-Up (LW) 3" xfId="0"/>
    <cellStyle name="_DPF_PJ_VSA Roll-Up (LW) 4" xfId="0"/>
    <cellStyle name="_DPF_PJ_VSA Roll-Up (LW) 4 2" xfId="0"/>
    <cellStyle name="_DPF_PJ_VSA Roll-Up (LW)_By Region" xfId="0"/>
    <cellStyle name="_DPF_PJ_VSA Roll-Up (LW)_CORP SG&amp;A" xfId="0"/>
    <cellStyle name="_DPF_PJ_VSA Roll-Up (LW)_LCD" xfId="0"/>
    <cellStyle name="_DPF_PJ_VSA Roll-Up (LW)_PJ" xfId="0"/>
    <cellStyle name="_DPF_PMP(VPD)" xfId="0"/>
    <cellStyle name="_DPF_PMP(VPD) 2" xfId="0"/>
    <cellStyle name="_DPF_PMP(VPD) 3" xfId="0"/>
    <cellStyle name="_DPF_PMP(VPD) 4" xfId="0"/>
    <cellStyle name="_DPF_PMP(VPD)_By Region" xfId="0"/>
    <cellStyle name="_DPF_PMP(VPD)_CORP SG&amp;A" xfId="0"/>
    <cellStyle name="_DPF_PMP(VPD)_Digitizer" xfId="0"/>
    <cellStyle name="_DPF_PMP(VPD)_GPS OTHER" xfId="0"/>
    <cellStyle name="_DPF_PMP(VPD)_GPS OTHER 2" xfId="0"/>
    <cellStyle name="_DPF_PMP(VPD)_GPS OTHER 3" xfId="0"/>
    <cellStyle name="_DPF_PMP(VPD)_GPS OTHER 4" xfId="0"/>
    <cellStyle name="_DPF_PMP(VPD)_GPS OTHER 4 2" xfId="0"/>
    <cellStyle name="_DPF_PMP(VPD)_GPS OTHER_By Region" xfId="0"/>
    <cellStyle name="_DPF_PMP(VPD)_GPS OTHER_CORP SG&amp;A" xfId="0"/>
    <cellStyle name="_DPF_PMP(VPD)_GPS OTHER_LCD" xfId="0"/>
    <cellStyle name="_DPF_PMP(VPD)_GPS OTHER_PJ" xfId="0"/>
    <cellStyle name="_DPF_PMP(VPD)_LCD" xfId="0"/>
    <cellStyle name="_DPF_PMP(VPD)_LCD 2" xfId="0"/>
    <cellStyle name="_DPF_PMP(VPD)_LCD 3" xfId="0"/>
    <cellStyle name="_DPF_PMP(VPD)_LCD 4" xfId="0"/>
    <cellStyle name="_DPF_PMP(VPD)_LCD_By Region" xfId="0"/>
    <cellStyle name="_DPF_PMP(VPD)_LCD_CORP SG&amp;A" xfId="0"/>
    <cellStyle name="_DPF_PMP(VPD)_LCD_LCD" xfId="0"/>
    <cellStyle name="_DPF_PMP(VPD)_LCD_PJ" xfId="0"/>
    <cellStyle name="_DPF_PMP(VPD)_lightling" xfId="0"/>
    <cellStyle name="_DPF_PMP(VPD)_lightling 2" xfId="0"/>
    <cellStyle name="_DPF_PMP(VPD)_lightling_By Region" xfId="0"/>
    <cellStyle name="_DPF_PMP(VPD)_lightling_CORP SG&amp;A" xfId="0"/>
    <cellStyle name="_DPF_PMP(VPD)_PC Products" xfId="0"/>
    <cellStyle name="_DPF_PMP(VPD)_PC Products 2" xfId="0"/>
    <cellStyle name="_DPF_PMP(VPD)_PC Products 3" xfId="0"/>
    <cellStyle name="_DPF_PMP(VPD)_PC Products 4" xfId="0"/>
    <cellStyle name="_DPF_PMP(VPD)_PC Products 4 2" xfId="0"/>
    <cellStyle name="_DPF_PMP(VPD)_PC Products_By Region" xfId="0"/>
    <cellStyle name="_DPF_PMP(VPD)_PC Products_CORP SG&amp;A" xfId="0"/>
    <cellStyle name="_DPF_PMP(VPD)_PC Products_LCD" xfId="0"/>
    <cellStyle name="_DPF_PMP(VPD)_PC Products_PJ" xfId="0"/>
    <cellStyle name="_DPF_PMP(VPD)_VSA 111014" xfId="0"/>
    <cellStyle name="_DPF_PMP(VPD)_VSA 111014 2" xfId="0"/>
    <cellStyle name="_DPF_PMP(VPD)_VSA 111014 3" xfId="0"/>
    <cellStyle name="_DPF_PMP(VPD)_VSA 111014 4" xfId="0"/>
    <cellStyle name="_DPF_PMP(VPD)_VSA 111014 4 2" xfId="0"/>
    <cellStyle name="_DPF_PMP(VPD)_VSA 111014_By Region" xfId="0"/>
    <cellStyle name="_DPF_PMP(VPD)_VSA 111014_CORP SG&amp;A" xfId="0"/>
    <cellStyle name="_DPF_PMP(VPD)_VSA 111014_LCD" xfId="0"/>
    <cellStyle name="_DPF_PMP(VPD)_VSA 111014_PJ" xfId="0"/>
    <cellStyle name="_DPF_PMP(VPD)_VSA Roll-Up (LW)" xfId="0"/>
    <cellStyle name="_DPF_PMP(VPD)_VSA Roll-Up (LW) 2" xfId="0"/>
    <cellStyle name="_DPF_PMP(VPD)_VSA Roll-Up (LW) 3" xfId="0"/>
    <cellStyle name="_DPF_PMP(VPD)_VSA Roll-Up (LW) 4" xfId="0"/>
    <cellStyle name="_DPF_PMP(VPD)_VSA Roll-Up (LW) 4 2" xfId="0"/>
    <cellStyle name="_DPF_PMP(VPD)_VSA Roll-Up (LW)_By Region" xfId="0"/>
    <cellStyle name="_DPF_PMP(VPD)_VSA Roll-Up (LW)_CORP SG&amp;A" xfId="0"/>
    <cellStyle name="_DPF_PMP(VPD)_VSA Roll-Up (LW)_LCD" xfId="0"/>
    <cellStyle name="_DPF_PMP(VPD)_VSA Roll-Up (LW)_PJ" xfId="0"/>
    <cellStyle name="_DPF_Pocket TV" xfId="0"/>
    <cellStyle name="_DPF_Pocket TV 2" xfId="0"/>
    <cellStyle name="_DPF_Pocket TV 3" xfId="0"/>
    <cellStyle name="_DPF_Pocket TV 4" xfId="0"/>
    <cellStyle name="_DPF_Pocket TV_By Region" xfId="0"/>
    <cellStyle name="_DPF_Pocket TV_CORP SG&amp;A" xfId="0"/>
    <cellStyle name="_DPF_Pocket TV_Digitizer" xfId="0"/>
    <cellStyle name="_DPF_Pocket TV_GPS OTHER" xfId="0"/>
    <cellStyle name="_DPF_Pocket TV_GPS OTHER 2" xfId="0"/>
    <cellStyle name="_DPF_Pocket TV_GPS OTHER 3" xfId="0"/>
    <cellStyle name="_DPF_Pocket TV_GPS OTHER 4" xfId="0"/>
    <cellStyle name="_DPF_Pocket TV_GPS OTHER 4 2" xfId="0"/>
    <cellStyle name="_DPF_Pocket TV_GPS OTHER_By Region" xfId="0"/>
    <cellStyle name="_DPF_Pocket TV_GPS OTHER_CORP SG&amp;A" xfId="0"/>
    <cellStyle name="_DPF_Pocket TV_GPS OTHER_LCD" xfId="0"/>
    <cellStyle name="_DPF_Pocket TV_GPS OTHER_PJ" xfId="0"/>
    <cellStyle name="_DPF_Pocket TV_LCD" xfId="0"/>
    <cellStyle name="_DPF_Pocket TV_LCD 2" xfId="0"/>
    <cellStyle name="_DPF_Pocket TV_LCD 3" xfId="0"/>
    <cellStyle name="_DPF_Pocket TV_LCD 4" xfId="0"/>
    <cellStyle name="_DPF_Pocket TV_LCD_By Region" xfId="0"/>
    <cellStyle name="_DPF_Pocket TV_LCD_CORP SG&amp;A" xfId="0"/>
    <cellStyle name="_DPF_Pocket TV_LCD_LCD" xfId="0"/>
    <cellStyle name="_DPF_Pocket TV_LCD_PJ" xfId="0"/>
    <cellStyle name="_DPF_Pocket TV_lightling" xfId="0"/>
    <cellStyle name="_DPF_Pocket TV_lightling 2" xfId="0"/>
    <cellStyle name="_DPF_Pocket TV_lightling_By Region" xfId="0"/>
    <cellStyle name="_DPF_Pocket TV_lightling_CORP SG&amp;A" xfId="0"/>
    <cellStyle name="_DPF_Pocket TV_PC Products" xfId="0"/>
    <cellStyle name="_DPF_Pocket TV_PC Products 2" xfId="0"/>
    <cellStyle name="_DPF_Pocket TV_PC Products 3" xfId="0"/>
    <cellStyle name="_DPF_Pocket TV_PC Products 4" xfId="0"/>
    <cellStyle name="_DPF_Pocket TV_PC Products 4 2" xfId="0"/>
    <cellStyle name="_DPF_Pocket TV_PC Products_By Region" xfId="0"/>
    <cellStyle name="_DPF_Pocket TV_PC Products_CORP SG&amp;A" xfId="0"/>
    <cellStyle name="_DPF_Pocket TV_PC Products_LCD" xfId="0"/>
    <cellStyle name="_DPF_Pocket TV_PC Products_PJ" xfId="0"/>
    <cellStyle name="_DPF_Pocket TV_VSA 111014" xfId="0"/>
    <cellStyle name="_DPF_Pocket TV_VSA 111014 2" xfId="0"/>
    <cellStyle name="_DPF_Pocket TV_VSA 111014 3" xfId="0"/>
    <cellStyle name="_DPF_Pocket TV_VSA 111014 4" xfId="0"/>
    <cellStyle name="_DPF_Pocket TV_VSA 111014 4 2" xfId="0"/>
    <cellStyle name="_DPF_Pocket TV_VSA 111014_By Region" xfId="0"/>
    <cellStyle name="_DPF_Pocket TV_VSA 111014_CORP SG&amp;A" xfId="0"/>
    <cellStyle name="_DPF_Pocket TV_VSA 111014_LCD" xfId="0"/>
    <cellStyle name="_DPF_Pocket TV_VSA 111014_PJ" xfId="0"/>
    <cellStyle name="_DPF_Pocket TV_VSA Roll-Up (LW)" xfId="0"/>
    <cellStyle name="_DPF_Pocket TV_VSA Roll-Up (LW) 2" xfId="0"/>
    <cellStyle name="_DPF_Pocket TV_VSA Roll-Up (LW) 3" xfId="0"/>
    <cellStyle name="_DPF_Pocket TV_VSA Roll-Up (LW) 4" xfId="0"/>
    <cellStyle name="_DPF_Pocket TV_VSA Roll-Up (LW) 4 2" xfId="0"/>
    <cellStyle name="_DPF_Pocket TV_VSA Roll-Up (LW)_By Region" xfId="0"/>
    <cellStyle name="_DPF_Pocket TV_VSA Roll-Up (LW)_CORP SG&amp;A" xfId="0"/>
    <cellStyle name="_DPF_Pocket TV_VSA Roll-Up (LW)_LCD" xfId="0"/>
    <cellStyle name="_DPF_Pocket TV_VSA Roll-Up (LW)_PJ" xfId="0"/>
    <cellStyle name="_DPF_Pocket_TV" xfId="0"/>
    <cellStyle name="_DPF_Pocket_TV 2" xfId="0"/>
    <cellStyle name="_DPF_Pocket_TV 3" xfId="0"/>
    <cellStyle name="_DPF_Pocket_TV 4" xfId="0"/>
    <cellStyle name="_DPF_Pocket_TV_By Region" xfId="0"/>
    <cellStyle name="_DPF_Pocket_TV_CORP SG&amp;A" xfId="0"/>
    <cellStyle name="_DPF_Pocket_TV_Digitizer" xfId="0"/>
    <cellStyle name="_DPF_Pocket_TV_GPS OTHER" xfId="0"/>
    <cellStyle name="_DPF_Pocket_TV_GPS OTHER 2" xfId="0"/>
    <cellStyle name="_DPF_Pocket_TV_GPS OTHER 3" xfId="0"/>
    <cellStyle name="_DPF_Pocket_TV_GPS OTHER 4" xfId="0"/>
    <cellStyle name="_DPF_Pocket_TV_GPS OTHER 4 2" xfId="0"/>
    <cellStyle name="_DPF_Pocket_TV_GPS OTHER_By Region" xfId="0"/>
    <cellStyle name="_DPF_Pocket_TV_GPS OTHER_CORP SG&amp;A" xfId="0"/>
    <cellStyle name="_DPF_Pocket_TV_GPS OTHER_LCD" xfId="0"/>
    <cellStyle name="_DPF_Pocket_TV_GPS OTHER_PJ" xfId="0"/>
    <cellStyle name="_DPF_Pocket_TV_LCD" xfId="0"/>
    <cellStyle name="_DPF_Pocket_TV_LCD 2" xfId="0"/>
    <cellStyle name="_DPF_Pocket_TV_LCD 3" xfId="0"/>
    <cellStyle name="_DPF_Pocket_TV_LCD 4" xfId="0"/>
    <cellStyle name="_DPF_Pocket_TV_LCD_By Region" xfId="0"/>
    <cellStyle name="_DPF_Pocket_TV_LCD_CORP SG&amp;A" xfId="0"/>
    <cellStyle name="_DPF_Pocket_TV_LCD_LCD" xfId="0"/>
    <cellStyle name="_DPF_Pocket_TV_LCD_PJ" xfId="0"/>
    <cellStyle name="_DPF_Pocket_TV_lightling" xfId="0"/>
    <cellStyle name="_DPF_Pocket_TV_lightling 2" xfId="0"/>
    <cellStyle name="_DPF_Pocket_TV_lightling_By Region" xfId="0"/>
    <cellStyle name="_DPF_Pocket_TV_lightling_CORP SG&amp;A" xfId="0"/>
    <cellStyle name="_DPF_Pocket_TV_PC Products" xfId="0"/>
    <cellStyle name="_DPF_Pocket_TV_PC Products 2" xfId="0"/>
    <cellStyle name="_DPF_Pocket_TV_PC Products 3" xfId="0"/>
    <cellStyle name="_DPF_Pocket_TV_PC Products 4" xfId="0"/>
    <cellStyle name="_DPF_Pocket_TV_PC Products 4 2" xfId="0"/>
    <cellStyle name="_DPF_Pocket_TV_PC Products_By Region" xfId="0"/>
    <cellStyle name="_DPF_Pocket_TV_PC Products_CORP SG&amp;A" xfId="0"/>
    <cellStyle name="_DPF_Pocket_TV_PC Products_LCD" xfId="0"/>
    <cellStyle name="_DPF_Pocket_TV_PC Products_PJ" xfId="0"/>
    <cellStyle name="_DPF_Pocket_TV_VSA 111014" xfId="0"/>
    <cellStyle name="_DPF_Pocket_TV_VSA 111014 2" xfId="0"/>
    <cellStyle name="_DPF_Pocket_TV_VSA 111014 3" xfId="0"/>
    <cellStyle name="_DPF_Pocket_TV_VSA 111014 4" xfId="0"/>
    <cellStyle name="_DPF_Pocket_TV_VSA 111014 4 2" xfId="0"/>
    <cellStyle name="_DPF_Pocket_TV_VSA 111014_By Region" xfId="0"/>
    <cellStyle name="_DPF_Pocket_TV_VSA 111014_CORP SG&amp;A" xfId="0"/>
    <cellStyle name="_DPF_Pocket_TV_VSA 111014_LCD" xfId="0"/>
    <cellStyle name="_DPF_Pocket_TV_VSA 111014_PJ" xfId="0"/>
    <cellStyle name="_DPF_Pocket_TV_VSA Roll-Up (LW)" xfId="0"/>
    <cellStyle name="_DPF_Pocket_TV_VSA Roll-Up (LW) 2" xfId="0"/>
    <cellStyle name="_DPF_Pocket_TV_VSA Roll-Up (LW) 3" xfId="0"/>
    <cellStyle name="_DPF_Pocket_TV_VSA Roll-Up (LW) 4" xfId="0"/>
    <cellStyle name="_DPF_Pocket_TV_VSA Roll-Up (LW) 4 2" xfId="0"/>
    <cellStyle name="_DPF_Pocket_TV_VSA Roll-Up (LW)_By Region" xfId="0"/>
    <cellStyle name="_DPF_Pocket_TV_VSA Roll-Up (LW)_CORP SG&amp;A" xfId="0"/>
    <cellStyle name="_DPF_Pocket_TV_VSA Roll-Up (LW)_LCD" xfId="0"/>
    <cellStyle name="_DPF_Pocket_TV_VSA Roll-Up (LW)_PJ" xfId="0"/>
    <cellStyle name="_DPF_TV" xfId="0"/>
    <cellStyle name="_DPF_TV 2" xfId="0"/>
    <cellStyle name="_DPF_TV 3" xfId="0"/>
    <cellStyle name="_DPF_TV 4" xfId="0"/>
    <cellStyle name="_DPF_TV_By Region" xfId="0"/>
    <cellStyle name="_DPF_TV_CORP SG&amp;A" xfId="0"/>
    <cellStyle name="_DPF_TV_Digitizer" xfId="0"/>
    <cellStyle name="_DPF_TV_GPS OTHER" xfId="0"/>
    <cellStyle name="_DPF_TV_GPS OTHER 2" xfId="0"/>
    <cellStyle name="_DPF_TV_GPS OTHER 3" xfId="0"/>
    <cellStyle name="_DPF_TV_GPS OTHER 4" xfId="0"/>
    <cellStyle name="_DPF_TV_GPS OTHER 4 2" xfId="0"/>
    <cellStyle name="_DPF_TV_GPS OTHER_By Region" xfId="0"/>
    <cellStyle name="_DPF_TV_GPS OTHER_CORP SG&amp;A" xfId="0"/>
    <cellStyle name="_DPF_TV_GPS OTHER_LCD" xfId="0"/>
    <cellStyle name="_DPF_TV_GPS OTHER_PJ" xfId="0"/>
    <cellStyle name="_DPF_TV_LCD" xfId="0"/>
    <cellStyle name="_DPF_TV_LCD 2" xfId="0"/>
    <cellStyle name="_DPF_TV_LCD 3" xfId="0"/>
    <cellStyle name="_DPF_TV_LCD 4" xfId="0"/>
    <cellStyle name="_DPF_TV_LCD_By Region" xfId="0"/>
    <cellStyle name="_DPF_TV_LCD_CORP SG&amp;A" xfId="0"/>
    <cellStyle name="_DPF_TV_LCD_LCD" xfId="0"/>
    <cellStyle name="_DPF_TV_LCD_PJ" xfId="0"/>
    <cellStyle name="_DPF_TV_lightling" xfId="0"/>
    <cellStyle name="_DPF_TV_lightling 2" xfId="0"/>
    <cellStyle name="_DPF_TV_lightling_By Region" xfId="0"/>
    <cellStyle name="_DPF_TV_lightling_CORP SG&amp;A" xfId="0"/>
    <cellStyle name="_DPF_TV_PC Products" xfId="0"/>
    <cellStyle name="_DPF_TV_PC Products 2" xfId="0"/>
    <cellStyle name="_DPF_TV_PC Products 3" xfId="0"/>
    <cellStyle name="_DPF_TV_PC Products 4" xfId="0"/>
    <cellStyle name="_DPF_TV_PC Products 4 2" xfId="0"/>
    <cellStyle name="_DPF_TV_PC Products_By Region" xfId="0"/>
    <cellStyle name="_DPF_TV_PC Products_CORP SG&amp;A" xfId="0"/>
    <cellStyle name="_DPF_TV_PC Products_LCD" xfId="0"/>
    <cellStyle name="_DPF_TV_PC Products_PJ" xfId="0"/>
    <cellStyle name="_DPF_TV_VSA 111014" xfId="0"/>
    <cellStyle name="_DPF_TV_VSA 111014 2" xfId="0"/>
    <cellStyle name="_DPF_TV_VSA 111014 3" xfId="0"/>
    <cellStyle name="_DPF_TV_VSA 111014 4" xfId="0"/>
    <cellStyle name="_DPF_TV_VSA 111014 4 2" xfId="0"/>
    <cellStyle name="_DPF_TV_VSA 111014_By Region" xfId="0"/>
    <cellStyle name="_DPF_TV_VSA 111014_CORP SG&amp;A" xfId="0"/>
    <cellStyle name="_DPF_TV_VSA 111014_LCD" xfId="0"/>
    <cellStyle name="_DPF_TV_VSA 111014_PJ" xfId="0"/>
    <cellStyle name="_DPF_TV_VSA Roll-Up (LW)" xfId="0"/>
    <cellStyle name="_DPF_TV_VSA Roll-Up (LW) 2" xfId="0"/>
    <cellStyle name="_DPF_TV_VSA Roll-Up (LW) 3" xfId="0"/>
    <cellStyle name="_DPF_TV_VSA Roll-Up (LW) 4" xfId="0"/>
    <cellStyle name="_DPF_TV_VSA Roll-Up (LW) 4 2" xfId="0"/>
    <cellStyle name="_DPF_TV_VSA Roll-Up (LW)_By Region" xfId="0"/>
    <cellStyle name="_DPF_TV_VSA Roll-Up (LW)_CORP SG&amp;A" xfId="0"/>
    <cellStyle name="_DPF_TV_VSA Roll-Up (LW)_LCD" xfId="0"/>
    <cellStyle name="_DPF_TV_VSA Roll-Up (LW)_PJ" xfId="0"/>
    <cellStyle name="_DPF_VD" xfId="0"/>
    <cellStyle name="_DPF_VD 2" xfId="0"/>
    <cellStyle name="_DPF_VD 3" xfId="0"/>
    <cellStyle name="_DPF_VD 4" xfId="0"/>
    <cellStyle name="_DPF_VD_By Region" xfId="0"/>
    <cellStyle name="_DPF_VD_CORP SG&amp;A" xfId="0"/>
    <cellStyle name="_DPF_VD_Digitizer" xfId="0"/>
    <cellStyle name="_DPF_VD_GPS OTHER" xfId="0"/>
    <cellStyle name="_DPF_VD_GPS OTHER 2" xfId="0"/>
    <cellStyle name="_DPF_VD_GPS OTHER 3" xfId="0"/>
    <cellStyle name="_DPF_VD_GPS OTHER 4" xfId="0"/>
    <cellStyle name="_DPF_VD_GPS OTHER 4 2" xfId="0"/>
    <cellStyle name="_DPF_VD_GPS OTHER_By Region" xfId="0"/>
    <cellStyle name="_DPF_VD_GPS OTHER_CORP SG&amp;A" xfId="0"/>
    <cellStyle name="_DPF_VD_GPS OTHER_LCD" xfId="0"/>
    <cellStyle name="_DPF_VD_GPS OTHER_PJ" xfId="0"/>
    <cellStyle name="_DPF_VD_LCD" xfId="0"/>
    <cellStyle name="_DPF_VD_LCD 2" xfId="0"/>
    <cellStyle name="_DPF_VD_LCD 3" xfId="0"/>
    <cellStyle name="_DPF_VD_LCD 4" xfId="0"/>
    <cellStyle name="_DPF_VD_LCD_By Region" xfId="0"/>
    <cellStyle name="_DPF_VD_LCD_CORP SG&amp;A" xfId="0"/>
    <cellStyle name="_DPF_VD_LCD_LCD" xfId="0"/>
    <cellStyle name="_DPF_VD_LCD_PJ" xfId="0"/>
    <cellStyle name="_DPF_VD_lightling" xfId="0"/>
    <cellStyle name="_DPF_VD_lightling 2" xfId="0"/>
    <cellStyle name="_DPF_VD_lightling_By Region" xfId="0"/>
    <cellStyle name="_DPF_VD_lightling_CORP SG&amp;A" xfId="0"/>
    <cellStyle name="_DPF_VD_PC Products" xfId="0"/>
    <cellStyle name="_DPF_VD_PC Products 2" xfId="0"/>
    <cellStyle name="_DPF_VD_PC Products 3" xfId="0"/>
    <cellStyle name="_DPF_VD_PC Products 4" xfId="0"/>
    <cellStyle name="_DPF_VD_PC Products 4 2" xfId="0"/>
    <cellStyle name="_DPF_VD_PC Products_By Region" xfId="0"/>
    <cellStyle name="_DPF_VD_PC Products_CORP SG&amp;A" xfId="0"/>
    <cellStyle name="_DPF_VD_PC Products_LCD" xfId="0"/>
    <cellStyle name="_DPF_VD_PC Products_PJ" xfId="0"/>
    <cellStyle name="_DPF_VD_VSA 111014" xfId="0"/>
    <cellStyle name="_DPF_VD_VSA 111014 2" xfId="0"/>
    <cellStyle name="_DPF_VD_VSA 111014 3" xfId="0"/>
    <cellStyle name="_DPF_VD_VSA 111014 4" xfId="0"/>
    <cellStyle name="_DPF_VD_VSA 111014 4 2" xfId="0"/>
    <cellStyle name="_DPF_VD_VSA 111014_By Region" xfId="0"/>
    <cellStyle name="_DPF_VD_VSA 111014_CORP SG&amp;A" xfId="0"/>
    <cellStyle name="_DPF_VD_VSA 111014_LCD" xfId="0"/>
    <cellStyle name="_DPF_VD_VSA 111014_PJ" xfId="0"/>
    <cellStyle name="_DPF_VD_VSA Roll-Up (LW)" xfId="0"/>
    <cellStyle name="_DPF_VD_VSA Roll-Up (LW) 2" xfId="0"/>
    <cellStyle name="_DPF_VD_VSA Roll-Up (LW) 3" xfId="0"/>
    <cellStyle name="_DPF_VD_VSA Roll-Up (LW) 4" xfId="0"/>
    <cellStyle name="_DPF_VD_VSA Roll-Up (LW) 4 2" xfId="0"/>
    <cellStyle name="_DPF_VD_VSA Roll-Up (LW)_By Region" xfId="0"/>
    <cellStyle name="_DPF_VD_VSA Roll-Up (LW)_CORP SG&amp;A" xfId="0"/>
    <cellStyle name="_DPF_VD_VSA Roll-Up (LW)_LCD" xfId="0"/>
    <cellStyle name="_DPF_VD_VSA Roll-Up (LW)_PJ" xfId="0"/>
    <cellStyle name="_DPF_VSA 111014" xfId="0"/>
    <cellStyle name="_DPF_VSA 111014 2" xfId="0"/>
    <cellStyle name="_DPF_VSA 111014 3" xfId="0"/>
    <cellStyle name="_DPF_VSA 111014 4" xfId="0"/>
    <cellStyle name="_DPF_VSA 111014 4 2" xfId="0"/>
    <cellStyle name="_DPF_VSA 111014_By Region" xfId="0"/>
    <cellStyle name="_DPF_VSA 111014_CORP SG&amp;A" xfId="0"/>
    <cellStyle name="_DPF_VSA 111014_LCD" xfId="0"/>
    <cellStyle name="_DPF_VSA 111014_PJ" xfId="0"/>
    <cellStyle name="_DPF_VSA Roll-Up (LW)" xfId="0"/>
    <cellStyle name="_DPF_VSA Roll-Up (LW) 2" xfId="0"/>
    <cellStyle name="_DPF_VSA Roll-Up (LW) 3" xfId="0"/>
    <cellStyle name="_DPF_VSA Roll-Up (LW) 4" xfId="0"/>
    <cellStyle name="_DPF_VSA Roll-Up (LW) 4 2" xfId="0"/>
    <cellStyle name="_DPF_VSA Roll-Up (LW)_By Region" xfId="0"/>
    <cellStyle name="_DPF_VSA Roll-Up (LW)_CORP SG&amp;A" xfId="0"/>
    <cellStyle name="_DPF_VSA Roll-Up (LW)_LCD" xfId="0"/>
    <cellStyle name="_DPF_VSA Roll-Up (LW)_PJ" xfId="0"/>
    <cellStyle name="_DPF_VSE 2011 Budget" xfId="0"/>
    <cellStyle name="_DPF_VSE 2011 Budget 2" xfId="0"/>
    <cellStyle name="_DPF_VSE 2011 Budget 3" xfId="0"/>
    <cellStyle name="_DPF_VSE 2011 Budget 4" xfId="0"/>
    <cellStyle name="_DPF_VSE 2011 Budget_By Region" xfId="0"/>
    <cellStyle name="_DPF_VSE 2011 Budget_CORP SG&amp;A" xfId="0"/>
    <cellStyle name="_DPF_VSE 2011 Budget_Digitizer" xfId="0"/>
    <cellStyle name="_DPF_VSE 2011 Budget_GPS OTHER" xfId="0"/>
    <cellStyle name="_DPF_VSE 2011 Budget_GPS OTHER 2" xfId="0"/>
    <cellStyle name="_DPF_VSE 2011 Budget_GPS OTHER 3" xfId="0"/>
    <cellStyle name="_DPF_VSE 2011 Budget_GPS OTHER 4" xfId="0"/>
    <cellStyle name="_DPF_VSE 2011 Budget_GPS OTHER 4 2" xfId="0"/>
    <cellStyle name="_DPF_VSE 2011 Budget_GPS OTHER_By Region" xfId="0"/>
    <cellStyle name="_DPF_VSE 2011 Budget_GPS OTHER_CORP SG&amp;A" xfId="0"/>
    <cellStyle name="_DPF_VSE 2011 Budget_GPS OTHER_LCD" xfId="0"/>
    <cellStyle name="_DPF_VSE 2011 Budget_GPS OTHER_PJ" xfId="0"/>
    <cellStyle name="_DPF_VSE 2011 Budget_LCD" xfId="0"/>
    <cellStyle name="_DPF_VSE 2011 Budget_LCD 2" xfId="0"/>
    <cellStyle name="_DPF_VSE 2011 Budget_LCD 3" xfId="0"/>
    <cellStyle name="_DPF_VSE 2011 Budget_LCD 4" xfId="0"/>
    <cellStyle name="_DPF_VSE 2011 Budget_LCD_By Region" xfId="0"/>
    <cellStyle name="_DPF_VSE 2011 Budget_LCD_CORP SG&amp;A" xfId="0"/>
    <cellStyle name="_DPF_VSE 2011 Budget_LCD_LCD" xfId="0"/>
    <cellStyle name="_DPF_VSE 2011 Budget_LCD_PJ" xfId="0"/>
    <cellStyle name="_DPF_VSE 2011 Budget_lightling" xfId="0"/>
    <cellStyle name="_DPF_VSE 2011 Budget_lightling 2" xfId="0"/>
    <cellStyle name="_DPF_VSE 2011 Budget_lightling_By Region" xfId="0"/>
    <cellStyle name="_DPF_VSE 2011 Budget_lightling_CORP SG&amp;A" xfId="0"/>
    <cellStyle name="_DPF_VSE 2011 Budget_PC Products" xfId="0"/>
    <cellStyle name="_DPF_VSE 2011 Budget_PC Products 2" xfId="0"/>
    <cellStyle name="_DPF_VSE 2011 Budget_PC Products 3" xfId="0"/>
    <cellStyle name="_DPF_VSE 2011 Budget_PC Products 4" xfId="0"/>
    <cellStyle name="_DPF_VSE 2011 Budget_PC Products 4 2" xfId="0"/>
    <cellStyle name="_DPF_VSE 2011 Budget_PC Products_By Region" xfId="0"/>
    <cellStyle name="_DPF_VSE 2011 Budget_PC Products_CORP SG&amp;A" xfId="0"/>
    <cellStyle name="_DPF_VSE 2011 Budget_PC Products_LCD" xfId="0"/>
    <cellStyle name="_DPF_VSE 2011 Budget_PC Products_PJ" xfId="0"/>
    <cellStyle name="_DPF_VSE 2011 Budget_VSA 111014" xfId="0"/>
    <cellStyle name="_DPF_VSE 2011 Budget_VSA 111014 2" xfId="0"/>
    <cellStyle name="_DPF_VSE 2011 Budget_VSA 111014 3" xfId="0"/>
    <cellStyle name="_DPF_VSE 2011 Budget_VSA 111014 4" xfId="0"/>
    <cellStyle name="_DPF_VSE 2011 Budget_VSA 111014 4 2" xfId="0"/>
    <cellStyle name="_DPF_VSE 2011 Budget_VSA 111014_By Region" xfId="0"/>
    <cellStyle name="_DPF_VSE 2011 Budget_VSA 111014_CORP SG&amp;A" xfId="0"/>
    <cellStyle name="_DPF_VSE 2011 Budget_VSA 111014_LCD" xfId="0"/>
    <cellStyle name="_DPF_VSE 2011 Budget_VSA 111014_PJ" xfId="0"/>
    <cellStyle name="_DPF_VSE 2011 Budget_VSA Roll-Up (LW)" xfId="0"/>
    <cellStyle name="_DPF_VSE 2011 Budget_VSA Roll-Up (LW) 2" xfId="0"/>
    <cellStyle name="_DPF_VSE 2011 Budget_VSA Roll-Up (LW) 3" xfId="0"/>
    <cellStyle name="_DPF_VSE 2011 Budget_VSA Roll-Up (LW) 4" xfId="0"/>
    <cellStyle name="_DPF_VSE 2011 Budget_VSA Roll-Up (LW) 4 2" xfId="0"/>
    <cellStyle name="_DPF_VSE 2011 Budget_VSA Roll-Up (LW)_By Region" xfId="0"/>
    <cellStyle name="_DPF_VSE 2011 Budget_VSA Roll-Up (LW)_CORP SG&amp;A" xfId="0"/>
    <cellStyle name="_DPF_VSE 2011 Budget_VSA Roll-Up (LW)_LCD" xfId="0"/>
    <cellStyle name="_DPF_VSE 2011 Budget_VSA Roll-Up (LW)_PJ" xfId="0"/>
    <cellStyle name="_DPF_VSE 2H  WFP review (Spring Global meeting)-conservative Adam working v3" xfId="0"/>
    <cellStyle name="_DPF_VSE 2H  WFP review (Spring Global meeting)-conservative Adam working v3 2" xfId="0"/>
    <cellStyle name="_DPF_VSE 2H  WFP review (Spring Global meeting)-conservative Adam working v3 3" xfId="0"/>
    <cellStyle name="_DPF_VSE 2H Rebalance 110712" xfId="0"/>
    <cellStyle name="_DPF_VSE 2H Rebalance 110712 2" xfId="0"/>
    <cellStyle name="_DPF_VSE 2H Rebalance 110712 3" xfId="0"/>
    <cellStyle name="_DPF_VSE 2H Rebalance 110712 4" xfId="0"/>
    <cellStyle name="_DPF_VSE 2H Rebalance 110712_By Region" xfId="0"/>
    <cellStyle name="_DPF_VSE 2H Rebalance 110712_CORP SG&amp;A" xfId="0"/>
    <cellStyle name="_DPF_VSE WFP 101203" xfId="0"/>
    <cellStyle name="_DPF_VSE WFP 101203 2" xfId="0"/>
    <cellStyle name="_DPF_VSE WFP 101203 3" xfId="0"/>
    <cellStyle name="_DPF_VSE WFP 101203 4" xfId="0"/>
    <cellStyle name="_DPF_VSE WFP 101203_By Region" xfId="0"/>
    <cellStyle name="_DPF_VSE WFP 101203_CORP SG&amp;A" xfId="0"/>
    <cellStyle name="_DPF_VSE WFP 110311" xfId="0"/>
    <cellStyle name="_DPF_VSE WFP 110311 2" xfId="0"/>
    <cellStyle name="_DPF_VSE WFP 110311 3" xfId="0"/>
    <cellStyle name="_DPF_VSE WFP 110311 4" xfId="0"/>
    <cellStyle name="_DPF_VSE WFP 110311_By Region" xfId="0"/>
    <cellStyle name="_DPF_VSE WFP 110311_CORP SG&amp;A" xfId="0"/>
    <cellStyle name="_DPF_VSE WFP 110415" xfId="0"/>
    <cellStyle name="_DPF_VSE WFP 110415 2" xfId="0"/>
    <cellStyle name="_DPF_VSE WFP 110415 3" xfId="0"/>
    <cellStyle name="_DPF_VSE WFP 110415 4" xfId="0"/>
    <cellStyle name="_DPF_VSE WFP 110415_By Region" xfId="0"/>
    <cellStyle name="_DPF_VSE WFP 110415_CORP SG&amp;A" xfId="0"/>
    <cellStyle name="_DPF_VSE WFP_100409" xfId="0"/>
    <cellStyle name="_DPF_VSE WFP_100409 2" xfId="0"/>
    <cellStyle name="_DPF_VSE WFP_100409 3" xfId="0"/>
    <cellStyle name="_DPF_VSE WFP_100409 4" xfId="0"/>
    <cellStyle name="_DPF_VSE WFP_100409_By Region" xfId="0"/>
    <cellStyle name="_DPF_VSE WFP_100409_CORP SG&amp;A" xfId="0"/>
    <cellStyle name="_DPF_VSE WFP_100409_Digitizer" xfId="0"/>
    <cellStyle name="_DPF_VSE WFP_100409_GPS OTHER" xfId="0"/>
    <cellStyle name="_DPF_VSE WFP_100409_GPS OTHER 2" xfId="0"/>
    <cellStyle name="_DPF_VSE WFP_100409_GPS OTHER 3" xfId="0"/>
    <cellStyle name="_DPF_VSE WFP_100409_GPS OTHER 4" xfId="0"/>
    <cellStyle name="_DPF_VSE WFP_100409_GPS OTHER 4 2" xfId="0"/>
    <cellStyle name="_DPF_VSE WFP_100409_GPS OTHER_By Region" xfId="0"/>
    <cellStyle name="_DPF_VSE WFP_100409_GPS OTHER_CORP SG&amp;A" xfId="0"/>
    <cellStyle name="_DPF_VSE WFP_100409_GPS OTHER_LCD" xfId="0"/>
    <cellStyle name="_DPF_VSE WFP_100409_GPS OTHER_PJ" xfId="0"/>
    <cellStyle name="_DPF_VSE WFP_100409_LCD" xfId="0"/>
    <cellStyle name="_DPF_VSE WFP_100409_LCD 2" xfId="0"/>
    <cellStyle name="_DPF_VSE WFP_100409_LCD 3" xfId="0"/>
    <cellStyle name="_DPF_VSE WFP_100409_LCD 4" xfId="0"/>
    <cellStyle name="_DPF_VSE WFP_100409_LCD_By Region" xfId="0"/>
    <cellStyle name="_DPF_VSE WFP_100409_LCD_CORP SG&amp;A" xfId="0"/>
    <cellStyle name="_DPF_VSE WFP_100409_LCD_LCD" xfId="0"/>
    <cellStyle name="_DPF_VSE WFP_100409_LCD_PJ" xfId="0"/>
    <cellStyle name="_DPF_VSE WFP_100409_lightling" xfId="0"/>
    <cellStyle name="_DPF_VSE WFP_100409_lightling 2" xfId="0"/>
    <cellStyle name="_DPF_VSE WFP_100409_lightling_By Region" xfId="0"/>
    <cellStyle name="_DPF_VSE WFP_100409_lightling_CORP SG&amp;A" xfId="0"/>
    <cellStyle name="_DPF_VSE WFP_100409_PC Products" xfId="0"/>
    <cellStyle name="_DPF_VSE WFP_100409_PC Products 2" xfId="0"/>
    <cellStyle name="_DPF_VSE WFP_100409_PC Products 3" xfId="0"/>
    <cellStyle name="_DPF_VSE WFP_100409_PC Products 4" xfId="0"/>
    <cellStyle name="_DPF_VSE WFP_100409_PC Products 4 2" xfId="0"/>
    <cellStyle name="_DPF_VSE WFP_100409_PC Products_By Region" xfId="0"/>
    <cellStyle name="_DPF_VSE WFP_100409_PC Products_CORP SG&amp;A" xfId="0"/>
    <cellStyle name="_DPF_VSE WFP_100409_PC Products_LCD" xfId="0"/>
    <cellStyle name="_DPF_VSE WFP_100409_PC Products_PJ" xfId="0"/>
    <cellStyle name="_DPF_VSE WFP_100409_VSA 111014" xfId="0"/>
    <cellStyle name="_DPF_VSE WFP_100409_VSA 111014 2" xfId="0"/>
    <cellStyle name="_DPF_VSE WFP_100409_VSA 111014 3" xfId="0"/>
    <cellStyle name="_DPF_VSE WFP_100409_VSA 111014 4" xfId="0"/>
    <cellStyle name="_DPF_VSE WFP_100409_VSA 111014 4 2" xfId="0"/>
    <cellStyle name="_DPF_VSE WFP_100409_VSA 111014_By Region" xfId="0"/>
    <cellStyle name="_DPF_VSE WFP_100409_VSA 111014_CORP SG&amp;A" xfId="0"/>
    <cellStyle name="_DPF_VSE WFP_100409_VSA 111014_LCD" xfId="0"/>
    <cellStyle name="_DPF_VSE WFP_100409_VSA 111014_PJ" xfId="0"/>
    <cellStyle name="_DPF_VSE WFP_100409_VSA Roll-Up (LW)" xfId="0"/>
    <cellStyle name="_DPF_VSE WFP_100409_VSA Roll-Up (LW) 2" xfId="0"/>
    <cellStyle name="_DPF_VSE WFP_100409_VSA Roll-Up (LW) 3" xfId="0"/>
    <cellStyle name="_DPF_VSE WFP_100409_VSA Roll-Up (LW) 4" xfId="0"/>
    <cellStyle name="_DPF_VSE WFP_100409_VSA Roll-Up (LW) 4 2" xfId="0"/>
    <cellStyle name="_DPF_VSE WFP_100409_VSA Roll-Up (LW)_By Region" xfId="0"/>
    <cellStyle name="_DPF_VSE WFP_100409_VSA Roll-Up (LW)_CORP SG&amp;A" xfId="0"/>
    <cellStyle name="_DPF_VSE WFP_100409_VSA Roll-Up (LW)_LCD" xfId="0"/>
    <cellStyle name="_DPF_VSE WFP_100409_VSA Roll-Up (LW)_PJ" xfId="0"/>
    <cellStyle name="_DPF_VSE WFP_100421 v2" xfId="0"/>
    <cellStyle name="_DPF_VSE WFP_100421 v2 2" xfId="0"/>
    <cellStyle name="_DPF_VSE WFP_100421 v2 3" xfId="0"/>
    <cellStyle name="_DPF_VSE WFP_100421 v2 4" xfId="0"/>
    <cellStyle name="_DPF_VSE WFP_100421 v2_By Region" xfId="0"/>
    <cellStyle name="_DPF_VSE WFP_100421 v2_CORP SG&amp;A" xfId="0"/>
    <cellStyle name="_DPF_VSE WFP_100421 v2_Digitizer" xfId="0"/>
    <cellStyle name="_DPF_VSE WFP_100421 v2_GPS OTHER" xfId="0"/>
    <cellStyle name="_DPF_VSE WFP_100421 v2_GPS OTHER 2" xfId="0"/>
    <cellStyle name="_DPF_VSE WFP_100421 v2_GPS OTHER 3" xfId="0"/>
    <cellStyle name="_DPF_VSE WFP_100421 v2_GPS OTHER 4" xfId="0"/>
    <cellStyle name="_DPF_VSE WFP_100421 v2_GPS OTHER 4 2" xfId="0"/>
    <cellStyle name="_DPF_VSE WFP_100421 v2_GPS OTHER_By Region" xfId="0"/>
    <cellStyle name="_DPF_VSE WFP_100421 v2_GPS OTHER_CORP SG&amp;A" xfId="0"/>
    <cellStyle name="_DPF_VSE WFP_100421 v2_GPS OTHER_LCD" xfId="0"/>
    <cellStyle name="_DPF_VSE WFP_100421 v2_GPS OTHER_PJ" xfId="0"/>
    <cellStyle name="_DPF_VSE WFP_100421 v2_LCD" xfId="0"/>
    <cellStyle name="_DPF_VSE WFP_100421 v2_LCD 2" xfId="0"/>
    <cellStyle name="_DPF_VSE WFP_100421 v2_LCD 3" xfId="0"/>
    <cellStyle name="_DPF_VSE WFP_100421 v2_LCD 4" xfId="0"/>
    <cellStyle name="_DPF_VSE WFP_100421 v2_LCD_By Region" xfId="0"/>
    <cellStyle name="_DPF_VSE WFP_100421 v2_LCD_CORP SG&amp;A" xfId="0"/>
    <cellStyle name="_DPF_VSE WFP_100421 v2_LCD_LCD" xfId="0"/>
    <cellStyle name="_DPF_VSE WFP_100421 v2_LCD_PJ" xfId="0"/>
    <cellStyle name="_DPF_VSE WFP_100421 v2_lightling" xfId="0"/>
    <cellStyle name="_DPF_VSE WFP_100421 v2_lightling 2" xfId="0"/>
    <cellStyle name="_DPF_VSE WFP_100421 v2_lightling_By Region" xfId="0"/>
    <cellStyle name="_DPF_VSE WFP_100421 v2_lightling_CORP SG&amp;A" xfId="0"/>
    <cellStyle name="_DPF_VSE WFP_100421 v2_PC Products" xfId="0"/>
    <cellStyle name="_DPF_VSE WFP_100421 v2_PC Products 2" xfId="0"/>
    <cellStyle name="_DPF_VSE WFP_100421 v2_PC Products 3" xfId="0"/>
    <cellStyle name="_DPF_VSE WFP_100421 v2_PC Products 4" xfId="0"/>
    <cellStyle name="_DPF_VSE WFP_100421 v2_PC Products 4 2" xfId="0"/>
    <cellStyle name="_DPF_VSE WFP_100421 v2_PC Products_By Region" xfId="0"/>
    <cellStyle name="_DPF_VSE WFP_100421 v2_PC Products_CORP SG&amp;A" xfId="0"/>
    <cellStyle name="_DPF_VSE WFP_100421 v2_PC Products_LCD" xfId="0"/>
    <cellStyle name="_DPF_VSE WFP_100421 v2_PC Products_PJ" xfId="0"/>
    <cellStyle name="_DPF_VSE WFP_100421 v2_VSA 111014" xfId="0"/>
    <cellStyle name="_DPF_VSE WFP_100421 v2_VSA 111014 2" xfId="0"/>
    <cellStyle name="_DPF_VSE WFP_100421 v2_VSA 111014 3" xfId="0"/>
    <cellStyle name="_DPF_VSE WFP_100421 v2_VSA 111014 4" xfId="0"/>
    <cellStyle name="_DPF_VSE WFP_100421 v2_VSA 111014 4 2" xfId="0"/>
    <cellStyle name="_DPF_VSE WFP_100421 v2_VSA 111014_By Region" xfId="0"/>
    <cellStyle name="_DPF_VSE WFP_100421 v2_VSA 111014_CORP SG&amp;A" xfId="0"/>
    <cellStyle name="_DPF_VSE WFP_100421 v2_VSA 111014_LCD" xfId="0"/>
    <cellStyle name="_DPF_VSE WFP_100421 v2_VSA 111014_PJ" xfId="0"/>
    <cellStyle name="_DPF_VSE WFP_100421 v2_VSA Roll-Up (LW)" xfId="0"/>
    <cellStyle name="_DPF_VSE WFP_100421 v2_VSA Roll-Up (LW) 2" xfId="0"/>
    <cellStyle name="_DPF_VSE WFP_100421 v2_VSA Roll-Up (LW) 3" xfId="0"/>
    <cellStyle name="_DPF_VSE WFP_100421 v2_VSA Roll-Up (LW) 4" xfId="0"/>
    <cellStyle name="_DPF_VSE WFP_100421 v2_VSA Roll-Up (LW) 4 2" xfId="0"/>
    <cellStyle name="_DPF_VSE WFP_100421 v2_VSA Roll-Up (LW)_By Region" xfId="0"/>
    <cellStyle name="_DPF_VSE WFP_100421 v2_VSA Roll-Up (LW)_CORP SG&amp;A" xfId="0"/>
    <cellStyle name="_DPF_VSE WFP_100421 v2_VSA Roll-Up (LW)_LCD" xfId="0"/>
    <cellStyle name="_DPF_VSE WFP_100421 v2_VSA Roll-Up (LW)_PJ" xfId="0"/>
    <cellStyle name="_DPF_VSE WFP_100507" xfId="0"/>
    <cellStyle name="_DPF_VSE WFP_100507 2" xfId="0"/>
    <cellStyle name="_DPF_VSE WFP_100507 3" xfId="0"/>
    <cellStyle name="_DPF_VSE WFP_100507 4" xfId="0"/>
    <cellStyle name="_DPF_VSE WFP_100507_By Region" xfId="0"/>
    <cellStyle name="_DPF_VSE WFP_100507_CORP SG&amp;A" xfId="0"/>
    <cellStyle name="_DPF_VSE WFP_100507_Digitizer" xfId="0"/>
    <cellStyle name="_DPF_VSE WFP_100507_GPS OTHER" xfId="0"/>
    <cellStyle name="_DPF_VSE WFP_100507_GPS OTHER 2" xfId="0"/>
    <cellStyle name="_DPF_VSE WFP_100507_GPS OTHER 3" xfId="0"/>
    <cellStyle name="_DPF_VSE WFP_100507_GPS OTHER 4" xfId="0"/>
    <cellStyle name="_DPF_VSE WFP_100507_GPS OTHER 4 2" xfId="0"/>
    <cellStyle name="_DPF_VSE WFP_100507_GPS OTHER_By Region" xfId="0"/>
    <cellStyle name="_DPF_VSE WFP_100507_GPS OTHER_CORP SG&amp;A" xfId="0"/>
    <cellStyle name="_DPF_VSE WFP_100507_GPS OTHER_LCD" xfId="0"/>
    <cellStyle name="_DPF_VSE WFP_100507_GPS OTHER_PJ" xfId="0"/>
    <cellStyle name="_DPF_VSE WFP_100507_LCD" xfId="0"/>
    <cellStyle name="_DPF_VSE WFP_100507_LCD 2" xfId="0"/>
    <cellStyle name="_DPF_VSE WFP_100507_LCD 3" xfId="0"/>
    <cellStyle name="_DPF_VSE WFP_100507_LCD 4" xfId="0"/>
    <cellStyle name="_DPF_VSE WFP_100507_LCD_By Region" xfId="0"/>
    <cellStyle name="_DPF_VSE WFP_100507_LCD_CORP SG&amp;A" xfId="0"/>
    <cellStyle name="_DPF_VSE WFP_100507_LCD_LCD" xfId="0"/>
    <cellStyle name="_DPF_VSE WFP_100507_LCD_PJ" xfId="0"/>
    <cellStyle name="_DPF_VSE WFP_100507_lightling" xfId="0"/>
    <cellStyle name="_DPF_VSE WFP_100507_lightling 2" xfId="0"/>
    <cellStyle name="_DPF_VSE WFP_100507_lightling_By Region" xfId="0"/>
    <cellStyle name="_DPF_VSE WFP_100507_lightling_CORP SG&amp;A" xfId="0"/>
    <cellStyle name="_DPF_VSE WFP_100507_PC Products" xfId="0"/>
    <cellStyle name="_DPF_VSE WFP_100507_PC Products 2" xfId="0"/>
    <cellStyle name="_DPF_VSE WFP_100507_PC Products 3" xfId="0"/>
    <cellStyle name="_DPF_VSE WFP_100507_PC Products 4" xfId="0"/>
    <cellStyle name="_DPF_VSE WFP_100507_PC Products 4 2" xfId="0"/>
    <cellStyle name="_DPF_VSE WFP_100507_PC Products_By Region" xfId="0"/>
    <cellStyle name="_DPF_VSE WFP_100507_PC Products_CORP SG&amp;A" xfId="0"/>
    <cellStyle name="_DPF_VSE WFP_100507_PC Products_LCD" xfId="0"/>
    <cellStyle name="_DPF_VSE WFP_100507_PC Products_PJ" xfId="0"/>
    <cellStyle name="_DPF_VSE WFP_100507_VSA 111014" xfId="0"/>
    <cellStyle name="_DPF_VSE WFP_100507_VSA 111014 2" xfId="0"/>
    <cellStyle name="_DPF_VSE WFP_100507_VSA 111014 3" xfId="0"/>
    <cellStyle name="_DPF_VSE WFP_100507_VSA 111014 4" xfId="0"/>
    <cellStyle name="_DPF_VSE WFP_100507_VSA 111014 4 2" xfId="0"/>
    <cellStyle name="_DPF_VSE WFP_100507_VSA 111014_By Region" xfId="0"/>
    <cellStyle name="_DPF_VSE WFP_100507_VSA 111014_CORP SG&amp;A" xfId="0"/>
    <cellStyle name="_DPF_VSE WFP_100507_VSA 111014_LCD" xfId="0"/>
    <cellStyle name="_DPF_VSE WFP_100507_VSA 111014_PJ" xfId="0"/>
    <cellStyle name="_DPF_VSE WFP_100507_VSA Roll-Up (LW)" xfId="0"/>
    <cellStyle name="_DPF_VSE WFP_100507_VSA Roll-Up (LW) 2" xfId="0"/>
    <cellStyle name="_DPF_VSE WFP_100507_VSA Roll-Up (LW) 3" xfId="0"/>
    <cellStyle name="_DPF_VSE WFP_100507_VSA Roll-Up (LW) 4" xfId="0"/>
    <cellStyle name="_DPF_VSE WFP_100507_VSA Roll-Up (LW) 4 2" xfId="0"/>
    <cellStyle name="_DPF_VSE WFP_100507_VSA Roll-Up (LW)_By Region" xfId="0"/>
    <cellStyle name="_DPF_VSE WFP_100507_VSA Roll-Up (LW)_CORP SG&amp;A" xfId="0"/>
    <cellStyle name="_DPF_VSE WFP_100507_VSA Roll-Up (LW)_LCD" xfId="0"/>
    <cellStyle name="_DPF_VSE WFP_100507_VSA Roll-Up (LW)_PJ" xfId="0"/>
    <cellStyle name="_DPF_VSE WFP_100608" xfId="0"/>
    <cellStyle name="_DPF_VSE WFP_100608 2" xfId="0"/>
    <cellStyle name="_DPF_VSE WFP_100608 3" xfId="0"/>
    <cellStyle name="_DPF_VSE WFP_100608 4" xfId="0"/>
    <cellStyle name="_DPF_VSE WFP_100608_By Region" xfId="0"/>
    <cellStyle name="_DPF_VSE WFP_100608_CORP SG&amp;A" xfId="0"/>
    <cellStyle name="_DPF_VSE WFP_100608_Digitizer" xfId="0"/>
    <cellStyle name="_DPF_VSE WFP_100608_GPS OTHER" xfId="0"/>
    <cellStyle name="_DPF_VSE WFP_100608_GPS OTHER 2" xfId="0"/>
    <cellStyle name="_DPF_VSE WFP_100608_GPS OTHER 3" xfId="0"/>
    <cellStyle name="_DPF_VSE WFP_100608_GPS OTHER 4" xfId="0"/>
    <cellStyle name="_DPF_VSE WFP_100608_GPS OTHER 4 2" xfId="0"/>
    <cellStyle name="_DPF_VSE WFP_100608_GPS OTHER_By Region" xfId="0"/>
    <cellStyle name="_DPF_VSE WFP_100608_GPS OTHER_CORP SG&amp;A" xfId="0"/>
    <cellStyle name="_DPF_VSE WFP_100608_GPS OTHER_LCD" xfId="0"/>
    <cellStyle name="_DPF_VSE WFP_100608_GPS OTHER_PJ" xfId="0"/>
    <cellStyle name="_DPF_VSE WFP_100608_LCD" xfId="0"/>
    <cellStyle name="_DPF_VSE WFP_100608_LCD 2" xfId="0"/>
    <cellStyle name="_DPF_VSE WFP_100608_LCD 3" xfId="0"/>
    <cellStyle name="_DPF_VSE WFP_100608_LCD 4" xfId="0"/>
    <cellStyle name="_DPF_VSE WFP_100608_LCD_By Region" xfId="0"/>
    <cellStyle name="_DPF_VSE WFP_100608_LCD_CORP SG&amp;A" xfId="0"/>
    <cellStyle name="_DPF_VSE WFP_100608_LCD_LCD" xfId="0"/>
    <cellStyle name="_DPF_VSE WFP_100608_LCD_PJ" xfId="0"/>
    <cellStyle name="_DPF_VSE WFP_100608_lightling" xfId="0"/>
    <cellStyle name="_DPF_VSE WFP_100608_lightling 2" xfId="0"/>
    <cellStyle name="_DPF_VSE WFP_100608_lightling_By Region" xfId="0"/>
    <cellStyle name="_DPF_VSE WFP_100608_lightling_CORP SG&amp;A" xfId="0"/>
    <cellStyle name="_DPF_VSE WFP_100608_PC Products" xfId="0"/>
    <cellStyle name="_DPF_VSE WFP_100608_PC Products 2" xfId="0"/>
    <cellStyle name="_DPF_VSE WFP_100608_PC Products 3" xfId="0"/>
    <cellStyle name="_DPF_VSE WFP_100608_PC Products 4" xfId="0"/>
    <cellStyle name="_DPF_VSE WFP_100608_PC Products 4 2" xfId="0"/>
    <cellStyle name="_DPF_VSE WFP_100608_PC Products_By Region" xfId="0"/>
    <cellStyle name="_DPF_VSE WFP_100608_PC Products_CORP SG&amp;A" xfId="0"/>
    <cellStyle name="_DPF_VSE WFP_100608_PC Products_LCD" xfId="0"/>
    <cellStyle name="_DPF_VSE WFP_100608_PC Products_PJ" xfId="0"/>
    <cellStyle name="_DPF_VSE WFP_100608_VSA 111014" xfId="0"/>
    <cellStyle name="_DPF_VSE WFP_100608_VSA 111014 2" xfId="0"/>
    <cellStyle name="_DPF_VSE WFP_100608_VSA 111014 3" xfId="0"/>
    <cellStyle name="_DPF_VSE WFP_100608_VSA 111014 4" xfId="0"/>
    <cellStyle name="_DPF_VSE WFP_100608_VSA 111014 4 2" xfId="0"/>
    <cellStyle name="_DPF_VSE WFP_100608_VSA 111014_By Region" xfId="0"/>
    <cellStyle name="_DPF_VSE WFP_100608_VSA 111014_CORP SG&amp;A" xfId="0"/>
    <cellStyle name="_DPF_VSE WFP_100608_VSA 111014_LCD" xfId="0"/>
    <cellStyle name="_DPF_VSE WFP_100608_VSA 111014_PJ" xfId="0"/>
    <cellStyle name="_DPF_VSE WFP_100608_VSA Roll-Up (LW)" xfId="0"/>
    <cellStyle name="_DPF_VSE WFP_100608_VSA Roll-Up (LW) 2" xfId="0"/>
    <cellStyle name="_DPF_VSE WFP_100608_VSA Roll-Up (LW) 3" xfId="0"/>
    <cellStyle name="_DPF_VSE WFP_100608_VSA Roll-Up (LW) 4" xfId="0"/>
    <cellStyle name="_DPF_VSE WFP_100608_VSA Roll-Up (LW) 4 2" xfId="0"/>
    <cellStyle name="_DPF_VSE WFP_100608_VSA Roll-Up (LW)_By Region" xfId="0"/>
    <cellStyle name="_DPF_VSE WFP_100608_VSA Roll-Up (LW)_CORP SG&amp;A" xfId="0"/>
    <cellStyle name="_DPF_VSE WFP_100608_VSA Roll-Up (LW)_LCD" xfId="0"/>
    <cellStyle name="_DPF_VSE WFP_100608_VSA Roll-Up (LW)_PJ" xfId="0"/>
    <cellStyle name="_DPF_VSE WFP_100625" xfId="0"/>
    <cellStyle name="_DPF_VSE WFP_100625 2" xfId="0"/>
    <cellStyle name="_DPF_VSE WFP_100625 3" xfId="0"/>
    <cellStyle name="_DPF_VSE WFP_100625 4" xfId="0"/>
    <cellStyle name="_DPF_VSE WFP_100625_By Region" xfId="0"/>
    <cellStyle name="_DPF_VSE WFP_100625_CORP SG&amp;A" xfId="0"/>
    <cellStyle name="_DPF_VSE WFP_100625_Digitizer" xfId="0"/>
    <cellStyle name="_DPF_VSE WFP_100625_GPS OTHER" xfId="0"/>
    <cellStyle name="_DPF_VSE WFP_100625_GPS OTHER 2" xfId="0"/>
    <cellStyle name="_DPF_VSE WFP_100625_GPS OTHER 3" xfId="0"/>
    <cellStyle name="_DPF_VSE WFP_100625_GPS OTHER 4" xfId="0"/>
    <cellStyle name="_DPF_VSE WFP_100625_GPS OTHER 4 2" xfId="0"/>
    <cellStyle name="_DPF_VSE WFP_100625_GPS OTHER_By Region" xfId="0"/>
    <cellStyle name="_DPF_VSE WFP_100625_GPS OTHER_CORP SG&amp;A" xfId="0"/>
    <cellStyle name="_DPF_VSE WFP_100625_GPS OTHER_LCD" xfId="0"/>
    <cellStyle name="_DPF_VSE WFP_100625_GPS OTHER_PJ" xfId="0"/>
    <cellStyle name="_DPF_VSE WFP_100625_LCD" xfId="0"/>
    <cellStyle name="_DPF_VSE WFP_100625_LCD 2" xfId="0"/>
    <cellStyle name="_DPF_VSE WFP_100625_LCD 3" xfId="0"/>
    <cellStyle name="_DPF_VSE WFP_100625_LCD 4" xfId="0"/>
    <cellStyle name="_DPF_VSE WFP_100625_LCD_By Region" xfId="0"/>
    <cellStyle name="_DPF_VSE WFP_100625_LCD_CORP SG&amp;A" xfId="0"/>
    <cellStyle name="_DPF_VSE WFP_100625_LCD_LCD" xfId="0"/>
    <cellStyle name="_DPF_VSE WFP_100625_LCD_PJ" xfId="0"/>
    <cellStyle name="_DPF_VSE WFP_100625_lightling" xfId="0"/>
    <cellStyle name="_DPF_VSE WFP_100625_lightling 2" xfId="0"/>
    <cellStyle name="_DPF_VSE WFP_100625_lightling_By Region" xfId="0"/>
    <cellStyle name="_DPF_VSE WFP_100625_lightling_CORP SG&amp;A" xfId="0"/>
    <cellStyle name="_DPF_VSE WFP_100625_PC Products" xfId="0"/>
    <cellStyle name="_DPF_VSE WFP_100625_PC Products 2" xfId="0"/>
    <cellStyle name="_DPF_VSE WFP_100625_PC Products 3" xfId="0"/>
    <cellStyle name="_DPF_VSE WFP_100625_PC Products 4" xfId="0"/>
    <cellStyle name="_DPF_VSE WFP_100625_PC Products 4 2" xfId="0"/>
    <cellStyle name="_DPF_VSE WFP_100625_PC Products_By Region" xfId="0"/>
    <cellStyle name="_DPF_VSE WFP_100625_PC Products_CORP SG&amp;A" xfId="0"/>
    <cellStyle name="_DPF_VSE WFP_100625_PC Products_LCD" xfId="0"/>
    <cellStyle name="_DPF_VSE WFP_100625_PC Products_PJ" xfId="0"/>
    <cellStyle name="_DPF_VSE WFP_100625_VSA 111014" xfId="0"/>
    <cellStyle name="_DPF_VSE WFP_100625_VSA 111014 2" xfId="0"/>
    <cellStyle name="_DPF_VSE WFP_100625_VSA 111014 3" xfId="0"/>
    <cellStyle name="_DPF_VSE WFP_100625_VSA 111014 4" xfId="0"/>
    <cellStyle name="_DPF_VSE WFP_100625_VSA 111014 4 2" xfId="0"/>
    <cellStyle name="_DPF_VSE WFP_100625_VSA 111014_By Region" xfId="0"/>
    <cellStyle name="_DPF_VSE WFP_100625_VSA 111014_CORP SG&amp;A" xfId="0"/>
    <cellStyle name="_DPF_VSE WFP_100625_VSA 111014_LCD" xfId="0"/>
    <cellStyle name="_DPF_VSE WFP_100625_VSA 111014_PJ" xfId="0"/>
    <cellStyle name="_DPF_VSE WFP_100625_VSA Roll-Up (LW)" xfId="0"/>
    <cellStyle name="_DPF_VSE WFP_100625_VSA Roll-Up (LW) 2" xfId="0"/>
    <cellStyle name="_DPF_VSE WFP_100625_VSA Roll-Up (LW) 3" xfId="0"/>
    <cellStyle name="_DPF_VSE WFP_100625_VSA Roll-Up (LW) 4" xfId="0"/>
    <cellStyle name="_DPF_VSE WFP_100625_VSA Roll-Up (LW) 4 2" xfId="0"/>
    <cellStyle name="_DPF_VSE WFP_100625_VSA Roll-Up (LW)_By Region" xfId="0"/>
    <cellStyle name="_DPF_VSE WFP_100625_VSA Roll-Up (LW)_CORP SG&amp;A" xfId="0"/>
    <cellStyle name="_DPF_VSE WFP_100625_VSA Roll-Up (LW)_LCD" xfId="0"/>
    <cellStyle name="_DPF_VSE WFP_100625_VSA Roll-Up (LW)_PJ" xfId="0"/>
    <cellStyle name="_DPF_VSE WFP_100708_3rd" xfId="0"/>
    <cellStyle name="_DPF_VSE WFP_100708_3rd 2" xfId="0"/>
    <cellStyle name="_DPF_VSE WFP_100708_3rd 3" xfId="0"/>
    <cellStyle name="_DPF_VSE WFP_100708_3rd 4" xfId="0"/>
    <cellStyle name="_DPF_VSE WFP_100708_3rd_By Region" xfId="0"/>
    <cellStyle name="_DPF_VSE WFP_100708_3rd_CORP SG&amp;A" xfId="0"/>
    <cellStyle name="_DPF_VSE WFP_100708_3rd_Digitizer" xfId="0"/>
    <cellStyle name="_DPF_VSE WFP_100708_3rd_GPS OTHER" xfId="0"/>
    <cellStyle name="_DPF_VSE WFP_100708_3rd_GPS OTHER 2" xfId="0"/>
    <cellStyle name="_DPF_VSE WFP_100708_3rd_GPS OTHER 3" xfId="0"/>
    <cellStyle name="_DPF_VSE WFP_100708_3rd_GPS OTHER 4" xfId="0"/>
    <cellStyle name="_DPF_VSE WFP_100708_3rd_GPS OTHER 4 2" xfId="0"/>
    <cellStyle name="_DPF_VSE WFP_100708_3rd_GPS OTHER_By Region" xfId="0"/>
    <cellStyle name="_DPF_VSE WFP_100708_3rd_GPS OTHER_CORP SG&amp;A" xfId="0"/>
    <cellStyle name="_DPF_VSE WFP_100708_3rd_GPS OTHER_LCD" xfId="0"/>
    <cellStyle name="_DPF_VSE WFP_100708_3rd_GPS OTHER_PJ" xfId="0"/>
    <cellStyle name="_DPF_VSE WFP_100708_3rd_LCD" xfId="0"/>
    <cellStyle name="_DPF_VSE WFP_100708_3rd_LCD 2" xfId="0"/>
    <cellStyle name="_DPF_VSE WFP_100708_3rd_LCD 3" xfId="0"/>
    <cellStyle name="_DPF_VSE WFP_100708_3rd_LCD 4" xfId="0"/>
    <cellStyle name="_DPF_VSE WFP_100708_3rd_LCD_By Region" xfId="0"/>
    <cellStyle name="_DPF_VSE WFP_100708_3rd_LCD_CORP SG&amp;A" xfId="0"/>
    <cellStyle name="_DPF_VSE WFP_100708_3rd_LCD_LCD" xfId="0"/>
    <cellStyle name="_DPF_VSE WFP_100708_3rd_LCD_PJ" xfId="0"/>
    <cellStyle name="_DPF_VSE WFP_100708_3rd_lightling" xfId="0"/>
    <cellStyle name="_DPF_VSE WFP_100708_3rd_lightling 2" xfId="0"/>
    <cellStyle name="_DPF_VSE WFP_100708_3rd_lightling_By Region" xfId="0"/>
    <cellStyle name="_DPF_VSE WFP_100708_3rd_lightling_CORP SG&amp;A" xfId="0"/>
    <cellStyle name="_DPF_VSE WFP_100708_3rd_PC Products" xfId="0"/>
    <cellStyle name="_DPF_VSE WFP_100708_3rd_PC Products 2" xfId="0"/>
    <cellStyle name="_DPF_VSE WFP_100708_3rd_PC Products 3" xfId="0"/>
    <cellStyle name="_DPF_VSE WFP_100708_3rd_PC Products 4" xfId="0"/>
    <cellStyle name="_DPF_VSE WFP_100708_3rd_PC Products 4 2" xfId="0"/>
    <cellStyle name="_DPF_VSE WFP_100708_3rd_PC Products_By Region" xfId="0"/>
    <cellStyle name="_DPF_VSE WFP_100708_3rd_PC Products_CORP SG&amp;A" xfId="0"/>
    <cellStyle name="_DPF_VSE WFP_100708_3rd_PC Products_LCD" xfId="0"/>
    <cellStyle name="_DPF_VSE WFP_100708_3rd_PC Products_PJ" xfId="0"/>
    <cellStyle name="_DPF_VSE WFP_100708_3rd_VSA 111014" xfId="0"/>
    <cellStyle name="_DPF_VSE WFP_100708_3rd_VSA 111014 2" xfId="0"/>
    <cellStyle name="_DPF_VSE WFP_100708_3rd_VSA 111014 3" xfId="0"/>
    <cellStyle name="_DPF_VSE WFP_100708_3rd_VSA 111014 4" xfId="0"/>
    <cellStyle name="_DPF_VSE WFP_100708_3rd_VSA 111014 4 2" xfId="0"/>
    <cellStyle name="_DPF_VSE WFP_100708_3rd_VSA 111014_By Region" xfId="0"/>
    <cellStyle name="_DPF_VSE WFP_100708_3rd_VSA 111014_CORP SG&amp;A" xfId="0"/>
    <cellStyle name="_DPF_VSE WFP_100708_3rd_VSA 111014_LCD" xfId="0"/>
    <cellStyle name="_DPF_VSE WFP_100708_3rd_VSA 111014_PJ" xfId="0"/>
    <cellStyle name="_DPF_VSE WFP_100708_3rd_VSA Roll-Up (LW)" xfId="0"/>
    <cellStyle name="_DPF_VSE WFP_100708_3rd_VSA Roll-Up (LW) 2" xfId="0"/>
    <cellStyle name="_DPF_VSE WFP_100708_3rd_VSA Roll-Up (LW) 3" xfId="0"/>
    <cellStyle name="_DPF_VSE WFP_100708_3rd_VSA Roll-Up (LW) 4" xfId="0"/>
    <cellStyle name="_DPF_VSE WFP_100708_3rd_VSA Roll-Up (LW) 4 2" xfId="0"/>
    <cellStyle name="_DPF_VSE WFP_100708_3rd_VSA Roll-Up (LW)_By Region" xfId="0"/>
    <cellStyle name="_DPF_VSE WFP_100708_3rd_VSA Roll-Up (LW)_CORP SG&amp;A" xfId="0"/>
    <cellStyle name="_DPF_VSE WFP_100708_3rd_VSA Roll-Up (LW)_LCD" xfId="0"/>
    <cellStyle name="_DPF_VSE WFP_100708_3rd_VSA Roll-Up (LW)_PJ" xfId="0"/>
    <cellStyle name="_DPF_VSE WFP_100726" xfId="0"/>
    <cellStyle name="_DPF_VSE WFP_100726 2" xfId="0"/>
    <cellStyle name="_DPF_VSE WFP_100726 3" xfId="0"/>
    <cellStyle name="_DPF_VSE WFP_100726 4" xfId="0"/>
    <cellStyle name="_DPF_VSE WFP_100726-1" xfId="0"/>
    <cellStyle name="_DPF_VSE WFP_100726-1 2" xfId="0"/>
    <cellStyle name="_DPF_VSE WFP_100726-1 3" xfId="0"/>
    <cellStyle name="_DPF_VSE WFP_100726-1 4" xfId="0"/>
    <cellStyle name="_DPF_VSE WFP_100726-1_By Region" xfId="0"/>
    <cellStyle name="_DPF_VSE WFP_100726-1_CORP SG&amp;A" xfId="0"/>
    <cellStyle name="_DPF_VSE WFP_100726-1_Digitizer" xfId="0"/>
    <cellStyle name="_DPF_VSE WFP_100726-1_GPS OTHER" xfId="0"/>
    <cellStyle name="_DPF_VSE WFP_100726-1_GPS OTHER 2" xfId="0"/>
    <cellStyle name="_DPF_VSE WFP_100726-1_GPS OTHER 3" xfId="0"/>
    <cellStyle name="_DPF_VSE WFP_100726-1_GPS OTHER 4" xfId="0"/>
    <cellStyle name="_DPF_VSE WFP_100726-1_GPS OTHER 4 2" xfId="0"/>
    <cellStyle name="_DPF_VSE WFP_100726-1_GPS OTHER_By Region" xfId="0"/>
    <cellStyle name="_DPF_VSE WFP_100726-1_GPS OTHER_CORP SG&amp;A" xfId="0"/>
    <cellStyle name="_DPF_VSE WFP_100726-1_GPS OTHER_LCD" xfId="0"/>
    <cellStyle name="_DPF_VSE WFP_100726-1_GPS OTHER_PJ" xfId="0"/>
    <cellStyle name="_DPF_VSE WFP_100726-1_LCD" xfId="0"/>
    <cellStyle name="_DPF_VSE WFP_100726-1_LCD 2" xfId="0"/>
    <cellStyle name="_DPF_VSE WFP_100726-1_LCD 3" xfId="0"/>
    <cellStyle name="_DPF_VSE WFP_100726-1_LCD 4" xfId="0"/>
    <cellStyle name="_DPF_VSE WFP_100726-1_LCD_By Region" xfId="0"/>
    <cellStyle name="_DPF_VSE WFP_100726-1_LCD_CORP SG&amp;A" xfId="0"/>
    <cellStyle name="_DPF_VSE WFP_100726-1_LCD_LCD" xfId="0"/>
    <cellStyle name="_DPF_VSE WFP_100726-1_LCD_PJ" xfId="0"/>
    <cellStyle name="_DPF_VSE WFP_100726-1_lightling" xfId="0"/>
    <cellStyle name="_DPF_VSE WFP_100726-1_lightling 2" xfId="0"/>
    <cellStyle name="_DPF_VSE WFP_100726-1_lightling_By Region" xfId="0"/>
    <cellStyle name="_DPF_VSE WFP_100726-1_lightling_CORP SG&amp;A" xfId="0"/>
    <cellStyle name="_DPF_VSE WFP_100726-1_PC Products" xfId="0"/>
    <cellStyle name="_DPF_VSE WFP_100726-1_PC Products 2" xfId="0"/>
    <cellStyle name="_DPF_VSE WFP_100726-1_PC Products 3" xfId="0"/>
    <cellStyle name="_DPF_VSE WFP_100726-1_PC Products 4" xfId="0"/>
    <cellStyle name="_DPF_VSE WFP_100726-1_PC Products 4 2" xfId="0"/>
    <cellStyle name="_DPF_VSE WFP_100726-1_PC Products_By Region" xfId="0"/>
    <cellStyle name="_DPF_VSE WFP_100726-1_PC Products_CORP SG&amp;A" xfId="0"/>
    <cellStyle name="_DPF_VSE WFP_100726-1_PC Products_LCD" xfId="0"/>
    <cellStyle name="_DPF_VSE WFP_100726-1_PC Products_PJ" xfId="0"/>
    <cellStyle name="_DPF_VSE WFP_100726-1_VSA 111014" xfId="0"/>
    <cellStyle name="_DPF_VSE WFP_100726-1_VSA 111014 2" xfId="0"/>
    <cellStyle name="_DPF_VSE WFP_100726-1_VSA 111014 3" xfId="0"/>
    <cellStyle name="_DPF_VSE WFP_100726-1_VSA 111014 4" xfId="0"/>
    <cellStyle name="_DPF_VSE WFP_100726-1_VSA 111014 4 2" xfId="0"/>
    <cellStyle name="_DPF_VSE WFP_100726-1_VSA 111014_By Region" xfId="0"/>
    <cellStyle name="_DPF_VSE WFP_100726-1_VSA 111014_CORP SG&amp;A" xfId="0"/>
    <cellStyle name="_DPF_VSE WFP_100726-1_VSA 111014_LCD" xfId="0"/>
    <cellStyle name="_DPF_VSE WFP_100726-1_VSA 111014_PJ" xfId="0"/>
    <cellStyle name="_DPF_VSE WFP_100726-1_VSA Roll-Up (LW)" xfId="0"/>
    <cellStyle name="_DPF_VSE WFP_100726-1_VSA Roll-Up (LW) 2" xfId="0"/>
    <cellStyle name="_DPF_VSE WFP_100726-1_VSA Roll-Up (LW) 3" xfId="0"/>
    <cellStyle name="_DPF_VSE WFP_100726-1_VSA Roll-Up (LW) 4" xfId="0"/>
    <cellStyle name="_DPF_VSE WFP_100726-1_VSA Roll-Up (LW) 4 2" xfId="0"/>
    <cellStyle name="_DPF_VSE WFP_100726-1_VSA Roll-Up (LW)_By Region" xfId="0"/>
    <cellStyle name="_DPF_VSE WFP_100726-1_VSA Roll-Up (LW)_CORP SG&amp;A" xfId="0"/>
    <cellStyle name="_DPF_VSE WFP_100726-1_VSA Roll-Up (LW)_LCD" xfId="0"/>
    <cellStyle name="_DPF_VSE WFP_100726-1_VSA Roll-Up (LW)_PJ" xfId="0"/>
    <cellStyle name="_DPF_VSE WFP_100726-2-yc" xfId="0"/>
    <cellStyle name="_DPF_VSE WFP_100726-2-yc 2" xfId="0"/>
    <cellStyle name="_DPF_VSE WFP_100726-2-yc 3" xfId="0"/>
    <cellStyle name="_DPF_VSE WFP_100726-2-yc 4" xfId="0"/>
    <cellStyle name="_DPF_VSE WFP_100726-2-yc_By Region" xfId="0"/>
    <cellStyle name="_DPF_VSE WFP_100726-2-yc_CORP SG&amp;A" xfId="0"/>
    <cellStyle name="_DPF_VSE WFP_100726-2-yc_Digitizer" xfId="0"/>
    <cellStyle name="_DPF_VSE WFP_100726-2-yc_GPS OTHER" xfId="0"/>
    <cellStyle name="_DPF_VSE WFP_100726-2-yc_GPS OTHER 2" xfId="0"/>
    <cellStyle name="_DPF_VSE WFP_100726-2-yc_GPS OTHER 3" xfId="0"/>
    <cellStyle name="_DPF_VSE WFP_100726-2-yc_GPS OTHER 4" xfId="0"/>
    <cellStyle name="_DPF_VSE WFP_100726-2-yc_GPS OTHER 4 2" xfId="0"/>
    <cellStyle name="_DPF_VSE WFP_100726-2-yc_GPS OTHER_By Region" xfId="0"/>
    <cellStyle name="_DPF_VSE WFP_100726-2-yc_GPS OTHER_CORP SG&amp;A" xfId="0"/>
    <cellStyle name="_DPF_VSE WFP_100726-2-yc_GPS OTHER_LCD" xfId="0"/>
    <cellStyle name="_DPF_VSE WFP_100726-2-yc_GPS OTHER_PJ" xfId="0"/>
    <cellStyle name="_DPF_VSE WFP_100726-2-yc_LCD" xfId="0"/>
    <cellStyle name="_DPF_VSE WFP_100726-2-yc_LCD 2" xfId="0"/>
    <cellStyle name="_DPF_VSE WFP_100726-2-yc_LCD 3" xfId="0"/>
    <cellStyle name="_DPF_VSE WFP_100726-2-yc_LCD 4" xfId="0"/>
    <cellStyle name="_DPF_VSE WFP_100726-2-yc_LCD_By Region" xfId="0"/>
    <cellStyle name="_DPF_VSE WFP_100726-2-yc_LCD_CORP SG&amp;A" xfId="0"/>
    <cellStyle name="_DPF_VSE WFP_100726-2-yc_LCD_LCD" xfId="0"/>
    <cellStyle name="_DPF_VSE WFP_100726-2-yc_LCD_PJ" xfId="0"/>
    <cellStyle name="_DPF_VSE WFP_100726-2-yc_lightling" xfId="0"/>
    <cellStyle name="_DPF_VSE WFP_100726-2-yc_lightling 2" xfId="0"/>
    <cellStyle name="_DPF_VSE WFP_100726-2-yc_lightling_By Region" xfId="0"/>
    <cellStyle name="_DPF_VSE WFP_100726-2-yc_lightling_CORP SG&amp;A" xfId="0"/>
    <cellStyle name="_DPF_VSE WFP_100726-2-yc_PC Products" xfId="0"/>
    <cellStyle name="_DPF_VSE WFP_100726-2-yc_PC Products 2" xfId="0"/>
    <cellStyle name="_DPF_VSE WFP_100726-2-yc_PC Products 3" xfId="0"/>
    <cellStyle name="_DPF_VSE WFP_100726-2-yc_PC Products 4" xfId="0"/>
    <cellStyle name="_DPF_VSE WFP_100726-2-yc_PC Products 4 2" xfId="0"/>
    <cellStyle name="_DPF_VSE WFP_100726-2-yc_PC Products_By Region" xfId="0"/>
    <cellStyle name="_DPF_VSE WFP_100726-2-yc_PC Products_CORP SG&amp;A" xfId="0"/>
    <cellStyle name="_DPF_VSE WFP_100726-2-yc_PC Products_LCD" xfId="0"/>
    <cellStyle name="_DPF_VSE WFP_100726-2-yc_PC Products_PJ" xfId="0"/>
    <cellStyle name="_DPF_VSE WFP_100726-2-yc_VSA 111014" xfId="0"/>
    <cellStyle name="_DPF_VSE WFP_100726-2-yc_VSA 111014 2" xfId="0"/>
    <cellStyle name="_DPF_VSE WFP_100726-2-yc_VSA 111014 3" xfId="0"/>
    <cellStyle name="_DPF_VSE WFP_100726-2-yc_VSA 111014 4" xfId="0"/>
    <cellStyle name="_DPF_VSE WFP_100726-2-yc_VSA 111014 4 2" xfId="0"/>
    <cellStyle name="_DPF_VSE WFP_100726-2-yc_VSA 111014_By Region" xfId="0"/>
    <cellStyle name="_DPF_VSE WFP_100726-2-yc_VSA 111014_CORP SG&amp;A" xfId="0"/>
    <cellStyle name="_DPF_VSE WFP_100726-2-yc_VSA 111014_LCD" xfId="0"/>
    <cellStyle name="_DPF_VSE WFP_100726-2-yc_VSA 111014_PJ" xfId="0"/>
    <cellStyle name="_DPF_VSE WFP_100726-2-yc_VSA Roll-Up (LW)" xfId="0"/>
    <cellStyle name="_DPF_VSE WFP_100726-2-yc_VSA Roll-Up (LW) 2" xfId="0"/>
    <cellStyle name="_DPF_VSE WFP_100726-2-yc_VSA Roll-Up (LW) 3" xfId="0"/>
    <cellStyle name="_DPF_VSE WFP_100726-2-yc_VSA Roll-Up (LW) 4" xfId="0"/>
    <cellStyle name="_DPF_VSE WFP_100726-2-yc_VSA Roll-Up (LW) 4 2" xfId="0"/>
    <cellStyle name="_DPF_VSE WFP_100726-2-yc_VSA Roll-Up (LW)_By Region" xfId="0"/>
    <cellStyle name="_DPF_VSE WFP_100726-2-yc_VSA Roll-Up (LW)_CORP SG&amp;A" xfId="0"/>
    <cellStyle name="_DPF_VSE WFP_100726-2-yc_VSA Roll-Up (LW)_LCD" xfId="0"/>
    <cellStyle name="_DPF_VSE WFP_100726-2-yc_VSA Roll-Up (LW)_PJ" xfId="0"/>
    <cellStyle name="_DPF_VSE WFP_100726_By Region" xfId="0"/>
    <cellStyle name="_DPF_VSE WFP_100726_CORP SG&amp;A" xfId="0"/>
    <cellStyle name="_DPF_VSE WFP_100726_Digitizer" xfId="0"/>
    <cellStyle name="_DPF_VSE WFP_100726_GPS OTHER" xfId="0"/>
    <cellStyle name="_DPF_VSE WFP_100726_GPS OTHER 2" xfId="0"/>
    <cellStyle name="_DPF_VSE WFP_100726_GPS OTHER 3" xfId="0"/>
    <cellStyle name="_DPF_VSE WFP_100726_GPS OTHER 4" xfId="0"/>
    <cellStyle name="_DPF_VSE WFP_100726_GPS OTHER 4 2" xfId="0"/>
    <cellStyle name="_DPF_VSE WFP_100726_GPS OTHER_By Region" xfId="0"/>
    <cellStyle name="_DPF_VSE WFP_100726_GPS OTHER_CORP SG&amp;A" xfId="0"/>
    <cellStyle name="_DPF_VSE WFP_100726_GPS OTHER_LCD" xfId="0"/>
    <cellStyle name="_DPF_VSE WFP_100726_GPS OTHER_PJ" xfId="0"/>
    <cellStyle name="_DPF_VSE WFP_100726_LCD" xfId="0"/>
    <cellStyle name="_DPF_VSE WFP_100726_LCD 2" xfId="0"/>
    <cellStyle name="_DPF_VSE WFP_100726_LCD 3" xfId="0"/>
    <cellStyle name="_DPF_VSE WFP_100726_LCD 4" xfId="0"/>
    <cellStyle name="_DPF_VSE WFP_100726_LCD_By Region" xfId="0"/>
    <cellStyle name="_DPF_VSE WFP_100726_LCD_CORP SG&amp;A" xfId="0"/>
    <cellStyle name="_DPF_VSE WFP_100726_LCD_LCD" xfId="0"/>
    <cellStyle name="_DPF_VSE WFP_100726_LCD_PJ" xfId="0"/>
    <cellStyle name="_DPF_VSE WFP_100726_lightling" xfId="0"/>
    <cellStyle name="_DPF_VSE WFP_100726_lightling 2" xfId="0"/>
    <cellStyle name="_DPF_VSE WFP_100726_lightling_By Region" xfId="0"/>
    <cellStyle name="_DPF_VSE WFP_100726_lightling_CORP SG&amp;A" xfId="0"/>
    <cellStyle name="_DPF_VSE WFP_100726_PC Products" xfId="0"/>
    <cellStyle name="_DPF_VSE WFP_100726_PC Products 2" xfId="0"/>
    <cellStyle name="_DPF_VSE WFP_100726_PC Products 3" xfId="0"/>
    <cellStyle name="_DPF_VSE WFP_100726_PC Products 4" xfId="0"/>
    <cellStyle name="_DPF_VSE WFP_100726_PC Products 4 2" xfId="0"/>
    <cellStyle name="_DPF_VSE WFP_100726_PC Products_By Region" xfId="0"/>
    <cellStyle name="_DPF_VSE WFP_100726_PC Products_CORP SG&amp;A" xfId="0"/>
    <cellStyle name="_DPF_VSE WFP_100726_PC Products_LCD" xfId="0"/>
    <cellStyle name="_DPF_VSE WFP_100726_PC Products_PJ" xfId="0"/>
    <cellStyle name="_DPF_VSE WFP_100726_VSA 111014" xfId="0"/>
    <cellStyle name="_DPF_VSE WFP_100726_VSA 111014 2" xfId="0"/>
    <cellStyle name="_DPF_VSE WFP_100726_VSA 111014 3" xfId="0"/>
    <cellStyle name="_DPF_VSE WFP_100726_VSA 111014 4" xfId="0"/>
    <cellStyle name="_DPF_VSE WFP_100726_VSA 111014 4 2" xfId="0"/>
    <cellStyle name="_DPF_VSE WFP_100726_VSA 111014_By Region" xfId="0"/>
    <cellStyle name="_DPF_VSE WFP_100726_VSA 111014_CORP SG&amp;A" xfId="0"/>
    <cellStyle name="_DPF_VSE WFP_100726_VSA 111014_LCD" xfId="0"/>
    <cellStyle name="_DPF_VSE WFP_100726_VSA 111014_PJ" xfId="0"/>
    <cellStyle name="_DPF_VSE WFP_100726_VSA Roll-Up (LW)" xfId="0"/>
    <cellStyle name="_DPF_VSE WFP_100726_VSA Roll-Up (LW) 2" xfId="0"/>
    <cellStyle name="_DPF_VSE WFP_100726_VSA Roll-Up (LW) 3" xfId="0"/>
    <cellStyle name="_DPF_VSE WFP_100726_VSA Roll-Up (LW) 4" xfId="0"/>
    <cellStyle name="_DPF_VSE WFP_100726_VSA Roll-Up (LW) 4 2" xfId="0"/>
    <cellStyle name="_DPF_VSE WFP_100726_VSA Roll-Up (LW)_By Region" xfId="0"/>
    <cellStyle name="_DPF_VSE WFP_100726_VSA Roll-Up (LW)_CORP SG&amp;A" xfId="0"/>
    <cellStyle name="_DPF_VSE WFP_100726_VSA Roll-Up (LW)_LCD" xfId="0"/>
    <cellStyle name="_DPF_VSE WFP_100726_VSA Roll-Up (LW)_PJ" xfId="0"/>
    <cellStyle name="_DPF_VSE WFP_100827-1" xfId="0"/>
    <cellStyle name="_DPF_VSE WFP_100827-1 2" xfId="0"/>
    <cellStyle name="_DPF_VSE WFP_100827-1 3" xfId="0"/>
    <cellStyle name="_DPF_VSE WFP_100827-1 4" xfId="0"/>
    <cellStyle name="_DPF_VSE WFP_100827-1_By Region" xfId="0"/>
    <cellStyle name="_DPF_VSE WFP_100827-1_CORP SG&amp;A" xfId="0"/>
    <cellStyle name="_DPF_VSE WFP_100827-1_Digitizer" xfId="0"/>
    <cellStyle name="_DPF_VSE WFP_100827-1_GPS OTHER" xfId="0"/>
    <cellStyle name="_DPF_VSE WFP_100827-1_GPS OTHER 2" xfId="0"/>
    <cellStyle name="_DPF_VSE WFP_100827-1_GPS OTHER 3" xfId="0"/>
    <cellStyle name="_DPF_VSE WFP_100827-1_GPS OTHER 4" xfId="0"/>
    <cellStyle name="_DPF_VSE WFP_100827-1_GPS OTHER 4 2" xfId="0"/>
    <cellStyle name="_DPF_VSE WFP_100827-1_GPS OTHER_By Region" xfId="0"/>
    <cellStyle name="_DPF_VSE WFP_100827-1_GPS OTHER_CORP SG&amp;A" xfId="0"/>
    <cellStyle name="_DPF_VSE WFP_100827-1_GPS OTHER_LCD" xfId="0"/>
    <cellStyle name="_DPF_VSE WFP_100827-1_GPS OTHER_PJ" xfId="0"/>
    <cellStyle name="_DPF_VSE WFP_100827-1_LCD" xfId="0"/>
    <cellStyle name="_DPF_VSE WFP_100827-1_LCD 2" xfId="0"/>
    <cellStyle name="_DPF_VSE WFP_100827-1_LCD 3" xfId="0"/>
    <cellStyle name="_DPF_VSE WFP_100827-1_LCD 4" xfId="0"/>
    <cellStyle name="_DPF_VSE WFP_100827-1_LCD_By Region" xfId="0"/>
    <cellStyle name="_DPF_VSE WFP_100827-1_LCD_CORP SG&amp;A" xfId="0"/>
    <cellStyle name="_DPF_VSE WFP_100827-1_LCD_LCD" xfId="0"/>
    <cellStyle name="_DPF_VSE WFP_100827-1_LCD_PJ" xfId="0"/>
    <cellStyle name="_DPF_VSE WFP_100827-1_lightling" xfId="0"/>
    <cellStyle name="_DPF_VSE WFP_100827-1_lightling 2" xfId="0"/>
    <cellStyle name="_DPF_VSE WFP_100827-1_lightling_By Region" xfId="0"/>
    <cellStyle name="_DPF_VSE WFP_100827-1_lightling_CORP SG&amp;A" xfId="0"/>
    <cellStyle name="_DPF_VSE WFP_100827-1_PC Products" xfId="0"/>
    <cellStyle name="_DPF_VSE WFP_100827-1_PC Products 2" xfId="0"/>
    <cellStyle name="_DPF_VSE WFP_100827-1_PC Products 3" xfId="0"/>
    <cellStyle name="_DPF_VSE WFP_100827-1_PC Products 4" xfId="0"/>
    <cellStyle name="_DPF_VSE WFP_100827-1_PC Products 4 2" xfId="0"/>
    <cellStyle name="_DPF_VSE WFP_100827-1_PC Products_By Region" xfId="0"/>
    <cellStyle name="_DPF_VSE WFP_100827-1_PC Products_CORP SG&amp;A" xfId="0"/>
    <cellStyle name="_DPF_VSE WFP_100827-1_PC Products_LCD" xfId="0"/>
    <cellStyle name="_DPF_VSE WFP_100827-1_PC Products_PJ" xfId="0"/>
    <cellStyle name="_DPF_VSE WFP_100827-1_VSA 111014" xfId="0"/>
    <cellStyle name="_DPF_VSE WFP_100827-1_VSA 111014 2" xfId="0"/>
    <cellStyle name="_DPF_VSE WFP_100827-1_VSA 111014 3" xfId="0"/>
    <cellStyle name="_DPF_VSE WFP_100827-1_VSA 111014 4" xfId="0"/>
    <cellStyle name="_DPF_VSE WFP_100827-1_VSA 111014 4 2" xfId="0"/>
    <cellStyle name="_DPF_VSE WFP_100827-1_VSA 111014_By Region" xfId="0"/>
    <cellStyle name="_DPF_VSE WFP_100827-1_VSA 111014_CORP SG&amp;A" xfId="0"/>
    <cellStyle name="_DPF_VSE WFP_100827-1_VSA 111014_LCD" xfId="0"/>
    <cellStyle name="_DPF_VSE WFP_100827-1_VSA 111014_PJ" xfId="0"/>
    <cellStyle name="_DPF_VSE WFP_100827-1_VSA Roll-Up (LW)" xfId="0"/>
    <cellStyle name="_DPF_VSE WFP_100827-1_VSA Roll-Up (LW) 2" xfId="0"/>
    <cellStyle name="_DPF_VSE WFP_100827-1_VSA Roll-Up (LW) 3" xfId="0"/>
    <cellStyle name="_DPF_VSE WFP_100827-1_VSA Roll-Up (LW) 4" xfId="0"/>
    <cellStyle name="_DPF_VSE WFP_100827-1_VSA Roll-Up (LW) 4 2" xfId="0"/>
    <cellStyle name="_DPF_VSE WFP_100827-1_VSA Roll-Up (LW)_By Region" xfId="0"/>
    <cellStyle name="_DPF_VSE WFP_100827-1_VSA Roll-Up (LW)_CORP SG&amp;A" xfId="0"/>
    <cellStyle name="_DPF_VSE WFP_100827-1_VSA Roll-Up (LW)_LCD" xfId="0"/>
    <cellStyle name="_DPF_VSE WFP_100827-1_VSA Roll-Up (LW)_PJ" xfId="0"/>
    <cellStyle name="_DPF_VSE WFP_101001" xfId="0"/>
    <cellStyle name="_DPF_VSE WFP_101001 2" xfId="0"/>
    <cellStyle name="_DPF_VSE WFP_101001 3" xfId="0"/>
    <cellStyle name="_DPF_VSE WFP_101001 4" xfId="0"/>
    <cellStyle name="_DPF_VSE WFP_101001_By Region" xfId="0"/>
    <cellStyle name="_DPF_VSE WFP_101001_CORP SG&amp;A" xfId="0"/>
    <cellStyle name="_DPF_VSE WFP_101001_Digitizer" xfId="0"/>
    <cellStyle name="_DPF_VSE WFP_101001_GPS OTHER" xfId="0"/>
    <cellStyle name="_DPF_VSE WFP_101001_GPS OTHER 2" xfId="0"/>
    <cellStyle name="_DPF_VSE WFP_101001_GPS OTHER 3" xfId="0"/>
    <cellStyle name="_DPF_VSE WFP_101001_GPS OTHER 4" xfId="0"/>
    <cellStyle name="_DPF_VSE WFP_101001_GPS OTHER 4 2" xfId="0"/>
    <cellStyle name="_DPF_VSE WFP_101001_GPS OTHER_By Region" xfId="0"/>
    <cellStyle name="_DPF_VSE WFP_101001_GPS OTHER_CORP SG&amp;A" xfId="0"/>
    <cellStyle name="_DPF_VSE WFP_101001_GPS OTHER_LCD" xfId="0"/>
    <cellStyle name="_DPF_VSE WFP_101001_GPS OTHER_PJ" xfId="0"/>
    <cellStyle name="_DPF_VSE WFP_101001_LCD" xfId="0"/>
    <cellStyle name="_DPF_VSE WFP_101001_LCD 2" xfId="0"/>
    <cellStyle name="_DPF_VSE WFP_101001_LCD 3" xfId="0"/>
    <cellStyle name="_DPF_VSE WFP_101001_LCD 4" xfId="0"/>
    <cellStyle name="_DPF_VSE WFP_101001_LCD_By Region" xfId="0"/>
    <cellStyle name="_DPF_VSE WFP_101001_LCD_CORP SG&amp;A" xfId="0"/>
    <cellStyle name="_DPF_VSE WFP_101001_LCD_LCD" xfId="0"/>
    <cellStyle name="_DPF_VSE WFP_101001_LCD_PJ" xfId="0"/>
    <cellStyle name="_DPF_VSE WFP_101001_lightling" xfId="0"/>
    <cellStyle name="_DPF_VSE WFP_101001_lightling 2" xfId="0"/>
    <cellStyle name="_DPF_VSE WFP_101001_lightling_By Region" xfId="0"/>
    <cellStyle name="_DPF_VSE WFP_101001_lightling_CORP SG&amp;A" xfId="0"/>
    <cellStyle name="_DPF_VSE WFP_101001_PC Products" xfId="0"/>
    <cellStyle name="_DPF_VSE WFP_101001_PC Products 2" xfId="0"/>
    <cellStyle name="_DPF_VSE WFP_101001_PC Products 3" xfId="0"/>
    <cellStyle name="_DPF_VSE WFP_101001_PC Products 4" xfId="0"/>
    <cellStyle name="_DPF_VSE WFP_101001_PC Products 4 2" xfId="0"/>
    <cellStyle name="_DPF_VSE WFP_101001_PC Products_By Region" xfId="0"/>
    <cellStyle name="_DPF_VSE WFP_101001_PC Products_CORP SG&amp;A" xfId="0"/>
    <cellStyle name="_DPF_VSE WFP_101001_PC Products_LCD" xfId="0"/>
    <cellStyle name="_DPF_VSE WFP_101001_PC Products_PJ" xfId="0"/>
    <cellStyle name="_DPF_VSE WFP_101001_VSA 111014" xfId="0"/>
    <cellStyle name="_DPF_VSE WFP_101001_VSA 111014 2" xfId="0"/>
    <cellStyle name="_DPF_VSE WFP_101001_VSA 111014 3" xfId="0"/>
    <cellStyle name="_DPF_VSE WFP_101001_VSA 111014 4" xfId="0"/>
    <cellStyle name="_DPF_VSE WFP_101001_VSA 111014 4 2" xfId="0"/>
    <cellStyle name="_DPF_VSE WFP_101001_VSA 111014_By Region" xfId="0"/>
    <cellStyle name="_DPF_VSE WFP_101001_VSA 111014_CORP SG&amp;A" xfId="0"/>
    <cellStyle name="_DPF_VSE WFP_101001_VSA 111014_LCD" xfId="0"/>
    <cellStyle name="_DPF_VSE WFP_101001_VSA 111014_PJ" xfId="0"/>
    <cellStyle name="_DPF_VSE WFP_101001_VSA Roll-Up (LW)" xfId="0"/>
    <cellStyle name="_DPF_VSE WFP_101001_VSA Roll-Up (LW) 2" xfId="0"/>
    <cellStyle name="_DPF_VSE WFP_101001_VSA Roll-Up (LW) 3" xfId="0"/>
    <cellStyle name="_DPF_VSE WFP_101001_VSA Roll-Up (LW) 4" xfId="0"/>
    <cellStyle name="_DPF_VSE WFP_101001_VSA Roll-Up (LW) 4 2" xfId="0"/>
    <cellStyle name="_DPF_VSE WFP_101001_VSA Roll-Up (LW)_By Region" xfId="0"/>
    <cellStyle name="_DPF_VSE WFP_101001_VSA Roll-Up (LW)_CORP SG&amp;A" xfId="0"/>
    <cellStyle name="_DPF_VSE WFP_101001_VSA Roll-Up (LW)_LCD" xfId="0"/>
    <cellStyle name="_DPF_VSE WFP_101001_VSA Roll-Up (LW)_PJ" xfId="0"/>
    <cellStyle name="_DPF_VSE WFP_101029-with more ViewPad 7" xfId="0"/>
    <cellStyle name="_DPF_VSE WFP_101029-with more ViewPad 7 2" xfId="0"/>
    <cellStyle name="_DPF_VSE WFP_101029-with more ViewPad 7 3" xfId="0"/>
    <cellStyle name="_DPF_VSE WFP_101029-with more ViewPad 7 4" xfId="0"/>
    <cellStyle name="_DPF_VSE WFP_101029-with more ViewPad 7_By Region" xfId="0"/>
    <cellStyle name="_DPF_VSE WFP_101029-with more ViewPad 7_CORP SG&amp;A" xfId="0"/>
    <cellStyle name="_DPF_VSE WFP_101029-with more ViewPad 7_Digitizer" xfId="0"/>
    <cellStyle name="_DPF_VSE WFP_101029-with more ViewPad 7_GPS OTHER" xfId="0"/>
    <cellStyle name="_DPF_VSE WFP_101029-with more ViewPad 7_GPS OTHER 2" xfId="0"/>
    <cellStyle name="_DPF_VSE WFP_101029-with more ViewPad 7_GPS OTHER 3" xfId="0"/>
    <cellStyle name="_DPF_VSE WFP_101029-with more ViewPad 7_GPS OTHER 4" xfId="0"/>
    <cellStyle name="_DPF_VSE WFP_101029-with more ViewPad 7_GPS OTHER 4 2" xfId="0"/>
    <cellStyle name="_DPF_VSE WFP_101029-with more ViewPad 7_GPS OTHER_By Region" xfId="0"/>
    <cellStyle name="_DPF_VSE WFP_101029-with more ViewPad 7_GPS OTHER_CORP SG&amp;A" xfId="0"/>
    <cellStyle name="_DPF_VSE WFP_101029-with more ViewPad 7_GPS OTHER_LCD" xfId="0"/>
    <cellStyle name="_DPF_VSE WFP_101029-with more ViewPad 7_GPS OTHER_PJ" xfId="0"/>
    <cellStyle name="_DPF_VSE WFP_101029-with more ViewPad 7_LCD" xfId="0"/>
    <cellStyle name="_DPF_VSE WFP_101029-with more ViewPad 7_LCD 2" xfId="0"/>
    <cellStyle name="_DPF_VSE WFP_101029-with more ViewPad 7_LCD 3" xfId="0"/>
    <cellStyle name="_DPF_VSE WFP_101029-with more ViewPad 7_LCD 4" xfId="0"/>
    <cellStyle name="_DPF_VSE WFP_101029-with more ViewPad 7_LCD_By Region" xfId="0"/>
    <cellStyle name="_DPF_VSE WFP_101029-with more ViewPad 7_LCD_CORP SG&amp;A" xfId="0"/>
    <cellStyle name="_DPF_VSE WFP_101029-with more ViewPad 7_LCD_LCD" xfId="0"/>
    <cellStyle name="_DPF_VSE WFP_101029-with more ViewPad 7_LCD_PJ" xfId="0"/>
    <cellStyle name="_DPF_VSE WFP_101029-with more ViewPad 7_lightling" xfId="0"/>
    <cellStyle name="_DPF_VSE WFP_101029-with more ViewPad 7_lightling 2" xfId="0"/>
    <cellStyle name="_DPF_VSE WFP_101029-with more ViewPad 7_lightling_By Region" xfId="0"/>
    <cellStyle name="_DPF_VSE WFP_101029-with more ViewPad 7_lightling_CORP SG&amp;A" xfId="0"/>
    <cellStyle name="_DPF_VSE WFP_101029-with more ViewPad 7_PC Products" xfId="0"/>
    <cellStyle name="_DPF_VSE WFP_101029-with more ViewPad 7_PC Products 2" xfId="0"/>
    <cellStyle name="_DPF_VSE WFP_101029-with more ViewPad 7_PC Products 3" xfId="0"/>
    <cellStyle name="_DPF_VSE WFP_101029-with more ViewPad 7_PC Products 4" xfId="0"/>
    <cellStyle name="_DPF_VSE WFP_101029-with more ViewPad 7_PC Products 4 2" xfId="0"/>
    <cellStyle name="_DPF_VSE WFP_101029-with more ViewPad 7_PC Products_By Region" xfId="0"/>
    <cellStyle name="_DPF_VSE WFP_101029-with more ViewPad 7_PC Products_CORP SG&amp;A" xfId="0"/>
    <cellStyle name="_DPF_VSE WFP_101029-with more ViewPad 7_PC Products_LCD" xfId="0"/>
    <cellStyle name="_DPF_VSE WFP_101029-with more ViewPad 7_PC Products_PJ" xfId="0"/>
    <cellStyle name="_DPF_VSE WFP_101029-with more ViewPad 7_VSA 111014" xfId="0"/>
    <cellStyle name="_DPF_VSE WFP_101029-with more ViewPad 7_VSA 111014 2" xfId="0"/>
    <cellStyle name="_DPF_VSE WFP_101029-with more ViewPad 7_VSA 111014 3" xfId="0"/>
    <cellStyle name="_DPF_VSE WFP_101029-with more ViewPad 7_VSA 111014 4" xfId="0"/>
    <cellStyle name="_DPF_VSE WFP_101029-with more ViewPad 7_VSA 111014 4 2" xfId="0"/>
    <cellStyle name="_DPF_VSE WFP_101029-with more ViewPad 7_VSA 111014_By Region" xfId="0"/>
    <cellStyle name="_DPF_VSE WFP_101029-with more ViewPad 7_VSA 111014_CORP SG&amp;A" xfId="0"/>
    <cellStyle name="_DPF_VSE WFP_101029-with more ViewPad 7_VSA 111014_LCD" xfId="0"/>
    <cellStyle name="_DPF_VSE WFP_101029-with more ViewPad 7_VSA 111014_PJ" xfId="0"/>
    <cellStyle name="_DPF_VSE WFP_101029-with more ViewPad 7_VSA Roll-Up (LW)" xfId="0"/>
    <cellStyle name="_DPF_VSE WFP_101029-with more ViewPad 7_VSA Roll-Up (LW) 2" xfId="0"/>
    <cellStyle name="_DPF_VSE WFP_101029-with more ViewPad 7_VSA Roll-Up (LW) 3" xfId="0"/>
    <cellStyle name="_DPF_VSE WFP_101029-with more ViewPad 7_VSA Roll-Up (LW) 4" xfId="0"/>
    <cellStyle name="_DPF_VSE WFP_101029-with more ViewPad 7_VSA Roll-Up (LW) 4 2" xfId="0"/>
    <cellStyle name="_DPF_VSE WFP_101029-with more ViewPad 7_VSA Roll-Up (LW)_By Region" xfId="0"/>
    <cellStyle name="_DPF_VSE WFP_101029-with more ViewPad 7_VSA Roll-Up (LW)_CORP SG&amp;A" xfId="0"/>
    <cellStyle name="_DPF_VSE WFP_101029-with more ViewPad 7_VSA Roll-Up (LW)_LCD" xfId="0"/>
    <cellStyle name="_DPF_VSE WFP_101029-with more ViewPad 7_VSA Roll-Up (LW)_PJ" xfId="0"/>
    <cellStyle name="_draft" xfId="0"/>
    <cellStyle name="_draft 2" xfId="0"/>
    <cellStyle name="_draft_1" xfId="0"/>
    <cellStyle name="_draft_1 2" xfId="0"/>
    <cellStyle name="_draft_CORP SG&amp;A" xfId="0"/>
    <cellStyle name="_DS" xfId="0"/>
    <cellStyle name="_DS 2" xfId="0"/>
    <cellStyle name="_DS 3" xfId="0"/>
    <cellStyle name="_DS 4" xfId="0"/>
    <cellStyle name="_DS 5" xfId="0"/>
    <cellStyle name="_DS DCR" xfId="0"/>
    <cellStyle name="_DS DCR 2" xfId="0"/>
    <cellStyle name="_DS DCR_VSE DCR Planning Model and Trend Charts 20100118" xfId="0"/>
    <cellStyle name="_DS DCR_VSE DCR Planning Model and Trend Charts 20100118 2" xfId="0"/>
    <cellStyle name="_DS DCR_VSE DCR Planning Model and Trend Charts 20100315" xfId="0"/>
    <cellStyle name="_DS DCR_VSE DCR Planning Model and Trend Charts 20100315 2" xfId="0"/>
    <cellStyle name="_DS_By Region" xfId="0"/>
    <cellStyle name="_DS_CIS" xfId="0"/>
    <cellStyle name="_DS_CIS 2" xfId="0"/>
    <cellStyle name="_DS_CIS 3" xfId="0"/>
    <cellStyle name="_DS_CIS 4" xfId="0"/>
    <cellStyle name="_DS_CIS_By Region" xfId="0"/>
    <cellStyle name="_DS_CIS_CORP SG&amp;A" xfId="0"/>
    <cellStyle name="_DS_CIS_Digitizer" xfId="0"/>
    <cellStyle name="_DS_CIS_GPS OTHER" xfId="0"/>
    <cellStyle name="_DS_CIS_GPS OTHER 2" xfId="0"/>
    <cellStyle name="_DS_CIS_GPS OTHER 3" xfId="0"/>
    <cellStyle name="_DS_CIS_GPS OTHER 4" xfId="0"/>
    <cellStyle name="_DS_CIS_GPS OTHER 4 2" xfId="0"/>
    <cellStyle name="_DS_CIS_GPS OTHER_By Region" xfId="0"/>
    <cellStyle name="_DS_CIS_GPS OTHER_CORP SG&amp;A" xfId="0"/>
    <cellStyle name="_DS_CIS_GPS OTHER_LCD" xfId="0"/>
    <cellStyle name="_DS_CIS_GPS OTHER_PJ" xfId="0"/>
    <cellStyle name="_DS_CIS_LCD" xfId="0"/>
    <cellStyle name="_DS_CIS_LCD 2" xfId="0"/>
    <cellStyle name="_DS_CIS_LCD 3" xfId="0"/>
    <cellStyle name="_DS_CIS_LCD 4" xfId="0"/>
    <cellStyle name="_DS_CIS_LCD_By Region" xfId="0"/>
    <cellStyle name="_DS_CIS_LCD_CORP SG&amp;A" xfId="0"/>
    <cellStyle name="_DS_CIS_LCD_LCD" xfId="0"/>
    <cellStyle name="_DS_CIS_LCD_PJ" xfId="0"/>
    <cellStyle name="_DS_CIS_lightling" xfId="0"/>
    <cellStyle name="_DS_CIS_lightling 2" xfId="0"/>
    <cellStyle name="_DS_CIS_lightling_By Region" xfId="0"/>
    <cellStyle name="_DS_CIS_lightling_CORP SG&amp;A" xfId="0"/>
    <cellStyle name="_DS_CIS_PC Products" xfId="0"/>
    <cellStyle name="_DS_CIS_PC Products 2" xfId="0"/>
    <cellStyle name="_DS_CIS_PC Products 3" xfId="0"/>
    <cellStyle name="_DS_CIS_PC Products 4" xfId="0"/>
    <cellStyle name="_DS_CIS_PC Products 4 2" xfId="0"/>
    <cellStyle name="_DS_CIS_PC Products_By Region" xfId="0"/>
    <cellStyle name="_DS_CIS_PC Products_CORP SG&amp;A" xfId="0"/>
    <cellStyle name="_DS_CIS_PC Products_LCD" xfId="0"/>
    <cellStyle name="_DS_CIS_PC Products_PJ" xfId="0"/>
    <cellStyle name="_DS_CIS_VSA 111014" xfId="0"/>
    <cellStyle name="_DS_CIS_VSA 111014 2" xfId="0"/>
    <cellStyle name="_DS_CIS_VSA 111014 3" xfId="0"/>
    <cellStyle name="_DS_CIS_VSA 111014 4" xfId="0"/>
    <cellStyle name="_DS_CIS_VSA 111014 4 2" xfId="0"/>
    <cellStyle name="_DS_CIS_VSA 111014_By Region" xfId="0"/>
    <cellStyle name="_DS_CIS_VSA 111014_CORP SG&amp;A" xfId="0"/>
    <cellStyle name="_DS_CIS_VSA 111014_LCD" xfId="0"/>
    <cellStyle name="_DS_CIS_VSA 111014_PJ" xfId="0"/>
    <cellStyle name="_DS_CIS_VSA Roll-Up (LW)" xfId="0"/>
    <cellStyle name="_DS_CIS_VSA Roll-Up (LW) 2" xfId="0"/>
    <cellStyle name="_DS_CIS_VSA Roll-Up (LW) 3" xfId="0"/>
    <cellStyle name="_DS_CIS_VSA Roll-Up (LW) 4" xfId="0"/>
    <cellStyle name="_DS_CIS_VSA Roll-Up (LW) 4 2" xfId="0"/>
    <cellStyle name="_DS_CIS_VSA Roll-Up (LW)_By Region" xfId="0"/>
    <cellStyle name="_DS_CIS_VSA Roll-Up (LW)_CORP SG&amp;A" xfId="0"/>
    <cellStyle name="_DS_CIS_VSA Roll-Up (LW)_LCD" xfId="0"/>
    <cellStyle name="_DS_CIS_VSA Roll-Up (LW)_PJ" xfId="0"/>
    <cellStyle name="_DS_CORP SG&amp;A" xfId="0"/>
    <cellStyle name="_DS_CRT" xfId="0"/>
    <cellStyle name="_DS_CRT 2" xfId="0"/>
    <cellStyle name="_DS_CRT 3" xfId="0"/>
    <cellStyle name="_DS_CRT 4" xfId="0"/>
    <cellStyle name="_DS_CRT_By Region" xfId="0"/>
    <cellStyle name="_DS_CRT_CORP SG&amp;A" xfId="0"/>
    <cellStyle name="_DS_CRT_Digitizer" xfId="0"/>
    <cellStyle name="_DS_CRT_GPS OTHER" xfId="0"/>
    <cellStyle name="_DS_CRT_GPS OTHER 2" xfId="0"/>
    <cellStyle name="_DS_CRT_GPS OTHER 3" xfId="0"/>
    <cellStyle name="_DS_CRT_GPS OTHER 4" xfId="0"/>
    <cellStyle name="_DS_CRT_GPS OTHER 4 2" xfId="0"/>
    <cellStyle name="_DS_CRT_GPS OTHER_By Region" xfId="0"/>
    <cellStyle name="_DS_CRT_GPS OTHER_CORP SG&amp;A" xfId="0"/>
    <cellStyle name="_DS_CRT_GPS OTHER_LCD" xfId="0"/>
    <cellStyle name="_DS_CRT_GPS OTHER_PJ" xfId="0"/>
    <cellStyle name="_DS_CRT_LCD" xfId="0"/>
    <cellStyle name="_DS_CRT_LCD 2" xfId="0"/>
    <cellStyle name="_DS_CRT_LCD 3" xfId="0"/>
    <cellStyle name="_DS_CRT_LCD 4" xfId="0"/>
    <cellStyle name="_DS_CRT_LCD_By Region" xfId="0"/>
    <cellStyle name="_DS_CRT_LCD_CORP SG&amp;A" xfId="0"/>
    <cellStyle name="_DS_CRT_LCD_LCD" xfId="0"/>
    <cellStyle name="_DS_CRT_LCD_PJ" xfId="0"/>
    <cellStyle name="_DS_CRT_lightling" xfId="0"/>
    <cellStyle name="_DS_CRT_lightling 2" xfId="0"/>
    <cellStyle name="_DS_CRT_lightling_By Region" xfId="0"/>
    <cellStyle name="_DS_CRT_lightling_CORP SG&amp;A" xfId="0"/>
    <cellStyle name="_DS_CRT_PC Products" xfId="0"/>
    <cellStyle name="_DS_CRT_PC Products 2" xfId="0"/>
    <cellStyle name="_DS_CRT_PC Products 3" xfId="0"/>
    <cellStyle name="_DS_CRT_PC Products 4" xfId="0"/>
    <cellStyle name="_DS_CRT_PC Products 4 2" xfId="0"/>
    <cellStyle name="_DS_CRT_PC Products_By Region" xfId="0"/>
    <cellStyle name="_DS_CRT_PC Products_CORP SG&amp;A" xfId="0"/>
    <cellStyle name="_DS_CRT_PC Products_LCD" xfId="0"/>
    <cellStyle name="_DS_CRT_PC Products_PJ" xfId="0"/>
    <cellStyle name="_DS_CRT_VSA 111014" xfId="0"/>
    <cellStyle name="_DS_CRT_VSA 111014 2" xfId="0"/>
    <cellStyle name="_DS_CRT_VSA 111014 3" xfId="0"/>
    <cellStyle name="_DS_CRT_VSA 111014 4" xfId="0"/>
    <cellStyle name="_DS_CRT_VSA 111014 4 2" xfId="0"/>
    <cellStyle name="_DS_CRT_VSA 111014_By Region" xfId="0"/>
    <cellStyle name="_DS_CRT_VSA 111014_CORP SG&amp;A" xfId="0"/>
    <cellStyle name="_DS_CRT_VSA 111014_LCD" xfId="0"/>
    <cellStyle name="_DS_CRT_VSA 111014_PJ" xfId="0"/>
    <cellStyle name="_DS_CRT_VSA Roll-Up (LW)" xfId="0"/>
    <cellStyle name="_DS_CRT_VSA Roll-Up (LW) 2" xfId="0"/>
    <cellStyle name="_DS_CRT_VSA Roll-Up (LW) 3" xfId="0"/>
    <cellStyle name="_DS_CRT_VSA Roll-Up (LW) 4" xfId="0"/>
    <cellStyle name="_DS_CRT_VSA Roll-Up (LW) 4 2" xfId="0"/>
    <cellStyle name="_DS_CRT_VSA Roll-Up (LW)_By Region" xfId="0"/>
    <cellStyle name="_DS_CRT_VSA Roll-Up (LW)_CORP SG&amp;A" xfId="0"/>
    <cellStyle name="_DS_CRT_VSA Roll-Up (LW)_LCD" xfId="0"/>
    <cellStyle name="_DS_CRT_VSA Roll-Up (LW)_PJ" xfId="0"/>
    <cellStyle name="_DS_Diff" xfId="0"/>
    <cellStyle name="_DS_Diff 2" xfId="0"/>
    <cellStyle name="_DS_Diff 3" xfId="0"/>
    <cellStyle name="_DS_Diff 4" xfId="0"/>
    <cellStyle name="_DS_Diff_By Region" xfId="0"/>
    <cellStyle name="_DS_Diff_CORP SG&amp;A" xfId="0"/>
    <cellStyle name="_DS_Diff_Digitizer" xfId="0"/>
    <cellStyle name="_DS_Diff_GPS OTHER" xfId="0"/>
    <cellStyle name="_DS_Diff_GPS OTHER 2" xfId="0"/>
    <cellStyle name="_DS_Diff_GPS OTHER 3" xfId="0"/>
    <cellStyle name="_DS_Diff_GPS OTHER 4" xfId="0"/>
    <cellStyle name="_DS_Diff_GPS OTHER 4 2" xfId="0"/>
    <cellStyle name="_DS_Diff_GPS OTHER_By Region" xfId="0"/>
    <cellStyle name="_DS_Diff_GPS OTHER_CORP SG&amp;A" xfId="0"/>
    <cellStyle name="_DS_Diff_GPS OTHER_LCD" xfId="0"/>
    <cellStyle name="_DS_Diff_GPS OTHER_PJ" xfId="0"/>
    <cellStyle name="_DS_Diff_LCD" xfId="0"/>
    <cellStyle name="_DS_Diff_LCD 2" xfId="0"/>
    <cellStyle name="_DS_Diff_LCD 3" xfId="0"/>
    <cellStyle name="_DS_Diff_LCD 4" xfId="0"/>
    <cellStyle name="_DS_Diff_LCD_By Region" xfId="0"/>
    <cellStyle name="_DS_Diff_LCD_CORP SG&amp;A" xfId="0"/>
    <cellStyle name="_DS_Diff_LCD_LCD" xfId="0"/>
    <cellStyle name="_DS_Diff_LCD_PJ" xfId="0"/>
    <cellStyle name="_DS_Diff_lightling" xfId="0"/>
    <cellStyle name="_DS_Diff_lightling 2" xfId="0"/>
    <cellStyle name="_DS_Diff_lightling_By Region" xfId="0"/>
    <cellStyle name="_DS_Diff_lightling_CORP SG&amp;A" xfId="0"/>
    <cellStyle name="_DS_Diff_PC Products" xfId="0"/>
    <cellStyle name="_DS_Diff_PC Products 2" xfId="0"/>
    <cellStyle name="_DS_Diff_PC Products 3" xfId="0"/>
    <cellStyle name="_DS_Diff_PC Products 4" xfId="0"/>
    <cellStyle name="_DS_Diff_PC Products 4 2" xfId="0"/>
    <cellStyle name="_DS_Diff_PC Products_By Region" xfId="0"/>
    <cellStyle name="_DS_Diff_PC Products_CORP SG&amp;A" xfId="0"/>
    <cellStyle name="_DS_Diff_PC Products_LCD" xfId="0"/>
    <cellStyle name="_DS_Diff_PC Products_PJ" xfId="0"/>
    <cellStyle name="_DS_Diff_VSA 111014" xfId="0"/>
    <cellStyle name="_DS_Diff_VSA 111014 2" xfId="0"/>
    <cellStyle name="_DS_Diff_VSA 111014 3" xfId="0"/>
    <cellStyle name="_DS_Diff_VSA 111014 4" xfId="0"/>
    <cellStyle name="_DS_Diff_VSA 111014 4 2" xfId="0"/>
    <cellStyle name="_DS_Diff_VSA 111014_By Region" xfId="0"/>
    <cellStyle name="_DS_Diff_VSA 111014_CORP SG&amp;A" xfId="0"/>
    <cellStyle name="_DS_Diff_VSA 111014_LCD" xfId="0"/>
    <cellStyle name="_DS_Diff_VSA 111014_PJ" xfId="0"/>
    <cellStyle name="_DS_Diff_VSA Roll-Up (LW)" xfId="0"/>
    <cellStyle name="_DS_Diff_VSA Roll-Up (LW) 2" xfId="0"/>
    <cellStyle name="_DS_Diff_VSA Roll-Up (LW) 3" xfId="0"/>
    <cellStyle name="_DS_Diff_VSA Roll-Up (LW) 4" xfId="0"/>
    <cellStyle name="_DS_Diff_VSA Roll-Up (LW) 4 2" xfId="0"/>
    <cellStyle name="_DS_Diff_VSA Roll-Up (LW)_By Region" xfId="0"/>
    <cellStyle name="_DS_Diff_VSA Roll-Up (LW)_CORP SG&amp;A" xfId="0"/>
    <cellStyle name="_DS_Diff_VSA Roll-Up (LW)_LCD" xfId="0"/>
    <cellStyle name="_DS_Diff_VSA Roll-Up (LW)_PJ" xfId="0"/>
    <cellStyle name="_DS_Digital Product" xfId="0"/>
    <cellStyle name="_DS_Digital Product 2" xfId="0"/>
    <cellStyle name="_DS_Digital Product 3" xfId="0"/>
    <cellStyle name="_DS_Digital Product 4" xfId="0"/>
    <cellStyle name="_DS_Digital Product_By Region" xfId="0"/>
    <cellStyle name="_DS_Digital Product_CORP SG&amp;A" xfId="0"/>
    <cellStyle name="_DS_Digital Product_Digitizer" xfId="0"/>
    <cellStyle name="_DS_Digital Product_GPS OTHER" xfId="0"/>
    <cellStyle name="_DS_Digital Product_GPS OTHER 2" xfId="0"/>
    <cellStyle name="_DS_Digital Product_GPS OTHER 3" xfId="0"/>
    <cellStyle name="_DS_Digital Product_GPS OTHER 4" xfId="0"/>
    <cellStyle name="_DS_Digital Product_GPS OTHER 4 2" xfId="0"/>
    <cellStyle name="_DS_Digital Product_GPS OTHER_By Region" xfId="0"/>
    <cellStyle name="_DS_Digital Product_GPS OTHER_CORP SG&amp;A" xfId="0"/>
    <cellStyle name="_DS_Digital Product_GPS OTHER_LCD" xfId="0"/>
    <cellStyle name="_DS_Digital Product_GPS OTHER_PJ" xfId="0"/>
    <cellStyle name="_DS_Digital Product_LCD" xfId="0"/>
    <cellStyle name="_DS_Digital Product_LCD 2" xfId="0"/>
    <cellStyle name="_DS_Digital Product_LCD 3" xfId="0"/>
    <cellStyle name="_DS_Digital Product_LCD 4" xfId="0"/>
    <cellStyle name="_DS_Digital Product_LCD_By Region" xfId="0"/>
    <cellStyle name="_DS_Digital Product_LCD_CORP SG&amp;A" xfId="0"/>
    <cellStyle name="_DS_Digital Product_LCD_LCD" xfId="0"/>
    <cellStyle name="_DS_Digital Product_LCD_PJ" xfId="0"/>
    <cellStyle name="_DS_Digital Product_lightling" xfId="0"/>
    <cellStyle name="_DS_Digital Product_lightling 2" xfId="0"/>
    <cellStyle name="_DS_Digital Product_lightling_By Region" xfId="0"/>
    <cellStyle name="_DS_Digital Product_lightling_CORP SG&amp;A" xfId="0"/>
    <cellStyle name="_DS_Digital Product_PC Products" xfId="0"/>
    <cellStyle name="_DS_Digital Product_PC Products 2" xfId="0"/>
    <cellStyle name="_DS_Digital Product_PC Products 3" xfId="0"/>
    <cellStyle name="_DS_Digital Product_PC Products 4" xfId="0"/>
    <cellStyle name="_DS_Digital Product_PC Products 4 2" xfId="0"/>
    <cellStyle name="_DS_Digital Product_PC Products_By Region" xfId="0"/>
    <cellStyle name="_DS_Digital Product_PC Products_CORP SG&amp;A" xfId="0"/>
    <cellStyle name="_DS_Digital Product_PC Products_LCD" xfId="0"/>
    <cellStyle name="_DS_Digital Product_PC Products_PJ" xfId="0"/>
    <cellStyle name="_DS_Digital Product_VSA 111014" xfId="0"/>
    <cellStyle name="_DS_Digital Product_VSA 111014 2" xfId="0"/>
    <cellStyle name="_DS_Digital Product_VSA 111014 3" xfId="0"/>
    <cellStyle name="_DS_Digital Product_VSA 111014 4" xfId="0"/>
    <cellStyle name="_DS_Digital Product_VSA 111014 4 2" xfId="0"/>
    <cellStyle name="_DS_Digital Product_VSA 111014_By Region" xfId="0"/>
    <cellStyle name="_DS_Digital Product_VSA 111014_CORP SG&amp;A" xfId="0"/>
    <cellStyle name="_DS_Digital Product_VSA 111014_LCD" xfId="0"/>
    <cellStyle name="_DS_Digital Product_VSA 111014_PJ" xfId="0"/>
    <cellStyle name="_DS_Digital Product_VSA Roll-Up (LW)" xfId="0"/>
    <cellStyle name="_DS_Digital Product_VSA Roll-Up (LW) 2" xfId="0"/>
    <cellStyle name="_DS_Digital Product_VSA Roll-Up (LW) 3" xfId="0"/>
    <cellStyle name="_DS_Digital Product_VSA Roll-Up (LW) 4" xfId="0"/>
    <cellStyle name="_DS_Digital Product_VSA Roll-Up (LW) 4 2" xfId="0"/>
    <cellStyle name="_DS_Digital Product_VSA Roll-Up (LW)_By Region" xfId="0"/>
    <cellStyle name="_DS_Digital Product_VSA Roll-Up (LW)_CORP SG&amp;A" xfId="0"/>
    <cellStyle name="_DS_Digital Product_VSA Roll-Up (LW)_LCD" xfId="0"/>
    <cellStyle name="_DS_Digital Product_VSA Roll-Up (LW)_PJ" xfId="0"/>
    <cellStyle name="_DS_Digital Signage" xfId="0"/>
    <cellStyle name="_DS_Digital Signage 2" xfId="0"/>
    <cellStyle name="_DS_Digital Signage 3" xfId="0"/>
    <cellStyle name="_DS_Digital Signage 4" xfId="0"/>
    <cellStyle name="_DS_Digital Signage_By Region" xfId="0"/>
    <cellStyle name="_DS_Digital Signage_CORP SG&amp;A" xfId="0"/>
    <cellStyle name="_DS_Digital Signage_Digitizer" xfId="0"/>
    <cellStyle name="_DS_Digital Signage_GPS OTHER" xfId="0"/>
    <cellStyle name="_DS_Digital Signage_GPS OTHER 2" xfId="0"/>
    <cellStyle name="_DS_Digital Signage_GPS OTHER 3" xfId="0"/>
    <cellStyle name="_DS_Digital Signage_GPS OTHER 4" xfId="0"/>
    <cellStyle name="_DS_Digital Signage_GPS OTHER 4 2" xfId="0"/>
    <cellStyle name="_DS_Digital Signage_GPS OTHER_By Region" xfId="0"/>
    <cellStyle name="_DS_Digital Signage_GPS OTHER_CORP SG&amp;A" xfId="0"/>
    <cellStyle name="_DS_Digital Signage_GPS OTHER_LCD" xfId="0"/>
    <cellStyle name="_DS_Digital Signage_GPS OTHER_PJ" xfId="0"/>
    <cellStyle name="_DS_Digital Signage_LCD" xfId="0"/>
    <cellStyle name="_DS_Digital Signage_LCD 2" xfId="0"/>
    <cellStyle name="_DS_Digital Signage_LCD 3" xfId="0"/>
    <cellStyle name="_DS_Digital Signage_LCD 4" xfId="0"/>
    <cellStyle name="_DS_Digital Signage_LCD_By Region" xfId="0"/>
    <cellStyle name="_DS_Digital Signage_LCD_CORP SG&amp;A" xfId="0"/>
    <cellStyle name="_DS_Digital Signage_LCD_LCD" xfId="0"/>
    <cellStyle name="_DS_Digital Signage_LCD_PJ" xfId="0"/>
    <cellStyle name="_DS_Digital Signage_lightling" xfId="0"/>
    <cellStyle name="_DS_Digital Signage_lightling 2" xfId="0"/>
    <cellStyle name="_DS_Digital Signage_lightling_By Region" xfId="0"/>
    <cellStyle name="_DS_Digital Signage_lightling_CORP SG&amp;A" xfId="0"/>
    <cellStyle name="_DS_Digital Signage_PC Products" xfId="0"/>
    <cellStyle name="_DS_Digital Signage_PC Products 2" xfId="0"/>
    <cellStyle name="_DS_Digital Signage_PC Products 3" xfId="0"/>
    <cellStyle name="_DS_Digital Signage_PC Products 4" xfId="0"/>
    <cellStyle name="_DS_Digital Signage_PC Products 4 2" xfId="0"/>
    <cellStyle name="_DS_Digital Signage_PC Products_By Region" xfId="0"/>
    <cellStyle name="_DS_Digital Signage_PC Products_CORP SG&amp;A" xfId="0"/>
    <cellStyle name="_DS_Digital Signage_PC Products_LCD" xfId="0"/>
    <cellStyle name="_DS_Digital Signage_PC Products_PJ" xfId="0"/>
    <cellStyle name="_DS_Digital Signage_VSA 111014" xfId="0"/>
    <cellStyle name="_DS_Digital Signage_VSA 111014 2" xfId="0"/>
    <cellStyle name="_DS_Digital Signage_VSA 111014 3" xfId="0"/>
    <cellStyle name="_DS_Digital Signage_VSA 111014 4" xfId="0"/>
    <cellStyle name="_DS_Digital Signage_VSA 111014 4 2" xfId="0"/>
    <cellStyle name="_DS_Digital Signage_VSA 111014_By Region" xfId="0"/>
    <cellStyle name="_DS_Digital Signage_VSA 111014_CORP SG&amp;A" xfId="0"/>
    <cellStyle name="_DS_Digital Signage_VSA 111014_LCD" xfId="0"/>
    <cellStyle name="_DS_Digital Signage_VSA 111014_PJ" xfId="0"/>
    <cellStyle name="_DS_Digital Signage_VSA Roll-Up (LW)" xfId="0"/>
    <cellStyle name="_DS_Digital Signage_VSA Roll-Up (LW) 2" xfId="0"/>
    <cellStyle name="_DS_Digital Signage_VSA Roll-Up (LW) 3" xfId="0"/>
    <cellStyle name="_DS_Digital Signage_VSA Roll-Up (LW) 4" xfId="0"/>
    <cellStyle name="_DS_Digital Signage_VSA Roll-Up (LW) 4 2" xfId="0"/>
    <cellStyle name="_DS_Digital Signage_VSA Roll-Up (LW)_By Region" xfId="0"/>
    <cellStyle name="_DS_Digital Signage_VSA Roll-Up (LW)_CORP SG&amp;A" xfId="0"/>
    <cellStyle name="_DS_Digital Signage_VSA Roll-Up (LW)_LCD" xfId="0"/>
    <cellStyle name="_DS_Digital Signage_VSA Roll-Up (LW)_PJ" xfId="0"/>
    <cellStyle name="_DS_Digitizer" xfId="0"/>
    <cellStyle name="_DS_DMA(VMP)" xfId="0"/>
    <cellStyle name="_DS_DMA(VMP) 2" xfId="0"/>
    <cellStyle name="_DS_DMA(VMP) 3" xfId="0"/>
    <cellStyle name="_DS_DMA(VMP) 4" xfId="0"/>
    <cellStyle name="_DS_DMA(VMP)_By Region" xfId="0"/>
    <cellStyle name="_DS_DMA(VMP)_CORP SG&amp;A" xfId="0"/>
    <cellStyle name="_DS_DMA(VMP)_Digitizer" xfId="0"/>
    <cellStyle name="_DS_DMA(VMP)_GPS OTHER" xfId="0"/>
    <cellStyle name="_DS_DMA(VMP)_GPS OTHER 2" xfId="0"/>
    <cellStyle name="_DS_DMA(VMP)_GPS OTHER 3" xfId="0"/>
    <cellStyle name="_DS_DMA(VMP)_GPS OTHER 4" xfId="0"/>
    <cellStyle name="_DS_DMA(VMP)_GPS OTHER 4 2" xfId="0"/>
    <cellStyle name="_DS_DMA(VMP)_GPS OTHER_By Region" xfId="0"/>
    <cellStyle name="_DS_DMA(VMP)_GPS OTHER_CORP SG&amp;A" xfId="0"/>
    <cellStyle name="_DS_DMA(VMP)_GPS OTHER_LCD" xfId="0"/>
    <cellStyle name="_DS_DMA(VMP)_GPS OTHER_PJ" xfId="0"/>
    <cellStyle name="_DS_DMA(VMP)_LCD" xfId="0"/>
    <cellStyle name="_DS_DMA(VMP)_LCD 2" xfId="0"/>
    <cellStyle name="_DS_DMA(VMP)_LCD 3" xfId="0"/>
    <cellStyle name="_DS_DMA(VMP)_LCD 4" xfId="0"/>
    <cellStyle name="_DS_DMA(VMP)_LCD_By Region" xfId="0"/>
    <cellStyle name="_DS_DMA(VMP)_LCD_CORP SG&amp;A" xfId="0"/>
    <cellStyle name="_DS_DMA(VMP)_LCD_LCD" xfId="0"/>
    <cellStyle name="_DS_DMA(VMP)_LCD_PJ" xfId="0"/>
    <cellStyle name="_DS_DMA(VMP)_lightling" xfId="0"/>
    <cellStyle name="_DS_DMA(VMP)_lightling 2" xfId="0"/>
    <cellStyle name="_DS_DMA(VMP)_lightling_By Region" xfId="0"/>
    <cellStyle name="_DS_DMA(VMP)_lightling_CORP SG&amp;A" xfId="0"/>
    <cellStyle name="_DS_DMA(VMP)_PC Products" xfId="0"/>
    <cellStyle name="_DS_DMA(VMP)_PC Products 2" xfId="0"/>
    <cellStyle name="_DS_DMA(VMP)_PC Products 3" xfId="0"/>
    <cellStyle name="_DS_DMA(VMP)_PC Products 4" xfId="0"/>
    <cellStyle name="_DS_DMA(VMP)_PC Products 4 2" xfId="0"/>
    <cellStyle name="_DS_DMA(VMP)_PC Products_By Region" xfId="0"/>
    <cellStyle name="_DS_DMA(VMP)_PC Products_CORP SG&amp;A" xfId="0"/>
    <cellStyle name="_DS_DMA(VMP)_PC Products_LCD" xfId="0"/>
    <cellStyle name="_DS_DMA(VMP)_PC Products_PJ" xfId="0"/>
    <cellStyle name="_DS_DMA(VMP)_VSA 111014" xfId="0"/>
    <cellStyle name="_DS_DMA(VMP)_VSA 111014 2" xfId="0"/>
    <cellStyle name="_DS_DMA(VMP)_VSA 111014 3" xfId="0"/>
    <cellStyle name="_DS_DMA(VMP)_VSA 111014 4" xfId="0"/>
    <cellStyle name="_DS_DMA(VMP)_VSA 111014 4 2" xfId="0"/>
    <cellStyle name="_DS_DMA(VMP)_VSA 111014_By Region" xfId="0"/>
    <cellStyle name="_DS_DMA(VMP)_VSA 111014_CORP SG&amp;A" xfId="0"/>
    <cellStyle name="_DS_DMA(VMP)_VSA 111014_LCD" xfId="0"/>
    <cellStyle name="_DS_DMA(VMP)_VSA 111014_PJ" xfId="0"/>
    <cellStyle name="_DS_DMA(VMP)_VSA Roll-Up (LW)" xfId="0"/>
    <cellStyle name="_DS_DMA(VMP)_VSA Roll-Up (LW) 2" xfId="0"/>
    <cellStyle name="_DS_DMA(VMP)_VSA Roll-Up (LW) 3" xfId="0"/>
    <cellStyle name="_DS_DMA(VMP)_VSA Roll-Up (LW) 4" xfId="0"/>
    <cellStyle name="_DS_DMA(VMP)_VSA Roll-Up (LW) 4 2" xfId="0"/>
    <cellStyle name="_DS_DMA(VMP)_VSA Roll-Up (LW)_By Region" xfId="0"/>
    <cellStyle name="_DS_DMA(VMP)_VSA Roll-Up (LW)_CORP SG&amp;A" xfId="0"/>
    <cellStyle name="_DS_DMA(VMP)_VSA Roll-Up (LW)_LCD" xfId="0"/>
    <cellStyle name="_DS_DMA(VMP)_VSA Roll-Up (LW)_PJ" xfId="0"/>
    <cellStyle name="_DS_DPF" xfId="0"/>
    <cellStyle name="_DS_DPF 2" xfId="0"/>
    <cellStyle name="_DS_DPF 3" xfId="0"/>
    <cellStyle name="_DS_DPF 4" xfId="0"/>
    <cellStyle name="_DS_DPF_By Region" xfId="0"/>
    <cellStyle name="_DS_DPF_CORP SG&amp;A" xfId="0"/>
    <cellStyle name="_DS_DPF_Digitizer" xfId="0"/>
    <cellStyle name="_DS_DPF_GPS OTHER" xfId="0"/>
    <cellStyle name="_DS_DPF_GPS OTHER 2" xfId="0"/>
    <cellStyle name="_DS_DPF_GPS OTHER 3" xfId="0"/>
    <cellStyle name="_DS_DPF_GPS OTHER 4" xfId="0"/>
    <cellStyle name="_DS_DPF_GPS OTHER 4 2" xfId="0"/>
    <cellStyle name="_DS_DPF_GPS OTHER_By Region" xfId="0"/>
    <cellStyle name="_DS_DPF_GPS OTHER_CORP SG&amp;A" xfId="0"/>
    <cellStyle name="_DS_DPF_GPS OTHER_LCD" xfId="0"/>
    <cellStyle name="_DS_DPF_GPS OTHER_PJ" xfId="0"/>
    <cellStyle name="_DS_DPF_LCD" xfId="0"/>
    <cellStyle name="_DS_DPF_LCD 2" xfId="0"/>
    <cellStyle name="_DS_DPF_LCD 3" xfId="0"/>
    <cellStyle name="_DS_DPF_LCD 4" xfId="0"/>
    <cellStyle name="_DS_DPF_LCD_By Region" xfId="0"/>
    <cellStyle name="_DS_DPF_LCD_CORP SG&amp;A" xfId="0"/>
    <cellStyle name="_DS_DPF_LCD_LCD" xfId="0"/>
    <cellStyle name="_DS_DPF_LCD_PJ" xfId="0"/>
    <cellStyle name="_DS_DPF_lightling" xfId="0"/>
    <cellStyle name="_DS_DPF_lightling 2" xfId="0"/>
    <cellStyle name="_DS_DPF_lightling_By Region" xfId="0"/>
    <cellStyle name="_DS_DPF_lightling_CORP SG&amp;A" xfId="0"/>
    <cellStyle name="_DS_DPF_PC Products" xfId="0"/>
    <cellStyle name="_DS_DPF_PC Products 2" xfId="0"/>
    <cellStyle name="_DS_DPF_PC Products 3" xfId="0"/>
    <cellStyle name="_DS_DPF_PC Products 4" xfId="0"/>
    <cellStyle name="_DS_DPF_PC Products 4 2" xfId="0"/>
    <cellStyle name="_DS_DPF_PC Products_By Region" xfId="0"/>
    <cellStyle name="_DS_DPF_PC Products_CORP SG&amp;A" xfId="0"/>
    <cellStyle name="_DS_DPF_PC Products_LCD" xfId="0"/>
    <cellStyle name="_DS_DPF_PC Products_PJ" xfId="0"/>
    <cellStyle name="_DS_DPF_VSA 111014" xfId="0"/>
    <cellStyle name="_DS_DPF_VSA 111014 2" xfId="0"/>
    <cellStyle name="_DS_DPF_VSA 111014 3" xfId="0"/>
    <cellStyle name="_DS_DPF_VSA 111014 4" xfId="0"/>
    <cellStyle name="_DS_DPF_VSA 111014 4 2" xfId="0"/>
    <cellStyle name="_DS_DPF_VSA 111014_By Region" xfId="0"/>
    <cellStyle name="_DS_DPF_VSA 111014_CORP SG&amp;A" xfId="0"/>
    <cellStyle name="_DS_DPF_VSA 111014_LCD" xfId="0"/>
    <cellStyle name="_DS_DPF_VSA 111014_PJ" xfId="0"/>
    <cellStyle name="_DS_DPF_VSA Roll-Up (LW)" xfId="0"/>
    <cellStyle name="_DS_DPF_VSA Roll-Up (LW) 2" xfId="0"/>
    <cellStyle name="_DS_DPF_VSA Roll-Up (LW) 3" xfId="0"/>
    <cellStyle name="_DS_DPF_VSA Roll-Up (LW) 4" xfId="0"/>
    <cellStyle name="_DS_DPF_VSA Roll-Up (LW) 4 2" xfId="0"/>
    <cellStyle name="_DS_DPF_VSA Roll-Up (LW)_By Region" xfId="0"/>
    <cellStyle name="_DS_DPF_VSA Roll-Up (LW)_CORP SG&amp;A" xfId="0"/>
    <cellStyle name="_DS_DPF_VSA Roll-Up (LW)_LCD" xfId="0"/>
    <cellStyle name="_DS_DPF_VSA Roll-Up (LW)_PJ" xfId="0"/>
    <cellStyle name="_DS_DS" xfId="0"/>
    <cellStyle name="_DS_DS 2" xfId="0"/>
    <cellStyle name="_DS_DS 3" xfId="0"/>
    <cellStyle name="_DS_DS 4" xfId="0"/>
    <cellStyle name="_DS_DS_By Region" xfId="0"/>
    <cellStyle name="_DS_DS_CORP SG&amp;A" xfId="0"/>
    <cellStyle name="_DS_DS_Digitizer" xfId="0"/>
    <cellStyle name="_DS_DS_GPS OTHER" xfId="0"/>
    <cellStyle name="_DS_DS_GPS OTHER 2" xfId="0"/>
    <cellStyle name="_DS_DS_GPS OTHER 3" xfId="0"/>
    <cellStyle name="_DS_DS_GPS OTHER 4" xfId="0"/>
    <cellStyle name="_DS_DS_GPS OTHER 4 2" xfId="0"/>
    <cellStyle name="_DS_DS_GPS OTHER_By Region" xfId="0"/>
    <cellStyle name="_DS_DS_GPS OTHER_CORP SG&amp;A" xfId="0"/>
    <cellStyle name="_DS_DS_GPS OTHER_LCD" xfId="0"/>
    <cellStyle name="_DS_DS_GPS OTHER_PJ" xfId="0"/>
    <cellStyle name="_DS_DS_LCD" xfId="0"/>
    <cellStyle name="_DS_DS_LCD 2" xfId="0"/>
    <cellStyle name="_DS_DS_LCD 3" xfId="0"/>
    <cellStyle name="_DS_DS_LCD 4" xfId="0"/>
    <cellStyle name="_DS_DS_LCD_By Region" xfId="0"/>
    <cellStyle name="_DS_DS_LCD_CORP SG&amp;A" xfId="0"/>
    <cellStyle name="_DS_DS_LCD_LCD" xfId="0"/>
    <cellStyle name="_DS_DS_LCD_PJ" xfId="0"/>
    <cellStyle name="_DS_DS_lightling" xfId="0"/>
    <cellStyle name="_DS_DS_lightling 2" xfId="0"/>
    <cellStyle name="_DS_DS_lightling_By Region" xfId="0"/>
    <cellStyle name="_DS_DS_lightling_CORP SG&amp;A" xfId="0"/>
    <cellStyle name="_DS_DS_PC Products" xfId="0"/>
    <cellStyle name="_DS_DS_PC Products 2" xfId="0"/>
    <cellStyle name="_DS_DS_PC Products 3" xfId="0"/>
    <cellStyle name="_DS_DS_PC Products 4" xfId="0"/>
    <cellStyle name="_DS_DS_PC Products 4 2" xfId="0"/>
    <cellStyle name="_DS_DS_PC Products_By Region" xfId="0"/>
    <cellStyle name="_DS_DS_PC Products_CORP SG&amp;A" xfId="0"/>
    <cellStyle name="_DS_DS_PC Products_LCD" xfId="0"/>
    <cellStyle name="_DS_DS_PC Products_PJ" xfId="0"/>
    <cellStyle name="_DS_DS_VSA 111014" xfId="0"/>
    <cellStyle name="_DS_DS_VSA 111014 2" xfId="0"/>
    <cellStyle name="_DS_DS_VSA 111014 3" xfId="0"/>
    <cellStyle name="_DS_DS_VSA 111014 4" xfId="0"/>
    <cellStyle name="_DS_DS_VSA 111014 4 2" xfId="0"/>
    <cellStyle name="_DS_DS_VSA 111014_By Region" xfId="0"/>
    <cellStyle name="_DS_DS_VSA 111014_CORP SG&amp;A" xfId="0"/>
    <cellStyle name="_DS_DS_VSA 111014_LCD" xfId="0"/>
    <cellStyle name="_DS_DS_VSA 111014_PJ" xfId="0"/>
    <cellStyle name="_DS_DS_VSA Roll-Up (LW)" xfId="0"/>
    <cellStyle name="_DS_DS_VSA Roll-Up (LW) 2" xfId="0"/>
    <cellStyle name="_DS_DS_VSA Roll-Up (LW) 3" xfId="0"/>
    <cellStyle name="_DS_DS_VSA Roll-Up (LW) 4" xfId="0"/>
    <cellStyle name="_DS_DS_VSA Roll-Up (LW) 4 2" xfId="0"/>
    <cellStyle name="_DS_DS_VSA Roll-Up (LW)_By Region" xfId="0"/>
    <cellStyle name="_DS_DS_VSA Roll-Up (LW)_CORP SG&amp;A" xfId="0"/>
    <cellStyle name="_DS_DS_VSA Roll-Up (LW)_LCD" xfId="0"/>
    <cellStyle name="_DS_DS_VSA Roll-Up (LW)_PJ" xfId="0"/>
    <cellStyle name="_DS_DVD_TV" xfId="0"/>
    <cellStyle name="_DS_DVD_TV 2" xfId="0"/>
    <cellStyle name="_DS_DVD_TV 3" xfId="0"/>
    <cellStyle name="_DS_DVD_TV 4" xfId="0"/>
    <cellStyle name="_DS_DVD_TV_By Region" xfId="0"/>
    <cellStyle name="_DS_DVD_TV_CORP SG&amp;A" xfId="0"/>
    <cellStyle name="_DS_DVD_TV_Digitizer" xfId="0"/>
    <cellStyle name="_DS_DVD_TV_GPS OTHER" xfId="0"/>
    <cellStyle name="_DS_DVD_TV_GPS OTHER 2" xfId="0"/>
    <cellStyle name="_DS_DVD_TV_GPS OTHER 3" xfId="0"/>
    <cellStyle name="_DS_DVD_TV_GPS OTHER 4" xfId="0"/>
    <cellStyle name="_DS_DVD_TV_GPS OTHER 4 2" xfId="0"/>
    <cellStyle name="_DS_DVD_TV_GPS OTHER_By Region" xfId="0"/>
    <cellStyle name="_DS_DVD_TV_GPS OTHER_CORP SG&amp;A" xfId="0"/>
    <cellStyle name="_DS_DVD_TV_GPS OTHER_LCD" xfId="0"/>
    <cellStyle name="_DS_DVD_TV_GPS OTHER_PJ" xfId="0"/>
    <cellStyle name="_DS_DVD_TV_LCD" xfId="0"/>
    <cellStyle name="_DS_DVD_TV_LCD 2" xfId="0"/>
    <cellStyle name="_DS_DVD_TV_LCD 3" xfId="0"/>
    <cellStyle name="_DS_DVD_TV_LCD 4" xfId="0"/>
    <cellStyle name="_DS_DVD_TV_LCD_By Region" xfId="0"/>
    <cellStyle name="_DS_DVD_TV_LCD_CORP SG&amp;A" xfId="0"/>
    <cellStyle name="_DS_DVD_TV_LCD_LCD" xfId="0"/>
    <cellStyle name="_DS_DVD_TV_LCD_PJ" xfId="0"/>
    <cellStyle name="_DS_DVD_TV_lightling" xfId="0"/>
    <cellStyle name="_DS_DVD_TV_lightling 2" xfId="0"/>
    <cellStyle name="_DS_DVD_TV_lightling_By Region" xfId="0"/>
    <cellStyle name="_DS_DVD_TV_lightling_CORP SG&amp;A" xfId="0"/>
    <cellStyle name="_DS_DVD_TV_PC Products" xfId="0"/>
    <cellStyle name="_DS_DVD_TV_PC Products 2" xfId="0"/>
    <cellStyle name="_DS_DVD_TV_PC Products 3" xfId="0"/>
    <cellStyle name="_DS_DVD_TV_PC Products 4" xfId="0"/>
    <cellStyle name="_DS_DVD_TV_PC Products 4 2" xfId="0"/>
    <cellStyle name="_DS_DVD_TV_PC Products_By Region" xfId="0"/>
    <cellStyle name="_DS_DVD_TV_PC Products_CORP SG&amp;A" xfId="0"/>
    <cellStyle name="_DS_DVD_TV_PC Products_LCD" xfId="0"/>
    <cellStyle name="_DS_DVD_TV_PC Products_PJ" xfId="0"/>
    <cellStyle name="_DS_DVD_TV_VSA 111014" xfId="0"/>
    <cellStyle name="_DS_DVD_TV_VSA 111014 2" xfId="0"/>
    <cellStyle name="_DS_DVD_TV_VSA 111014 3" xfId="0"/>
    <cellStyle name="_DS_DVD_TV_VSA 111014 4" xfId="0"/>
    <cellStyle name="_DS_DVD_TV_VSA 111014 4 2" xfId="0"/>
    <cellStyle name="_DS_DVD_TV_VSA 111014_By Region" xfId="0"/>
    <cellStyle name="_DS_DVD_TV_VSA 111014_CORP SG&amp;A" xfId="0"/>
    <cellStyle name="_DS_DVD_TV_VSA 111014_LCD" xfId="0"/>
    <cellStyle name="_DS_DVD_TV_VSA 111014_PJ" xfId="0"/>
    <cellStyle name="_DS_DVD_TV_VSA Roll-Up (LW)" xfId="0"/>
    <cellStyle name="_DS_DVD_TV_VSA Roll-Up (LW) 2" xfId="0"/>
    <cellStyle name="_DS_DVD_TV_VSA Roll-Up (LW) 3" xfId="0"/>
    <cellStyle name="_DS_DVD_TV_VSA Roll-Up (LW) 4" xfId="0"/>
    <cellStyle name="_DS_DVD_TV_VSA Roll-Up (LW) 4 2" xfId="0"/>
    <cellStyle name="_DS_DVD_TV_VSA Roll-Up (LW)_By Region" xfId="0"/>
    <cellStyle name="_DS_DVD_TV_VSA Roll-Up (LW)_CORP SG&amp;A" xfId="0"/>
    <cellStyle name="_DS_DVD_TV_VSA Roll-Up (LW)_LCD" xfId="0"/>
    <cellStyle name="_DS_DVD_TV_VSA Roll-Up (LW)_PJ" xfId="0"/>
    <cellStyle name="_DS_GPS OTHER" xfId="0"/>
    <cellStyle name="_DS_GPS OTHER 2" xfId="0"/>
    <cellStyle name="_DS_GPS OTHER 3" xfId="0"/>
    <cellStyle name="_DS_GPS OTHER 4" xfId="0"/>
    <cellStyle name="_DS_GPS OTHER 4 2" xfId="0"/>
    <cellStyle name="_DS_GPS OTHER_By Region" xfId="0"/>
    <cellStyle name="_DS_GPS OTHER_CORP SG&amp;A" xfId="0"/>
    <cellStyle name="_DS_GPS OTHER_LCD" xfId="0"/>
    <cellStyle name="_DS_GPS OTHER_PJ" xfId="0"/>
    <cellStyle name="_DS_LCD" xfId="0"/>
    <cellStyle name="_DS_LCD 2" xfId="0"/>
    <cellStyle name="_DS_LCD 3" xfId="0"/>
    <cellStyle name="_DS_LCD 4" xfId="0"/>
    <cellStyle name="_DS_LCD_1" xfId="0"/>
    <cellStyle name="_DS_LCD_1 2" xfId="0"/>
    <cellStyle name="_DS_LCD_1 3" xfId="0"/>
    <cellStyle name="_DS_LCD_1 4" xfId="0"/>
    <cellStyle name="_DS_LCD_1_By Region" xfId="0"/>
    <cellStyle name="_DS_LCD_1_CORP SG&amp;A" xfId="0"/>
    <cellStyle name="_DS_LCD_1_LCD" xfId="0"/>
    <cellStyle name="_DS_LCD_1_PJ" xfId="0"/>
    <cellStyle name="_DS_LCD_By Region" xfId="0"/>
    <cellStyle name="_DS_LCD_CORP SG&amp;A" xfId="0"/>
    <cellStyle name="_DS_LCD_Digitizer" xfId="0"/>
    <cellStyle name="_DS_LCD_GPS OTHER" xfId="0"/>
    <cellStyle name="_DS_LCD_GPS OTHER 2" xfId="0"/>
    <cellStyle name="_DS_LCD_GPS OTHER 3" xfId="0"/>
    <cellStyle name="_DS_LCD_GPS OTHER 4" xfId="0"/>
    <cellStyle name="_DS_LCD_GPS OTHER 4 2" xfId="0"/>
    <cellStyle name="_DS_LCD_GPS OTHER_By Region" xfId="0"/>
    <cellStyle name="_DS_LCD_GPS OTHER_CORP SG&amp;A" xfId="0"/>
    <cellStyle name="_DS_LCD_GPS OTHER_LCD" xfId="0"/>
    <cellStyle name="_DS_LCD_GPS OTHER_PJ" xfId="0"/>
    <cellStyle name="_DS_LCD_LCD" xfId="0"/>
    <cellStyle name="_DS_LCD_LCD 2" xfId="0"/>
    <cellStyle name="_DS_LCD_LCD 3" xfId="0"/>
    <cellStyle name="_DS_LCD_LCD 4" xfId="0"/>
    <cellStyle name="_DS_LCD_LCD_By Region" xfId="0"/>
    <cellStyle name="_DS_LCD_LCD_CORP SG&amp;A" xfId="0"/>
    <cellStyle name="_DS_LCD_LCD_LCD" xfId="0"/>
    <cellStyle name="_DS_LCD_LCD_PJ" xfId="0"/>
    <cellStyle name="_DS_LCD_lightling" xfId="0"/>
    <cellStyle name="_DS_LCD_lightling 2" xfId="0"/>
    <cellStyle name="_DS_LCD_lightling_By Region" xfId="0"/>
    <cellStyle name="_DS_LCD_lightling_CORP SG&amp;A" xfId="0"/>
    <cellStyle name="_DS_LCD_PC Products" xfId="0"/>
    <cellStyle name="_DS_LCD_PC Products 2" xfId="0"/>
    <cellStyle name="_DS_LCD_PC Products 3" xfId="0"/>
    <cellStyle name="_DS_LCD_PC Products 4" xfId="0"/>
    <cellStyle name="_DS_LCD_PC Products 4 2" xfId="0"/>
    <cellStyle name="_DS_LCD_PC Products_By Region" xfId="0"/>
    <cellStyle name="_DS_LCD_PC Products_CORP SG&amp;A" xfId="0"/>
    <cellStyle name="_DS_LCD_PC Products_LCD" xfId="0"/>
    <cellStyle name="_DS_LCD_PC Products_PJ" xfId="0"/>
    <cellStyle name="_DS_LCD_VSA 111014" xfId="0"/>
    <cellStyle name="_DS_LCD_VSA 111014 2" xfId="0"/>
    <cellStyle name="_DS_LCD_VSA 111014 3" xfId="0"/>
    <cellStyle name="_DS_LCD_VSA 111014 4" xfId="0"/>
    <cellStyle name="_DS_LCD_VSA 111014 4 2" xfId="0"/>
    <cellStyle name="_DS_LCD_VSA 111014_By Region" xfId="0"/>
    <cellStyle name="_DS_LCD_VSA 111014_CORP SG&amp;A" xfId="0"/>
    <cellStyle name="_DS_LCD_VSA 111014_LCD" xfId="0"/>
    <cellStyle name="_DS_LCD_VSA 111014_PJ" xfId="0"/>
    <cellStyle name="_DS_LCD_VSA Roll-Up (LW)" xfId="0"/>
    <cellStyle name="_DS_LCD_VSA Roll-Up (LW) 2" xfId="0"/>
    <cellStyle name="_DS_LCD_VSA Roll-Up (LW) 3" xfId="0"/>
    <cellStyle name="_DS_LCD_VSA Roll-Up (LW) 4" xfId="0"/>
    <cellStyle name="_DS_LCD_VSA Roll-Up (LW) 4 2" xfId="0"/>
    <cellStyle name="_DS_LCD_VSA Roll-Up (LW)_By Region" xfId="0"/>
    <cellStyle name="_DS_LCD_VSA Roll-Up (LW)_CORP SG&amp;A" xfId="0"/>
    <cellStyle name="_DS_LCD_VSA Roll-Up (LW)_LCD" xfId="0"/>
    <cellStyle name="_DS_LCD_VSA Roll-Up (LW)_PJ" xfId="0"/>
    <cellStyle name="_DS_LCDTV" xfId="0"/>
    <cellStyle name="_DS_LCDTV 2" xfId="0"/>
    <cellStyle name="_DS_LCDTV 3" xfId="0"/>
    <cellStyle name="_DS_LCDTV 4" xfId="0"/>
    <cellStyle name="_DS_LCDTV_By Region" xfId="0"/>
    <cellStyle name="_DS_LCDTV_CORP SG&amp;A" xfId="0"/>
    <cellStyle name="_DS_LCDTV_Digitizer" xfId="0"/>
    <cellStyle name="_DS_LCDTV_GPS OTHER" xfId="0"/>
    <cellStyle name="_DS_LCDTV_GPS OTHER 2" xfId="0"/>
    <cellStyle name="_DS_LCDTV_GPS OTHER 3" xfId="0"/>
    <cellStyle name="_DS_LCDTV_GPS OTHER 4" xfId="0"/>
    <cellStyle name="_DS_LCDTV_GPS OTHER 4 2" xfId="0"/>
    <cellStyle name="_DS_LCDTV_GPS OTHER_By Region" xfId="0"/>
    <cellStyle name="_DS_LCDTV_GPS OTHER_CORP SG&amp;A" xfId="0"/>
    <cellStyle name="_DS_LCDTV_GPS OTHER_LCD" xfId="0"/>
    <cellStyle name="_DS_LCDTV_GPS OTHER_PJ" xfId="0"/>
    <cellStyle name="_DS_LCDTV_LCD" xfId="0"/>
    <cellStyle name="_DS_LCDTV_LCD 2" xfId="0"/>
    <cellStyle name="_DS_LCDTV_LCD 3" xfId="0"/>
    <cellStyle name="_DS_LCDTV_LCD 4" xfId="0"/>
    <cellStyle name="_DS_LCDTV_LCD_By Region" xfId="0"/>
    <cellStyle name="_DS_LCDTV_LCD_CORP SG&amp;A" xfId="0"/>
    <cellStyle name="_DS_LCDTV_LCD_LCD" xfId="0"/>
    <cellStyle name="_DS_LCDTV_LCD_PJ" xfId="0"/>
    <cellStyle name="_DS_LCDTV_lightling" xfId="0"/>
    <cellStyle name="_DS_LCDTV_lightling 2" xfId="0"/>
    <cellStyle name="_DS_LCDTV_lightling_By Region" xfId="0"/>
    <cellStyle name="_DS_LCDTV_lightling_CORP SG&amp;A" xfId="0"/>
    <cellStyle name="_DS_LCDTV_PC Products" xfId="0"/>
    <cellStyle name="_DS_LCDTV_PC Products 2" xfId="0"/>
    <cellStyle name="_DS_LCDTV_PC Products 3" xfId="0"/>
    <cellStyle name="_DS_LCDTV_PC Products 4" xfId="0"/>
    <cellStyle name="_DS_LCDTV_PC Products 4 2" xfId="0"/>
    <cellStyle name="_DS_LCDTV_PC Products_By Region" xfId="0"/>
    <cellStyle name="_DS_LCDTV_PC Products_CORP SG&amp;A" xfId="0"/>
    <cellStyle name="_DS_LCDTV_PC Products_LCD" xfId="0"/>
    <cellStyle name="_DS_LCDTV_PC Products_PJ" xfId="0"/>
    <cellStyle name="_DS_LCDTV_VSA 111014" xfId="0"/>
    <cellStyle name="_DS_LCDTV_VSA 111014 2" xfId="0"/>
    <cellStyle name="_DS_LCDTV_VSA 111014 3" xfId="0"/>
    <cellStyle name="_DS_LCDTV_VSA 111014 4" xfId="0"/>
    <cellStyle name="_DS_LCDTV_VSA 111014 4 2" xfId="0"/>
    <cellStyle name="_DS_LCDTV_VSA 111014_By Region" xfId="0"/>
    <cellStyle name="_DS_LCDTV_VSA 111014_CORP SG&amp;A" xfId="0"/>
    <cellStyle name="_DS_LCDTV_VSA 111014_LCD" xfId="0"/>
    <cellStyle name="_DS_LCDTV_VSA 111014_PJ" xfId="0"/>
    <cellStyle name="_DS_LCDTV_VSA Roll-Up (LW)" xfId="0"/>
    <cellStyle name="_DS_LCDTV_VSA Roll-Up (LW) 2" xfId="0"/>
    <cellStyle name="_DS_LCDTV_VSA Roll-Up (LW) 3" xfId="0"/>
    <cellStyle name="_DS_LCDTV_VSA Roll-Up (LW) 4" xfId="0"/>
    <cellStyle name="_DS_LCDTV_VSA Roll-Up (LW) 4 2" xfId="0"/>
    <cellStyle name="_DS_LCDTV_VSA Roll-Up (LW)_By Region" xfId="0"/>
    <cellStyle name="_DS_LCDTV_VSA Roll-Up (LW)_CORP SG&amp;A" xfId="0"/>
    <cellStyle name="_DS_LCDTV_VSA Roll-Up (LW)_LCD" xfId="0"/>
    <cellStyle name="_DS_LCDTV_VSA Roll-Up (LW)_PJ" xfId="0"/>
    <cellStyle name="_DS_lightling" xfId="0"/>
    <cellStyle name="_DS_lightling 2" xfId="0"/>
    <cellStyle name="_DS_lightling_By Region" xfId="0"/>
    <cellStyle name="_DS_lightling_CORP SG&amp;A" xfId="0"/>
    <cellStyle name="_DS_MNT" xfId="0"/>
    <cellStyle name="_DS_MNT 2" xfId="0"/>
    <cellStyle name="_DS_MNT 3" xfId="0"/>
    <cellStyle name="_DS_MNT 4" xfId="0"/>
    <cellStyle name="_DS_MNT_By Region" xfId="0"/>
    <cellStyle name="_DS_MNT_CORP SG&amp;A" xfId="0"/>
    <cellStyle name="_DS_MNT_Digitizer" xfId="0"/>
    <cellStyle name="_DS_MNT_GPS OTHER" xfId="0"/>
    <cellStyle name="_DS_MNT_GPS OTHER 2" xfId="0"/>
    <cellStyle name="_DS_MNT_GPS OTHER 3" xfId="0"/>
    <cellStyle name="_DS_MNT_GPS OTHER 4" xfId="0"/>
    <cellStyle name="_DS_MNT_GPS OTHER 4 2" xfId="0"/>
    <cellStyle name="_DS_MNT_GPS OTHER_By Region" xfId="0"/>
    <cellStyle name="_DS_MNT_GPS OTHER_CORP SG&amp;A" xfId="0"/>
    <cellStyle name="_DS_MNT_GPS OTHER_LCD" xfId="0"/>
    <cellStyle name="_DS_MNT_GPS OTHER_PJ" xfId="0"/>
    <cellStyle name="_DS_MNT_LCD" xfId="0"/>
    <cellStyle name="_DS_MNT_LCD 2" xfId="0"/>
    <cellStyle name="_DS_MNT_LCD 3" xfId="0"/>
    <cellStyle name="_DS_MNT_LCD 4" xfId="0"/>
    <cellStyle name="_DS_MNT_LCD_By Region" xfId="0"/>
    <cellStyle name="_DS_MNT_LCD_CORP SG&amp;A" xfId="0"/>
    <cellStyle name="_DS_MNT_LCD_LCD" xfId="0"/>
    <cellStyle name="_DS_MNT_LCD_PJ" xfId="0"/>
    <cellStyle name="_DS_MNT_lightling" xfId="0"/>
    <cellStyle name="_DS_MNT_lightling 2" xfId="0"/>
    <cellStyle name="_DS_MNT_lightling 3" xfId="0"/>
    <cellStyle name="_DS_MNT_lightling_By Region" xfId="0"/>
    <cellStyle name="_DS_MNT_PC Products" xfId="0"/>
    <cellStyle name="_DS_MNT_PC Products 2" xfId="0"/>
    <cellStyle name="_DS_MNT_PC Products 3" xfId="0"/>
    <cellStyle name="_DS_MNT_PC Products 4" xfId="0"/>
    <cellStyle name="_DS_MNT_PC Products 4 2" xfId="0"/>
    <cellStyle name="_DS_MNT_PC Products_By Region" xfId="0"/>
    <cellStyle name="_DS_MNT_PC Products_CORP SG&amp;A" xfId="0"/>
    <cellStyle name="_DS_MNT_PC Products_LCD" xfId="0"/>
    <cellStyle name="_DS_MNT_PC Products_PJ" xfId="0"/>
    <cellStyle name="_DS_MNT_VSA 111014" xfId="0"/>
    <cellStyle name="_DS_MNT_VSA 111014 2" xfId="0"/>
    <cellStyle name="_DS_MNT_VSA 111014 3" xfId="0"/>
    <cellStyle name="_DS_MNT_VSA 111014 4" xfId="0"/>
    <cellStyle name="_DS_MNT_VSA 111014 4 2" xfId="0"/>
    <cellStyle name="_DS_MNT_VSA 111014_By Region" xfId="0"/>
    <cellStyle name="_DS_MNT_VSA 111014_CORP SG&amp;A" xfId="0"/>
    <cellStyle name="_DS_MNT_VSA 111014_LCD" xfId="0"/>
    <cellStyle name="_DS_MNT_VSA 111014_PJ" xfId="0"/>
    <cellStyle name="_DS_MNT_VSA Roll-Up (LW)" xfId="0"/>
    <cellStyle name="_DS_MNT_VSA Roll-Up (LW) 2" xfId="0"/>
    <cellStyle name="_DS_MNT_VSA Roll-Up (LW) 3" xfId="0"/>
    <cellStyle name="_DS_MNT_VSA Roll-Up (LW) 4" xfId="0"/>
    <cellStyle name="_DS_MNT_VSA Roll-Up (LW) 4 2" xfId="0"/>
    <cellStyle name="_DS_MNT_VSA Roll-Up (LW)_By Region" xfId="0"/>
    <cellStyle name="_DS_MNT_VSA Roll-Up (LW)_CORP SG&amp;A" xfId="0"/>
    <cellStyle name="_DS_MNT_VSA Roll-Up (LW)_LCD" xfId="0"/>
    <cellStyle name="_DS_MNT_VSA Roll-Up (LW)_PJ" xfId="0"/>
    <cellStyle name="_DS_Other" xfId="0"/>
    <cellStyle name="_DS_Other 2" xfId="0"/>
    <cellStyle name="_DS_Other 3" xfId="0"/>
    <cellStyle name="_DS_Other 4" xfId="0"/>
    <cellStyle name="_DS_Other_By Region" xfId="0"/>
    <cellStyle name="_DS_Other_CORP SG&amp;A" xfId="0"/>
    <cellStyle name="_DS_Other_Digitizer" xfId="0"/>
    <cellStyle name="_DS_Other_GPS OTHER" xfId="0"/>
    <cellStyle name="_DS_Other_GPS OTHER 2" xfId="0"/>
    <cellStyle name="_DS_Other_GPS OTHER 3" xfId="0"/>
    <cellStyle name="_DS_Other_GPS OTHER 4" xfId="0"/>
    <cellStyle name="_DS_Other_GPS OTHER 4 2" xfId="0"/>
    <cellStyle name="_DS_Other_GPS OTHER_By Region" xfId="0"/>
    <cellStyle name="_DS_Other_GPS OTHER_CORP SG&amp;A" xfId="0"/>
    <cellStyle name="_DS_Other_GPS OTHER_LCD" xfId="0"/>
    <cellStyle name="_DS_Other_GPS OTHER_PJ" xfId="0"/>
    <cellStyle name="_DS_Other_LCD" xfId="0"/>
    <cellStyle name="_DS_Other_LCD 2" xfId="0"/>
    <cellStyle name="_DS_Other_LCD 3" xfId="0"/>
    <cellStyle name="_DS_Other_LCD 4" xfId="0"/>
    <cellStyle name="_DS_Other_LCD_By Region" xfId="0"/>
    <cellStyle name="_DS_Other_LCD_CORP SG&amp;A" xfId="0"/>
    <cellStyle name="_DS_Other_LCD_LCD" xfId="0"/>
    <cellStyle name="_DS_Other_LCD_PJ" xfId="0"/>
    <cellStyle name="_DS_Other_lightling" xfId="0"/>
    <cellStyle name="_DS_Other_lightling 2" xfId="0"/>
    <cellStyle name="_DS_Other_lightling 3" xfId="0"/>
    <cellStyle name="_DS_Other_lightling_By Region" xfId="0"/>
    <cellStyle name="_DS_Other_PC Products" xfId="0"/>
    <cellStyle name="_DS_Other_PC Products 2" xfId="0"/>
    <cellStyle name="_DS_Other_PC Products 3" xfId="0"/>
    <cellStyle name="_DS_Other_PC Products 4" xfId="0"/>
    <cellStyle name="_DS_Other_PC Products 4 2" xfId="0"/>
    <cellStyle name="_DS_Other_PC Products_By Region" xfId="0"/>
    <cellStyle name="_DS_Other_PC Products_CORP SG&amp;A" xfId="0"/>
    <cellStyle name="_DS_Other_PC Products_LCD" xfId="0"/>
    <cellStyle name="_DS_Other_PC Products_PJ" xfId="0"/>
    <cellStyle name="_DS_Other_VSA 111014" xfId="0"/>
    <cellStyle name="_DS_Other_VSA 111014 2" xfId="0"/>
    <cellStyle name="_DS_Other_VSA 111014 3" xfId="0"/>
    <cellStyle name="_DS_Other_VSA 111014 4" xfId="0"/>
    <cellStyle name="_DS_Other_VSA 111014 4 2" xfId="0"/>
    <cellStyle name="_DS_Other_VSA 111014_By Region" xfId="0"/>
    <cellStyle name="_DS_Other_VSA 111014_CORP SG&amp;A" xfId="0"/>
    <cellStyle name="_DS_Other_VSA 111014_LCD" xfId="0"/>
    <cellStyle name="_DS_Other_VSA 111014_PJ" xfId="0"/>
    <cellStyle name="_DS_Other_VSA Roll-Up (LW)" xfId="0"/>
    <cellStyle name="_DS_Other_VSA Roll-Up (LW) 2" xfId="0"/>
    <cellStyle name="_DS_Other_VSA Roll-Up (LW) 3" xfId="0"/>
    <cellStyle name="_DS_Other_VSA Roll-Up (LW) 4" xfId="0"/>
    <cellStyle name="_DS_Other_VSA Roll-Up (LW) 4 2" xfId="0"/>
    <cellStyle name="_DS_Other_VSA Roll-Up (LW)_By Region" xfId="0"/>
    <cellStyle name="_DS_Other_VSA Roll-Up (LW)_CORP SG&amp;A" xfId="0"/>
    <cellStyle name="_DS_Other_VSA Roll-Up (LW)_LCD" xfId="0"/>
    <cellStyle name="_DS_Other_VSA Roll-Up (LW)_PJ" xfId="0"/>
    <cellStyle name="_DS_PC" xfId="0"/>
    <cellStyle name="_DS_PC 2" xfId="0"/>
    <cellStyle name="_DS_PC 3" xfId="0"/>
    <cellStyle name="_DS_PC 4" xfId="0"/>
    <cellStyle name="_DS_PC Products" xfId="0"/>
    <cellStyle name="_DS_PC Products 2" xfId="0"/>
    <cellStyle name="_DS_PC Products 3" xfId="0"/>
    <cellStyle name="_DS_PC Products 4" xfId="0"/>
    <cellStyle name="_DS_PC Products 4 2" xfId="0"/>
    <cellStyle name="_DS_PC Products_By Region" xfId="0"/>
    <cellStyle name="_DS_PC Products_CORP SG&amp;A" xfId="0"/>
    <cellStyle name="_DS_PC Products_LCD" xfId="0"/>
    <cellStyle name="_DS_PC Products_PJ" xfId="0"/>
    <cellStyle name="_DS_PC_By Region" xfId="0"/>
    <cellStyle name="_DS_PC_CORP SG&amp;A" xfId="0"/>
    <cellStyle name="_DS_PC_Digitizer" xfId="0"/>
    <cellStyle name="_DS_PC_DT" xfId="0"/>
    <cellStyle name="_DS_PC_DT 2" xfId="0"/>
    <cellStyle name="_DS_PC_DT 3" xfId="0"/>
    <cellStyle name="_DS_PC_DT_By Region" xfId="0"/>
    <cellStyle name="_DS_PC_GPS OTHER" xfId="0"/>
    <cellStyle name="_DS_PC_GPS OTHER 2" xfId="0"/>
    <cellStyle name="_DS_PC_GPS OTHER 3" xfId="0"/>
    <cellStyle name="_DS_PC_GPS OTHER 4" xfId="0"/>
    <cellStyle name="_DS_PC_GPS OTHER 4 2" xfId="0"/>
    <cellStyle name="_DS_PC_GPS OTHER_By Region" xfId="0"/>
    <cellStyle name="_DS_PC_GPS OTHER_CORP SG&amp;A" xfId="0"/>
    <cellStyle name="_DS_PC_GPS OTHER_LCD" xfId="0"/>
    <cellStyle name="_DS_PC_GPS OTHER_PJ" xfId="0"/>
    <cellStyle name="_DS_PC_LCD" xfId="0"/>
    <cellStyle name="_DS_PC_LCD 2" xfId="0"/>
    <cellStyle name="_DS_PC_LCD 3" xfId="0"/>
    <cellStyle name="_DS_PC_LCD 4" xfId="0"/>
    <cellStyle name="_DS_PC_LCD_By Region" xfId="0"/>
    <cellStyle name="_DS_PC_LCD_CORP SG&amp;A" xfId="0"/>
    <cellStyle name="_DS_PC_LCD_LCD" xfId="0"/>
    <cellStyle name="_DS_PC_LCD_PJ" xfId="0"/>
    <cellStyle name="_DS_PC_lightling" xfId="0"/>
    <cellStyle name="_DS_PC_lightling 2" xfId="0"/>
    <cellStyle name="_DS_PC_lightling 3" xfId="0"/>
    <cellStyle name="_DS_PC_lightling_By Region" xfId="0"/>
    <cellStyle name="_DS_PC_PC Products" xfId="0"/>
    <cellStyle name="_DS_PC_PC Products 2" xfId="0"/>
    <cellStyle name="_DS_PC_PC Products 3" xfId="0"/>
    <cellStyle name="_DS_PC_PC Products 4" xfId="0"/>
    <cellStyle name="_DS_PC_PC Products 4 2" xfId="0"/>
    <cellStyle name="_DS_PC_PC Products_By Region" xfId="0"/>
    <cellStyle name="_DS_PC_PC Products_CORP SG&amp;A" xfId="0"/>
    <cellStyle name="_DS_PC_PC Products_LCD" xfId="0"/>
    <cellStyle name="_DS_PC_PC Products_PJ" xfId="0"/>
    <cellStyle name="_DS_PC_TV" xfId="0"/>
    <cellStyle name="_DS_PC_TV 2" xfId="0"/>
    <cellStyle name="_DS_PC_TV 3" xfId="0"/>
    <cellStyle name="_DS_PC_TV 4" xfId="0"/>
    <cellStyle name="_DS_PC_TV_By Region" xfId="0"/>
    <cellStyle name="_DS_PC_TV_CORP SG&amp;A" xfId="0"/>
    <cellStyle name="_DS_PC_TV_Digitizer" xfId="0"/>
    <cellStyle name="_DS_PC_TV_GPS OTHER" xfId="0"/>
    <cellStyle name="_DS_PC_TV_GPS OTHER 2" xfId="0"/>
    <cellStyle name="_DS_PC_TV_GPS OTHER 3" xfId="0"/>
    <cellStyle name="_DS_PC_TV_GPS OTHER 4" xfId="0"/>
    <cellStyle name="_DS_PC_TV_GPS OTHER 4 2" xfId="0"/>
    <cellStyle name="_DS_PC_TV_GPS OTHER_By Region" xfId="0"/>
    <cellStyle name="_DS_PC_TV_GPS OTHER_CORP SG&amp;A" xfId="0"/>
    <cellStyle name="_DS_PC_TV_GPS OTHER_LCD" xfId="0"/>
    <cellStyle name="_DS_PC_TV_GPS OTHER_PJ" xfId="0"/>
    <cellStyle name="_DS_PC_TV_LCD" xfId="0"/>
    <cellStyle name="_DS_PC_TV_LCD 2" xfId="0"/>
    <cellStyle name="_DS_PC_TV_LCD 3" xfId="0"/>
    <cellStyle name="_DS_PC_TV_LCD 4" xfId="0"/>
    <cellStyle name="_DS_PC_TV_LCD_By Region" xfId="0"/>
    <cellStyle name="_DS_PC_TV_LCD_CORP SG&amp;A" xfId="0"/>
    <cellStyle name="_DS_PC_TV_LCD_LCD" xfId="0"/>
    <cellStyle name="_DS_PC_TV_LCD_PJ" xfId="0"/>
    <cellStyle name="_DS_PC_TV_lightling" xfId="0"/>
    <cellStyle name="_DS_PC_TV_lightling 2" xfId="0"/>
    <cellStyle name="_DS_PC_TV_lightling 3" xfId="0"/>
    <cellStyle name="_DS_PC_TV_lightling_By Region" xfId="0"/>
    <cellStyle name="_DS_PC_TV_PC Products" xfId="0"/>
    <cellStyle name="_DS_PC_TV_PC Products 2" xfId="0"/>
    <cellStyle name="_DS_PC_TV_PC Products 3" xfId="0"/>
    <cellStyle name="_DS_PC_TV_PC Products 4" xfId="0"/>
    <cellStyle name="_DS_PC_TV_PC Products 4 2" xfId="0"/>
    <cellStyle name="_DS_PC_TV_PC Products_By Region" xfId="0"/>
    <cellStyle name="_DS_PC_TV_PC Products_CORP SG&amp;A" xfId="0"/>
    <cellStyle name="_DS_PC_TV_PC Products_LCD" xfId="0"/>
    <cellStyle name="_DS_PC_TV_PC Products_PJ" xfId="0"/>
    <cellStyle name="_DS_PC_TV_VSA 111014" xfId="0"/>
    <cellStyle name="_DS_PC_TV_VSA 111014 2" xfId="0"/>
    <cellStyle name="_DS_PC_TV_VSA 111014 3" xfId="0"/>
    <cellStyle name="_DS_PC_TV_VSA 111014 4" xfId="0"/>
    <cellStyle name="_DS_PC_TV_VSA 111014 4 2" xfId="0"/>
    <cellStyle name="_DS_PC_TV_VSA 111014_By Region" xfId="0"/>
    <cellStyle name="_DS_PC_TV_VSA 111014_CORP SG&amp;A" xfId="0"/>
    <cellStyle name="_DS_PC_TV_VSA 111014_LCD" xfId="0"/>
    <cellStyle name="_DS_PC_TV_VSA 111014_PJ" xfId="0"/>
    <cellStyle name="_DS_PC_TV_VSA Roll-Up (LW)" xfId="0"/>
    <cellStyle name="_DS_PC_TV_VSA Roll-Up (LW) 2" xfId="0"/>
    <cellStyle name="_DS_PC_TV_VSA Roll-Up (LW) 3" xfId="0"/>
    <cellStyle name="_DS_PC_TV_VSA Roll-Up (LW) 4" xfId="0"/>
    <cellStyle name="_DS_PC_TV_VSA Roll-Up (LW) 4 2" xfId="0"/>
    <cellStyle name="_DS_PC_TV_VSA Roll-Up (LW)_By Region" xfId="0"/>
    <cellStyle name="_DS_PC_TV_VSA Roll-Up (LW)_CORP SG&amp;A" xfId="0"/>
    <cellStyle name="_DS_PC_TV_VSA Roll-Up (LW)_LCD" xfId="0"/>
    <cellStyle name="_DS_PC_TV_VSA Roll-Up (LW)_PJ" xfId="0"/>
    <cellStyle name="_DS_PC_VSA 111014" xfId="0"/>
    <cellStyle name="_DS_PC_VSA 111014 2" xfId="0"/>
    <cellStyle name="_DS_PC_VSA 111014 3" xfId="0"/>
    <cellStyle name="_DS_PC_VSA 111014 4" xfId="0"/>
    <cellStyle name="_DS_PC_VSA 111014 4 2" xfId="0"/>
    <cellStyle name="_DS_PC_VSA 111014_By Region" xfId="0"/>
    <cellStyle name="_DS_PC_VSA 111014_CORP SG&amp;A" xfId="0"/>
    <cellStyle name="_DS_PC_VSA 111014_LCD" xfId="0"/>
    <cellStyle name="_DS_PC_VSA 111014_PJ" xfId="0"/>
    <cellStyle name="_DS_PC_VSA Roll-Up (LW)" xfId="0"/>
    <cellStyle name="_DS_PC_VSA Roll-Up (LW) 2" xfId="0"/>
    <cellStyle name="_DS_PC_VSA Roll-Up (LW) 3" xfId="0"/>
    <cellStyle name="_DS_PC_VSA Roll-Up (LW) 4" xfId="0"/>
    <cellStyle name="_DS_PC_VSA Roll-Up (LW) 4 2" xfId="0"/>
    <cellStyle name="_DS_PC_VSA Roll-Up (LW)_By Region" xfId="0"/>
    <cellStyle name="_DS_PC_VSA Roll-Up (LW)_CORP SG&amp;A" xfId="0"/>
    <cellStyle name="_DS_PC_VSA Roll-Up (LW)_LCD" xfId="0"/>
    <cellStyle name="_DS_PC_VSA Roll-Up (LW)_PJ" xfId="0"/>
    <cellStyle name="_DS_PJ" xfId="0"/>
    <cellStyle name="_DS_PJ 2" xfId="0"/>
    <cellStyle name="_DS_PJ 3" xfId="0"/>
    <cellStyle name="_DS_PJ 4" xfId="0"/>
    <cellStyle name="_DS_PJ_By Region" xfId="0"/>
    <cellStyle name="_DS_PJ_CORP SG&amp;A" xfId="0"/>
    <cellStyle name="_DS_PJ_Digitizer" xfId="0"/>
    <cellStyle name="_DS_PJ_GPS OTHER" xfId="0"/>
    <cellStyle name="_DS_PJ_GPS OTHER 2" xfId="0"/>
    <cellStyle name="_DS_PJ_GPS OTHER 3" xfId="0"/>
    <cellStyle name="_DS_PJ_GPS OTHER 4" xfId="0"/>
    <cellStyle name="_DS_PJ_GPS OTHER 4 2" xfId="0"/>
    <cellStyle name="_DS_PJ_GPS OTHER_By Region" xfId="0"/>
    <cellStyle name="_DS_PJ_GPS OTHER_CORP SG&amp;A" xfId="0"/>
    <cellStyle name="_DS_PJ_GPS OTHER_LCD" xfId="0"/>
    <cellStyle name="_DS_PJ_GPS OTHER_PJ" xfId="0"/>
    <cellStyle name="_DS_PJ_LCD" xfId="0"/>
    <cellStyle name="_DS_PJ_LCD 2" xfId="0"/>
    <cellStyle name="_DS_PJ_LCD 3" xfId="0"/>
    <cellStyle name="_DS_PJ_LCD 4" xfId="0"/>
    <cellStyle name="_DS_PJ_LCD_By Region" xfId="0"/>
    <cellStyle name="_DS_PJ_LCD_CORP SG&amp;A" xfId="0"/>
    <cellStyle name="_DS_PJ_LCD_LCD" xfId="0"/>
    <cellStyle name="_DS_PJ_LCD_PJ" xfId="0"/>
    <cellStyle name="_DS_PJ_lightling" xfId="0"/>
    <cellStyle name="_DS_PJ_lightling 2" xfId="0"/>
    <cellStyle name="_DS_PJ_lightling 3" xfId="0"/>
    <cellStyle name="_DS_PJ_lightling_By Region" xfId="0"/>
    <cellStyle name="_DS_PJ_PC Products" xfId="0"/>
    <cellStyle name="_DS_PJ_PC Products 2" xfId="0"/>
    <cellStyle name="_DS_PJ_PC Products 3" xfId="0"/>
    <cellStyle name="_DS_PJ_PC Products 4" xfId="0"/>
    <cellStyle name="_DS_PJ_PC Products 4 2" xfId="0"/>
    <cellStyle name="_DS_PJ_PC Products_By Region" xfId="0"/>
    <cellStyle name="_DS_PJ_PC Products_CORP SG&amp;A" xfId="0"/>
    <cellStyle name="_DS_PJ_PC Products_LCD" xfId="0"/>
    <cellStyle name="_DS_PJ_PC Products_PJ" xfId="0"/>
    <cellStyle name="_DS_PJ_VSA 111014" xfId="0"/>
    <cellStyle name="_DS_PJ_VSA 111014 2" xfId="0"/>
    <cellStyle name="_DS_PJ_VSA 111014 3" xfId="0"/>
    <cellStyle name="_DS_PJ_VSA 111014 4" xfId="0"/>
    <cellStyle name="_DS_PJ_VSA 111014 4 2" xfId="0"/>
    <cellStyle name="_DS_PJ_VSA 111014_By Region" xfId="0"/>
    <cellStyle name="_DS_PJ_VSA 111014_CORP SG&amp;A" xfId="0"/>
    <cellStyle name="_DS_PJ_VSA 111014_LCD" xfId="0"/>
    <cellStyle name="_DS_PJ_VSA 111014_PJ" xfId="0"/>
    <cellStyle name="_DS_PJ_VSA Roll-Up (LW)" xfId="0"/>
    <cellStyle name="_DS_PJ_VSA Roll-Up (LW) 2" xfId="0"/>
    <cellStyle name="_DS_PJ_VSA Roll-Up (LW) 3" xfId="0"/>
    <cellStyle name="_DS_PJ_VSA Roll-Up (LW) 4" xfId="0"/>
    <cellStyle name="_DS_PJ_VSA Roll-Up (LW) 4 2" xfId="0"/>
    <cellStyle name="_DS_PJ_VSA Roll-Up (LW)_By Region" xfId="0"/>
    <cellStyle name="_DS_PJ_VSA Roll-Up (LW)_CORP SG&amp;A" xfId="0"/>
    <cellStyle name="_DS_PJ_VSA Roll-Up (LW)_LCD" xfId="0"/>
    <cellStyle name="_DS_PJ_VSA Roll-Up (LW)_PJ" xfId="0"/>
    <cellStyle name="_DS_PMP(VPD)" xfId="0"/>
    <cellStyle name="_DS_PMP(VPD) 2" xfId="0"/>
    <cellStyle name="_DS_PMP(VPD) 3" xfId="0"/>
    <cellStyle name="_DS_PMP(VPD) 4" xfId="0"/>
    <cellStyle name="_DS_PMP(VPD)_By Region" xfId="0"/>
    <cellStyle name="_DS_PMP(VPD)_CORP SG&amp;A" xfId="0"/>
    <cellStyle name="_DS_PMP(VPD)_Digitizer" xfId="0"/>
    <cellStyle name="_DS_PMP(VPD)_GPS OTHER" xfId="0"/>
    <cellStyle name="_DS_PMP(VPD)_GPS OTHER 2" xfId="0"/>
    <cellStyle name="_DS_PMP(VPD)_GPS OTHER 3" xfId="0"/>
    <cellStyle name="_DS_PMP(VPD)_GPS OTHER 4" xfId="0"/>
    <cellStyle name="_DS_PMP(VPD)_GPS OTHER 4 2" xfId="0"/>
    <cellStyle name="_DS_PMP(VPD)_GPS OTHER_By Region" xfId="0"/>
    <cellStyle name="_DS_PMP(VPD)_GPS OTHER_CORP SG&amp;A" xfId="0"/>
    <cellStyle name="_DS_PMP(VPD)_GPS OTHER_LCD" xfId="0"/>
    <cellStyle name="_DS_PMP(VPD)_GPS OTHER_PJ" xfId="0"/>
    <cellStyle name="_DS_PMP(VPD)_LCD" xfId="0"/>
    <cellStyle name="_DS_PMP(VPD)_LCD 2" xfId="0"/>
    <cellStyle name="_DS_PMP(VPD)_LCD 3" xfId="0"/>
    <cellStyle name="_DS_PMP(VPD)_LCD 4" xfId="0"/>
    <cellStyle name="_DS_PMP(VPD)_LCD_By Region" xfId="0"/>
    <cellStyle name="_DS_PMP(VPD)_LCD_CORP SG&amp;A" xfId="0"/>
    <cellStyle name="_DS_PMP(VPD)_LCD_LCD" xfId="0"/>
    <cellStyle name="_DS_PMP(VPD)_LCD_PJ" xfId="0"/>
    <cellStyle name="_DS_PMP(VPD)_lightling" xfId="0"/>
    <cellStyle name="_DS_PMP(VPD)_lightling 2" xfId="0"/>
    <cellStyle name="_DS_PMP(VPD)_lightling 3" xfId="0"/>
    <cellStyle name="_DS_PMP(VPD)_lightling_By Region" xfId="0"/>
    <cellStyle name="_DS_PMP(VPD)_PC Products" xfId="0"/>
    <cellStyle name="_DS_PMP(VPD)_PC Products 2" xfId="0"/>
    <cellStyle name="_DS_PMP(VPD)_PC Products 3" xfId="0"/>
    <cellStyle name="_DS_PMP(VPD)_PC Products 4" xfId="0"/>
    <cellStyle name="_DS_PMP(VPD)_PC Products 4 2" xfId="0"/>
    <cellStyle name="_DS_PMP(VPD)_PC Products_By Region" xfId="0"/>
    <cellStyle name="_DS_PMP(VPD)_PC Products_CORP SG&amp;A" xfId="0"/>
    <cellStyle name="_DS_PMP(VPD)_PC Products_LCD" xfId="0"/>
    <cellStyle name="_DS_PMP(VPD)_PC Products_PJ" xfId="0"/>
    <cellStyle name="_DS_PMP(VPD)_VSA 111014" xfId="0"/>
    <cellStyle name="_DS_PMP(VPD)_VSA 111014 2" xfId="0"/>
    <cellStyle name="_DS_PMP(VPD)_VSA 111014 3" xfId="0"/>
    <cellStyle name="_DS_PMP(VPD)_VSA 111014 4" xfId="0"/>
    <cellStyle name="_DS_PMP(VPD)_VSA 111014 4 2" xfId="0"/>
    <cellStyle name="_DS_PMP(VPD)_VSA 111014_By Region" xfId="0"/>
    <cellStyle name="_DS_PMP(VPD)_VSA 111014_CORP SG&amp;A" xfId="0"/>
    <cellStyle name="_DS_PMP(VPD)_VSA 111014_LCD" xfId="0"/>
    <cellStyle name="_DS_PMP(VPD)_VSA 111014_PJ" xfId="0"/>
    <cellStyle name="_DS_PMP(VPD)_VSA Roll-Up (LW)" xfId="0"/>
    <cellStyle name="_DS_PMP(VPD)_VSA Roll-Up (LW) 2" xfId="0"/>
    <cellStyle name="_DS_PMP(VPD)_VSA Roll-Up (LW) 3" xfId="0"/>
    <cellStyle name="_DS_PMP(VPD)_VSA Roll-Up (LW) 4" xfId="0"/>
    <cellStyle name="_DS_PMP(VPD)_VSA Roll-Up (LW) 4 2" xfId="0"/>
    <cellStyle name="_DS_PMP(VPD)_VSA Roll-Up (LW)_By Region" xfId="0"/>
    <cellStyle name="_DS_PMP(VPD)_VSA Roll-Up (LW)_CORP SG&amp;A" xfId="0"/>
    <cellStyle name="_DS_PMP(VPD)_VSA Roll-Up (LW)_LCD" xfId="0"/>
    <cellStyle name="_DS_PMP(VPD)_VSA Roll-Up (LW)_PJ" xfId="0"/>
    <cellStyle name="_DS_Pocket TV" xfId="0"/>
    <cellStyle name="_DS_Pocket TV 2" xfId="0"/>
    <cellStyle name="_DS_Pocket TV 3" xfId="0"/>
    <cellStyle name="_DS_Pocket TV 4" xfId="0"/>
    <cellStyle name="_DS_Pocket TV_By Region" xfId="0"/>
    <cellStyle name="_DS_Pocket TV_CORP SG&amp;A" xfId="0"/>
    <cellStyle name="_DS_Pocket TV_Digitizer" xfId="0"/>
    <cellStyle name="_DS_Pocket TV_GPS OTHER" xfId="0"/>
    <cellStyle name="_DS_Pocket TV_GPS OTHER 2" xfId="0"/>
    <cellStyle name="_DS_Pocket TV_GPS OTHER 3" xfId="0"/>
    <cellStyle name="_DS_Pocket TV_GPS OTHER 4" xfId="0"/>
    <cellStyle name="_DS_Pocket TV_GPS OTHER 4 2" xfId="0"/>
    <cellStyle name="_DS_Pocket TV_GPS OTHER_By Region" xfId="0"/>
    <cellStyle name="_DS_Pocket TV_GPS OTHER_CORP SG&amp;A" xfId="0"/>
    <cellStyle name="_DS_Pocket TV_GPS OTHER_LCD" xfId="0"/>
    <cellStyle name="_DS_Pocket TV_GPS OTHER_PJ" xfId="0"/>
    <cellStyle name="_DS_Pocket TV_LCD" xfId="0"/>
    <cellStyle name="_DS_Pocket TV_LCD 2" xfId="0"/>
    <cellStyle name="_DS_Pocket TV_LCD 3" xfId="0"/>
    <cellStyle name="_DS_Pocket TV_LCD 4" xfId="0"/>
    <cellStyle name="_DS_Pocket TV_LCD_By Region" xfId="0"/>
    <cellStyle name="_DS_Pocket TV_LCD_CORP SG&amp;A" xfId="0"/>
    <cellStyle name="_DS_Pocket TV_LCD_LCD" xfId="0"/>
    <cellStyle name="_DS_Pocket TV_LCD_PJ" xfId="0"/>
    <cellStyle name="_DS_Pocket TV_lightling" xfId="0"/>
    <cellStyle name="_DS_Pocket TV_lightling 2" xfId="0"/>
    <cellStyle name="_DS_Pocket TV_lightling 3" xfId="0"/>
    <cellStyle name="_DS_Pocket TV_lightling_By Region" xfId="0"/>
    <cellStyle name="_DS_Pocket TV_PC Products" xfId="0"/>
    <cellStyle name="_DS_Pocket TV_PC Products 2" xfId="0"/>
    <cellStyle name="_DS_Pocket TV_PC Products 3" xfId="0"/>
    <cellStyle name="_DS_Pocket TV_PC Products 4" xfId="0"/>
    <cellStyle name="_DS_Pocket TV_PC Products 4 2" xfId="0"/>
    <cellStyle name="_DS_Pocket TV_PC Products_By Region" xfId="0"/>
    <cellStyle name="_DS_Pocket TV_PC Products_CORP SG&amp;A" xfId="0"/>
    <cellStyle name="_DS_Pocket TV_PC Products_LCD" xfId="0"/>
    <cellStyle name="_DS_Pocket TV_PC Products_PJ" xfId="0"/>
    <cellStyle name="_DS_Pocket TV_VSA 111014" xfId="0"/>
    <cellStyle name="_DS_Pocket TV_VSA 111014 2" xfId="0"/>
    <cellStyle name="_DS_Pocket TV_VSA 111014 3" xfId="0"/>
    <cellStyle name="_DS_Pocket TV_VSA 111014 4" xfId="0"/>
    <cellStyle name="_DS_Pocket TV_VSA 111014 4 2" xfId="0"/>
    <cellStyle name="_DS_Pocket TV_VSA 111014_By Region" xfId="0"/>
    <cellStyle name="_DS_Pocket TV_VSA 111014_CORP SG&amp;A" xfId="0"/>
    <cellStyle name="_DS_Pocket TV_VSA 111014_LCD" xfId="0"/>
    <cellStyle name="_DS_Pocket TV_VSA 111014_PJ" xfId="0"/>
    <cellStyle name="_DS_Pocket TV_VSA Roll-Up (LW)" xfId="0"/>
    <cellStyle name="_DS_Pocket TV_VSA Roll-Up (LW) 2" xfId="0"/>
    <cellStyle name="_DS_Pocket TV_VSA Roll-Up (LW) 3" xfId="0"/>
    <cellStyle name="_DS_Pocket TV_VSA Roll-Up (LW) 4" xfId="0"/>
    <cellStyle name="_DS_Pocket TV_VSA Roll-Up (LW) 4 2" xfId="0"/>
    <cellStyle name="_DS_Pocket TV_VSA Roll-Up (LW)_By Region" xfId="0"/>
    <cellStyle name="_DS_Pocket TV_VSA Roll-Up (LW)_CORP SG&amp;A" xfId="0"/>
    <cellStyle name="_DS_Pocket TV_VSA Roll-Up (LW)_LCD" xfId="0"/>
    <cellStyle name="_DS_Pocket TV_VSA Roll-Up (LW)_PJ" xfId="0"/>
    <cellStyle name="_DS_Pocket_TV" xfId="0"/>
    <cellStyle name="_DS_Pocket_TV 2" xfId="0"/>
    <cellStyle name="_DS_Pocket_TV 3" xfId="0"/>
    <cellStyle name="_DS_Pocket_TV 4" xfId="0"/>
    <cellStyle name="_DS_Pocket_TV_By Region" xfId="0"/>
    <cellStyle name="_DS_Pocket_TV_CORP SG&amp;A" xfId="0"/>
    <cellStyle name="_DS_Pocket_TV_Digitizer" xfId="0"/>
    <cellStyle name="_DS_Pocket_TV_GPS OTHER" xfId="0"/>
    <cellStyle name="_DS_Pocket_TV_GPS OTHER 2" xfId="0"/>
    <cellStyle name="_DS_Pocket_TV_GPS OTHER 3" xfId="0"/>
    <cellStyle name="_DS_Pocket_TV_GPS OTHER 4" xfId="0"/>
    <cellStyle name="_DS_Pocket_TV_GPS OTHER 4 2" xfId="0"/>
    <cellStyle name="_DS_Pocket_TV_GPS OTHER_By Region" xfId="0"/>
    <cellStyle name="_DS_Pocket_TV_GPS OTHER_CORP SG&amp;A" xfId="0"/>
    <cellStyle name="_DS_Pocket_TV_GPS OTHER_LCD" xfId="0"/>
    <cellStyle name="_DS_Pocket_TV_GPS OTHER_PJ" xfId="0"/>
    <cellStyle name="_DS_Pocket_TV_LCD" xfId="0"/>
    <cellStyle name="_DS_Pocket_TV_LCD 2" xfId="0"/>
    <cellStyle name="_DS_Pocket_TV_LCD 3" xfId="0"/>
    <cellStyle name="_DS_Pocket_TV_LCD 4" xfId="0"/>
    <cellStyle name="_DS_Pocket_TV_LCD_By Region" xfId="0"/>
    <cellStyle name="_DS_Pocket_TV_LCD_CORP SG&amp;A" xfId="0"/>
    <cellStyle name="_DS_Pocket_TV_LCD_LCD" xfId="0"/>
    <cellStyle name="_DS_Pocket_TV_LCD_PJ" xfId="0"/>
    <cellStyle name="_DS_Pocket_TV_lightling" xfId="0"/>
    <cellStyle name="_DS_Pocket_TV_lightling 2" xfId="0"/>
    <cellStyle name="_DS_Pocket_TV_lightling 3" xfId="0"/>
    <cellStyle name="_DS_Pocket_TV_lightling_By Region" xfId="0"/>
    <cellStyle name="_DS_Pocket_TV_PC Products" xfId="0"/>
    <cellStyle name="_DS_Pocket_TV_PC Products 2" xfId="0"/>
    <cellStyle name="_DS_Pocket_TV_PC Products 3" xfId="0"/>
    <cellStyle name="_DS_Pocket_TV_PC Products 4" xfId="0"/>
    <cellStyle name="_DS_Pocket_TV_PC Products 4 2" xfId="0"/>
    <cellStyle name="_DS_Pocket_TV_PC Products_By Region" xfId="0"/>
    <cellStyle name="_DS_Pocket_TV_PC Products_CORP SG&amp;A" xfId="0"/>
    <cellStyle name="_DS_Pocket_TV_PC Products_LCD" xfId="0"/>
    <cellStyle name="_DS_Pocket_TV_PC Products_PJ" xfId="0"/>
    <cellStyle name="_DS_Pocket_TV_VSA 111014" xfId="0"/>
    <cellStyle name="_DS_Pocket_TV_VSA 111014 2" xfId="0"/>
    <cellStyle name="_DS_Pocket_TV_VSA 111014 3" xfId="0"/>
    <cellStyle name="_DS_Pocket_TV_VSA 111014 4" xfId="0"/>
    <cellStyle name="_DS_Pocket_TV_VSA 111014 4 2" xfId="0"/>
    <cellStyle name="_DS_Pocket_TV_VSA 111014_By Region" xfId="0"/>
    <cellStyle name="_DS_Pocket_TV_VSA 111014_CORP SG&amp;A" xfId="0"/>
    <cellStyle name="_DS_Pocket_TV_VSA 111014_LCD" xfId="0"/>
    <cellStyle name="_DS_Pocket_TV_VSA 111014_PJ" xfId="0"/>
    <cellStyle name="_DS_Pocket_TV_VSA Roll-Up (LW)" xfId="0"/>
    <cellStyle name="_DS_Pocket_TV_VSA Roll-Up (LW) 2" xfId="0"/>
    <cellStyle name="_DS_Pocket_TV_VSA Roll-Up (LW) 3" xfId="0"/>
    <cellStyle name="_DS_Pocket_TV_VSA Roll-Up (LW) 4" xfId="0"/>
    <cellStyle name="_DS_Pocket_TV_VSA Roll-Up (LW) 4 2" xfId="0"/>
    <cellStyle name="_DS_Pocket_TV_VSA Roll-Up (LW)_By Region" xfId="0"/>
    <cellStyle name="_DS_Pocket_TV_VSA Roll-Up (LW)_CORP SG&amp;A" xfId="0"/>
    <cellStyle name="_DS_Pocket_TV_VSA Roll-Up (LW)_LCD" xfId="0"/>
    <cellStyle name="_DS_Pocket_TV_VSA Roll-Up (LW)_PJ" xfId="0"/>
    <cellStyle name="_DS_TV" xfId="0"/>
    <cellStyle name="_DS_TV 2" xfId="0"/>
    <cellStyle name="_DS_TV 3" xfId="0"/>
    <cellStyle name="_DS_TV 4" xfId="0"/>
    <cellStyle name="_DS_TV_By Region" xfId="0"/>
    <cellStyle name="_DS_TV_CORP SG&amp;A" xfId="0"/>
    <cellStyle name="_DS_TV_Digitizer" xfId="0"/>
    <cellStyle name="_DS_TV_GPS OTHER" xfId="0"/>
    <cellStyle name="_DS_TV_GPS OTHER 2" xfId="0"/>
    <cellStyle name="_DS_TV_GPS OTHER 3" xfId="0"/>
    <cellStyle name="_DS_TV_GPS OTHER 4" xfId="0"/>
    <cellStyle name="_DS_TV_GPS OTHER 4 2" xfId="0"/>
    <cellStyle name="_DS_TV_GPS OTHER_By Region" xfId="0"/>
    <cellStyle name="_DS_TV_GPS OTHER_CORP SG&amp;A" xfId="0"/>
    <cellStyle name="_DS_TV_GPS OTHER_LCD" xfId="0"/>
    <cellStyle name="_DS_TV_GPS OTHER_PJ" xfId="0"/>
    <cellStyle name="_DS_TV_LCD" xfId="0"/>
    <cellStyle name="_DS_TV_LCD 2" xfId="0"/>
    <cellStyle name="_DS_TV_LCD 3" xfId="0"/>
    <cellStyle name="_DS_TV_LCD 4" xfId="0"/>
    <cellStyle name="_DS_TV_LCD_By Region" xfId="0"/>
    <cellStyle name="_DS_TV_LCD_CORP SG&amp;A" xfId="0"/>
    <cellStyle name="_DS_TV_LCD_LCD" xfId="0"/>
    <cellStyle name="_DS_TV_LCD_PJ" xfId="0"/>
    <cellStyle name="_DS_TV_lightling" xfId="0"/>
    <cellStyle name="_DS_TV_lightling 2" xfId="0"/>
    <cellStyle name="_DS_TV_lightling 3" xfId="0"/>
    <cellStyle name="_DS_TV_lightling_By Region" xfId="0"/>
    <cellStyle name="_DS_TV_PC Products" xfId="0"/>
    <cellStyle name="_DS_TV_PC Products 2" xfId="0"/>
    <cellStyle name="_DS_TV_PC Products 3" xfId="0"/>
    <cellStyle name="_DS_TV_PC Products 4" xfId="0"/>
    <cellStyle name="_DS_TV_PC Products 4 2" xfId="0"/>
    <cellStyle name="_DS_TV_PC Products_By Region" xfId="0"/>
    <cellStyle name="_DS_TV_PC Products_CORP SG&amp;A" xfId="0"/>
    <cellStyle name="_DS_TV_PC Products_LCD" xfId="0"/>
    <cellStyle name="_DS_TV_PC Products_PJ" xfId="0"/>
    <cellStyle name="_DS_TV_VSA 111014" xfId="0"/>
    <cellStyle name="_DS_TV_VSA 111014 2" xfId="0"/>
    <cellStyle name="_DS_TV_VSA 111014 3" xfId="0"/>
    <cellStyle name="_DS_TV_VSA 111014 4" xfId="0"/>
    <cellStyle name="_DS_TV_VSA 111014 4 2" xfId="0"/>
    <cellStyle name="_DS_TV_VSA 111014_By Region" xfId="0"/>
    <cellStyle name="_DS_TV_VSA 111014_CORP SG&amp;A" xfId="0"/>
    <cellStyle name="_DS_TV_VSA 111014_LCD" xfId="0"/>
    <cellStyle name="_DS_TV_VSA 111014_PJ" xfId="0"/>
    <cellStyle name="_DS_TV_VSA Roll-Up (LW)" xfId="0"/>
    <cellStyle name="_DS_TV_VSA Roll-Up (LW) 2" xfId="0"/>
    <cellStyle name="_DS_TV_VSA Roll-Up (LW) 3" xfId="0"/>
    <cellStyle name="_DS_TV_VSA Roll-Up (LW) 4" xfId="0"/>
    <cellStyle name="_DS_TV_VSA Roll-Up (LW) 4 2" xfId="0"/>
    <cellStyle name="_DS_TV_VSA Roll-Up (LW)_By Region" xfId="0"/>
    <cellStyle name="_DS_TV_VSA Roll-Up (LW)_CORP SG&amp;A" xfId="0"/>
    <cellStyle name="_DS_TV_VSA Roll-Up (LW)_LCD" xfId="0"/>
    <cellStyle name="_DS_TV_VSA Roll-Up (LW)_PJ" xfId="0"/>
    <cellStyle name="_DS_VD" xfId="0"/>
    <cellStyle name="_DS_VD 2" xfId="0"/>
    <cellStyle name="_DS_VD 3" xfId="0"/>
    <cellStyle name="_DS_VD 4" xfId="0"/>
    <cellStyle name="_DS_VD_By Region" xfId="0"/>
    <cellStyle name="_DS_VD_CORP SG&amp;A" xfId="0"/>
    <cellStyle name="_DS_VD_Digitizer" xfId="0"/>
    <cellStyle name="_DS_VD_GPS OTHER" xfId="0"/>
    <cellStyle name="_DS_VD_GPS OTHER 2" xfId="0"/>
    <cellStyle name="_DS_VD_GPS OTHER 3" xfId="0"/>
    <cellStyle name="_DS_VD_GPS OTHER 4" xfId="0"/>
    <cellStyle name="_DS_VD_GPS OTHER 4 2" xfId="0"/>
    <cellStyle name="_DS_VD_GPS OTHER_By Region" xfId="0"/>
    <cellStyle name="_DS_VD_GPS OTHER_CORP SG&amp;A" xfId="0"/>
    <cellStyle name="_DS_VD_GPS OTHER_LCD" xfId="0"/>
    <cellStyle name="_DS_VD_GPS OTHER_PJ" xfId="0"/>
    <cellStyle name="_DS_VD_LCD" xfId="0"/>
    <cellStyle name="_DS_VD_LCD 2" xfId="0"/>
    <cellStyle name="_DS_VD_LCD 3" xfId="0"/>
    <cellStyle name="_DS_VD_LCD 4" xfId="0"/>
    <cellStyle name="_DS_VD_LCD_By Region" xfId="0"/>
    <cellStyle name="_DS_VD_LCD_CORP SG&amp;A" xfId="0"/>
    <cellStyle name="_DS_VD_LCD_LCD" xfId="0"/>
    <cellStyle name="_DS_VD_LCD_PJ" xfId="0"/>
    <cellStyle name="_DS_VD_lightling" xfId="0"/>
    <cellStyle name="_DS_VD_lightling 2" xfId="0"/>
    <cellStyle name="_DS_VD_lightling 3" xfId="0"/>
    <cellStyle name="_DS_VD_lightling_By Region" xfId="0"/>
    <cellStyle name="_DS_VD_PC Products" xfId="0"/>
    <cellStyle name="_DS_VD_PC Products 2" xfId="0"/>
    <cellStyle name="_DS_VD_PC Products 3" xfId="0"/>
    <cellStyle name="_DS_VD_PC Products 4" xfId="0"/>
    <cellStyle name="_DS_VD_PC Products 4 2" xfId="0"/>
    <cellStyle name="_DS_VD_PC Products_By Region" xfId="0"/>
    <cellStyle name="_DS_VD_PC Products_CORP SG&amp;A" xfId="0"/>
    <cellStyle name="_DS_VD_PC Products_LCD" xfId="0"/>
    <cellStyle name="_DS_VD_PC Products_PJ" xfId="0"/>
    <cellStyle name="_DS_VD_VSA 111014" xfId="0"/>
    <cellStyle name="_DS_VD_VSA 111014 2" xfId="0"/>
    <cellStyle name="_DS_VD_VSA 111014 3" xfId="0"/>
    <cellStyle name="_DS_VD_VSA 111014 4" xfId="0"/>
    <cellStyle name="_DS_VD_VSA 111014 4 2" xfId="0"/>
    <cellStyle name="_DS_VD_VSA 111014_By Region" xfId="0"/>
    <cellStyle name="_DS_VD_VSA 111014_CORP SG&amp;A" xfId="0"/>
    <cellStyle name="_DS_VD_VSA 111014_LCD" xfId="0"/>
    <cellStyle name="_DS_VD_VSA 111014_PJ" xfId="0"/>
    <cellStyle name="_DS_VD_VSA Roll-Up (LW)" xfId="0"/>
    <cellStyle name="_DS_VD_VSA Roll-Up (LW) 2" xfId="0"/>
    <cellStyle name="_DS_VD_VSA Roll-Up (LW) 3" xfId="0"/>
    <cellStyle name="_DS_VD_VSA Roll-Up (LW) 4" xfId="0"/>
    <cellStyle name="_DS_VD_VSA Roll-Up (LW) 4 2" xfId="0"/>
    <cellStyle name="_DS_VD_VSA Roll-Up (LW)_By Region" xfId="0"/>
    <cellStyle name="_DS_VD_VSA Roll-Up (LW)_CORP SG&amp;A" xfId="0"/>
    <cellStyle name="_DS_VD_VSA Roll-Up (LW)_LCD" xfId="0"/>
    <cellStyle name="_DS_VD_VSA Roll-Up (LW)_PJ" xfId="0"/>
    <cellStyle name="_DS_VSA 111014" xfId="0"/>
    <cellStyle name="_DS_VSA 111014 2" xfId="0"/>
    <cellStyle name="_DS_VSA 111014 3" xfId="0"/>
    <cellStyle name="_DS_VSA 111014 4" xfId="0"/>
    <cellStyle name="_DS_VSA 111014 4 2" xfId="0"/>
    <cellStyle name="_DS_VSA 111014_By Region" xfId="0"/>
    <cellStyle name="_DS_VSA 111014_CORP SG&amp;A" xfId="0"/>
    <cellStyle name="_DS_VSA 111014_LCD" xfId="0"/>
    <cellStyle name="_DS_VSA 111014_PJ" xfId="0"/>
    <cellStyle name="_DS_VSA Roll-Up (LW)" xfId="0"/>
    <cellStyle name="_DS_VSA Roll-Up (LW) 2" xfId="0"/>
    <cellStyle name="_DS_VSA Roll-Up (LW) 3" xfId="0"/>
    <cellStyle name="_DS_VSA Roll-Up (LW) 4" xfId="0"/>
    <cellStyle name="_DS_VSA Roll-Up (LW) 4 2" xfId="0"/>
    <cellStyle name="_DS_VSA Roll-Up (LW)_By Region" xfId="0"/>
    <cellStyle name="_DS_VSA Roll-Up (LW)_CORP SG&amp;A" xfId="0"/>
    <cellStyle name="_DS_VSA Roll-Up (LW)_LCD" xfId="0"/>
    <cellStyle name="_DS_VSA Roll-Up (LW)_PJ" xfId="0"/>
    <cellStyle name="_DS_VSE 2011 Budget" xfId="0"/>
    <cellStyle name="_DS_VSE 2011 Budget 2" xfId="0"/>
    <cellStyle name="_DS_VSE 2011 Budget 3" xfId="0"/>
    <cellStyle name="_DS_VSE 2011 Budget 4" xfId="0"/>
    <cellStyle name="_DS_VSE 2011 Budget_By Region" xfId="0"/>
    <cellStyle name="_DS_VSE 2011 Budget_CORP SG&amp;A" xfId="0"/>
    <cellStyle name="_DS_VSE 2011 Budget_Digitizer" xfId="0"/>
    <cellStyle name="_DS_VSE 2011 Budget_GPS OTHER" xfId="0"/>
    <cellStyle name="_DS_VSE 2011 Budget_GPS OTHER 2" xfId="0"/>
    <cellStyle name="_DS_VSE 2011 Budget_GPS OTHER 3" xfId="0"/>
    <cellStyle name="_DS_VSE 2011 Budget_GPS OTHER 4" xfId="0"/>
    <cellStyle name="_DS_VSE 2011 Budget_GPS OTHER 4 2" xfId="0"/>
    <cellStyle name="_DS_VSE 2011 Budget_GPS OTHER_By Region" xfId="0"/>
    <cellStyle name="_DS_VSE 2011 Budget_GPS OTHER_CORP SG&amp;A" xfId="0"/>
    <cellStyle name="_DS_VSE 2011 Budget_GPS OTHER_LCD" xfId="0"/>
    <cellStyle name="_DS_VSE 2011 Budget_GPS OTHER_PJ" xfId="0"/>
    <cellStyle name="_DS_VSE 2011 Budget_LCD" xfId="0"/>
    <cellStyle name="_DS_VSE 2011 Budget_LCD 2" xfId="0"/>
    <cellStyle name="_DS_VSE 2011 Budget_LCD 3" xfId="0"/>
    <cellStyle name="_DS_VSE 2011 Budget_LCD 4" xfId="0"/>
    <cellStyle name="_DS_VSE 2011 Budget_LCD_By Region" xfId="0"/>
    <cellStyle name="_DS_VSE 2011 Budget_LCD_CORP SG&amp;A" xfId="0"/>
    <cellStyle name="_DS_VSE 2011 Budget_LCD_LCD" xfId="0"/>
    <cellStyle name="_DS_VSE 2011 Budget_LCD_PJ" xfId="0"/>
    <cellStyle name="_DS_VSE 2011 Budget_lightling" xfId="0"/>
    <cellStyle name="_DS_VSE 2011 Budget_lightling 2" xfId="0"/>
    <cellStyle name="_DS_VSE 2011 Budget_lightling 3" xfId="0"/>
    <cellStyle name="_DS_VSE 2011 Budget_lightling_By Region" xfId="0"/>
    <cellStyle name="_DS_VSE 2011 Budget_PC Products" xfId="0"/>
    <cellStyle name="_DS_VSE 2011 Budget_PC Products 2" xfId="0"/>
    <cellStyle name="_DS_VSE 2011 Budget_PC Products 3" xfId="0"/>
    <cellStyle name="_DS_VSE 2011 Budget_PC Products 4" xfId="0"/>
    <cellStyle name="_DS_VSE 2011 Budget_PC Products 4 2" xfId="0"/>
    <cellStyle name="_DS_VSE 2011 Budget_PC Products_By Region" xfId="0"/>
    <cellStyle name="_DS_VSE 2011 Budget_PC Products_CORP SG&amp;A" xfId="0"/>
    <cellStyle name="_DS_VSE 2011 Budget_PC Products_LCD" xfId="0"/>
    <cellStyle name="_DS_VSE 2011 Budget_PC Products_PJ" xfId="0"/>
    <cellStyle name="_DS_VSE 2011 Budget_VSA 111014" xfId="0"/>
    <cellStyle name="_DS_VSE 2011 Budget_VSA 111014 2" xfId="0"/>
    <cellStyle name="_DS_VSE 2011 Budget_VSA 111014 3" xfId="0"/>
    <cellStyle name="_DS_VSE 2011 Budget_VSA 111014 4" xfId="0"/>
    <cellStyle name="_DS_VSE 2011 Budget_VSA 111014 4 2" xfId="0"/>
    <cellStyle name="_DS_VSE 2011 Budget_VSA 111014_By Region" xfId="0"/>
    <cellStyle name="_DS_VSE 2011 Budget_VSA 111014_CORP SG&amp;A" xfId="0"/>
    <cellStyle name="_DS_VSE 2011 Budget_VSA 111014_LCD" xfId="0"/>
    <cellStyle name="_DS_VSE 2011 Budget_VSA 111014_PJ" xfId="0"/>
    <cellStyle name="_DS_VSE 2011 Budget_VSA Roll-Up (LW)" xfId="0"/>
    <cellStyle name="_DS_VSE 2011 Budget_VSA Roll-Up (LW) 2" xfId="0"/>
    <cellStyle name="_DS_VSE 2011 Budget_VSA Roll-Up (LW) 3" xfId="0"/>
    <cellStyle name="_DS_VSE 2011 Budget_VSA Roll-Up (LW) 4" xfId="0"/>
    <cellStyle name="_DS_VSE 2011 Budget_VSA Roll-Up (LW) 4 2" xfId="0"/>
    <cellStyle name="_DS_VSE 2011 Budget_VSA Roll-Up (LW)_By Region" xfId="0"/>
    <cellStyle name="_DS_VSE 2011 Budget_VSA Roll-Up (LW)_CORP SG&amp;A" xfId="0"/>
    <cellStyle name="_DS_VSE 2011 Budget_VSA Roll-Up (LW)_LCD" xfId="0"/>
    <cellStyle name="_DS_VSE 2011 Budget_VSA Roll-Up (LW)_PJ" xfId="0"/>
    <cellStyle name="_DS_VSE 2H  WFP review (Spring Global meeting)-conservative Adam working v3" xfId="0"/>
    <cellStyle name="_DS_VSE 2H  WFP review (Spring Global meeting)-conservative Adam working v3 2" xfId="0"/>
    <cellStyle name="_DS_VSE 2H  WFP review (Spring Global meeting)-conservative Adam working v3 3" xfId="0"/>
    <cellStyle name="_DS_VSE 2H Rebalance 110712" xfId="0"/>
    <cellStyle name="_DS_VSE 2H Rebalance 110712 2" xfId="0"/>
    <cellStyle name="_DS_VSE 2H Rebalance 110712 3" xfId="0"/>
    <cellStyle name="_DS_VSE 2H Rebalance 110712 4" xfId="0"/>
    <cellStyle name="_DS_VSE 2H Rebalance 110712_By Region" xfId="0"/>
    <cellStyle name="_DS_VSE 2H Rebalance 110712_CORP SG&amp;A" xfId="0"/>
    <cellStyle name="_DS_VSE WFP 101203" xfId="0"/>
    <cellStyle name="_DS_VSE WFP 101203 2" xfId="0"/>
    <cellStyle name="_DS_VSE WFP 101203 3" xfId="0"/>
    <cellStyle name="_DS_VSE WFP 101203 4" xfId="0"/>
    <cellStyle name="_DS_VSE WFP 101203_By Region" xfId="0"/>
    <cellStyle name="_DS_VSE WFP 101203_CORP SG&amp;A" xfId="0"/>
    <cellStyle name="_DS_VSE WFP 110311" xfId="0"/>
    <cellStyle name="_DS_VSE WFP 110311 2" xfId="0"/>
    <cellStyle name="_DS_VSE WFP 110311 3" xfId="0"/>
    <cellStyle name="_DS_VSE WFP 110311 4" xfId="0"/>
    <cellStyle name="_DS_VSE WFP 110311_By Region" xfId="0"/>
    <cellStyle name="_DS_VSE WFP 110311_CORP SG&amp;A" xfId="0"/>
    <cellStyle name="_DS_VSE WFP 110415" xfId="0"/>
    <cellStyle name="_DS_VSE WFP 110415 2" xfId="0"/>
    <cellStyle name="_DS_VSE WFP 110415 3" xfId="0"/>
    <cellStyle name="_DS_VSE WFP 110415 4" xfId="0"/>
    <cellStyle name="_DS_VSE WFP 110415_By Region" xfId="0"/>
    <cellStyle name="_DS_VSE WFP 110415_CORP SG&amp;A" xfId="0"/>
    <cellStyle name="_DS_VSE WFP_100409" xfId="0"/>
    <cellStyle name="_DS_VSE WFP_100409 2" xfId="0"/>
    <cellStyle name="_DS_VSE WFP_100409 3" xfId="0"/>
    <cellStyle name="_DS_VSE WFP_100409 4" xfId="0"/>
    <cellStyle name="_DS_VSE WFP_100409_By Region" xfId="0"/>
    <cellStyle name="_DS_VSE WFP_100409_CORP SG&amp;A" xfId="0"/>
    <cellStyle name="_DS_VSE WFP_100409_Digitizer" xfId="0"/>
    <cellStyle name="_DS_VSE WFP_100409_GPS OTHER" xfId="0"/>
    <cellStyle name="_DS_VSE WFP_100409_GPS OTHER 2" xfId="0"/>
    <cellStyle name="_DS_VSE WFP_100409_GPS OTHER 3" xfId="0"/>
    <cellStyle name="_DS_VSE WFP_100409_GPS OTHER 4" xfId="0"/>
    <cellStyle name="_DS_VSE WFP_100409_GPS OTHER 4 2" xfId="0"/>
    <cellStyle name="_DS_VSE WFP_100409_GPS OTHER_By Region" xfId="0"/>
    <cellStyle name="_DS_VSE WFP_100409_GPS OTHER_CORP SG&amp;A" xfId="0"/>
    <cellStyle name="_DS_VSE WFP_100409_GPS OTHER_LCD" xfId="0"/>
    <cellStyle name="_DS_VSE WFP_100409_GPS OTHER_PJ" xfId="0"/>
    <cellStyle name="_DS_VSE WFP_100409_LCD" xfId="0"/>
    <cellStyle name="_DS_VSE WFP_100409_LCD 2" xfId="0"/>
    <cellStyle name="_DS_VSE WFP_100409_LCD 3" xfId="0"/>
    <cellStyle name="_DS_VSE WFP_100409_LCD 4" xfId="0"/>
    <cellStyle name="_DS_VSE WFP_100409_LCD_By Region" xfId="0"/>
    <cellStyle name="_DS_VSE WFP_100409_LCD_CORP SG&amp;A" xfId="0"/>
    <cellStyle name="_DS_VSE WFP_100409_LCD_LCD" xfId="0"/>
    <cellStyle name="_DS_VSE WFP_100409_LCD_PJ" xfId="0"/>
    <cellStyle name="_DS_VSE WFP_100409_lightling" xfId="0"/>
    <cellStyle name="_DS_VSE WFP_100409_lightling 2" xfId="0"/>
    <cellStyle name="_DS_VSE WFP_100409_lightling 3" xfId="0"/>
    <cellStyle name="_DS_VSE WFP_100409_lightling_By Region" xfId="0"/>
    <cellStyle name="_DS_VSE WFP_100409_PC Products" xfId="0"/>
    <cellStyle name="_DS_VSE WFP_100409_PC Products 2" xfId="0"/>
    <cellStyle name="_DS_VSE WFP_100409_PC Products 3" xfId="0"/>
    <cellStyle name="_DS_VSE WFP_100409_PC Products 4" xfId="0"/>
    <cellStyle name="_DS_VSE WFP_100409_PC Products 4 2" xfId="0"/>
    <cellStyle name="_DS_VSE WFP_100409_PC Products_By Region" xfId="0"/>
    <cellStyle name="_DS_VSE WFP_100409_PC Products_CORP SG&amp;A" xfId="0"/>
    <cellStyle name="_DS_VSE WFP_100409_PC Products_LCD" xfId="0"/>
    <cellStyle name="_DS_VSE WFP_100409_PC Products_PJ" xfId="0"/>
    <cellStyle name="_DS_VSE WFP_100409_VSA 111014" xfId="0"/>
    <cellStyle name="_DS_VSE WFP_100409_VSA 111014 2" xfId="0"/>
    <cellStyle name="_DS_VSE WFP_100409_VSA 111014 3" xfId="0"/>
    <cellStyle name="_DS_VSE WFP_100409_VSA 111014 4" xfId="0"/>
    <cellStyle name="_DS_VSE WFP_100409_VSA 111014 4 2" xfId="0"/>
    <cellStyle name="_DS_VSE WFP_100409_VSA 111014_By Region" xfId="0"/>
    <cellStyle name="_DS_VSE WFP_100409_VSA 111014_CORP SG&amp;A" xfId="0"/>
    <cellStyle name="_DS_VSE WFP_100409_VSA 111014_LCD" xfId="0"/>
    <cellStyle name="_DS_VSE WFP_100409_VSA 111014_PJ" xfId="0"/>
    <cellStyle name="_DS_VSE WFP_100409_VSA Roll-Up (LW)" xfId="0"/>
    <cellStyle name="_DS_VSE WFP_100409_VSA Roll-Up (LW) 2" xfId="0"/>
    <cellStyle name="_DS_VSE WFP_100409_VSA Roll-Up (LW) 3" xfId="0"/>
    <cellStyle name="_DS_VSE WFP_100409_VSA Roll-Up (LW) 4" xfId="0"/>
    <cellStyle name="_DS_VSE WFP_100409_VSA Roll-Up (LW) 4 2" xfId="0"/>
    <cellStyle name="_DS_VSE WFP_100409_VSA Roll-Up (LW)_By Region" xfId="0"/>
    <cellStyle name="_DS_VSE WFP_100409_VSA Roll-Up (LW)_CORP SG&amp;A" xfId="0"/>
    <cellStyle name="_DS_VSE WFP_100409_VSA Roll-Up (LW)_LCD" xfId="0"/>
    <cellStyle name="_DS_VSE WFP_100409_VSA Roll-Up (LW)_PJ" xfId="0"/>
    <cellStyle name="_DS_VSE WFP_100421 v2" xfId="0"/>
    <cellStyle name="_DS_VSE WFP_100421 v2 2" xfId="0"/>
    <cellStyle name="_DS_VSE WFP_100421 v2 3" xfId="0"/>
    <cellStyle name="_DS_VSE WFP_100421 v2 4" xfId="0"/>
    <cellStyle name="_DS_VSE WFP_100421 v2_By Region" xfId="0"/>
    <cellStyle name="_DS_VSE WFP_100421 v2_CORP SG&amp;A" xfId="0"/>
    <cellStyle name="_DS_VSE WFP_100421 v2_Digitizer" xfId="0"/>
    <cellStyle name="_DS_VSE WFP_100421 v2_GPS OTHER" xfId="0"/>
    <cellStyle name="_DS_VSE WFP_100421 v2_GPS OTHER 2" xfId="0"/>
    <cellStyle name="_DS_VSE WFP_100421 v2_GPS OTHER 3" xfId="0"/>
    <cellStyle name="_DS_VSE WFP_100421 v2_GPS OTHER 4" xfId="0"/>
    <cellStyle name="_DS_VSE WFP_100421 v2_GPS OTHER 4 2" xfId="0"/>
    <cellStyle name="_DS_VSE WFP_100421 v2_GPS OTHER_By Region" xfId="0"/>
    <cellStyle name="_DS_VSE WFP_100421 v2_GPS OTHER_CORP SG&amp;A" xfId="0"/>
    <cellStyle name="_DS_VSE WFP_100421 v2_GPS OTHER_LCD" xfId="0"/>
    <cellStyle name="_DS_VSE WFP_100421 v2_GPS OTHER_PJ" xfId="0"/>
    <cellStyle name="_DS_VSE WFP_100421 v2_LCD" xfId="0"/>
    <cellStyle name="_DS_VSE WFP_100421 v2_LCD 2" xfId="0"/>
    <cellStyle name="_DS_VSE WFP_100421 v2_LCD 3" xfId="0"/>
    <cellStyle name="_DS_VSE WFP_100421 v2_LCD 4" xfId="0"/>
    <cellStyle name="_DS_VSE WFP_100421 v2_LCD_By Region" xfId="0"/>
    <cellStyle name="_DS_VSE WFP_100421 v2_LCD_CORP SG&amp;A" xfId="0"/>
    <cellStyle name="_DS_VSE WFP_100421 v2_LCD_LCD" xfId="0"/>
    <cellStyle name="_DS_VSE WFP_100421 v2_LCD_PJ" xfId="0"/>
    <cellStyle name="_DS_VSE WFP_100421 v2_lightling" xfId="0"/>
    <cellStyle name="_DS_VSE WFP_100421 v2_lightling 2" xfId="0"/>
    <cellStyle name="_DS_VSE WFP_100421 v2_lightling 3" xfId="0"/>
    <cellStyle name="_DS_VSE WFP_100421 v2_lightling_By Region" xfId="0"/>
    <cellStyle name="_DS_VSE WFP_100421 v2_PC Products" xfId="0"/>
    <cellStyle name="_DS_VSE WFP_100421 v2_PC Products 2" xfId="0"/>
    <cellStyle name="_DS_VSE WFP_100421 v2_PC Products 3" xfId="0"/>
    <cellStyle name="_DS_VSE WFP_100421 v2_PC Products 4" xfId="0"/>
    <cellStyle name="_DS_VSE WFP_100421 v2_PC Products 4 2" xfId="0"/>
    <cellStyle name="_DS_VSE WFP_100421 v2_PC Products_By Region" xfId="0"/>
    <cellStyle name="_DS_VSE WFP_100421 v2_PC Products_CORP SG&amp;A" xfId="0"/>
    <cellStyle name="_DS_VSE WFP_100421 v2_PC Products_LCD" xfId="0"/>
    <cellStyle name="_DS_VSE WFP_100421 v2_PC Products_PJ" xfId="0"/>
    <cellStyle name="_DS_VSE WFP_100421 v2_VSA 111014" xfId="0"/>
    <cellStyle name="_DS_VSE WFP_100421 v2_VSA 111014 2" xfId="0"/>
    <cellStyle name="_DS_VSE WFP_100421 v2_VSA 111014 3" xfId="0"/>
    <cellStyle name="_DS_VSE WFP_100421 v2_VSA 111014 4" xfId="0"/>
    <cellStyle name="_DS_VSE WFP_100421 v2_VSA 111014 4 2" xfId="0"/>
    <cellStyle name="_DS_VSE WFP_100421 v2_VSA 111014_By Region" xfId="0"/>
    <cellStyle name="_DS_VSE WFP_100421 v2_VSA 111014_CORP SG&amp;A" xfId="0"/>
    <cellStyle name="_DS_VSE WFP_100421 v2_VSA 111014_LCD" xfId="0"/>
    <cellStyle name="_DS_VSE WFP_100421 v2_VSA 111014_PJ" xfId="0"/>
    <cellStyle name="_DS_VSE WFP_100421 v2_VSA Roll-Up (LW)" xfId="0"/>
    <cellStyle name="_DS_VSE WFP_100421 v2_VSA Roll-Up (LW) 2" xfId="0"/>
    <cellStyle name="_DS_VSE WFP_100421 v2_VSA Roll-Up (LW) 3" xfId="0"/>
    <cellStyle name="_DS_VSE WFP_100421 v2_VSA Roll-Up (LW) 4" xfId="0"/>
    <cellStyle name="_DS_VSE WFP_100421 v2_VSA Roll-Up (LW) 4 2" xfId="0"/>
    <cellStyle name="_DS_VSE WFP_100421 v2_VSA Roll-Up (LW)_By Region" xfId="0"/>
    <cellStyle name="_DS_VSE WFP_100421 v2_VSA Roll-Up (LW)_CORP SG&amp;A" xfId="0"/>
    <cellStyle name="_DS_VSE WFP_100421 v2_VSA Roll-Up (LW)_LCD" xfId="0"/>
    <cellStyle name="_DS_VSE WFP_100421 v2_VSA Roll-Up (LW)_PJ" xfId="0"/>
    <cellStyle name="_DS_VSE WFP_100507" xfId="0"/>
    <cellStyle name="_DS_VSE WFP_100507 2" xfId="0"/>
    <cellStyle name="_DS_VSE WFP_100507 3" xfId="0"/>
    <cellStyle name="_DS_VSE WFP_100507 4" xfId="0"/>
    <cellStyle name="_DS_VSE WFP_100507_By Region" xfId="0"/>
    <cellStyle name="_DS_VSE WFP_100507_CORP SG&amp;A" xfId="0"/>
    <cellStyle name="_DS_VSE WFP_100507_Digitizer" xfId="0"/>
    <cellStyle name="_DS_VSE WFP_100507_GPS OTHER" xfId="0"/>
    <cellStyle name="_DS_VSE WFP_100507_GPS OTHER 2" xfId="0"/>
    <cellStyle name="_DS_VSE WFP_100507_GPS OTHER 3" xfId="0"/>
    <cellStyle name="_DS_VSE WFP_100507_GPS OTHER 4" xfId="0"/>
    <cellStyle name="_DS_VSE WFP_100507_GPS OTHER 4 2" xfId="0"/>
    <cellStyle name="_DS_VSE WFP_100507_GPS OTHER_By Region" xfId="0"/>
    <cellStyle name="_DS_VSE WFP_100507_GPS OTHER_CORP SG&amp;A" xfId="0"/>
    <cellStyle name="_DS_VSE WFP_100507_GPS OTHER_LCD" xfId="0"/>
    <cellStyle name="_DS_VSE WFP_100507_GPS OTHER_PJ" xfId="0"/>
    <cellStyle name="_DS_VSE WFP_100507_LCD" xfId="0"/>
    <cellStyle name="_DS_VSE WFP_100507_LCD 2" xfId="0"/>
    <cellStyle name="_DS_VSE WFP_100507_LCD 3" xfId="0"/>
    <cellStyle name="_DS_VSE WFP_100507_LCD 4" xfId="0"/>
    <cellStyle name="_DS_VSE WFP_100507_LCD_By Region" xfId="0"/>
    <cellStyle name="_DS_VSE WFP_100507_LCD_CORP SG&amp;A" xfId="0"/>
    <cellStyle name="_DS_VSE WFP_100507_LCD_LCD" xfId="0"/>
    <cellStyle name="_DS_VSE WFP_100507_LCD_PJ" xfId="0"/>
    <cellStyle name="_DS_VSE WFP_100507_lightling" xfId="0"/>
    <cellStyle name="_DS_VSE WFP_100507_lightling 2" xfId="0"/>
    <cellStyle name="_DS_VSE WFP_100507_lightling 3" xfId="0"/>
    <cellStyle name="_DS_VSE WFP_100507_lightling_By Region" xfId="0"/>
    <cellStyle name="_DS_VSE WFP_100507_PC Products" xfId="0"/>
    <cellStyle name="_DS_VSE WFP_100507_PC Products 2" xfId="0"/>
    <cellStyle name="_DS_VSE WFP_100507_PC Products 3" xfId="0"/>
    <cellStyle name="_DS_VSE WFP_100507_PC Products 4" xfId="0"/>
    <cellStyle name="_DS_VSE WFP_100507_PC Products 4 2" xfId="0"/>
    <cellStyle name="_DS_VSE WFP_100507_PC Products_By Region" xfId="0"/>
    <cellStyle name="_DS_VSE WFP_100507_PC Products_CORP SG&amp;A" xfId="0"/>
    <cellStyle name="_DS_VSE WFP_100507_PC Products_LCD" xfId="0"/>
    <cellStyle name="_DS_VSE WFP_100507_PC Products_PJ" xfId="0"/>
    <cellStyle name="_DS_VSE WFP_100507_VSA 111014" xfId="0"/>
    <cellStyle name="_DS_VSE WFP_100507_VSA 111014 2" xfId="0"/>
    <cellStyle name="_DS_VSE WFP_100507_VSA 111014 3" xfId="0"/>
    <cellStyle name="_DS_VSE WFP_100507_VSA 111014 4" xfId="0"/>
    <cellStyle name="_DS_VSE WFP_100507_VSA 111014 4 2" xfId="0"/>
    <cellStyle name="_DS_VSE WFP_100507_VSA 111014_By Region" xfId="0"/>
    <cellStyle name="_DS_VSE WFP_100507_VSA 111014_CORP SG&amp;A" xfId="0"/>
    <cellStyle name="_DS_VSE WFP_100507_VSA 111014_LCD" xfId="0"/>
    <cellStyle name="_DS_VSE WFP_100507_VSA 111014_PJ" xfId="0"/>
    <cellStyle name="_DS_VSE WFP_100507_VSA Roll-Up (LW)" xfId="0"/>
    <cellStyle name="_DS_VSE WFP_100507_VSA Roll-Up (LW) 2" xfId="0"/>
    <cellStyle name="_DS_VSE WFP_100507_VSA Roll-Up (LW) 3" xfId="0"/>
    <cellStyle name="_DS_VSE WFP_100507_VSA Roll-Up (LW) 4" xfId="0"/>
    <cellStyle name="_DS_VSE WFP_100507_VSA Roll-Up (LW) 4 2" xfId="0"/>
    <cellStyle name="_DS_VSE WFP_100507_VSA Roll-Up (LW)_By Region" xfId="0"/>
    <cellStyle name="_DS_VSE WFP_100507_VSA Roll-Up (LW)_CORP SG&amp;A" xfId="0"/>
    <cellStyle name="_DS_VSE WFP_100507_VSA Roll-Up (LW)_LCD" xfId="0"/>
    <cellStyle name="_DS_VSE WFP_100507_VSA Roll-Up (LW)_PJ" xfId="0"/>
    <cellStyle name="_DS_VSE WFP_100608" xfId="0"/>
    <cellStyle name="_DS_VSE WFP_100608 2" xfId="0"/>
    <cellStyle name="_DS_VSE WFP_100608 3" xfId="0"/>
    <cellStyle name="_DS_VSE WFP_100608 4" xfId="0"/>
    <cellStyle name="_DS_VSE WFP_100608_By Region" xfId="0"/>
    <cellStyle name="_DS_VSE WFP_100608_CORP SG&amp;A" xfId="0"/>
    <cellStyle name="_DS_VSE WFP_100608_Digitizer" xfId="0"/>
    <cellStyle name="_DS_VSE WFP_100608_GPS OTHER" xfId="0"/>
    <cellStyle name="_DS_VSE WFP_100608_GPS OTHER 2" xfId="0"/>
    <cellStyle name="_DS_VSE WFP_100608_GPS OTHER 3" xfId="0"/>
    <cellStyle name="_DS_VSE WFP_100608_GPS OTHER 4" xfId="0"/>
    <cellStyle name="_DS_VSE WFP_100608_GPS OTHER 4 2" xfId="0"/>
    <cellStyle name="_DS_VSE WFP_100608_GPS OTHER_By Region" xfId="0"/>
    <cellStyle name="_DS_VSE WFP_100608_GPS OTHER_CORP SG&amp;A" xfId="0"/>
    <cellStyle name="_DS_VSE WFP_100608_GPS OTHER_LCD" xfId="0"/>
    <cellStyle name="_DS_VSE WFP_100608_GPS OTHER_PJ" xfId="0"/>
    <cellStyle name="_DS_VSE WFP_100608_LCD" xfId="0"/>
    <cellStyle name="_DS_VSE WFP_100608_LCD 2" xfId="0"/>
    <cellStyle name="_DS_VSE WFP_100608_LCD 3" xfId="0"/>
    <cellStyle name="_DS_VSE WFP_100608_LCD 4" xfId="0"/>
    <cellStyle name="_DS_VSE WFP_100608_LCD_By Region" xfId="0"/>
    <cellStyle name="_DS_VSE WFP_100608_LCD_CORP SG&amp;A" xfId="0"/>
    <cellStyle name="_DS_VSE WFP_100608_LCD_LCD" xfId="0"/>
    <cellStyle name="_DS_VSE WFP_100608_LCD_PJ" xfId="0"/>
    <cellStyle name="_DS_VSE WFP_100608_lightling" xfId="0"/>
    <cellStyle name="_DS_VSE WFP_100608_lightling 2" xfId="0"/>
    <cellStyle name="_DS_VSE WFP_100608_lightling 3" xfId="0"/>
    <cellStyle name="_DS_VSE WFP_100608_lightling_By Region" xfId="0"/>
    <cellStyle name="_DS_VSE WFP_100608_PC Products" xfId="0"/>
    <cellStyle name="_DS_VSE WFP_100608_PC Products 2" xfId="0"/>
    <cellStyle name="_DS_VSE WFP_100608_PC Products 3" xfId="0"/>
    <cellStyle name="_DS_VSE WFP_100608_PC Products 4" xfId="0"/>
    <cellStyle name="_DS_VSE WFP_100608_PC Products 4 2" xfId="0"/>
    <cellStyle name="_DS_VSE WFP_100608_PC Products_By Region" xfId="0"/>
    <cellStyle name="_DS_VSE WFP_100608_PC Products_CORP SG&amp;A" xfId="0"/>
    <cellStyle name="_DS_VSE WFP_100608_PC Products_LCD" xfId="0"/>
    <cellStyle name="_DS_VSE WFP_100608_PC Products_PJ" xfId="0"/>
    <cellStyle name="_DS_VSE WFP_100608_VSA 111014" xfId="0"/>
    <cellStyle name="_DS_VSE WFP_100608_VSA 111014 2" xfId="0"/>
    <cellStyle name="_DS_VSE WFP_100608_VSA 111014 3" xfId="0"/>
    <cellStyle name="_DS_VSE WFP_100608_VSA 111014 4" xfId="0"/>
    <cellStyle name="_DS_VSE WFP_100608_VSA 111014 4 2" xfId="0"/>
    <cellStyle name="_DS_VSE WFP_100608_VSA 111014_By Region" xfId="0"/>
    <cellStyle name="_DS_VSE WFP_100608_VSA 111014_CORP SG&amp;A" xfId="0"/>
    <cellStyle name="_DS_VSE WFP_100608_VSA 111014_LCD" xfId="0"/>
    <cellStyle name="_DS_VSE WFP_100608_VSA 111014_PJ" xfId="0"/>
    <cellStyle name="_DS_VSE WFP_100608_VSA Roll-Up (LW)" xfId="0"/>
    <cellStyle name="_DS_VSE WFP_100608_VSA Roll-Up (LW) 2" xfId="0"/>
    <cellStyle name="_DS_VSE WFP_100608_VSA Roll-Up (LW) 3" xfId="0"/>
    <cellStyle name="_DS_VSE WFP_100608_VSA Roll-Up (LW) 4" xfId="0"/>
    <cellStyle name="_DS_VSE WFP_100608_VSA Roll-Up (LW) 4 2" xfId="0"/>
    <cellStyle name="_DS_VSE WFP_100608_VSA Roll-Up (LW)_By Region" xfId="0"/>
    <cellStyle name="_DS_VSE WFP_100608_VSA Roll-Up (LW)_CORP SG&amp;A" xfId="0"/>
    <cellStyle name="_DS_VSE WFP_100608_VSA Roll-Up (LW)_LCD" xfId="0"/>
    <cellStyle name="_DS_VSE WFP_100608_VSA Roll-Up (LW)_PJ" xfId="0"/>
    <cellStyle name="_DS_VSE WFP_100625" xfId="0"/>
    <cellStyle name="_DS_VSE WFP_100625 2" xfId="0"/>
    <cellStyle name="_DS_VSE WFP_100625 3" xfId="0"/>
    <cellStyle name="_DS_VSE WFP_100625 4" xfId="0"/>
    <cellStyle name="_DS_VSE WFP_100625_By Region" xfId="0"/>
    <cellStyle name="_DS_VSE WFP_100625_CORP SG&amp;A" xfId="0"/>
    <cellStyle name="_DS_VSE WFP_100625_Digitizer" xfId="0"/>
    <cellStyle name="_DS_VSE WFP_100625_GPS OTHER" xfId="0"/>
    <cellStyle name="_DS_VSE WFP_100625_GPS OTHER 2" xfId="0"/>
    <cellStyle name="_DS_VSE WFP_100625_GPS OTHER 3" xfId="0"/>
    <cellStyle name="_DS_VSE WFP_100625_GPS OTHER 4" xfId="0"/>
    <cellStyle name="_DS_VSE WFP_100625_GPS OTHER 4 2" xfId="0"/>
    <cellStyle name="_DS_VSE WFP_100625_GPS OTHER_By Region" xfId="0"/>
    <cellStyle name="_DS_VSE WFP_100625_GPS OTHER_CORP SG&amp;A" xfId="0"/>
    <cellStyle name="_DS_VSE WFP_100625_GPS OTHER_LCD" xfId="0"/>
    <cellStyle name="_DS_VSE WFP_100625_GPS OTHER_PJ" xfId="0"/>
    <cellStyle name="_DS_VSE WFP_100625_LCD" xfId="0"/>
    <cellStyle name="_DS_VSE WFP_100625_LCD 2" xfId="0"/>
    <cellStyle name="_DS_VSE WFP_100625_LCD 3" xfId="0"/>
    <cellStyle name="_DS_VSE WFP_100625_LCD 4" xfId="0"/>
    <cellStyle name="_DS_VSE WFP_100625_LCD_By Region" xfId="0"/>
    <cellStyle name="_DS_VSE WFP_100625_LCD_CORP SG&amp;A" xfId="0"/>
    <cellStyle name="_DS_VSE WFP_100625_LCD_LCD" xfId="0"/>
    <cellStyle name="_DS_VSE WFP_100625_LCD_PJ" xfId="0"/>
    <cellStyle name="_DS_VSE WFP_100625_lightling" xfId="0"/>
    <cellStyle name="_DS_VSE WFP_100625_lightling 2" xfId="0"/>
    <cellStyle name="_DS_VSE WFP_100625_lightling 3" xfId="0"/>
    <cellStyle name="_DS_VSE WFP_100625_lightling_By Region" xfId="0"/>
    <cellStyle name="_DS_VSE WFP_100625_PC Products" xfId="0"/>
    <cellStyle name="_DS_VSE WFP_100625_PC Products 2" xfId="0"/>
    <cellStyle name="_DS_VSE WFP_100625_PC Products 3" xfId="0"/>
    <cellStyle name="_DS_VSE WFP_100625_PC Products 4" xfId="0"/>
    <cellStyle name="_DS_VSE WFP_100625_PC Products 4 2" xfId="0"/>
    <cellStyle name="_DS_VSE WFP_100625_PC Products_By Region" xfId="0"/>
    <cellStyle name="_DS_VSE WFP_100625_PC Products_CORP SG&amp;A" xfId="0"/>
    <cellStyle name="_DS_VSE WFP_100625_PC Products_LCD" xfId="0"/>
    <cellStyle name="_DS_VSE WFP_100625_PC Products_PJ" xfId="0"/>
    <cellStyle name="_DS_VSE WFP_100625_VSA 111014" xfId="0"/>
    <cellStyle name="_DS_VSE WFP_100625_VSA 111014 2" xfId="0"/>
    <cellStyle name="_DS_VSE WFP_100625_VSA 111014 3" xfId="0"/>
    <cellStyle name="_DS_VSE WFP_100625_VSA 111014 4" xfId="0"/>
    <cellStyle name="_DS_VSE WFP_100625_VSA 111014 4 2" xfId="0"/>
    <cellStyle name="_DS_VSE WFP_100625_VSA 111014_By Region" xfId="0"/>
    <cellStyle name="_DS_VSE WFP_100625_VSA 111014_CORP SG&amp;A" xfId="0"/>
    <cellStyle name="_DS_VSE WFP_100625_VSA 111014_LCD" xfId="0"/>
    <cellStyle name="_DS_VSE WFP_100625_VSA 111014_PJ" xfId="0"/>
    <cellStyle name="_DS_VSE WFP_100625_VSA Roll-Up (LW)" xfId="0"/>
    <cellStyle name="_DS_VSE WFP_100625_VSA Roll-Up (LW) 2" xfId="0"/>
    <cellStyle name="_DS_VSE WFP_100625_VSA Roll-Up (LW) 3" xfId="0"/>
    <cellStyle name="_DS_VSE WFP_100625_VSA Roll-Up (LW) 4" xfId="0"/>
    <cellStyle name="_DS_VSE WFP_100625_VSA Roll-Up (LW) 4 2" xfId="0"/>
    <cellStyle name="_DS_VSE WFP_100625_VSA Roll-Up (LW)_By Region" xfId="0"/>
    <cellStyle name="_DS_VSE WFP_100625_VSA Roll-Up (LW)_CORP SG&amp;A" xfId="0"/>
    <cellStyle name="_DS_VSE WFP_100625_VSA Roll-Up (LW)_LCD" xfId="0"/>
    <cellStyle name="_DS_VSE WFP_100625_VSA Roll-Up (LW)_PJ" xfId="0"/>
    <cellStyle name="_DS_VSE WFP_100708_3rd" xfId="0"/>
    <cellStyle name="_DS_VSE WFP_100708_3rd 2" xfId="0"/>
    <cellStyle name="_DS_VSE WFP_100708_3rd 3" xfId="0"/>
    <cellStyle name="_DS_VSE WFP_100708_3rd 4" xfId="0"/>
    <cellStyle name="_DS_VSE WFP_100708_3rd_By Region" xfId="0"/>
    <cellStyle name="_DS_VSE WFP_100708_3rd_CORP SG&amp;A" xfId="0"/>
    <cellStyle name="_DS_VSE WFP_100708_3rd_Digitizer" xfId="0"/>
    <cellStyle name="_DS_VSE WFP_100708_3rd_GPS OTHER" xfId="0"/>
    <cellStyle name="_DS_VSE WFP_100708_3rd_GPS OTHER 2" xfId="0"/>
    <cellStyle name="_DS_VSE WFP_100708_3rd_GPS OTHER 3" xfId="0"/>
    <cellStyle name="_DS_VSE WFP_100708_3rd_GPS OTHER 4" xfId="0"/>
    <cellStyle name="_DS_VSE WFP_100708_3rd_GPS OTHER 4 2" xfId="0"/>
    <cellStyle name="_DS_VSE WFP_100708_3rd_GPS OTHER_By Region" xfId="0"/>
    <cellStyle name="_DS_VSE WFP_100708_3rd_GPS OTHER_CORP SG&amp;A" xfId="0"/>
    <cellStyle name="_DS_VSE WFP_100708_3rd_GPS OTHER_LCD" xfId="0"/>
    <cellStyle name="_DS_VSE WFP_100708_3rd_GPS OTHER_PJ" xfId="0"/>
    <cellStyle name="_DS_VSE WFP_100708_3rd_LCD" xfId="0"/>
    <cellStyle name="_DS_VSE WFP_100708_3rd_LCD 2" xfId="0"/>
    <cellStyle name="_DS_VSE WFP_100708_3rd_LCD 3" xfId="0"/>
    <cellStyle name="_DS_VSE WFP_100708_3rd_LCD 4" xfId="0"/>
    <cellStyle name="_DS_VSE WFP_100708_3rd_LCD_By Region" xfId="0"/>
    <cellStyle name="_DS_VSE WFP_100708_3rd_LCD_CORP SG&amp;A" xfId="0"/>
    <cellStyle name="_DS_VSE WFP_100708_3rd_LCD_LCD" xfId="0"/>
    <cellStyle name="_DS_VSE WFP_100708_3rd_LCD_PJ" xfId="0"/>
    <cellStyle name="_DS_VSE WFP_100708_3rd_lightling" xfId="0"/>
    <cellStyle name="_DS_VSE WFP_100708_3rd_lightling 2" xfId="0"/>
    <cellStyle name="_DS_VSE WFP_100708_3rd_lightling 3" xfId="0"/>
    <cellStyle name="_DS_VSE WFP_100708_3rd_lightling_By Region" xfId="0"/>
    <cellStyle name="_DS_VSE WFP_100708_3rd_PC Products" xfId="0"/>
    <cellStyle name="_DS_VSE WFP_100708_3rd_PC Products 2" xfId="0"/>
    <cellStyle name="_DS_VSE WFP_100708_3rd_PC Products 3" xfId="0"/>
    <cellStyle name="_DS_VSE WFP_100708_3rd_PC Products 4" xfId="0"/>
    <cellStyle name="_DS_VSE WFP_100708_3rd_PC Products 4 2" xfId="0"/>
    <cellStyle name="_DS_VSE WFP_100708_3rd_PC Products_By Region" xfId="0"/>
    <cellStyle name="_DS_VSE WFP_100708_3rd_PC Products_CORP SG&amp;A" xfId="0"/>
    <cellStyle name="_DS_VSE WFP_100708_3rd_PC Products_LCD" xfId="0"/>
    <cellStyle name="_DS_VSE WFP_100708_3rd_PC Products_PJ" xfId="0"/>
    <cellStyle name="_DS_VSE WFP_100708_3rd_VSA 111014" xfId="0"/>
    <cellStyle name="_DS_VSE WFP_100708_3rd_VSA 111014 2" xfId="0"/>
    <cellStyle name="_DS_VSE WFP_100708_3rd_VSA 111014 3" xfId="0"/>
    <cellStyle name="_DS_VSE WFP_100708_3rd_VSA 111014 4" xfId="0"/>
    <cellStyle name="_DS_VSE WFP_100708_3rd_VSA 111014 4 2" xfId="0"/>
    <cellStyle name="_DS_VSE WFP_100708_3rd_VSA 111014_By Region" xfId="0"/>
    <cellStyle name="_DS_VSE WFP_100708_3rd_VSA 111014_CORP SG&amp;A" xfId="0"/>
    <cellStyle name="_DS_VSE WFP_100708_3rd_VSA 111014_LCD" xfId="0"/>
    <cellStyle name="_DS_VSE WFP_100708_3rd_VSA 111014_PJ" xfId="0"/>
    <cellStyle name="_DS_VSE WFP_100708_3rd_VSA Roll-Up (LW)" xfId="0"/>
    <cellStyle name="_DS_VSE WFP_100708_3rd_VSA Roll-Up (LW) 2" xfId="0"/>
    <cellStyle name="_DS_VSE WFP_100708_3rd_VSA Roll-Up (LW) 3" xfId="0"/>
    <cellStyle name="_DS_VSE WFP_100708_3rd_VSA Roll-Up (LW) 4" xfId="0"/>
    <cellStyle name="_DS_VSE WFP_100708_3rd_VSA Roll-Up (LW) 4 2" xfId="0"/>
    <cellStyle name="_DS_VSE WFP_100708_3rd_VSA Roll-Up (LW)_By Region" xfId="0"/>
    <cellStyle name="_DS_VSE WFP_100708_3rd_VSA Roll-Up (LW)_CORP SG&amp;A" xfId="0"/>
    <cellStyle name="_DS_VSE WFP_100708_3rd_VSA Roll-Up (LW)_LCD" xfId="0"/>
    <cellStyle name="_DS_VSE WFP_100708_3rd_VSA Roll-Up (LW)_PJ" xfId="0"/>
    <cellStyle name="_DS_VSE WFP_100726" xfId="0"/>
    <cellStyle name="_DS_VSE WFP_100726 2" xfId="0"/>
    <cellStyle name="_DS_VSE WFP_100726 3" xfId="0"/>
    <cellStyle name="_DS_VSE WFP_100726 4" xfId="0"/>
    <cellStyle name="_DS_VSE WFP_100726-1" xfId="0"/>
    <cellStyle name="_DS_VSE WFP_100726-1 2" xfId="0"/>
    <cellStyle name="_DS_VSE WFP_100726-1 3" xfId="0"/>
    <cellStyle name="_DS_VSE WFP_100726-1 4" xfId="0"/>
    <cellStyle name="_DS_VSE WFP_100726-1_By Region" xfId="0"/>
    <cellStyle name="_DS_VSE WFP_100726-1_CORP SG&amp;A" xfId="0"/>
    <cellStyle name="_DS_VSE WFP_100726-1_Digitizer" xfId="0"/>
    <cellStyle name="_DS_VSE WFP_100726-1_GPS OTHER" xfId="0"/>
    <cellStyle name="_DS_VSE WFP_100726-1_GPS OTHER 2" xfId="0"/>
    <cellStyle name="_DS_VSE WFP_100726-1_GPS OTHER 3" xfId="0"/>
    <cellStyle name="_DS_VSE WFP_100726-1_GPS OTHER 4" xfId="0"/>
    <cellStyle name="_DS_VSE WFP_100726-1_GPS OTHER 4 2" xfId="0"/>
    <cellStyle name="_DS_VSE WFP_100726-1_GPS OTHER_By Region" xfId="0"/>
    <cellStyle name="_DS_VSE WFP_100726-1_GPS OTHER_CORP SG&amp;A" xfId="0"/>
    <cellStyle name="_DS_VSE WFP_100726-1_GPS OTHER_LCD" xfId="0"/>
    <cellStyle name="_DS_VSE WFP_100726-1_GPS OTHER_PJ" xfId="0"/>
    <cellStyle name="_DS_VSE WFP_100726-1_LCD" xfId="0"/>
    <cellStyle name="_DS_VSE WFP_100726-1_LCD 2" xfId="0"/>
    <cellStyle name="_DS_VSE WFP_100726-1_LCD 3" xfId="0"/>
    <cellStyle name="_DS_VSE WFP_100726-1_LCD 4" xfId="0"/>
    <cellStyle name="_DS_VSE WFP_100726-1_LCD_By Region" xfId="0"/>
    <cellStyle name="_DS_VSE WFP_100726-1_LCD_CORP SG&amp;A" xfId="0"/>
    <cellStyle name="_DS_VSE WFP_100726-1_LCD_LCD" xfId="0"/>
    <cellStyle name="_DS_VSE WFP_100726-1_LCD_PJ" xfId="0"/>
    <cellStyle name="_DS_VSE WFP_100726-1_lightling" xfId="0"/>
    <cellStyle name="_DS_VSE WFP_100726-1_lightling 2" xfId="0"/>
    <cellStyle name="_DS_VSE WFP_100726-1_lightling 3" xfId="0"/>
    <cellStyle name="_DS_VSE WFP_100726-1_lightling_By Region" xfId="0"/>
    <cellStyle name="_DS_VSE WFP_100726-1_PC Products" xfId="0"/>
    <cellStyle name="_DS_VSE WFP_100726-1_PC Products 2" xfId="0"/>
    <cellStyle name="_DS_VSE WFP_100726-1_PC Products 3" xfId="0"/>
    <cellStyle name="_DS_VSE WFP_100726-1_PC Products 4" xfId="0"/>
    <cellStyle name="_DS_VSE WFP_100726-1_PC Products 4 2" xfId="0"/>
    <cellStyle name="_DS_VSE WFP_100726-1_PC Products_By Region" xfId="0"/>
    <cellStyle name="_DS_VSE WFP_100726-1_PC Products_CORP SG&amp;A" xfId="0"/>
    <cellStyle name="_DS_VSE WFP_100726-1_PC Products_LCD" xfId="0"/>
    <cellStyle name="_DS_VSE WFP_100726-1_PC Products_PJ" xfId="0"/>
    <cellStyle name="_DS_VSE WFP_100726-1_VSA 111014" xfId="0"/>
    <cellStyle name="_DS_VSE WFP_100726-1_VSA 111014 2" xfId="0"/>
    <cellStyle name="_DS_VSE WFP_100726-1_VSA 111014 3" xfId="0"/>
    <cellStyle name="_DS_VSE WFP_100726-1_VSA 111014 4" xfId="0"/>
    <cellStyle name="_DS_VSE WFP_100726-1_VSA 111014 4 2" xfId="0"/>
    <cellStyle name="_DS_VSE WFP_100726-1_VSA 111014_By Region" xfId="0"/>
    <cellStyle name="_DS_VSE WFP_100726-1_VSA 111014_CORP SG&amp;A" xfId="0"/>
    <cellStyle name="_DS_VSE WFP_100726-1_VSA 111014_LCD" xfId="0"/>
    <cellStyle name="_DS_VSE WFP_100726-1_VSA 111014_PJ" xfId="0"/>
    <cellStyle name="_DS_VSE WFP_100726-1_VSA Roll-Up (LW)" xfId="0"/>
    <cellStyle name="_DS_VSE WFP_100726-1_VSA Roll-Up (LW) 2" xfId="0"/>
    <cellStyle name="_DS_VSE WFP_100726-1_VSA Roll-Up (LW) 3" xfId="0"/>
    <cellStyle name="_DS_VSE WFP_100726-1_VSA Roll-Up (LW) 4" xfId="0"/>
    <cellStyle name="_DS_VSE WFP_100726-1_VSA Roll-Up (LW) 4 2" xfId="0"/>
    <cellStyle name="_DS_VSE WFP_100726-1_VSA Roll-Up (LW)_By Region" xfId="0"/>
    <cellStyle name="_DS_VSE WFP_100726-1_VSA Roll-Up (LW)_CORP SG&amp;A" xfId="0"/>
    <cellStyle name="_DS_VSE WFP_100726-1_VSA Roll-Up (LW)_LCD" xfId="0"/>
    <cellStyle name="_DS_VSE WFP_100726-1_VSA Roll-Up (LW)_PJ" xfId="0"/>
    <cellStyle name="_DS_VSE WFP_100726-2-yc" xfId="0"/>
    <cellStyle name="_DS_VSE WFP_100726-2-yc 2" xfId="0"/>
    <cellStyle name="_DS_VSE WFP_100726-2-yc 3" xfId="0"/>
    <cellStyle name="_DS_VSE WFP_100726-2-yc 4" xfId="0"/>
    <cellStyle name="_DS_VSE WFP_100726-2-yc_By Region" xfId="0"/>
    <cellStyle name="_DS_VSE WFP_100726-2-yc_CORP SG&amp;A" xfId="0"/>
    <cellStyle name="_DS_VSE WFP_100726-2-yc_Digitizer" xfId="0"/>
    <cellStyle name="_DS_VSE WFP_100726-2-yc_GPS OTHER" xfId="0"/>
    <cellStyle name="_DS_VSE WFP_100726-2-yc_GPS OTHER 2" xfId="0"/>
    <cellStyle name="_DS_VSE WFP_100726-2-yc_GPS OTHER 3" xfId="0"/>
    <cellStyle name="_DS_VSE WFP_100726-2-yc_GPS OTHER 4" xfId="0"/>
    <cellStyle name="_DS_VSE WFP_100726-2-yc_GPS OTHER 4 2" xfId="0"/>
    <cellStyle name="_DS_VSE WFP_100726-2-yc_GPS OTHER_By Region" xfId="0"/>
    <cellStyle name="_DS_VSE WFP_100726-2-yc_GPS OTHER_CORP SG&amp;A" xfId="0"/>
    <cellStyle name="_DS_VSE WFP_100726-2-yc_GPS OTHER_LCD" xfId="0"/>
    <cellStyle name="_DS_VSE WFP_100726-2-yc_GPS OTHER_PJ" xfId="0"/>
    <cellStyle name="_DS_VSE WFP_100726-2-yc_LCD" xfId="0"/>
    <cellStyle name="_DS_VSE WFP_100726-2-yc_LCD 2" xfId="0"/>
    <cellStyle name="_DS_VSE WFP_100726-2-yc_LCD 3" xfId="0"/>
    <cellStyle name="_DS_VSE WFP_100726-2-yc_LCD 4" xfId="0"/>
    <cellStyle name="_DS_VSE WFP_100726-2-yc_LCD_By Region" xfId="0"/>
    <cellStyle name="_DS_VSE WFP_100726-2-yc_LCD_CORP SG&amp;A" xfId="0"/>
    <cellStyle name="_DS_VSE WFP_100726-2-yc_LCD_LCD" xfId="0"/>
    <cellStyle name="_DS_VSE WFP_100726-2-yc_LCD_PJ" xfId="0"/>
    <cellStyle name="_DS_VSE WFP_100726-2-yc_lightling" xfId="0"/>
    <cellStyle name="_DS_VSE WFP_100726-2-yc_lightling 2" xfId="0"/>
    <cellStyle name="_DS_VSE WFP_100726-2-yc_lightling 3" xfId="0"/>
    <cellStyle name="_DS_VSE WFP_100726-2-yc_lightling_By Region" xfId="0"/>
    <cellStyle name="_DS_VSE WFP_100726-2-yc_PC Products" xfId="0"/>
    <cellStyle name="_DS_VSE WFP_100726-2-yc_PC Products 2" xfId="0"/>
    <cellStyle name="_DS_VSE WFP_100726-2-yc_PC Products 3" xfId="0"/>
    <cellStyle name="_DS_VSE WFP_100726-2-yc_PC Products 4" xfId="0"/>
    <cellStyle name="_DS_VSE WFP_100726-2-yc_PC Products 4 2" xfId="0"/>
    <cellStyle name="_DS_VSE WFP_100726-2-yc_PC Products_By Region" xfId="0"/>
    <cellStyle name="_DS_VSE WFP_100726-2-yc_PC Products_CORP SG&amp;A" xfId="0"/>
    <cellStyle name="_DS_VSE WFP_100726-2-yc_PC Products_LCD" xfId="0"/>
    <cellStyle name="_DS_VSE WFP_100726-2-yc_PC Products_PJ" xfId="0"/>
    <cellStyle name="_DS_VSE WFP_100726-2-yc_VSA 111014" xfId="0"/>
    <cellStyle name="_DS_VSE WFP_100726-2-yc_VSA 111014 2" xfId="0"/>
    <cellStyle name="_DS_VSE WFP_100726-2-yc_VSA 111014 3" xfId="0"/>
    <cellStyle name="_DS_VSE WFP_100726-2-yc_VSA 111014 4" xfId="0"/>
    <cellStyle name="_DS_VSE WFP_100726-2-yc_VSA 111014 4 2" xfId="0"/>
    <cellStyle name="_DS_VSE WFP_100726-2-yc_VSA 111014_By Region" xfId="0"/>
    <cellStyle name="_DS_VSE WFP_100726-2-yc_VSA 111014_CORP SG&amp;A" xfId="0"/>
    <cellStyle name="_DS_VSE WFP_100726-2-yc_VSA 111014_LCD" xfId="0"/>
    <cellStyle name="_DS_VSE WFP_100726-2-yc_VSA 111014_PJ" xfId="0"/>
    <cellStyle name="_DS_VSE WFP_100726-2-yc_VSA Roll-Up (LW)" xfId="0"/>
    <cellStyle name="_DS_VSE WFP_100726-2-yc_VSA Roll-Up (LW) 2" xfId="0"/>
    <cellStyle name="_DS_VSE WFP_100726-2-yc_VSA Roll-Up (LW) 3" xfId="0"/>
    <cellStyle name="_DS_VSE WFP_100726-2-yc_VSA Roll-Up (LW) 4" xfId="0"/>
    <cellStyle name="_DS_VSE WFP_100726-2-yc_VSA Roll-Up (LW) 4 2" xfId="0"/>
    <cellStyle name="_DS_VSE WFP_100726-2-yc_VSA Roll-Up (LW)_By Region" xfId="0"/>
    <cellStyle name="_DS_VSE WFP_100726-2-yc_VSA Roll-Up (LW)_CORP SG&amp;A" xfId="0"/>
    <cellStyle name="_DS_VSE WFP_100726-2-yc_VSA Roll-Up (LW)_LCD" xfId="0"/>
    <cellStyle name="_DS_VSE WFP_100726-2-yc_VSA Roll-Up (LW)_PJ" xfId="0"/>
    <cellStyle name="_DS_VSE WFP_100726_By Region" xfId="0"/>
    <cellStyle name="_DS_VSE WFP_100726_CORP SG&amp;A" xfId="0"/>
    <cellStyle name="_DS_VSE WFP_100726_Digitizer" xfId="0"/>
    <cellStyle name="_DS_VSE WFP_100726_GPS OTHER" xfId="0"/>
    <cellStyle name="_DS_VSE WFP_100726_GPS OTHER 2" xfId="0"/>
    <cellStyle name="_DS_VSE WFP_100726_GPS OTHER 3" xfId="0"/>
    <cellStyle name="_DS_VSE WFP_100726_GPS OTHER 4" xfId="0"/>
    <cellStyle name="_DS_VSE WFP_100726_GPS OTHER 4 2" xfId="0"/>
    <cellStyle name="_DS_VSE WFP_100726_GPS OTHER_By Region" xfId="0"/>
    <cellStyle name="_DS_VSE WFP_100726_GPS OTHER_CORP SG&amp;A" xfId="0"/>
    <cellStyle name="_DS_VSE WFP_100726_GPS OTHER_LCD" xfId="0"/>
    <cellStyle name="_DS_VSE WFP_100726_GPS OTHER_PJ" xfId="0"/>
    <cellStyle name="_DS_VSE WFP_100726_LCD" xfId="0"/>
    <cellStyle name="_DS_VSE WFP_100726_LCD 2" xfId="0"/>
    <cellStyle name="_DS_VSE WFP_100726_LCD 3" xfId="0"/>
    <cellStyle name="_DS_VSE WFP_100726_LCD 4" xfId="0"/>
    <cellStyle name="_DS_VSE WFP_100726_LCD_By Region" xfId="0"/>
    <cellStyle name="_DS_VSE WFP_100726_LCD_CORP SG&amp;A" xfId="0"/>
    <cellStyle name="_DS_VSE WFP_100726_LCD_LCD" xfId="0"/>
    <cellStyle name="_DS_VSE WFP_100726_LCD_PJ" xfId="0"/>
    <cellStyle name="_DS_VSE WFP_100726_lightling" xfId="0"/>
    <cellStyle name="_DS_VSE WFP_100726_lightling 2" xfId="0"/>
    <cellStyle name="_DS_VSE WFP_100726_lightling 3" xfId="0"/>
    <cellStyle name="_DS_VSE WFP_100726_lightling_By Region" xfId="0"/>
    <cellStyle name="_DS_VSE WFP_100726_PC Products" xfId="0"/>
    <cellStyle name="_DS_VSE WFP_100726_PC Products 2" xfId="0"/>
    <cellStyle name="_DS_VSE WFP_100726_PC Products 3" xfId="0"/>
    <cellStyle name="_DS_VSE WFP_100726_PC Products 4" xfId="0"/>
    <cellStyle name="_DS_VSE WFP_100726_PC Products 4 2" xfId="0"/>
    <cellStyle name="_DS_VSE WFP_100726_PC Products_By Region" xfId="0"/>
    <cellStyle name="_DS_VSE WFP_100726_PC Products_CORP SG&amp;A" xfId="0"/>
    <cellStyle name="_DS_VSE WFP_100726_PC Products_LCD" xfId="0"/>
    <cellStyle name="_DS_VSE WFP_100726_PC Products_PJ" xfId="0"/>
    <cellStyle name="_DS_VSE WFP_100726_VSA 111014" xfId="0"/>
    <cellStyle name="_DS_VSE WFP_100726_VSA 111014 2" xfId="0"/>
    <cellStyle name="_DS_VSE WFP_100726_VSA 111014 3" xfId="0"/>
    <cellStyle name="_DS_VSE WFP_100726_VSA 111014 4" xfId="0"/>
    <cellStyle name="_DS_VSE WFP_100726_VSA 111014 4 2" xfId="0"/>
    <cellStyle name="_DS_VSE WFP_100726_VSA 111014_By Region" xfId="0"/>
    <cellStyle name="_DS_VSE WFP_100726_VSA 111014_CORP SG&amp;A" xfId="0"/>
    <cellStyle name="_DS_VSE WFP_100726_VSA 111014_LCD" xfId="0"/>
    <cellStyle name="_DS_VSE WFP_100726_VSA 111014_PJ" xfId="0"/>
    <cellStyle name="_DS_VSE WFP_100726_VSA Roll-Up (LW)" xfId="0"/>
    <cellStyle name="_DS_VSE WFP_100726_VSA Roll-Up (LW) 2" xfId="0"/>
    <cellStyle name="_DS_VSE WFP_100726_VSA Roll-Up (LW) 3" xfId="0"/>
    <cellStyle name="_DS_VSE WFP_100726_VSA Roll-Up (LW) 4" xfId="0"/>
    <cellStyle name="_DS_VSE WFP_100726_VSA Roll-Up (LW) 4 2" xfId="0"/>
    <cellStyle name="_DS_VSE WFP_100726_VSA Roll-Up (LW)_By Region" xfId="0"/>
    <cellStyle name="_DS_VSE WFP_100726_VSA Roll-Up (LW)_CORP SG&amp;A" xfId="0"/>
    <cellStyle name="_DS_VSE WFP_100726_VSA Roll-Up (LW)_LCD" xfId="0"/>
    <cellStyle name="_DS_VSE WFP_100726_VSA Roll-Up (LW)_PJ" xfId="0"/>
    <cellStyle name="_DS_VSE WFP_100827-1" xfId="0"/>
    <cellStyle name="_DS_VSE WFP_100827-1 2" xfId="0"/>
    <cellStyle name="_DS_VSE WFP_100827-1 3" xfId="0"/>
    <cellStyle name="_DS_VSE WFP_100827-1 4" xfId="0"/>
    <cellStyle name="_DS_VSE WFP_100827-1_By Region" xfId="0"/>
    <cellStyle name="_DS_VSE WFP_100827-1_CORP SG&amp;A" xfId="0"/>
    <cellStyle name="_DS_VSE WFP_100827-1_Digitizer" xfId="0"/>
    <cellStyle name="_DS_VSE WFP_100827-1_GPS OTHER" xfId="0"/>
    <cellStyle name="_DS_VSE WFP_100827-1_GPS OTHER 2" xfId="0"/>
    <cellStyle name="_DS_VSE WFP_100827-1_GPS OTHER 3" xfId="0"/>
    <cellStyle name="_DS_VSE WFP_100827-1_GPS OTHER 4" xfId="0"/>
    <cellStyle name="_DS_VSE WFP_100827-1_GPS OTHER 4 2" xfId="0"/>
    <cellStyle name="_DS_VSE WFP_100827-1_GPS OTHER_By Region" xfId="0"/>
    <cellStyle name="_DS_VSE WFP_100827-1_GPS OTHER_CORP SG&amp;A" xfId="0"/>
    <cellStyle name="_DS_VSE WFP_100827-1_GPS OTHER_LCD" xfId="0"/>
    <cellStyle name="_DS_VSE WFP_100827-1_GPS OTHER_PJ" xfId="0"/>
    <cellStyle name="_DS_VSE WFP_100827-1_LCD" xfId="0"/>
    <cellStyle name="_DS_VSE WFP_100827-1_LCD 2" xfId="0"/>
    <cellStyle name="_DS_VSE WFP_100827-1_LCD 3" xfId="0"/>
    <cellStyle name="_DS_VSE WFP_100827-1_LCD 4" xfId="0"/>
    <cellStyle name="_DS_VSE WFP_100827-1_LCD_By Region" xfId="0"/>
    <cellStyle name="_DS_VSE WFP_100827-1_LCD_CORP SG&amp;A" xfId="0"/>
    <cellStyle name="_DS_VSE WFP_100827-1_LCD_LCD" xfId="0"/>
    <cellStyle name="_DS_VSE WFP_100827-1_LCD_PJ" xfId="0"/>
    <cellStyle name="_DS_VSE WFP_100827-1_lightling" xfId="0"/>
    <cellStyle name="_DS_VSE WFP_100827-1_lightling 2" xfId="0"/>
    <cellStyle name="_DS_VSE WFP_100827-1_lightling 3" xfId="0"/>
    <cellStyle name="_DS_VSE WFP_100827-1_lightling_By Region" xfId="0"/>
    <cellStyle name="_DS_VSE WFP_100827-1_PC Products" xfId="0"/>
    <cellStyle name="_DS_VSE WFP_100827-1_PC Products 2" xfId="0"/>
    <cellStyle name="_DS_VSE WFP_100827-1_PC Products 3" xfId="0"/>
    <cellStyle name="_DS_VSE WFP_100827-1_PC Products 4" xfId="0"/>
    <cellStyle name="_DS_VSE WFP_100827-1_PC Products 4 2" xfId="0"/>
    <cellStyle name="_DS_VSE WFP_100827-1_PC Products_By Region" xfId="0"/>
    <cellStyle name="_DS_VSE WFP_100827-1_PC Products_CORP SG&amp;A" xfId="0"/>
    <cellStyle name="_DS_VSE WFP_100827-1_PC Products_LCD" xfId="0"/>
    <cellStyle name="_DS_VSE WFP_100827-1_PC Products_PJ" xfId="0"/>
    <cellStyle name="_DS_VSE WFP_100827-1_VSA 111014" xfId="0"/>
    <cellStyle name="_DS_VSE WFP_100827-1_VSA 111014 2" xfId="0"/>
    <cellStyle name="_DS_VSE WFP_100827-1_VSA 111014 3" xfId="0"/>
    <cellStyle name="_DS_VSE WFP_100827-1_VSA 111014 4" xfId="0"/>
    <cellStyle name="_DS_VSE WFP_100827-1_VSA 111014 4 2" xfId="0"/>
    <cellStyle name="_DS_VSE WFP_100827-1_VSA 111014_By Region" xfId="0"/>
    <cellStyle name="_DS_VSE WFP_100827-1_VSA 111014_CORP SG&amp;A" xfId="0"/>
    <cellStyle name="_DS_VSE WFP_100827-1_VSA 111014_LCD" xfId="0"/>
    <cellStyle name="_DS_VSE WFP_100827-1_VSA 111014_PJ" xfId="0"/>
    <cellStyle name="_DS_VSE WFP_100827-1_VSA Roll-Up (LW)" xfId="0"/>
    <cellStyle name="_DS_VSE WFP_100827-1_VSA Roll-Up (LW) 2" xfId="0"/>
    <cellStyle name="_DS_VSE WFP_100827-1_VSA Roll-Up (LW) 3" xfId="0"/>
    <cellStyle name="_DS_VSE WFP_100827-1_VSA Roll-Up (LW) 4" xfId="0"/>
    <cellStyle name="_DS_VSE WFP_100827-1_VSA Roll-Up (LW) 4 2" xfId="0"/>
    <cellStyle name="_DS_VSE WFP_100827-1_VSA Roll-Up (LW)_By Region" xfId="0"/>
    <cellStyle name="_DS_VSE WFP_100827-1_VSA Roll-Up (LW)_CORP SG&amp;A" xfId="0"/>
    <cellStyle name="_DS_VSE WFP_100827-1_VSA Roll-Up (LW)_LCD" xfId="0"/>
    <cellStyle name="_DS_VSE WFP_100827-1_VSA Roll-Up (LW)_PJ" xfId="0"/>
    <cellStyle name="_DS_VSE WFP_101001" xfId="0"/>
    <cellStyle name="_DS_VSE WFP_101001 2" xfId="0"/>
    <cellStyle name="_DS_VSE WFP_101001 3" xfId="0"/>
    <cellStyle name="_DS_VSE WFP_101001 4" xfId="0"/>
    <cellStyle name="_DS_VSE WFP_101001_By Region" xfId="0"/>
    <cellStyle name="_DS_VSE WFP_101001_CORP SG&amp;A" xfId="0"/>
    <cellStyle name="_DS_VSE WFP_101001_Digitizer" xfId="0"/>
    <cellStyle name="_DS_VSE WFP_101001_GPS OTHER" xfId="0"/>
    <cellStyle name="_DS_VSE WFP_101001_GPS OTHER 2" xfId="0"/>
    <cellStyle name="_DS_VSE WFP_101001_GPS OTHER 3" xfId="0"/>
    <cellStyle name="_DS_VSE WFP_101001_GPS OTHER 4" xfId="0"/>
    <cellStyle name="_DS_VSE WFP_101001_GPS OTHER 4 2" xfId="0"/>
    <cellStyle name="_DS_VSE WFP_101001_GPS OTHER_By Region" xfId="0"/>
    <cellStyle name="_DS_VSE WFP_101001_GPS OTHER_CORP SG&amp;A" xfId="0"/>
    <cellStyle name="_DS_VSE WFP_101001_GPS OTHER_LCD" xfId="0"/>
    <cellStyle name="_DS_VSE WFP_101001_GPS OTHER_PJ" xfId="0"/>
    <cellStyle name="_DS_VSE WFP_101001_LCD" xfId="0"/>
    <cellStyle name="_DS_VSE WFP_101001_LCD 2" xfId="0"/>
    <cellStyle name="_DS_VSE WFP_101001_LCD 3" xfId="0"/>
    <cellStyle name="_DS_VSE WFP_101001_LCD 4" xfId="0"/>
    <cellStyle name="_DS_VSE WFP_101001_LCD_By Region" xfId="0"/>
    <cellStyle name="_DS_VSE WFP_101001_LCD_CORP SG&amp;A" xfId="0"/>
    <cellStyle name="_DS_VSE WFP_101001_LCD_LCD" xfId="0"/>
    <cellStyle name="_DS_VSE WFP_101001_LCD_PJ" xfId="0"/>
    <cellStyle name="_DS_VSE WFP_101001_lightling" xfId="0"/>
    <cellStyle name="_DS_VSE WFP_101001_lightling 2" xfId="0"/>
    <cellStyle name="_DS_VSE WFP_101001_lightling 3" xfId="0"/>
    <cellStyle name="_DS_VSE WFP_101001_lightling_By Region" xfId="0"/>
    <cellStyle name="_DS_VSE WFP_101001_PC Products" xfId="0"/>
    <cellStyle name="_DS_VSE WFP_101001_PC Products 2" xfId="0"/>
    <cellStyle name="_DS_VSE WFP_101001_PC Products 3" xfId="0"/>
    <cellStyle name="_DS_VSE WFP_101001_PC Products 4" xfId="0"/>
    <cellStyle name="_DS_VSE WFP_101001_PC Products 4 2" xfId="0"/>
    <cellStyle name="_DS_VSE WFP_101001_PC Products_By Region" xfId="0"/>
    <cellStyle name="_DS_VSE WFP_101001_PC Products_CORP SG&amp;A" xfId="0"/>
    <cellStyle name="_DS_VSE WFP_101001_PC Products_LCD" xfId="0"/>
    <cellStyle name="_DS_VSE WFP_101001_PC Products_PJ" xfId="0"/>
    <cellStyle name="_DS_VSE WFP_101001_VSA 111014" xfId="0"/>
    <cellStyle name="_DS_VSE WFP_101001_VSA 111014 2" xfId="0"/>
    <cellStyle name="_DS_VSE WFP_101001_VSA 111014 3" xfId="0"/>
    <cellStyle name="_DS_VSE WFP_101001_VSA 111014 4" xfId="0"/>
    <cellStyle name="_DS_VSE WFP_101001_VSA 111014 4 2" xfId="0"/>
    <cellStyle name="_DS_VSE WFP_101001_VSA 111014_By Region" xfId="0"/>
    <cellStyle name="_DS_VSE WFP_101001_VSA 111014_CORP SG&amp;A" xfId="0"/>
    <cellStyle name="_DS_VSE WFP_101001_VSA 111014_LCD" xfId="0"/>
    <cellStyle name="_DS_VSE WFP_101001_VSA 111014_PJ" xfId="0"/>
    <cellStyle name="_DS_VSE WFP_101001_VSA Roll-Up (LW)" xfId="0"/>
    <cellStyle name="_DS_VSE WFP_101001_VSA Roll-Up (LW) 2" xfId="0"/>
    <cellStyle name="_DS_VSE WFP_101001_VSA Roll-Up (LW) 3" xfId="0"/>
    <cellStyle name="_DS_VSE WFP_101001_VSA Roll-Up (LW) 4" xfId="0"/>
    <cellStyle name="_DS_VSE WFP_101001_VSA Roll-Up (LW) 4 2" xfId="0"/>
    <cellStyle name="_DS_VSE WFP_101001_VSA Roll-Up (LW)_By Region" xfId="0"/>
    <cellStyle name="_DS_VSE WFP_101001_VSA Roll-Up (LW)_CORP SG&amp;A" xfId="0"/>
    <cellStyle name="_DS_VSE WFP_101001_VSA Roll-Up (LW)_LCD" xfId="0"/>
    <cellStyle name="_DS_VSE WFP_101001_VSA Roll-Up (LW)_PJ" xfId="0"/>
    <cellStyle name="_DS_VSE WFP_101029-with more ViewPad 7" xfId="0"/>
    <cellStyle name="_DS_VSE WFP_101029-with more ViewPad 7 2" xfId="0"/>
    <cellStyle name="_DS_VSE WFP_101029-with more ViewPad 7 3" xfId="0"/>
    <cellStyle name="_DS_VSE WFP_101029-with more ViewPad 7 4" xfId="0"/>
    <cellStyle name="_DS_VSE WFP_101029-with more ViewPad 7_By Region" xfId="0"/>
    <cellStyle name="_DS_VSE WFP_101029-with more ViewPad 7_CORP SG&amp;A" xfId="0"/>
    <cellStyle name="_DS_VSE WFP_101029-with more ViewPad 7_Digitizer" xfId="0"/>
    <cellStyle name="_DS_VSE WFP_101029-with more ViewPad 7_GPS OTHER" xfId="0"/>
    <cellStyle name="_DS_VSE WFP_101029-with more ViewPad 7_GPS OTHER 2" xfId="0"/>
    <cellStyle name="_DS_VSE WFP_101029-with more ViewPad 7_GPS OTHER 3" xfId="0"/>
    <cellStyle name="_DS_VSE WFP_101029-with more ViewPad 7_GPS OTHER 4" xfId="0"/>
    <cellStyle name="_DS_VSE WFP_101029-with more ViewPad 7_GPS OTHER 4 2" xfId="0"/>
    <cellStyle name="_DS_VSE WFP_101029-with more ViewPad 7_GPS OTHER_By Region" xfId="0"/>
    <cellStyle name="_DS_VSE WFP_101029-with more ViewPad 7_GPS OTHER_CORP SG&amp;A" xfId="0"/>
    <cellStyle name="_DS_VSE WFP_101029-with more ViewPad 7_GPS OTHER_LCD" xfId="0"/>
    <cellStyle name="_DS_VSE WFP_101029-with more ViewPad 7_GPS OTHER_PJ" xfId="0"/>
    <cellStyle name="_DS_VSE WFP_101029-with more ViewPad 7_LCD" xfId="0"/>
    <cellStyle name="_DS_VSE WFP_101029-with more ViewPad 7_LCD 2" xfId="0"/>
    <cellStyle name="_DS_VSE WFP_101029-with more ViewPad 7_LCD 3" xfId="0"/>
    <cellStyle name="_DS_VSE WFP_101029-with more ViewPad 7_LCD 4" xfId="0"/>
    <cellStyle name="_DS_VSE WFP_101029-with more ViewPad 7_LCD_By Region" xfId="0"/>
    <cellStyle name="_DS_VSE WFP_101029-with more ViewPad 7_LCD_CORP SG&amp;A" xfId="0"/>
    <cellStyle name="_DS_VSE WFP_101029-with more ViewPad 7_LCD_LCD" xfId="0"/>
    <cellStyle name="_DS_VSE WFP_101029-with more ViewPad 7_LCD_PJ" xfId="0"/>
    <cellStyle name="_DS_VSE WFP_101029-with more ViewPad 7_lightling" xfId="0"/>
    <cellStyle name="_DS_VSE WFP_101029-with more ViewPad 7_lightling 2" xfId="0"/>
    <cellStyle name="_DS_VSE WFP_101029-with more ViewPad 7_lightling 3" xfId="0"/>
    <cellStyle name="_DS_VSE WFP_101029-with more ViewPad 7_lightling_By Region" xfId="0"/>
    <cellStyle name="_DS_VSE WFP_101029-with more ViewPad 7_PC Products" xfId="0"/>
    <cellStyle name="_DS_VSE WFP_101029-with more ViewPad 7_PC Products 2" xfId="0"/>
    <cellStyle name="_DS_VSE WFP_101029-with more ViewPad 7_PC Products 3" xfId="0"/>
    <cellStyle name="_DS_VSE WFP_101029-with more ViewPad 7_PC Products 4" xfId="0"/>
    <cellStyle name="_DS_VSE WFP_101029-with more ViewPad 7_PC Products 4 2" xfId="0"/>
    <cellStyle name="_DS_VSE WFP_101029-with more ViewPad 7_PC Products_By Region" xfId="0"/>
    <cellStyle name="_DS_VSE WFP_101029-with more ViewPad 7_PC Products_CORP SG&amp;A" xfId="0"/>
    <cellStyle name="_DS_VSE WFP_101029-with more ViewPad 7_PC Products_LCD" xfId="0"/>
    <cellStyle name="_DS_VSE WFP_101029-with more ViewPad 7_PC Products_PJ" xfId="0"/>
    <cellStyle name="_DS_VSE WFP_101029-with more ViewPad 7_VSA 111014" xfId="0"/>
    <cellStyle name="_DS_VSE WFP_101029-with more ViewPad 7_VSA 111014 2" xfId="0"/>
    <cellStyle name="_DS_VSE WFP_101029-with more ViewPad 7_VSA 111014 3" xfId="0"/>
    <cellStyle name="_DS_VSE WFP_101029-with more ViewPad 7_VSA 111014 4" xfId="0"/>
    <cellStyle name="_DS_VSE WFP_101029-with more ViewPad 7_VSA 111014 4 2" xfId="0"/>
    <cellStyle name="_DS_VSE WFP_101029-with more ViewPad 7_VSA 111014_By Region" xfId="0"/>
    <cellStyle name="_DS_VSE WFP_101029-with more ViewPad 7_VSA 111014_CORP SG&amp;A" xfId="0"/>
    <cellStyle name="_DS_VSE WFP_101029-with more ViewPad 7_VSA 111014_LCD" xfId="0"/>
    <cellStyle name="_DS_VSE WFP_101029-with more ViewPad 7_VSA 111014_PJ" xfId="0"/>
    <cellStyle name="_DS_VSE WFP_101029-with more ViewPad 7_VSA Roll-Up (LW)" xfId="0"/>
    <cellStyle name="_DS_VSE WFP_101029-with more ViewPad 7_VSA Roll-Up (LW) 2" xfId="0"/>
    <cellStyle name="_DS_VSE WFP_101029-with more ViewPad 7_VSA Roll-Up (LW) 3" xfId="0"/>
    <cellStyle name="_DS_VSE WFP_101029-with more ViewPad 7_VSA Roll-Up (LW) 4" xfId="0"/>
    <cellStyle name="_DS_VSE WFP_101029-with more ViewPad 7_VSA Roll-Up (LW) 4 2" xfId="0"/>
    <cellStyle name="_DS_VSE WFP_101029-with more ViewPad 7_VSA Roll-Up (LW)_By Region" xfId="0"/>
    <cellStyle name="_DS_VSE WFP_101029-with more ViewPad 7_VSA Roll-Up (LW)_CORP SG&amp;A" xfId="0"/>
    <cellStyle name="_DS_VSE WFP_101029-with more ViewPad 7_VSA Roll-Up (LW)_LCD" xfId="0"/>
    <cellStyle name="_DS_VSE WFP_101029-with more ViewPad 7_VSA Roll-Up (LW)_PJ" xfId="0"/>
    <cellStyle name="_DSBvsWFP" xfId="0"/>
    <cellStyle name="_DSBvsWFP 2" xfId="0"/>
    <cellStyle name="_EUR" xfId="0"/>
    <cellStyle name="_EUR 2" xfId="0"/>
    <cellStyle name="_Euro BPA " xfId="0"/>
    <cellStyle name="_Euro BPA  2" xfId="0"/>
    <cellStyle name="_Euro BPA  2 10" xfId="0"/>
    <cellStyle name="_Euro BPA  2 10 2" xfId="0"/>
    <cellStyle name="_Euro BPA  2 11" xfId="0"/>
    <cellStyle name="_Euro BPA  2 11 2" xfId="0"/>
    <cellStyle name="_Euro BPA  2 12" xfId="0"/>
    <cellStyle name="_Euro BPA  2 12 2" xfId="0"/>
    <cellStyle name="_Euro BPA  2 2" xfId="0"/>
    <cellStyle name="_Euro BPA  2_cash balance" xfId="0"/>
    <cellStyle name="_Euro BPA  2_cash balance 2" xfId="0"/>
    <cellStyle name="_Euro BPA  3" xfId="0"/>
    <cellStyle name="_Euro BPA  3 2" xfId="0"/>
    <cellStyle name="_Euro BPA  3_cash balance" xfId="0"/>
    <cellStyle name="_Euro BPA  3_cash balance 2" xfId="0"/>
    <cellStyle name="_Euro BPA  4" xfId="0"/>
    <cellStyle name="_Euro BPA  4 2" xfId="0"/>
    <cellStyle name="_Euro BPA  4_cash balance" xfId="0"/>
    <cellStyle name="_Euro BPA  4_cash balance 2" xfId="0"/>
    <cellStyle name="_Euro BPA  5" xfId="0"/>
    <cellStyle name="_Euro BPA  5 2" xfId="0"/>
    <cellStyle name="_Euro BPA  6" xfId="0"/>
    <cellStyle name="_Evercest" xfId="0"/>
    <cellStyle name="_Evercest 2" xfId="0"/>
    <cellStyle name="_FA ledger APR-09-standard" xfId="0"/>
    <cellStyle name="_FA ledger APR-09-standard 2" xfId="0"/>
    <cellStyle name="_FA ledger APR-09-standard_2011 FA (TWD) vsi" xfId="0"/>
    <cellStyle name="_FA ledger APR-09-standard_2011 FA (TWD) vsi 2" xfId="0"/>
    <cellStyle name="_FA ledger APR-09-standard_2011 FA (USD) vsi " xfId="0"/>
    <cellStyle name="_FA ledger APR-09-standard_2011 FA (USD) vsi  2" xfId="0"/>
    <cellStyle name="_FA ledger APR-09-standard_2012 FA (TWD) vsi" xfId="0"/>
    <cellStyle name="_FA ledger APR-09-standard_2012 FA (TWD) vsi 2" xfId="0"/>
    <cellStyle name="_FA ledger APR-09-standard_2012 FA (USD) vsi " xfId="0"/>
    <cellStyle name="_FA ledger APR-09-standard_2012 FA (USD) vsi  2" xfId="0"/>
    <cellStyle name="_FA ledger APR-09-standard_RETIREMEN vsi" xfId="0"/>
    <cellStyle name="_FA ledger APR-09-standard_RETIREMEN vsi 2" xfId="0"/>
    <cellStyle name="_FA ledger APR-09-standard_TB-TWD" xfId="0"/>
    <cellStyle name="_FA ledger APR-09-standard_TB-TWD 2" xfId="0"/>
    <cellStyle name="_FA ledger APR-09-standard_VSI FA Rollforward 1003" xfId="0"/>
    <cellStyle name="_FA ledger APR-09-standard_VSI FA Rollforward 1003 2" xfId="0"/>
    <cellStyle name="_FA ledger APR-09-standard_VSI FA Rollforward 1003_RETIREMEN vsi" xfId="0"/>
    <cellStyle name="_FA ledger APR-09-standard_VSI FA Rollforward 1003_RETIREMEN vsi 2" xfId="0"/>
    <cellStyle name="_FA ledger MAR-09 " xfId="0"/>
    <cellStyle name="_FA ledger MAR-09  2" xfId="0"/>
    <cellStyle name="_FA ledger MAR-09 _2011 FA (TWD) vsi" xfId="0"/>
    <cellStyle name="_FA ledger MAR-09 _2011 FA (TWD) vsi 2" xfId="0"/>
    <cellStyle name="_FA ledger MAR-09 _2011 FA (USD) vsi " xfId="0"/>
    <cellStyle name="_FA ledger MAR-09 _2011 FA (USD) vsi  2" xfId="0"/>
    <cellStyle name="_FA ledger MAR-09 _2012 FA (TWD) vsi" xfId="0"/>
    <cellStyle name="_FA ledger MAR-09 _2012 FA (TWD) vsi 2" xfId="0"/>
    <cellStyle name="_FA ledger MAR-09 _2012 FA (USD) vsi " xfId="0"/>
    <cellStyle name="_FA ledger MAR-09 _2012 FA (USD) vsi  2" xfId="0"/>
    <cellStyle name="_FA ledger MAR-09 _RETIREMEN vsi" xfId="0"/>
    <cellStyle name="_FA ledger MAR-09 _RETIREMEN vsi 2" xfId="0"/>
    <cellStyle name="_FA ledger MAR-09 _TB-TWD" xfId="0"/>
    <cellStyle name="_FA ledger MAR-09 _TB-TWD 2" xfId="0"/>
    <cellStyle name="_FA ledger MAR-09 _VSI FA Rollforward 1003" xfId="0"/>
    <cellStyle name="_FA ledger MAR-09 _VSI FA Rollforward 1003 2" xfId="0"/>
    <cellStyle name="_FA ledger MAR-09 _VSI FA Rollforward 1003_RETIREMEN vsi" xfId="0"/>
    <cellStyle name="_FA ledger MAR-09 _VSI FA Rollforward 1003_RETIREMEN vsi 2" xfId="0"/>
    <cellStyle name="_ForecastPrdtVendor-042409xls (2)" xfId="0"/>
    <cellStyle name="_ForecastPrdtVendor-042409xls (2) 2" xfId="0"/>
    <cellStyle name="_ForecastPrdtVendor-042409xls (2)_VSA Cash Forecast 04-4-10" xfId="0"/>
    <cellStyle name="_ForecastPrdtVendor-042409xls (2)_VSA Cash Forecast 04-4-10 2" xfId="0"/>
    <cellStyle name="_GBP" xfId="0"/>
    <cellStyle name="_GBP 2" xfId="0"/>
    <cellStyle name="_GBP No.2" xfId="0"/>
    <cellStyle name="_GBP No.2 2" xfId="0"/>
    <cellStyle name="_GBP No.2 2 2" xfId="0"/>
    <cellStyle name="_GBP No.2 2_cash balance" xfId="0"/>
    <cellStyle name="_GBP No.2 2_cash balance 2" xfId="0"/>
    <cellStyle name="_GBP No.2 3" xfId="0"/>
    <cellStyle name="_GBP No.2 3 2" xfId="0"/>
    <cellStyle name="_GBP No.2 3_cash balance" xfId="0"/>
    <cellStyle name="_GBP No.2 3_cash balance 2" xfId="0"/>
    <cellStyle name="_GBP No.2 4" xfId="0"/>
    <cellStyle name="_GBP No.2 4 2" xfId="0"/>
    <cellStyle name="_GBP No.2 4_cash balance" xfId="0"/>
    <cellStyle name="_GBP No.2 4_cash balance 2" xfId="0"/>
    <cellStyle name="_GBP No.2 5" xfId="0"/>
    <cellStyle name="_GBP No.2 5 2" xfId="0"/>
    <cellStyle name="_GBP No.2 6" xfId="0"/>
    <cellStyle name="_HannStar" xfId="0"/>
    <cellStyle name="_HannStar 2" xfId="0"/>
    <cellStyle name="_HannStar Display Corporation" xfId="0"/>
    <cellStyle name="_HannStar Display Corporation 2" xfId="0"/>
    <cellStyle name="_Highgrade Tech" xfId="0"/>
    <cellStyle name="_Highgrade Tech 2" xfId="0"/>
    <cellStyle name="_Hitach" xfId="0"/>
    <cellStyle name="_Hitach 2" xfId="0"/>
    <cellStyle name="_Hitachi" xfId="0"/>
    <cellStyle name="_Hitachi 2" xfId="0"/>
    <cellStyle name="_Hon Hai" xfId="0"/>
    <cellStyle name="_Hon Hai 2" xfId="0"/>
    <cellStyle name="_Honhai" xfId="0"/>
    <cellStyle name="_Honhai 2" xfId="0"/>
    <cellStyle name="_Innolux" xfId="0"/>
    <cellStyle name="_Innolux 2" xfId="0"/>
    <cellStyle name="_Innolux Display Corporation" xfId="0"/>
    <cellStyle name="_Innolux Display Corporation 2" xfId="0"/>
    <cellStyle name="_Innolux_1" xfId="0"/>
    <cellStyle name="_Innolux_1 2" xfId="0"/>
    <cellStyle name="_INVENTORY CASH FLOW_100226" xfId="0"/>
    <cellStyle name="_INVENTORY CASH FLOW_100226 2" xfId="0"/>
    <cellStyle name="_INVENTORY CASH FLOW_100312" xfId="0"/>
    <cellStyle name="_INVENTORY CASH FLOW_100312 2" xfId="0"/>
    <cellStyle name="_INVENTORY CASH FLOW_100319" xfId="0"/>
    <cellStyle name="_INVENTORY CASH FLOW_100319 2" xfId="0"/>
    <cellStyle name="_INVENTORY CASH FLOW_100806" xfId="0"/>
    <cellStyle name="_INVENTORY CASH FLOW_100806 2" xfId="0"/>
    <cellStyle name="_INVENTORY CASH FLOW_1010029" xfId="0"/>
    <cellStyle name="_INVENTORY CASH FLOW_1010029 2" xfId="0"/>
    <cellStyle name="_Inventory Cashflow" xfId="0"/>
    <cellStyle name="_Inventory Cashflow 2" xfId="0"/>
    <cellStyle name="_Invoice" xfId="0"/>
    <cellStyle name="_Invoice 2" xfId="0"/>
    <cellStyle name="_J &amp; W Technology Ltd" xfId="0"/>
    <cellStyle name="_J &amp; W Technology Ltd 2" xfId="0"/>
    <cellStyle name="_Jan 08 Margin" xfId="0"/>
    <cellStyle name="_Jan 08 Margin 2" xfId="0"/>
    <cellStyle name="_Jean" xfId="0"/>
    <cellStyle name="_Jean 2" xfId="0"/>
    <cellStyle name="_Jun 08 Margin" xfId="0"/>
    <cellStyle name="_Jun 08 Margin 2" xfId="0"/>
    <cellStyle name="_Jun 08 Margin-1" xfId="0"/>
    <cellStyle name="_Jun 08 Margin-1 2" xfId="0"/>
    <cellStyle name="_Jun-09" xfId="0"/>
    <cellStyle name="_Jun-09 2" xfId="0"/>
    <cellStyle name="_Keen High Technologies Ltd" xfId="0"/>
    <cellStyle name="_Keen High Technologies Ltd 2" xfId="0"/>
    <cellStyle name="_Keen High Technologies Ltd 2 2" xfId="0"/>
    <cellStyle name="_Keen High Technologies Ltd 3" xfId="0"/>
    <cellStyle name="_Keen High Technologies Ltd 3 2" xfId="0"/>
    <cellStyle name="_Keen High Technologies Ltd 4" xfId="0"/>
    <cellStyle name="_LC 12-13-2010" xfId="0"/>
    <cellStyle name="_LC 12-13-2010 2" xfId="0"/>
    <cellStyle name="_LCD" xfId="0"/>
    <cellStyle name="_LCD 2" xfId="0"/>
    <cellStyle name="_LCD 3" xfId="0"/>
    <cellStyle name="_LCD 4" xfId="0"/>
    <cellStyle name="_LCD 5" xfId="0"/>
    <cellStyle name="_LCD DCR" xfId="0"/>
    <cellStyle name="_LCD DCR 2" xfId="0"/>
    <cellStyle name="_LCD DCR_VSE DCR Planning Model and Trend Charts 20100118" xfId="0"/>
    <cellStyle name="_LCD DCR_VSE DCR Planning Model and Trend Charts 20100118 2" xfId="0"/>
    <cellStyle name="_LCD DCR_VSE DCR Planning Model and Trend Charts 20100315" xfId="0"/>
    <cellStyle name="_LCD DCR_VSE DCR Planning Model and Trend Charts 20100315 2" xfId="0"/>
    <cellStyle name="_LCD_By Region" xfId="0"/>
    <cellStyle name="_LCD_CIS" xfId="0"/>
    <cellStyle name="_LCD_CIS 2" xfId="0"/>
    <cellStyle name="_LCD_CIS 3" xfId="0"/>
    <cellStyle name="_LCD_CIS 4" xfId="0"/>
    <cellStyle name="_LCD_CIS_By Region" xfId="0"/>
    <cellStyle name="_LCD_CIS_CORP SG&amp;A" xfId="0"/>
    <cellStyle name="_LCD_CIS_Digitizer" xfId="0"/>
    <cellStyle name="_LCD_CIS_GPS OTHER" xfId="0"/>
    <cellStyle name="_LCD_CIS_GPS OTHER 2" xfId="0"/>
    <cellStyle name="_LCD_CIS_GPS OTHER 3" xfId="0"/>
    <cellStyle name="_LCD_CIS_GPS OTHER 4" xfId="0"/>
    <cellStyle name="_LCD_CIS_GPS OTHER 4 2" xfId="0"/>
    <cellStyle name="_LCD_CIS_GPS OTHER_By Region" xfId="0"/>
    <cellStyle name="_LCD_CIS_GPS OTHER_CORP SG&amp;A" xfId="0"/>
    <cellStyle name="_LCD_CIS_GPS OTHER_LCD" xfId="0"/>
    <cellStyle name="_LCD_CIS_GPS OTHER_PJ" xfId="0"/>
    <cellStyle name="_LCD_CIS_LCD" xfId="0"/>
    <cellStyle name="_LCD_CIS_LCD 2" xfId="0"/>
    <cellStyle name="_LCD_CIS_LCD 3" xfId="0"/>
    <cellStyle name="_LCD_CIS_LCD 4" xfId="0"/>
    <cellStyle name="_LCD_CIS_LCD_By Region" xfId="0"/>
    <cellStyle name="_LCD_CIS_LCD_CORP SG&amp;A" xfId="0"/>
    <cellStyle name="_LCD_CIS_LCD_LCD" xfId="0"/>
    <cellStyle name="_LCD_CIS_LCD_PJ" xfId="0"/>
    <cellStyle name="_LCD_CIS_lightling" xfId="0"/>
    <cellStyle name="_LCD_CIS_lightling 2" xfId="0"/>
    <cellStyle name="_LCD_CIS_lightling 3" xfId="0"/>
    <cellStyle name="_LCD_CIS_lightling_By Region" xfId="0"/>
    <cellStyle name="_LCD_CIS_PC Products" xfId="0"/>
    <cellStyle name="_LCD_CIS_PC Products 2" xfId="0"/>
    <cellStyle name="_LCD_CIS_PC Products 3" xfId="0"/>
    <cellStyle name="_LCD_CIS_PC Products 4" xfId="0"/>
    <cellStyle name="_LCD_CIS_PC Products 4 2" xfId="0"/>
    <cellStyle name="_LCD_CIS_PC Products_By Region" xfId="0"/>
    <cellStyle name="_LCD_CIS_PC Products_CORP SG&amp;A" xfId="0"/>
    <cellStyle name="_LCD_CIS_PC Products_LCD" xfId="0"/>
    <cellStyle name="_LCD_CIS_PC Products_PJ" xfId="0"/>
    <cellStyle name="_LCD_CIS_VSA 111014" xfId="0"/>
    <cellStyle name="_LCD_CIS_VSA 111014 2" xfId="0"/>
    <cellStyle name="_LCD_CIS_VSA 111014 3" xfId="0"/>
    <cellStyle name="_LCD_CIS_VSA 111014 4" xfId="0"/>
    <cellStyle name="_LCD_CIS_VSA 111014 4 2" xfId="0"/>
    <cellStyle name="_LCD_CIS_VSA 111014_By Region" xfId="0"/>
    <cellStyle name="_LCD_CIS_VSA 111014_CORP SG&amp;A" xfId="0"/>
    <cellStyle name="_LCD_CIS_VSA 111014_LCD" xfId="0"/>
    <cellStyle name="_LCD_CIS_VSA 111014_PJ" xfId="0"/>
    <cellStyle name="_LCD_CIS_VSA Roll-Up (LW)" xfId="0"/>
    <cellStyle name="_LCD_CIS_VSA Roll-Up (LW) 2" xfId="0"/>
    <cellStyle name="_LCD_CIS_VSA Roll-Up (LW) 3" xfId="0"/>
    <cellStyle name="_LCD_CIS_VSA Roll-Up (LW) 4" xfId="0"/>
    <cellStyle name="_LCD_CIS_VSA Roll-Up (LW) 4 2" xfId="0"/>
    <cellStyle name="_LCD_CIS_VSA Roll-Up (LW)_By Region" xfId="0"/>
    <cellStyle name="_LCD_CIS_VSA Roll-Up (LW)_CORP SG&amp;A" xfId="0"/>
    <cellStyle name="_LCD_CIS_VSA Roll-Up (LW)_LCD" xfId="0"/>
    <cellStyle name="_LCD_CIS_VSA Roll-Up (LW)_PJ" xfId="0"/>
    <cellStyle name="_LCD_CORP SG&amp;A" xfId="0"/>
    <cellStyle name="_LCD_CRT" xfId="0"/>
    <cellStyle name="_LCD_CRT 2" xfId="0"/>
    <cellStyle name="_LCD_CRT 3" xfId="0"/>
    <cellStyle name="_LCD_CRT 4" xfId="0"/>
    <cellStyle name="_LCD_CRT_By Region" xfId="0"/>
    <cellStyle name="_LCD_CRT_CORP SG&amp;A" xfId="0"/>
    <cellStyle name="_LCD_CRT_Digitizer" xfId="0"/>
    <cellStyle name="_LCD_CRT_GPS OTHER" xfId="0"/>
    <cellStyle name="_LCD_CRT_GPS OTHER 2" xfId="0"/>
    <cellStyle name="_LCD_CRT_GPS OTHER 3" xfId="0"/>
    <cellStyle name="_LCD_CRT_GPS OTHER 4" xfId="0"/>
    <cellStyle name="_LCD_CRT_GPS OTHER 4 2" xfId="0"/>
    <cellStyle name="_LCD_CRT_GPS OTHER_By Region" xfId="0"/>
    <cellStyle name="_LCD_CRT_GPS OTHER_CORP SG&amp;A" xfId="0"/>
    <cellStyle name="_LCD_CRT_GPS OTHER_LCD" xfId="0"/>
    <cellStyle name="_LCD_CRT_GPS OTHER_PJ" xfId="0"/>
    <cellStyle name="_LCD_CRT_LCD" xfId="0"/>
    <cellStyle name="_LCD_CRT_LCD 2" xfId="0"/>
    <cellStyle name="_LCD_CRT_LCD 3" xfId="0"/>
    <cellStyle name="_LCD_CRT_LCD 4" xfId="0"/>
    <cellStyle name="_LCD_CRT_LCD_By Region" xfId="0"/>
    <cellStyle name="_LCD_CRT_LCD_CORP SG&amp;A" xfId="0"/>
    <cellStyle name="_LCD_CRT_LCD_LCD" xfId="0"/>
    <cellStyle name="_LCD_CRT_LCD_PJ" xfId="0"/>
    <cellStyle name="_LCD_CRT_PC Products" xfId="0"/>
    <cellStyle name="_LCD_CRT_PC Products 2" xfId="0"/>
    <cellStyle name="_LCD_CRT_PC Products 3" xfId="0"/>
    <cellStyle name="_LCD_CRT_PC Products 4" xfId="0"/>
    <cellStyle name="_LCD_CRT_PC Products 4 2" xfId="0"/>
    <cellStyle name="_LCD_CRT_PC Products_By Region" xfId="0"/>
    <cellStyle name="_LCD_CRT_PC Products_CORP SG&amp;A" xfId="0"/>
    <cellStyle name="_LCD_CRT_PC Products_LCD" xfId="0"/>
    <cellStyle name="_LCD_CRT_PC Products_PJ" xfId="0"/>
    <cellStyle name="_LCD_CRT_VSA 111014" xfId="0"/>
    <cellStyle name="_LCD_CRT_VSA 111014 2" xfId="0"/>
    <cellStyle name="_LCD_CRT_VSA 111014 3" xfId="0"/>
    <cellStyle name="_LCD_CRT_VSA 111014 4" xfId="0"/>
    <cellStyle name="_LCD_CRT_VSA 111014 4 2" xfId="0"/>
    <cellStyle name="_LCD_CRT_VSA 111014_By Region" xfId="0"/>
    <cellStyle name="_LCD_CRT_VSA 111014_CORP SG&amp;A" xfId="0"/>
    <cellStyle name="_LCD_CRT_VSA 111014_LCD" xfId="0"/>
    <cellStyle name="_LCD_CRT_VSA 111014_PJ" xfId="0"/>
    <cellStyle name="_LCD_CRT_VSA Roll-Up (LW)" xfId="0"/>
    <cellStyle name="_LCD_CRT_VSA Roll-Up (LW) 2" xfId="0"/>
    <cellStyle name="_LCD_CRT_VSA Roll-Up (LW) 3" xfId="0"/>
    <cellStyle name="_LCD_CRT_VSA Roll-Up (LW) 4" xfId="0"/>
    <cellStyle name="_LCD_CRT_VSA Roll-Up (LW) 4 2" xfId="0"/>
    <cellStyle name="_LCD_CRT_VSA Roll-Up (LW)_By Region" xfId="0"/>
    <cellStyle name="_LCD_CRT_VSA Roll-Up (LW)_CORP SG&amp;A" xfId="0"/>
    <cellStyle name="_LCD_CRT_VSA Roll-Up (LW)_LCD" xfId="0"/>
    <cellStyle name="_LCD_CRT_VSA Roll-Up (LW)_PJ" xfId="0"/>
    <cellStyle name="_LCD_Diff" xfId="0"/>
    <cellStyle name="_LCD_Diff 2" xfId="0"/>
    <cellStyle name="_LCD_Diff 3" xfId="0"/>
    <cellStyle name="_LCD_Diff 4" xfId="0"/>
    <cellStyle name="_LCD_Diff_By Region" xfId="0"/>
    <cellStyle name="_LCD_Diff_CORP SG&amp;A" xfId="0"/>
    <cellStyle name="_LCD_Diff_Digitizer" xfId="0"/>
    <cellStyle name="_LCD_Diff_GPS OTHER" xfId="0"/>
    <cellStyle name="_LCD_Diff_GPS OTHER 2" xfId="0"/>
    <cellStyle name="_LCD_Diff_GPS OTHER 3" xfId="0"/>
    <cellStyle name="_LCD_Diff_GPS OTHER 4" xfId="0"/>
    <cellStyle name="_LCD_Diff_GPS OTHER 4 2" xfId="0"/>
    <cellStyle name="_LCD_Diff_GPS OTHER_By Region" xfId="0"/>
    <cellStyle name="_LCD_Diff_GPS OTHER_CORP SG&amp;A" xfId="0"/>
    <cellStyle name="_LCD_Diff_GPS OTHER_LCD" xfId="0"/>
    <cellStyle name="_LCD_Diff_GPS OTHER_PJ" xfId="0"/>
    <cellStyle name="_LCD_Diff_LCD" xfId="0"/>
    <cellStyle name="_LCD_Diff_LCD 2" xfId="0"/>
    <cellStyle name="_LCD_Diff_LCD 3" xfId="0"/>
    <cellStyle name="_LCD_Diff_LCD 4" xfId="0"/>
    <cellStyle name="_LCD_Diff_LCD_By Region" xfId="0"/>
    <cellStyle name="_LCD_Diff_LCD_CORP SG&amp;A" xfId="0"/>
    <cellStyle name="_LCD_Diff_LCD_LCD" xfId="0"/>
    <cellStyle name="_LCD_Diff_LCD_PJ" xfId="0"/>
    <cellStyle name="_LCD_Diff_PC Products" xfId="0"/>
    <cellStyle name="_LCD_Diff_PC Products 2" xfId="0"/>
    <cellStyle name="_LCD_Diff_PC Products 3" xfId="0"/>
    <cellStyle name="_LCD_Diff_PC Products 4" xfId="0"/>
    <cellStyle name="_LCD_Diff_PC Products 4 2" xfId="0"/>
    <cellStyle name="_LCD_Diff_PC Products_By Region" xfId="0"/>
    <cellStyle name="_LCD_Diff_PC Products_CORP SG&amp;A" xfId="0"/>
    <cellStyle name="_LCD_Diff_PC Products_LCD" xfId="0"/>
    <cellStyle name="_LCD_Diff_PC Products_PJ" xfId="0"/>
    <cellStyle name="_LCD_Diff_VSA 111014" xfId="0"/>
    <cellStyle name="_LCD_Diff_VSA 111014 2" xfId="0"/>
    <cellStyle name="_LCD_Diff_VSA 111014 3" xfId="0"/>
    <cellStyle name="_LCD_Diff_VSA 111014 4" xfId="0"/>
    <cellStyle name="_LCD_Diff_VSA 111014 4 2" xfId="0"/>
    <cellStyle name="_LCD_Diff_VSA 111014_By Region" xfId="0"/>
    <cellStyle name="_LCD_Diff_VSA 111014_CORP SG&amp;A" xfId="0"/>
    <cellStyle name="_LCD_Diff_VSA 111014_LCD" xfId="0"/>
    <cellStyle name="_LCD_Diff_VSA 111014_PJ" xfId="0"/>
    <cellStyle name="_LCD_Diff_VSA Roll-Up (LW)" xfId="0"/>
    <cellStyle name="_LCD_Diff_VSA Roll-Up (LW) 2" xfId="0"/>
    <cellStyle name="_LCD_Diff_VSA Roll-Up (LW) 3" xfId="0"/>
    <cellStyle name="_LCD_Diff_VSA Roll-Up (LW) 4" xfId="0"/>
    <cellStyle name="_LCD_Diff_VSA Roll-Up (LW) 4 2" xfId="0"/>
    <cellStyle name="_LCD_Diff_VSA Roll-Up (LW)_By Region" xfId="0"/>
    <cellStyle name="_LCD_Diff_VSA Roll-Up (LW)_CORP SG&amp;A" xfId="0"/>
    <cellStyle name="_LCD_Diff_VSA Roll-Up (LW)_LCD" xfId="0"/>
    <cellStyle name="_LCD_Diff_VSA Roll-Up (LW)_PJ" xfId="0"/>
    <cellStyle name="_LCD_Digital Product" xfId="0"/>
    <cellStyle name="_LCD_Digital Product 2" xfId="0"/>
    <cellStyle name="_LCD_Digital Product 3" xfId="0"/>
    <cellStyle name="_LCD_Digital Product 4" xfId="0"/>
    <cellStyle name="_LCD_Digital Product_By Region" xfId="0"/>
    <cellStyle name="_LCD_Digital Product_CORP SG&amp;A" xfId="0"/>
    <cellStyle name="_LCD_Digital Product_Digitizer" xfId="0"/>
    <cellStyle name="_LCD_Digital Product_GPS OTHER" xfId="0"/>
    <cellStyle name="_LCD_Digital Product_GPS OTHER 2" xfId="0"/>
    <cellStyle name="_LCD_Digital Product_GPS OTHER 3" xfId="0"/>
    <cellStyle name="_LCD_Digital Product_GPS OTHER 4" xfId="0"/>
    <cellStyle name="_LCD_Digital Product_GPS OTHER 4 2" xfId="0"/>
    <cellStyle name="_LCD_Digital Product_GPS OTHER_By Region" xfId="0"/>
    <cellStyle name="_LCD_Digital Product_GPS OTHER_CORP SG&amp;A" xfId="0"/>
    <cellStyle name="_LCD_Digital Product_GPS OTHER_LCD" xfId="0"/>
    <cellStyle name="_LCD_Digital Product_GPS OTHER_PJ" xfId="0"/>
    <cellStyle name="_LCD_Digital Product_LCD" xfId="0"/>
    <cellStyle name="_LCD_Digital Product_LCD 2" xfId="0"/>
    <cellStyle name="_LCD_Digital Product_LCD 3" xfId="0"/>
    <cellStyle name="_LCD_Digital Product_LCD 4" xfId="0"/>
    <cellStyle name="_LCD_Digital Product_LCD_By Region" xfId="0"/>
    <cellStyle name="_LCD_Digital Product_LCD_CORP SG&amp;A" xfId="0"/>
    <cellStyle name="_LCD_Digital Product_LCD_LCD" xfId="0"/>
    <cellStyle name="_LCD_Digital Product_LCD_PJ" xfId="0"/>
    <cellStyle name="_LCD_Digital Product_PC Products" xfId="0"/>
    <cellStyle name="_LCD_Digital Product_PC Products 2" xfId="0"/>
    <cellStyle name="_LCD_Digital Product_PC Products 3" xfId="0"/>
    <cellStyle name="_LCD_Digital Product_PC Products 4" xfId="0"/>
    <cellStyle name="_LCD_Digital Product_PC Products 4 2" xfId="0"/>
    <cellStyle name="_LCD_Digital Product_PC Products_By Region" xfId="0"/>
    <cellStyle name="_LCD_Digital Product_PC Products_CORP SG&amp;A" xfId="0"/>
    <cellStyle name="_LCD_Digital Product_PC Products_LCD" xfId="0"/>
    <cellStyle name="_LCD_Digital Product_PC Products_PJ" xfId="0"/>
    <cellStyle name="_LCD_Digital Product_VSA 111014" xfId="0"/>
    <cellStyle name="_LCD_Digital Product_VSA 111014 2" xfId="0"/>
    <cellStyle name="_LCD_Digital Product_VSA 111014 3" xfId="0"/>
    <cellStyle name="_LCD_Digital Product_VSA 111014 4" xfId="0"/>
    <cellStyle name="_LCD_Digital Product_VSA 111014 4 2" xfId="0"/>
    <cellStyle name="_LCD_Digital Product_VSA 111014_By Region" xfId="0"/>
    <cellStyle name="_LCD_Digital Product_VSA 111014_CORP SG&amp;A" xfId="0"/>
    <cellStyle name="_LCD_Digital Product_VSA 111014_LCD" xfId="0"/>
    <cellStyle name="_LCD_Digital Product_VSA 111014_PJ" xfId="0"/>
    <cellStyle name="_LCD_Digital Product_VSA Roll-Up (LW)" xfId="0"/>
    <cellStyle name="_LCD_Digital Product_VSA Roll-Up (LW) 2" xfId="0"/>
    <cellStyle name="_LCD_Digital Product_VSA Roll-Up (LW) 3" xfId="0"/>
    <cellStyle name="_LCD_Digital Product_VSA Roll-Up (LW) 4" xfId="0"/>
    <cellStyle name="_LCD_Digital Product_VSA Roll-Up (LW) 4 2" xfId="0"/>
    <cellStyle name="_LCD_Digital Product_VSA Roll-Up (LW)_By Region" xfId="0"/>
    <cellStyle name="_LCD_Digital Product_VSA Roll-Up (LW)_CORP SG&amp;A" xfId="0"/>
    <cellStyle name="_LCD_Digital Product_VSA Roll-Up (LW)_LCD" xfId="0"/>
    <cellStyle name="_LCD_Digital Product_VSA Roll-Up (LW)_PJ" xfId="0"/>
    <cellStyle name="_LCD_Digital Signage" xfId="0"/>
    <cellStyle name="_LCD_Digital Signage 2" xfId="0"/>
    <cellStyle name="_LCD_Digital Signage 3" xfId="0"/>
    <cellStyle name="_LCD_Digital Signage 4" xfId="0"/>
    <cellStyle name="_LCD_Digital Signage_By Region" xfId="0"/>
    <cellStyle name="_LCD_Digital Signage_CORP SG&amp;A" xfId="0"/>
    <cellStyle name="_LCD_Digital Signage_Digitizer" xfId="0"/>
    <cellStyle name="_LCD_Digital Signage_GPS OTHER" xfId="0"/>
    <cellStyle name="_LCD_Digital Signage_GPS OTHER 2" xfId="0"/>
    <cellStyle name="_LCD_Digital Signage_GPS OTHER 3" xfId="0"/>
    <cellStyle name="_LCD_Digital Signage_GPS OTHER 4" xfId="0"/>
    <cellStyle name="_LCD_Digital Signage_GPS OTHER 4 2" xfId="0"/>
    <cellStyle name="_LCD_Digital Signage_GPS OTHER_By Region" xfId="0"/>
    <cellStyle name="_LCD_Digital Signage_GPS OTHER_CORP SG&amp;A" xfId="0"/>
    <cellStyle name="_LCD_Digital Signage_GPS OTHER_LCD" xfId="0"/>
    <cellStyle name="_LCD_Digital Signage_GPS OTHER_PJ" xfId="0"/>
    <cellStyle name="_LCD_Digital Signage_LCD" xfId="0"/>
    <cellStyle name="_LCD_Digital Signage_LCD 2" xfId="0"/>
    <cellStyle name="_LCD_Digital Signage_LCD 3" xfId="0"/>
    <cellStyle name="_LCD_Digital Signage_LCD 4" xfId="0"/>
    <cellStyle name="_LCD_Digital Signage_LCD_By Region" xfId="0"/>
    <cellStyle name="_LCD_Digital Signage_LCD_CORP SG&amp;A" xfId="0"/>
    <cellStyle name="_LCD_Digital Signage_LCD_LCD" xfId="0"/>
    <cellStyle name="_LCD_Digital Signage_LCD_PJ" xfId="0"/>
    <cellStyle name="_LCD_Digital Signage_PC Products" xfId="0"/>
    <cellStyle name="_LCD_Digital Signage_PC Products 2" xfId="0"/>
    <cellStyle name="_LCD_Digital Signage_PC Products 3" xfId="0"/>
    <cellStyle name="_LCD_Digital Signage_PC Products 4" xfId="0"/>
    <cellStyle name="_LCD_Digital Signage_PC Products 4 2" xfId="0"/>
    <cellStyle name="_LCD_Digital Signage_PC Products_By Region" xfId="0"/>
    <cellStyle name="_LCD_Digital Signage_PC Products_CORP SG&amp;A" xfId="0"/>
    <cellStyle name="_LCD_Digital Signage_PC Products_LCD" xfId="0"/>
    <cellStyle name="_LCD_Digital Signage_PC Products_PJ" xfId="0"/>
    <cellStyle name="_LCD_Digital Signage_VSA 111014" xfId="0"/>
    <cellStyle name="_LCD_Digital Signage_VSA 111014 2" xfId="0"/>
    <cellStyle name="_LCD_Digital Signage_VSA 111014 3" xfId="0"/>
    <cellStyle name="_LCD_Digital Signage_VSA 111014 4" xfId="0"/>
    <cellStyle name="_LCD_Digital Signage_VSA 111014 4 2" xfId="0"/>
    <cellStyle name="_LCD_Digital Signage_VSA 111014_By Region" xfId="0"/>
    <cellStyle name="_LCD_Digital Signage_VSA 111014_CORP SG&amp;A" xfId="0"/>
    <cellStyle name="_LCD_Digital Signage_VSA 111014_LCD" xfId="0"/>
    <cellStyle name="_LCD_Digital Signage_VSA 111014_PJ" xfId="0"/>
    <cellStyle name="_LCD_Digital Signage_VSA Roll-Up (LW)" xfId="0"/>
    <cellStyle name="_LCD_Digital Signage_VSA Roll-Up (LW) 2" xfId="0"/>
    <cellStyle name="_LCD_Digital Signage_VSA Roll-Up (LW) 3" xfId="0"/>
    <cellStyle name="_LCD_Digital Signage_VSA Roll-Up (LW) 4" xfId="0"/>
    <cellStyle name="_LCD_Digital Signage_VSA Roll-Up (LW) 4 2" xfId="0"/>
    <cellStyle name="_LCD_Digital Signage_VSA Roll-Up (LW)_By Region" xfId="0"/>
    <cellStyle name="_LCD_Digital Signage_VSA Roll-Up (LW)_CORP SG&amp;A" xfId="0"/>
    <cellStyle name="_LCD_Digital Signage_VSA Roll-Up (LW)_LCD" xfId="0"/>
    <cellStyle name="_LCD_Digital Signage_VSA Roll-Up (LW)_PJ" xfId="0"/>
    <cellStyle name="_LCD_Digitizer" xfId="0"/>
    <cellStyle name="_LCD_DMA(VMP)" xfId="0"/>
    <cellStyle name="_LCD_DMA(VMP) 2" xfId="0"/>
    <cellStyle name="_LCD_DMA(VMP) 3" xfId="0"/>
    <cellStyle name="_LCD_DMA(VMP) 4" xfId="0"/>
    <cellStyle name="_LCD_DMA(VMP)_By Region" xfId="0"/>
    <cellStyle name="_LCD_DMA(VMP)_CORP SG&amp;A" xfId="0"/>
    <cellStyle name="_LCD_DMA(VMP)_Digitizer" xfId="0"/>
    <cellStyle name="_LCD_DMA(VMP)_GPS OTHER" xfId="0"/>
    <cellStyle name="_LCD_DMA(VMP)_GPS OTHER 2" xfId="0"/>
    <cellStyle name="_LCD_DMA(VMP)_GPS OTHER 3" xfId="0"/>
    <cellStyle name="_LCD_DMA(VMP)_GPS OTHER 4" xfId="0"/>
    <cellStyle name="_LCD_DMA(VMP)_GPS OTHER 4 2" xfId="0"/>
    <cellStyle name="_LCD_DMA(VMP)_GPS OTHER_By Region" xfId="0"/>
    <cellStyle name="_LCD_DMA(VMP)_GPS OTHER_CORP SG&amp;A" xfId="0"/>
    <cellStyle name="_LCD_DMA(VMP)_GPS OTHER_LCD" xfId="0"/>
    <cellStyle name="_LCD_DMA(VMP)_GPS OTHER_PJ" xfId="0"/>
    <cellStyle name="_LCD_DMA(VMP)_LCD" xfId="0"/>
    <cellStyle name="_LCD_DMA(VMP)_LCD 2" xfId="0"/>
    <cellStyle name="_LCD_DMA(VMP)_LCD 3" xfId="0"/>
    <cellStyle name="_LCD_DMA(VMP)_LCD 4" xfId="0"/>
    <cellStyle name="_LCD_DMA(VMP)_LCD_By Region" xfId="0"/>
    <cellStyle name="_LCD_DMA(VMP)_LCD_CORP SG&amp;A" xfId="0"/>
    <cellStyle name="_LCD_DMA(VMP)_LCD_LCD" xfId="0"/>
    <cellStyle name="_LCD_DMA(VMP)_LCD_PJ" xfId="0"/>
    <cellStyle name="_LCD_DMA(VMP)_PC Products" xfId="0"/>
    <cellStyle name="_LCD_DMA(VMP)_PC Products 2" xfId="0"/>
    <cellStyle name="_LCD_DMA(VMP)_PC Products 3" xfId="0"/>
    <cellStyle name="_LCD_DMA(VMP)_PC Products 4" xfId="0"/>
    <cellStyle name="_LCD_DMA(VMP)_PC Products 4 2" xfId="0"/>
    <cellStyle name="_LCD_DMA(VMP)_PC Products_By Region" xfId="0"/>
    <cellStyle name="_LCD_DMA(VMP)_PC Products_CORP SG&amp;A" xfId="0"/>
    <cellStyle name="_LCD_DMA(VMP)_PC Products_LCD" xfId="0"/>
    <cellStyle name="_LCD_DMA(VMP)_PC Products_PJ" xfId="0"/>
    <cellStyle name="_LCD_DMA(VMP)_VSA 111014" xfId="0"/>
    <cellStyle name="_LCD_DMA(VMP)_VSA 111014 2" xfId="0"/>
    <cellStyle name="_LCD_DMA(VMP)_VSA 111014 3" xfId="0"/>
    <cellStyle name="_LCD_DMA(VMP)_VSA 111014 4" xfId="0"/>
    <cellStyle name="_LCD_DMA(VMP)_VSA 111014 4 2" xfId="0"/>
    <cellStyle name="_LCD_DMA(VMP)_VSA 111014_By Region" xfId="0"/>
    <cellStyle name="_LCD_DMA(VMP)_VSA 111014_CORP SG&amp;A" xfId="0"/>
    <cellStyle name="_LCD_DMA(VMP)_VSA 111014_LCD" xfId="0"/>
    <cellStyle name="_LCD_DMA(VMP)_VSA 111014_PJ" xfId="0"/>
    <cellStyle name="_LCD_DMA(VMP)_VSA Roll-Up (LW)" xfId="0"/>
    <cellStyle name="_LCD_DMA(VMP)_VSA Roll-Up (LW) 2" xfId="0"/>
    <cellStyle name="_LCD_DMA(VMP)_VSA Roll-Up (LW) 3" xfId="0"/>
    <cellStyle name="_LCD_DMA(VMP)_VSA Roll-Up (LW) 4" xfId="0"/>
    <cellStyle name="_LCD_DMA(VMP)_VSA Roll-Up (LW) 4 2" xfId="0"/>
    <cellStyle name="_LCD_DMA(VMP)_VSA Roll-Up (LW)_By Region" xfId="0"/>
    <cellStyle name="_LCD_DMA(VMP)_VSA Roll-Up (LW)_CORP SG&amp;A" xfId="0"/>
    <cellStyle name="_LCD_DMA(VMP)_VSA Roll-Up (LW)_LCD" xfId="0"/>
    <cellStyle name="_LCD_DMA(VMP)_VSA Roll-Up (LW)_PJ" xfId="0"/>
    <cellStyle name="_LCD_DPF" xfId="0"/>
    <cellStyle name="_LCD_DPF 2" xfId="0"/>
    <cellStyle name="_LCD_DPF 3" xfId="0"/>
    <cellStyle name="_LCD_DPF 4" xfId="0"/>
    <cellStyle name="_LCD_DPF_By Region" xfId="0"/>
    <cellStyle name="_LCD_DPF_CORP SG&amp;A" xfId="0"/>
    <cellStyle name="_LCD_DPF_Digitizer" xfId="0"/>
    <cellStyle name="_LCD_DPF_GPS OTHER" xfId="0"/>
    <cellStyle name="_LCD_DPF_GPS OTHER 2" xfId="0"/>
    <cellStyle name="_LCD_DPF_GPS OTHER 3" xfId="0"/>
    <cellStyle name="_LCD_DPF_GPS OTHER 4" xfId="0"/>
    <cellStyle name="_LCD_DPF_GPS OTHER 4 2" xfId="0"/>
    <cellStyle name="_LCD_DPF_GPS OTHER_By Region" xfId="0"/>
    <cellStyle name="_LCD_DPF_GPS OTHER_CORP SG&amp;A" xfId="0"/>
    <cellStyle name="_LCD_DPF_GPS OTHER_LCD" xfId="0"/>
    <cellStyle name="_LCD_DPF_GPS OTHER_PJ" xfId="0"/>
    <cellStyle name="_LCD_DPF_LCD" xfId="0"/>
    <cellStyle name="_LCD_DPF_LCD 2" xfId="0"/>
    <cellStyle name="_LCD_DPF_LCD 3" xfId="0"/>
    <cellStyle name="_LCD_DPF_LCD 4" xfId="0"/>
    <cellStyle name="_LCD_DPF_LCD_By Region" xfId="0"/>
    <cellStyle name="_LCD_DPF_LCD_CORP SG&amp;A" xfId="0"/>
    <cellStyle name="_LCD_DPF_LCD_LCD" xfId="0"/>
    <cellStyle name="_LCD_DPF_LCD_PJ" xfId="0"/>
    <cellStyle name="_LCD_DPF_PC Products" xfId="0"/>
    <cellStyle name="_LCD_DPF_PC Products 2" xfId="0"/>
    <cellStyle name="_LCD_DPF_PC Products 3" xfId="0"/>
    <cellStyle name="_LCD_DPF_PC Products 4" xfId="0"/>
    <cellStyle name="_LCD_DPF_PC Products 4 2" xfId="0"/>
    <cellStyle name="_LCD_DPF_PC Products_By Region" xfId="0"/>
    <cellStyle name="_LCD_DPF_PC Products_CORP SG&amp;A" xfId="0"/>
    <cellStyle name="_LCD_DPF_PC Products_LCD" xfId="0"/>
    <cellStyle name="_LCD_DPF_PC Products_PJ" xfId="0"/>
    <cellStyle name="_LCD_DPF_VSA 111014" xfId="0"/>
    <cellStyle name="_LCD_DPF_VSA 111014 2" xfId="0"/>
    <cellStyle name="_LCD_DPF_VSA 111014 3" xfId="0"/>
    <cellStyle name="_LCD_DPF_VSA 111014 4" xfId="0"/>
    <cellStyle name="_LCD_DPF_VSA 111014 4 2" xfId="0"/>
    <cellStyle name="_LCD_DPF_VSA 111014_By Region" xfId="0"/>
    <cellStyle name="_LCD_DPF_VSA 111014_CORP SG&amp;A" xfId="0"/>
    <cellStyle name="_LCD_DPF_VSA 111014_LCD" xfId="0"/>
    <cellStyle name="_LCD_DPF_VSA 111014_PJ" xfId="0"/>
    <cellStyle name="_LCD_DPF_VSA Roll-Up (LW)" xfId="0"/>
    <cellStyle name="_LCD_DPF_VSA Roll-Up (LW) 2" xfId="0"/>
    <cellStyle name="_LCD_DPF_VSA Roll-Up (LW) 3" xfId="0"/>
    <cellStyle name="_LCD_DPF_VSA Roll-Up (LW) 4" xfId="0"/>
    <cellStyle name="_LCD_DPF_VSA Roll-Up (LW) 4 2" xfId="0"/>
    <cellStyle name="_LCD_DPF_VSA Roll-Up (LW)_By Region" xfId="0"/>
    <cellStyle name="_LCD_DPF_VSA Roll-Up (LW)_CORP SG&amp;A" xfId="0"/>
    <cellStyle name="_LCD_DPF_VSA Roll-Up (LW)_LCD" xfId="0"/>
    <cellStyle name="_LCD_DPF_VSA Roll-Up (LW)_PJ" xfId="0"/>
    <cellStyle name="_LCD_DS" xfId="0"/>
    <cellStyle name="_LCD_DS 2" xfId="0"/>
    <cellStyle name="_LCD_DS 3" xfId="0"/>
    <cellStyle name="_LCD_DS 4" xfId="0"/>
    <cellStyle name="_LCD_DS_By Region" xfId="0"/>
    <cellStyle name="_LCD_DS_CORP SG&amp;A" xfId="0"/>
    <cellStyle name="_LCD_DS_Digitizer" xfId="0"/>
    <cellStyle name="_LCD_DS_GPS OTHER" xfId="0"/>
    <cellStyle name="_LCD_DS_GPS OTHER 2" xfId="0"/>
    <cellStyle name="_LCD_DS_GPS OTHER 3" xfId="0"/>
    <cellStyle name="_LCD_DS_GPS OTHER 4" xfId="0"/>
    <cellStyle name="_LCD_DS_GPS OTHER 4 2" xfId="0"/>
    <cellStyle name="_LCD_DS_GPS OTHER_By Region" xfId="0"/>
    <cellStyle name="_LCD_DS_GPS OTHER_CORP SG&amp;A" xfId="0"/>
    <cellStyle name="_LCD_DS_GPS OTHER_LCD" xfId="0"/>
    <cellStyle name="_LCD_DS_GPS OTHER_PJ" xfId="0"/>
    <cellStyle name="_LCD_DS_LCD" xfId="0"/>
    <cellStyle name="_LCD_DS_LCD 2" xfId="0"/>
    <cellStyle name="_LCD_DS_LCD 3" xfId="0"/>
    <cellStyle name="_LCD_DS_LCD 4" xfId="0"/>
    <cellStyle name="_LCD_DS_LCD_By Region" xfId="0"/>
    <cellStyle name="_LCD_DS_LCD_CORP SG&amp;A" xfId="0"/>
    <cellStyle name="_LCD_DS_LCD_LCD" xfId="0"/>
    <cellStyle name="_LCD_DS_LCD_PJ" xfId="0"/>
    <cellStyle name="_LCD_DS_PC Products" xfId="0"/>
    <cellStyle name="_LCD_DS_PC Products 2" xfId="0"/>
    <cellStyle name="_LCD_DS_PC Products 3" xfId="0"/>
    <cellStyle name="_LCD_DS_PC Products 4" xfId="0"/>
    <cellStyle name="_LCD_DS_PC Products 4 2" xfId="0"/>
    <cellStyle name="_LCD_DS_PC Products_By Region" xfId="0"/>
    <cellStyle name="_LCD_DS_PC Products_CORP SG&amp;A" xfId="0"/>
    <cellStyle name="_LCD_DS_PC Products_LCD" xfId="0"/>
    <cellStyle name="_LCD_DS_PC Products_PJ" xfId="0"/>
    <cellStyle name="_LCD_DS_VSA 111014" xfId="0"/>
    <cellStyle name="_LCD_DS_VSA 111014 2" xfId="0"/>
    <cellStyle name="_LCD_DS_VSA 111014 3" xfId="0"/>
    <cellStyle name="_LCD_DS_VSA 111014 4" xfId="0"/>
    <cellStyle name="_LCD_DS_VSA 111014 4 2" xfId="0"/>
    <cellStyle name="_LCD_DS_VSA 111014_By Region" xfId="0"/>
    <cellStyle name="_LCD_DS_VSA 111014_CORP SG&amp;A" xfId="0"/>
    <cellStyle name="_LCD_DS_VSA 111014_LCD" xfId="0"/>
    <cellStyle name="_LCD_DS_VSA 111014_PJ" xfId="0"/>
    <cellStyle name="_LCD_DS_VSA Roll-Up (LW)" xfId="0"/>
    <cellStyle name="_LCD_DS_VSA Roll-Up (LW) 2" xfId="0"/>
    <cellStyle name="_LCD_DS_VSA Roll-Up (LW) 3" xfId="0"/>
    <cellStyle name="_LCD_DS_VSA Roll-Up (LW) 4" xfId="0"/>
    <cellStyle name="_LCD_DS_VSA Roll-Up (LW) 4 2" xfId="0"/>
    <cellStyle name="_LCD_DS_VSA Roll-Up (LW)_By Region" xfId="0"/>
    <cellStyle name="_LCD_DS_VSA Roll-Up (LW)_CORP SG&amp;A" xfId="0"/>
    <cellStyle name="_LCD_DS_VSA Roll-Up (LW)_LCD" xfId="0"/>
    <cellStyle name="_LCD_DS_VSA Roll-Up (LW)_PJ" xfId="0"/>
    <cellStyle name="_LCD_DVD_TV" xfId="0"/>
    <cellStyle name="_LCD_DVD_TV 2" xfId="0"/>
    <cellStyle name="_LCD_DVD_TV 3" xfId="0"/>
    <cellStyle name="_LCD_DVD_TV 4" xfId="0"/>
    <cellStyle name="_LCD_DVD_TV_By Region" xfId="0"/>
    <cellStyle name="_LCD_DVD_TV_CORP SG&amp;A" xfId="0"/>
    <cellStyle name="_LCD_DVD_TV_Digitizer" xfId="0"/>
    <cellStyle name="_LCD_DVD_TV_GPS OTHER" xfId="0"/>
    <cellStyle name="_LCD_DVD_TV_GPS OTHER 2" xfId="0"/>
    <cellStyle name="_LCD_DVD_TV_GPS OTHER 3" xfId="0"/>
    <cellStyle name="_LCD_DVD_TV_GPS OTHER 4" xfId="0"/>
    <cellStyle name="_LCD_DVD_TV_GPS OTHER 4 2" xfId="0"/>
    <cellStyle name="_LCD_DVD_TV_GPS OTHER_By Region" xfId="0"/>
    <cellStyle name="_LCD_DVD_TV_GPS OTHER_CORP SG&amp;A" xfId="0"/>
    <cellStyle name="_LCD_DVD_TV_GPS OTHER_LCD" xfId="0"/>
    <cellStyle name="_LCD_DVD_TV_GPS OTHER_PJ" xfId="0"/>
    <cellStyle name="_LCD_DVD_TV_LCD" xfId="0"/>
    <cellStyle name="_LCD_DVD_TV_LCD 2" xfId="0"/>
    <cellStyle name="_LCD_DVD_TV_LCD 3" xfId="0"/>
    <cellStyle name="_LCD_DVD_TV_LCD 4" xfId="0"/>
    <cellStyle name="_LCD_DVD_TV_LCD_By Region" xfId="0"/>
    <cellStyle name="_LCD_DVD_TV_LCD_CORP SG&amp;A" xfId="0"/>
    <cellStyle name="_LCD_DVD_TV_LCD_LCD" xfId="0"/>
    <cellStyle name="_LCD_DVD_TV_LCD_PJ" xfId="0"/>
    <cellStyle name="_LCD_DVD_TV_PC Products" xfId="0"/>
    <cellStyle name="_LCD_DVD_TV_PC Products 2" xfId="0"/>
    <cellStyle name="_LCD_DVD_TV_PC Products 3" xfId="0"/>
    <cellStyle name="_LCD_DVD_TV_PC Products 4" xfId="0"/>
    <cellStyle name="_LCD_DVD_TV_PC Products 4 2" xfId="0"/>
    <cellStyle name="_LCD_DVD_TV_PC Products_By Region" xfId="0"/>
    <cellStyle name="_LCD_DVD_TV_PC Products_CORP SG&amp;A" xfId="0"/>
    <cellStyle name="_LCD_DVD_TV_PC Products_LCD" xfId="0"/>
    <cellStyle name="_LCD_DVD_TV_PC Products_PJ" xfId="0"/>
    <cellStyle name="_LCD_DVD_TV_VSA 111014" xfId="0"/>
    <cellStyle name="_LCD_DVD_TV_VSA 111014 2" xfId="0"/>
    <cellStyle name="_LCD_DVD_TV_VSA 111014 3" xfId="0"/>
    <cellStyle name="_LCD_DVD_TV_VSA 111014 4" xfId="0"/>
    <cellStyle name="_LCD_DVD_TV_VSA 111014 4 2" xfId="0"/>
    <cellStyle name="_LCD_DVD_TV_VSA 111014_By Region" xfId="0"/>
    <cellStyle name="_LCD_DVD_TV_VSA 111014_CORP SG&amp;A" xfId="0"/>
    <cellStyle name="_LCD_DVD_TV_VSA 111014_LCD" xfId="0"/>
    <cellStyle name="_LCD_DVD_TV_VSA 111014_PJ" xfId="0"/>
    <cellStyle name="_LCD_DVD_TV_VSA Roll-Up (LW)" xfId="0"/>
    <cellStyle name="_LCD_DVD_TV_VSA Roll-Up (LW) 2" xfId="0"/>
    <cellStyle name="_LCD_DVD_TV_VSA Roll-Up (LW) 3" xfId="0"/>
    <cellStyle name="_LCD_DVD_TV_VSA Roll-Up (LW) 4" xfId="0"/>
    <cellStyle name="_LCD_DVD_TV_VSA Roll-Up (LW) 4 2" xfId="0"/>
    <cellStyle name="_LCD_DVD_TV_VSA Roll-Up (LW)_By Region" xfId="0"/>
    <cellStyle name="_LCD_DVD_TV_VSA Roll-Up (LW)_CORP SG&amp;A" xfId="0"/>
    <cellStyle name="_LCD_DVD_TV_VSA Roll-Up (LW)_LCD" xfId="0"/>
    <cellStyle name="_LCD_DVD_TV_VSA Roll-Up (LW)_PJ" xfId="0"/>
    <cellStyle name="_LCD_GPS OTHER" xfId="0"/>
    <cellStyle name="_LCD_GPS OTHER 2" xfId="0"/>
    <cellStyle name="_LCD_GPS OTHER 3" xfId="0"/>
    <cellStyle name="_LCD_GPS OTHER 4" xfId="0"/>
    <cellStyle name="_LCD_GPS OTHER 4 2" xfId="0"/>
    <cellStyle name="_LCD_GPS OTHER_By Region" xfId="0"/>
    <cellStyle name="_LCD_GPS OTHER_CORP SG&amp;A" xfId="0"/>
    <cellStyle name="_LCD_GPS OTHER_LCD" xfId="0"/>
    <cellStyle name="_LCD_GPS OTHER_PJ" xfId="0"/>
    <cellStyle name="_LCD_LCD" xfId="0"/>
    <cellStyle name="_LCD_LCD 2" xfId="0"/>
    <cellStyle name="_LCD_LCD 3" xfId="0"/>
    <cellStyle name="_LCD_LCD 4" xfId="0"/>
    <cellStyle name="_LCD_LCD_1" xfId="0"/>
    <cellStyle name="_LCD_LCD_1 2" xfId="0"/>
    <cellStyle name="_LCD_LCD_1 3" xfId="0"/>
    <cellStyle name="_LCD_LCD_1 4" xfId="0"/>
    <cellStyle name="_LCD_LCD_1_By Region" xfId="0"/>
    <cellStyle name="_LCD_LCD_1_CORP SG&amp;A" xfId="0"/>
    <cellStyle name="_LCD_LCD_1_LCD" xfId="0"/>
    <cellStyle name="_LCD_LCD_1_PJ" xfId="0"/>
    <cellStyle name="_LCD_LCD_By Region" xfId="0"/>
    <cellStyle name="_LCD_LCD_CORP SG&amp;A" xfId="0"/>
    <cellStyle name="_LCD_LCD_Digitizer" xfId="0"/>
    <cellStyle name="_LCD_LCD_GPS OTHER" xfId="0"/>
    <cellStyle name="_LCD_LCD_GPS OTHER 2" xfId="0"/>
    <cellStyle name="_LCD_LCD_GPS OTHER 3" xfId="0"/>
    <cellStyle name="_LCD_LCD_GPS OTHER 4" xfId="0"/>
    <cellStyle name="_LCD_LCD_GPS OTHER 4 2" xfId="0"/>
    <cellStyle name="_LCD_LCD_GPS OTHER_By Region" xfId="0"/>
    <cellStyle name="_LCD_LCD_GPS OTHER_CORP SG&amp;A" xfId="0"/>
    <cellStyle name="_LCD_LCD_GPS OTHER_LCD" xfId="0"/>
    <cellStyle name="_LCD_LCD_GPS OTHER_PJ" xfId="0"/>
    <cellStyle name="_LCD_LCD_LCD" xfId="0"/>
    <cellStyle name="_LCD_LCD_LCD 2" xfId="0"/>
    <cellStyle name="_LCD_LCD_LCD 3" xfId="0"/>
    <cellStyle name="_LCD_LCD_LCD 4" xfId="0"/>
    <cellStyle name="_LCD_LCD_LCD_By Region" xfId="0"/>
    <cellStyle name="_LCD_LCD_LCD_CORP SG&amp;A" xfId="0"/>
    <cellStyle name="_LCD_LCD_LCD_LCD" xfId="0"/>
    <cellStyle name="_LCD_LCD_LCD_PJ" xfId="0"/>
    <cellStyle name="_LCD_LCD_PC Products" xfId="0"/>
    <cellStyle name="_LCD_LCD_PC Products 2" xfId="0"/>
    <cellStyle name="_LCD_LCD_PC Products 3" xfId="0"/>
    <cellStyle name="_LCD_LCD_PC Products 4" xfId="0"/>
    <cellStyle name="_LCD_LCD_PC Products 4 2" xfId="0"/>
    <cellStyle name="_LCD_LCD_PC Products_By Region" xfId="0"/>
    <cellStyle name="_LCD_LCD_PC Products_CORP SG&amp;A" xfId="0"/>
    <cellStyle name="_LCD_LCD_PC Products_LCD" xfId="0"/>
    <cellStyle name="_LCD_LCD_PC Products_PJ" xfId="0"/>
    <cellStyle name="_LCD_LCD_VSA 111014" xfId="0"/>
    <cellStyle name="_LCD_LCD_VSA 111014 2" xfId="0"/>
    <cellStyle name="_LCD_LCD_VSA 111014 3" xfId="0"/>
    <cellStyle name="_LCD_LCD_VSA 111014 4" xfId="0"/>
    <cellStyle name="_LCD_LCD_VSA 111014 4 2" xfId="0"/>
    <cellStyle name="_LCD_LCD_VSA 111014_By Region" xfId="0"/>
    <cellStyle name="_LCD_LCD_VSA 111014_CORP SG&amp;A" xfId="0"/>
    <cellStyle name="_LCD_LCD_VSA 111014_LCD" xfId="0"/>
    <cellStyle name="_LCD_LCD_VSA 111014_PJ" xfId="0"/>
    <cellStyle name="_LCD_LCD_VSA Roll-Up (LW)" xfId="0"/>
    <cellStyle name="_LCD_LCD_VSA Roll-Up (LW) 2" xfId="0"/>
    <cellStyle name="_LCD_LCD_VSA Roll-Up (LW) 3" xfId="0"/>
    <cellStyle name="_LCD_LCD_VSA Roll-Up (LW) 4" xfId="0"/>
    <cellStyle name="_LCD_LCD_VSA Roll-Up (LW) 4 2" xfId="0"/>
    <cellStyle name="_LCD_LCD_VSA Roll-Up (LW)_By Region" xfId="0"/>
    <cellStyle name="_LCD_LCD_VSA Roll-Up (LW)_CORP SG&amp;A" xfId="0"/>
    <cellStyle name="_LCD_LCD_VSA Roll-Up (LW)_LCD" xfId="0"/>
    <cellStyle name="_LCD_LCD_VSA Roll-Up (LW)_PJ" xfId="0"/>
    <cellStyle name="_LCD_LCDTV" xfId="0"/>
    <cellStyle name="_LCD_LCDTV 2" xfId="0"/>
    <cellStyle name="_LCD_LCDTV 3" xfId="0"/>
    <cellStyle name="_LCD_LCDTV 4" xfId="0"/>
    <cellStyle name="_LCD_LCDTV_By Region" xfId="0"/>
    <cellStyle name="_LCD_LCDTV_CORP SG&amp;A" xfId="0"/>
    <cellStyle name="_LCD_LCDTV_Digitizer" xfId="0"/>
    <cellStyle name="_LCD_LCDTV_GPS OTHER" xfId="0"/>
    <cellStyle name="_LCD_LCDTV_GPS OTHER 2" xfId="0"/>
    <cellStyle name="_LCD_LCDTV_GPS OTHER 3" xfId="0"/>
    <cellStyle name="_LCD_LCDTV_GPS OTHER 4" xfId="0"/>
    <cellStyle name="_LCD_LCDTV_GPS OTHER 4 2" xfId="0"/>
    <cellStyle name="_LCD_LCDTV_GPS OTHER_By Region" xfId="0"/>
    <cellStyle name="_LCD_LCDTV_GPS OTHER_CORP SG&amp;A" xfId="0"/>
    <cellStyle name="_LCD_LCDTV_GPS OTHER_LCD" xfId="0"/>
    <cellStyle name="_LCD_LCDTV_GPS OTHER_PJ" xfId="0"/>
    <cellStyle name="_LCD_LCDTV_LCD" xfId="0"/>
    <cellStyle name="_LCD_LCDTV_LCD 2" xfId="0"/>
    <cellStyle name="_LCD_LCDTV_LCD 3" xfId="0"/>
    <cellStyle name="_LCD_LCDTV_LCD 4" xfId="0"/>
    <cellStyle name="_LCD_LCDTV_LCD_By Region" xfId="0"/>
    <cellStyle name="_LCD_LCDTV_LCD_CORP SG&amp;A" xfId="0"/>
    <cellStyle name="_LCD_LCDTV_LCD_LCD" xfId="0"/>
    <cellStyle name="_LCD_LCDTV_LCD_PJ" xfId="0"/>
    <cellStyle name="_LCD_LCDTV_PC Products" xfId="0"/>
    <cellStyle name="_LCD_LCDTV_PC Products 2" xfId="0"/>
    <cellStyle name="_LCD_LCDTV_PC Products 3" xfId="0"/>
    <cellStyle name="_LCD_LCDTV_PC Products 4" xfId="0"/>
    <cellStyle name="_LCD_LCDTV_PC Products 4 2" xfId="0"/>
    <cellStyle name="_LCD_LCDTV_PC Products_By Region" xfId="0"/>
    <cellStyle name="_LCD_LCDTV_PC Products_CORP SG&amp;A" xfId="0"/>
    <cellStyle name="_LCD_LCDTV_PC Products_LCD" xfId="0"/>
    <cellStyle name="_LCD_LCDTV_PC Products_PJ" xfId="0"/>
    <cellStyle name="_LCD_LCDTV_VSA 111014" xfId="0"/>
    <cellStyle name="_LCD_LCDTV_VSA 111014 2" xfId="0"/>
    <cellStyle name="_LCD_LCDTV_VSA 111014 3" xfId="0"/>
    <cellStyle name="_LCD_LCDTV_VSA 111014 4" xfId="0"/>
    <cellStyle name="_LCD_LCDTV_VSA 111014 4 2" xfId="0"/>
    <cellStyle name="_LCD_LCDTV_VSA 111014_By Region" xfId="0"/>
    <cellStyle name="_LCD_LCDTV_VSA 111014_CORP SG&amp;A" xfId="0"/>
    <cellStyle name="_LCD_LCDTV_VSA 111014_LCD" xfId="0"/>
    <cellStyle name="_LCD_LCDTV_VSA 111014_PJ" xfId="0"/>
    <cellStyle name="_LCD_LCDTV_VSA Roll-Up (LW)" xfId="0"/>
    <cellStyle name="_LCD_LCDTV_VSA Roll-Up (LW) 2" xfId="0"/>
    <cellStyle name="_LCD_LCDTV_VSA Roll-Up (LW) 3" xfId="0"/>
    <cellStyle name="_LCD_LCDTV_VSA Roll-Up (LW) 4" xfId="0"/>
    <cellStyle name="_LCD_LCDTV_VSA Roll-Up (LW) 4 2" xfId="0"/>
    <cellStyle name="_LCD_LCDTV_VSA Roll-Up (LW)_By Region" xfId="0"/>
    <cellStyle name="_LCD_LCDTV_VSA Roll-Up (LW)_CORP SG&amp;A" xfId="0"/>
    <cellStyle name="_LCD_LCDTV_VSA Roll-Up (LW)_LCD" xfId="0"/>
    <cellStyle name="_LCD_LCDTV_VSA Roll-Up (LW)_PJ" xfId="0"/>
    <cellStyle name="_LCD_lightling" xfId="0"/>
    <cellStyle name="_LCD_lightling 2" xfId="0"/>
    <cellStyle name="_LCD_lightling 3" xfId="0"/>
    <cellStyle name="_LCD_lightling_By Region" xfId="0"/>
    <cellStyle name="_LCD_MNT" xfId="0"/>
    <cellStyle name="_LCD_MNT 2" xfId="0"/>
    <cellStyle name="_LCD_MNT 3" xfId="0"/>
    <cellStyle name="_LCD_MNT 4" xfId="0"/>
    <cellStyle name="_LCD_MNT_By Region" xfId="0"/>
    <cellStyle name="_LCD_MNT_CORP SG&amp;A" xfId="0"/>
    <cellStyle name="_LCD_MNT_Digitizer" xfId="0"/>
    <cellStyle name="_LCD_MNT_GPS OTHER" xfId="0"/>
    <cellStyle name="_LCD_MNT_GPS OTHER 2" xfId="0"/>
    <cellStyle name="_LCD_MNT_GPS OTHER 3" xfId="0"/>
    <cellStyle name="_LCD_MNT_GPS OTHER 4" xfId="0"/>
    <cellStyle name="_LCD_MNT_GPS OTHER 4 2" xfId="0"/>
    <cellStyle name="_LCD_MNT_GPS OTHER_By Region" xfId="0"/>
    <cellStyle name="_LCD_MNT_GPS OTHER_CORP SG&amp;A" xfId="0"/>
    <cellStyle name="_LCD_MNT_GPS OTHER_LCD" xfId="0"/>
    <cellStyle name="_LCD_MNT_GPS OTHER_PJ" xfId="0"/>
    <cellStyle name="_LCD_MNT_LCD" xfId="0"/>
    <cellStyle name="_LCD_MNT_LCD 2" xfId="0"/>
    <cellStyle name="_LCD_MNT_LCD 3" xfId="0"/>
    <cellStyle name="_LCD_MNT_LCD 4" xfId="0"/>
    <cellStyle name="_LCD_MNT_LCD_By Region" xfId="0"/>
    <cellStyle name="_LCD_MNT_LCD_CORP SG&amp;A" xfId="0"/>
    <cellStyle name="_LCD_MNT_LCD_LCD" xfId="0"/>
    <cellStyle name="_LCD_MNT_LCD_PJ" xfId="0"/>
    <cellStyle name="_LCD_MNT_PC Products" xfId="0"/>
    <cellStyle name="_LCD_MNT_PC Products 2" xfId="0"/>
    <cellStyle name="_LCD_MNT_PC Products 3" xfId="0"/>
    <cellStyle name="_LCD_MNT_PC Products 4" xfId="0"/>
    <cellStyle name="_LCD_MNT_PC Products 4 2" xfId="0"/>
    <cellStyle name="_LCD_MNT_PC Products_By Region" xfId="0"/>
    <cellStyle name="_LCD_MNT_PC Products_CORP SG&amp;A" xfId="0"/>
    <cellStyle name="_LCD_MNT_PC Products_LCD" xfId="0"/>
    <cellStyle name="_LCD_MNT_PC Products_PJ" xfId="0"/>
    <cellStyle name="_LCD_MNT_VSA 111014" xfId="0"/>
    <cellStyle name="_LCD_MNT_VSA 111014 2" xfId="0"/>
    <cellStyle name="_LCD_MNT_VSA 111014 3" xfId="0"/>
    <cellStyle name="_LCD_MNT_VSA 111014 4" xfId="0"/>
    <cellStyle name="_LCD_MNT_VSA 111014 4 2" xfId="0"/>
    <cellStyle name="_LCD_MNT_VSA 111014_By Region" xfId="0"/>
    <cellStyle name="_LCD_MNT_VSA 111014_CORP SG&amp;A" xfId="0"/>
    <cellStyle name="_LCD_MNT_VSA 111014_LCD" xfId="0"/>
    <cellStyle name="_LCD_MNT_VSA 111014_PJ" xfId="0"/>
    <cellStyle name="_LCD_MNT_VSA Roll-Up (LW)" xfId="0"/>
    <cellStyle name="_LCD_MNT_VSA Roll-Up (LW) 2" xfId="0"/>
    <cellStyle name="_LCD_MNT_VSA Roll-Up (LW) 3" xfId="0"/>
    <cellStyle name="_LCD_MNT_VSA Roll-Up (LW) 4" xfId="0"/>
    <cellStyle name="_LCD_MNT_VSA Roll-Up (LW) 4 2" xfId="0"/>
    <cellStyle name="_LCD_MNT_VSA Roll-Up (LW)_By Region" xfId="0"/>
    <cellStyle name="_LCD_MNT_VSA Roll-Up (LW)_CORP SG&amp;A" xfId="0"/>
    <cellStyle name="_LCD_MNT_VSA Roll-Up (LW)_LCD" xfId="0"/>
    <cellStyle name="_LCD_MNT_VSA Roll-Up (LW)_PJ" xfId="0"/>
    <cellStyle name="_LCD_Other" xfId="0"/>
    <cellStyle name="_LCD_Other 2" xfId="0"/>
    <cellStyle name="_LCD_Other 3" xfId="0"/>
    <cellStyle name="_LCD_Other 4" xfId="0"/>
    <cellStyle name="_LCD_Other_By Region" xfId="0"/>
    <cellStyle name="_LCD_Other_CORP SG&amp;A" xfId="0"/>
    <cellStyle name="_LCD_Other_Digitizer" xfId="0"/>
    <cellStyle name="_LCD_Other_GPS OTHER" xfId="0"/>
    <cellStyle name="_LCD_Other_GPS OTHER 2" xfId="0"/>
    <cellStyle name="_LCD_Other_GPS OTHER 3" xfId="0"/>
    <cellStyle name="_LCD_Other_GPS OTHER 4" xfId="0"/>
    <cellStyle name="_LCD_Other_GPS OTHER 4 2" xfId="0"/>
    <cellStyle name="_LCD_Other_GPS OTHER_By Region" xfId="0"/>
    <cellStyle name="_LCD_Other_GPS OTHER_CORP SG&amp;A" xfId="0"/>
    <cellStyle name="_LCD_Other_GPS OTHER_LCD" xfId="0"/>
    <cellStyle name="_LCD_Other_GPS OTHER_PJ" xfId="0"/>
    <cellStyle name="_LCD_Other_LCD" xfId="0"/>
    <cellStyle name="_LCD_Other_LCD 2" xfId="0"/>
    <cellStyle name="_LCD_Other_LCD 3" xfId="0"/>
    <cellStyle name="_LCD_Other_LCD 4" xfId="0"/>
    <cellStyle name="_LCD_Other_LCD_By Region" xfId="0"/>
    <cellStyle name="_LCD_Other_LCD_CORP SG&amp;A" xfId="0"/>
    <cellStyle name="_LCD_Other_LCD_LCD" xfId="0"/>
    <cellStyle name="_LCD_Other_LCD_PJ" xfId="0"/>
    <cellStyle name="_LCD_Other_PC Products" xfId="0"/>
    <cellStyle name="_LCD_Other_PC Products 2" xfId="0"/>
    <cellStyle name="_LCD_Other_PC Products 3" xfId="0"/>
    <cellStyle name="_LCD_Other_PC Products 4" xfId="0"/>
    <cellStyle name="_LCD_Other_PC Products 4 2" xfId="0"/>
    <cellStyle name="_LCD_Other_PC Products_By Region" xfId="0"/>
    <cellStyle name="_LCD_Other_PC Products_CORP SG&amp;A" xfId="0"/>
    <cellStyle name="_LCD_Other_PC Products_LCD" xfId="0"/>
    <cellStyle name="_LCD_Other_PC Products_PJ" xfId="0"/>
    <cellStyle name="_LCD_Other_VSA 111014" xfId="0"/>
    <cellStyle name="_LCD_Other_VSA 111014 2" xfId="0"/>
    <cellStyle name="_LCD_Other_VSA 111014 3" xfId="0"/>
    <cellStyle name="_LCD_Other_VSA 111014 4" xfId="0"/>
    <cellStyle name="_LCD_Other_VSA 111014 4 2" xfId="0"/>
    <cellStyle name="_LCD_Other_VSA 111014_By Region" xfId="0"/>
    <cellStyle name="_LCD_Other_VSA 111014_CORP SG&amp;A" xfId="0"/>
    <cellStyle name="_LCD_Other_VSA 111014_LCD" xfId="0"/>
    <cellStyle name="_LCD_Other_VSA 111014_PJ" xfId="0"/>
    <cellStyle name="_LCD_Other_VSA Roll-Up (LW)" xfId="0"/>
    <cellStyle name="_LCD_Other_VSA Roll-Up (LW) 2" xfId="0"/>
    <cellStyle name="_LCD_Other_VSA Roll-Up (LW) 3" xfId="0"/>
    <cellStyle name="_LCD_Other_VSA Roll-Up (LW) 4" xfId="0"/>
    <cellStyle name="_LCD_Other_VSA Roll-Up (LW) 4 2" xfId="0"/>
    <cellStyle name="_LCD_Other_VSA Roll-Up (LW)_By Region" xfId="0"/>
    <cellStyle name="_LCD_Other_VSA Roll-Up (LW)_CORP SG&amp;A" xfId="0"/>
    <cellStyle name="_LCD_Other_VSA Roll-Up (LW)_LCD" xfId="0"/>
    <cellStyle name="_LCD_Other_VSA Roll-Up (LW)_PJ" xfId="0"/>
    <cellStyle name="_LCD_PC" xfId="0"/>
    <cellStyle name="_LCD_PC 2" xfId="0"/>
    <cellStyle name="_LCD_PC 3" xfId="0"/>
    <cellStyle name="_LCD_PC 4" xfId="0"/>
    <cellStyle name="_LCD_PC Products" xfId="0"/>
    <cellStyle name="_LCD_PC Products 2" xfId="0"/>
    <cellStyle name="_LCD_PC Products 3" xfId="0"/>
    <cellStyle name="_LCD_PC Products 4" xfId="0"/>
    <cellStyle name="_LCD_PC Products 4 2" xfId="0"/>
    <cellStyle name="_LCD_PC Products_By Region" xfId="0"/>
    <cellStyle name="_LCD_PC Products_CORP SG&amp;A" xfId="0"/>
    <cellStyle name="_LCD_PC Products_LCD" xfId="0"/>
    <cellStyle name="_LCD_PC Products_PJ" xfId="0"/>
    <cellStyle name="_LCD_PC_By Region" xfId="0"/>
    <cellStyle name="_LCD_PC_CORP SG&amp;A" xfId="0"/>
    <cellStyle name="_LCD_PC_Digitizer" xfId="0"/>
    <cellStyle name="_LCD_PC_DT" xfId="0"/>
    <cellStyle name="_LCD_PC_DT 2" xfId="0"/>
    <cellStyle name="_LCD_PC_DT 3" xfId="0"/>
    <cellStyle name="_LCD_PC_DT_By Region" xfId="0"/>
    <cellStyle name="_LCD_PC_GPS OTHER" xfId="0"/>
    <cellStyle name="_LCD_PC_GPS OTHER 2" xfId="0"/>
    <cellStyle name="_LCD_PC_GPS OTHER 3" xfId="0"/>
    <cellStyle name="_LCD_PC_GPS OTHER 4" xfId="0"/>
    <cellStyle name="_LCD_PC_GPS OTHER 4 2" xfId="0"/>
    <cellStyle name="_LCD_PC_GPS OTHER_By Region" xfId="0"/>
    <cellStyle name="_LCD_PC_GPS OTHER_CORP SG&amp;A" xfId="0"/>
    <cellStyle name="_LCD_PC_GPS OTHER_LCD" xfId="0"/>
    <cellStyle name="_LCD_PC_GPS OTHER_PJ" xfId="0"/>
    <cellStyle name="_LCD_PC_LCD" xfId="0"/>
    <cellStyle name="_LCD_PC_LCD 2" xfId="0"/>
    <cellStyle name="_LCD_PC_LCD 3" xfId="0"/>
    <cellStyle name="_LCD_PC_LCD 4" xfId="0"/>
    <cellStyle name="_LCD_PC_LCD_By Region" xfId="0"/>
    <cellStyle name="_LCD_PC_LCD_CORP SG&amp;A" xfId="0"/>
    <cellStyle name="_LCD_PC_LCD_LCD" xfId="0"/>
    <cellStyle name="_LCD_PC_LCD_PJ" xfId="0"/>
    <cellStyle name="_LCD_PC_PC Products" xfId="0"/>
    <cellStyle name="_LCD_PC_PC Products 2" xfId="0"/>
    <cellStyle name="_LCD_PC_PC Products 3" xfId="0"/>
    <cellStyle name="_LCD_PC_PC Products 4" xfId="0"/>
    <cellStyle name="_LCD_PC_PC Products 4 2" xfId="0"/>
    <cellStyle name="_LCD_PC_PC Products_By Region" xfId="0"/>
    <cellStyle name="_LCD_PC_PC Products_CORP SG&amp;A" xfId="0"/>
    <cellStyle name="_LCD_PC_PC Products_LCD" xfId="0"/>
    <cellStyle name="_LCD_PC_PC Products_PJ" xfId="0"/>
    <cellStyle name="_LCD_PC_TV" xfId="0"/>
    <cellStyle name="_LCD_PC_TV 2" xfId="0"/>
    <cellStyle name="_LCD_PC_TV 3" xfId="0"/>
    <cellStyle name="_LCD_PC_TV 4" xfId="0"/>
    <cellStyle name="_LCD_PC_TV_By Region" xfId="0"/>
    <cellStyle name="_LCD_PC_TV_CORP SG&amp;A" xfId="0"/>
    <cellStyle name="_LCD_PC_TV_Digitizer" xfId="0"/>
    <cellStyle name="_LCD_PC_TV_GPS OTHER" xfId="0"/>
    <cellStyle name="_LCD_PC_TV_GPS OTHER 2" xfId="0"/>
    <cellStyle name="_LCD_PC_TV_GPS OTHER 3" xfId="0"/>
    <cellStyle name="_LCD_PC_TV_GPS OTHER 4" xfId="0"/>
    <cellStyle name="_LCD_PC_TV_GPS OTHER 4 2" xfId="0"/>
    <cellStyle name="_LCD_PC_TV_GPS OTHER_By Region" xfId="0"/>
    <cellStyle name="_LCD_PC_TV_GPS OTHER_CORP SG&amp;A" xfId="0"/>
    <cellStyle name="_LCD_PC_TV_GPS OTHER_LCD" xfId="0"/>
    <cellStyle name="_LCD_PC_TV_GPS OTHER_PJ" xfId="0"/>
    <cellStyle name="_LCD_PC_TV_LCD" xfId="0"/>
    <cellStyle name="_LCD_PC_TV_LCD 2" xfId="0"/>
    <cellStyle name="_LCD_PC_TV_LCD 3" xfId="0"/>
    <cellStyle name="_LCD_PC_TV_LCD 4" xfId="0"/>
    <cellStyle name="_LCD_PC_TV_LCD_By Region" xfId="0"/>
    <cellStyle name="_LCD_PC_TV_LCD_CORP SG&amp;A" xfId="0"/>
    <cellStyle name="_LCD_PC_TV_LCD_LCD" xfId="0"/>
    <cellStyle name="_LCD_PC_TV_LCD_PJ" xfId="0"/>
    <cellStyle name="_LCD_PC_TV_PC Products" xfId="0"/>
    <cellStyle name="_LCD_PC_TV_PC Products 2" xfId="0"/>
    <cellStyle name="_LCD_PC_TV_PC Products 3" xfId="0"/>
    <cellStyle name="_LCD_PC_TV_PC Products 4" xfId="0"/>
    <cellStyle name="_LCD_PC_TV_PC Products 4 2" xfId="0"/>
    <cellStyle name="_LCD_PC_TV_PC Products_By Region" xfId="0"/>
    <cellStyle name="_LCD_PC_TV_PC Products_CORP SG&amp;A" xfId="0"/>
    <cellStyle name="_LCD_PC_TV_PC Products_LCD" xfId="0"/>
    <cellStyle name="_LCD_PC_TV_PC Products_PJ" xfId="0"/>
    <cellStyle name="_LCD_PC_TV_VSA 111014" xfId="0"/>
    <cellStyle name="_LCD_PC_TV_VSA 111014 2" xfId="0"/>
    <cellStyle name="_LCD_PC_TV_VSA 111014 3" xfId="0"/>
    <cellStyle name="_LCD_PC_TV_VSA 111014 4" xfId="0"/>
    <cellStyle name="_LCD_PC_TV_VSA 111014 4 2" xfId="0"/>
    <cellStyle name="_LCD_PC_TV_VSA 111014_By Region" xfId="0"/>
    <cellStyle name="_LCD_PC_TV_VSA 111014_CORP SG&amp;A" xfId="0"/>
    <cellStyle name="_LCD_PC_TV_VSA 111014_LCD" xfId="0"/>
    <cellStyle name="_LCD_PC_TV_VSA 111014_PJ" xfId="0"/>
    <cellStyle name="_LCD_PC_TV_VSA Roll-Up (LW)" xfId="0"/>
    <cellStyle name="_LCD_PC_TV_VSA Roll-Up (LW) 2" xfId="0"/>
    <cellStyle name="_LCD_PC_TV_VSA Roll-Up (LW) 3" xfId="0"/>
    <cellStyle name="_LCD_PC_TV_VSA Roll-Up (LW) 4" xfId="0"/>
    <cellStyle name="_LCD_PC_TV_VSA Roll-Up (LW) 4 2" xfId="0"/>
    <cellStyle name="_LCD_PC_TV_VSA Roll-Up (LW)_By Region" xfId="0"/>
    <cellStyle name="_LCD_PC_TV_VSA Roll-Up (LW)_CORP SG&amp;A" xfId="0"/>
    <cellStyle name="_LCD_PC_TV_VSA Roll-Up (LW)_LCD" xfId="0"/>
    <cellStyle name="_LCD_PC_TV_VSA Roll-Up (LW)_PJ" xfId="0"/>
    <cellStyle name="_LCD_PC_VSA 111014" xfId="0"/>
    <cellStyle name="_LCD_PC_VSA 111014 2" xfId="0"/>
    <cellStyle name="_LCD_PC_VSA 111014 3" xfId="0"/>
    <cellStyle name="_LCD_PC_VSA 111014 4" xfId="0"/>
    <cellStyle name="_LCD_PC_VSA 111014 4 2" xfId="0"/>
    <cellStyle name="_LCD_PC_VSA 111014_By Region" xfId="0"/>
    <cellStyle name="_LCD_PC_VSA 111014_CORP SG&amp;A" xfId="0"/>
    <cellStyle name="_LCD_PC_VSA 111014_LCD" xfId="0"/>
    <cellStyle name="_LCD_PC_VSA 111014_PJ" xfId="0"/>
    <cellStyle name="_LCD_PC_VSA Roll-Up (LW)" xfId="0"/>
    <cellStyle name="_LCD_PC_VSA Roll-Up (LW) 2" xfId="0"/>
    <cellStyle name="_LCD_PC_VSA Roll-Up (LW) 3" xfId="0"/>
    <cellStyle name="_LCD_PC_VSA Roll-Up (LW) 4" xfId="0"/>
    <cellStyle name="_LCD_PC_VSA Roll-Up (LW) 4 2" xfId="0"/>
    <cellStyle name="_LCD_PC_VSA Roll-Up (LW)_By Region" xfId="0"/>
    <cellStyle name="_LCD_PC_VSA Roll-Up (LW)_CORP SG&amp;A" xfId="0"/>
    <cellStyle name="_LCD_PC_VSA Roll-Up (LW)_LCD" xfId="0"/>
    <cellStyle name="_LCD_PC_VSA Roll-Up (LW)_PJ" xfId="0"/>
    <cellStyle name="_LCD_PJ" xfId="0"/>
    <cellStyle name="_LCD_PJ 2" xfId="0"/>
    <cellStyle name="_LCD_PJ 3" xfId="0"/>
    <cellStyle name="_LCD_PJ 4" xfId="0"/>
    <cellStyle name="_LCD_PJ_By Region" xfId="0"/>
    <cellStyle name="_LCD_PJ_CORP SG&amp;A" xfId="0"/>
    <cellStyle name="_LCD_PJ_Digitizer" xfId="0"/>
    <cellStyle name="_LCD_PJ_GPS OTHER" xfId="0"/>
    <cellStyle name="_LCD_PJ_GPS OTHER 2" xfId="0"/>
    <cellStyle name="_LCD_PJ_GPS OTHER 3" xfId="0"/>
    <cellStyle name="_LCD_PJ_GPS OTHER 4" xfId="0"/>
    <cellStyle name="_LCD_PJ_GPS OTHER 4 2" xfId="0"/>
    <cellStyle name="_LCD_PJ_GPS OTHER_By Region" xfId="0"/>
    <cellStyle name="_LCD_PJ_GPS OTHER_CORP SG&amp;A" xfId="0"/>
    <cellStyle name="_LCD_PJ_GPS OTHER_LCD" xfId="0"/>
    <cellStyle name="_LCD_PJ_GPS OTHER_PJ" xfId="0"/>
    <cellStyle name="_LCD_PJ_LCD" xfId="0"/>
    <cellStyle name="_LCD_PJ_LCD 2" xfId="0"/>
    <cellStyle name="_LCD_PJ_LCD 3" xfId="0"/>
    <cellStyle name="_LCD_PJ_LCD 4" xfId="0"/>
    <cellStyle name="_LCD_PJ_LCD_By Region" xfId="0"/>
    <cellStyle name="_LCD_PJ_LCD_CORP SG&amp;A" xfId="0"/>
    <cellStyle name="_LCD_PJ_LCD_LCD" xfId="0"/>
    <cellStyle name="_LCD_PJ_LCD_PJ" xfId="0"/>
    <cellStyle name="_LCD_PJ_PC Products" xfId="0"/>
    <cellStyle name="_LCD_PJ_PC Products 2" xfId="0"/>
    <cellStyle name="_LCD_PJ_PC Products 3" xfId="0"/>
    <cellStyle name="_LCD_PJ_PC Products 4" xfId="0"/>
    <cellStyle name="_LCD_PJ_PC Products 4 2" xfId="0"/>
    <cellStyle name="_LCD_PJ_PC Products_By Region" xfId="0"/>
    <cellStyle name="_LCD_PJ_PC Products_CORP SG&amp;A" xfId="0"/>
    <cellStyle name="_LCD_PJ_PC Products_LCD" xfId="0"/>
    <cellStyle name="_LCD_PJ_PC Products_PJ" xfId="0"/>
    <cellStyle name="_LCD_PJ_VSA 111014" xfId="0"/>
    <cellStyle name="_LCD_PJ_VSA 111014 2" xfId="0"/>
    <cellStyle name="_LCD_PJ_VSA 111014 3" xfId="0"/>
    <cellStyle name="_LCD_PJ_VSA 111014 4" xfId="0"/>
    <cellStyle name="_LCD_PJ_VSA 111014 4 2" xfId="0"/>
    <cellStyle name="_LCD_PJ_VSA 111014_By Region" xfId="0"/>
    <cellStyle name="_LCD_PJ_VSA 111014_CORP SG&amp;A" xfId="0"/>
    <cellStyle name="_LCD_PJ_VSA 111014_LCD" xfId="0"/>
    <cellStyle name="_LCD_PJ_VSA 111014_PJ" xfId="0"/>
    <cellStyle name="_LCD_PJ_VSA Roll-Up (LW)" xfId="0"/>
    <cellStyle name="_LCD_PJ_VSA Roll-Up (LW) 2" xfId="0"/>
    <cellStyle name="_LCD_PJ_VSA Roll-Up (LW) 3" xfId="0"/>
    <cellStyle name="_LCD_PJ_VSA Roll-Up (LW) 4" xfId="0"/>
    <cellStyle name="_LCD_PJ_VSA Roll-Up (LW) 4 2" xfId="0"/>
    <cellStyle name="_LCD_PJ_VSA Roll-Up (LW)_By Region" xfId="0"/>
    <cellStyle name="_LCD_PJ_VSA Roll-Up (LW)_CORP SG&amp;A" xfId="0"/>
    <cellStyle name="_LCD_PJ_VSA Roll-Up (LW)_LCD" xfId="0"/>
    <cellStyle name="_LCD_PJ_VSA Roll-Up (LW)_PJ" xfId="0"/>
    <cellStyle name="_LCD_PMP(VPD)" xfId="0"/>
    <cellStyle name="_LCD_PMP(VPD) 2" xfId="0"/>
    <cellStyle name="_LCD_PMP(VPD) 3" xfId="0"/>
    <cellStyle name="_LCD_PMP(VPD) 4" xfId="0"/>
    <cellStyle name="_LCD_PMP(VPD)_By Region" xfId="0"/>
    <cellStyle name="_LCD_PMP(VPD)_CORP SG&amp;A" xfId="0"/>
    <cellStyle name="_LCD_PMP(VPD)_Digitizer" xfId="0"/>
    <cellStyle name="_LCD_PMP(VPD)_GPS OTHER" xfId="0"/>
    <cellStyle name="_LCD_PMP(VPD)_GPS OTHER 2" xfId="0"/>
    <cellStyle name="_LCD_PMP(VPD)_GPS OTHER 3" xfId="0"/>
    <cellStyle name="_LCD_PMP(VPD)_GPS OTHER 4" xfId="0"/>
    <cellStyle name="_LCD_PMP(VPD)_GPS OTHER 4 2" xfId="0"/>
    <cellStyle name="_LCD_PMP(VPD)_GPS OTHER_By Region" xfId="0"/>
    <cellStyle name="_LCD_PMP(VPD)_GPS OTHER_CORP SG&amp;A" xfId="0"/>
    <cellStyle name="_LCD_PMP(VPD)_GPS OTHER_LCD" xfId="0"/>
    <cellStyle name="_LCD_PMP(VPD)_GPS OTHER_PJ" xfId="0"/>
    <cellStyle name="_LCD_PMP(VPD)_LCD" xfId="0"/>
    <cellStyle name="_LCD_PMP(VPD)_LCD 2" xfId="0"/>
    <cellStyle name="_LCD_PMP(VPD)_LCD 3" xfId="0"/>
    <cellStyle name="_LCD_PMP(VPD)_LCD 4" xfId="0"/>
    <cellStyle name="_LCD_PMP(VPD)_LCD_By Region" xfId="0"/>
    <cellStyle name="_LCD_PMP(VPD)_LCD_CORP SG&amp;A" xfId="0"/>
    <cellStyle name="_LCD_PMP(VPD)_LCD_LCD" xfId="0"/>
    <cellStyle name="_LCD_PMP(VPD)_LCD_PJ" xfId="0"/>
    <cellStyle name="_LCD_PMP(VPD)_PC Products" xfId="0"/>
    <cellStyle name="_LCD_PMP(VPD)_PC Products 2" xfId="0"/>
    <cellStyle name="_LCD_PMP(VPD)_PC Products 3" xfId="0"/>
    <cellStyle name="_LCD_PMP(VPD)_PC Products 4" xfId="0"/>
    <cellStyle name="_LCD_PMP(VPD)_PC Products 4 2" xfId="0"/>
    <cellStyle name="_LCD_PMP(VPD)_PC Products_By Region" xfId="0"/>
    <cellStyle name="_LCD_PMP(VPD)_PC Products_CORP SG&amp;A" xfId="0"/>
    <cellStyle name="_LCD_PMP(VPD)_PC Products_LCD" xfId="0"/>
    <cellStyle name="_LCD_PMP(VPD)_PC Products_PJ" xfId="0"/>
    <cellStyle name="_LCD_PMP(VPD)_VSA 111014" xfId="0"/>
    <cellStyle name="_LCD_PMP(VPD)_VSA 111014 2" xfId="0"/>
    <cellStyle name="_LCD_PMP(VPD)_VSA 111014 3" xfId="0"/>
    <cellStyle name="_LCD_PMP(VPD)_VSA 111014 4" xfId="0"/>
    <cellStyle name="_LCD_PMP(VPD)_VSA 111014 4 2" xfId="0"/>
    <cellStyle name="_LCD_PMP(VPD)_VSA 111014_By Region" xfId="0"/>
    <cellStyle name="_LCD_PMP(VPD)_VSA 111014_CORP SG&amp;A" xfId="0"/>
    <cellStyle name="_LCD_PMP(VPD)_VSA 111014_LCD" xfId="0"/>
    <cellStyle name="_LCD_PMP(VPD)_VSA 111014_PJ" xfId="0"/>
    <cellStyle name="_LCD_PMP(VPD)_VSA Roll-Up (LW)" xfId="0"/>
    <cellStyle name="_LCD_PMP(VPD)_VSA Roll-Up (LW) 2" xfId="0"/>
    <cellStyle name="_LCD_PMP(VPD)_VSA Roll-Up (LW) 3" xfId="0"/>
    <cellStyle name="_LCD_PMP(VPD)_VSA Roll-Up (LW) 4" xfId="0"/>
    <cellStyle name="_LCD_PMP(VPD)_VSA Roll-Up (LW) 4 2" xfId="0"/>
    <cellStyle name="_LCD_PMP(VPD)_VSA Roll-Up (LW)_By Region" xfId="0"/>
    <cellStyle name="_LCD_PMP(VPD)_VSA Roll-Up (LW)_CORP SG&amp;A" xfId="0"/>
    <cellStyle name="_LCD_PMP(VPD)_VSA Roll-Up (LW)_LCD" xfId="0"/>
    <cellStyle name="_LCD_PMP(VPD)_VSA Roll-Up (LW)_PJ" xfId="0"/>
    <cellStyle name="_LCD_Pocket TV" xfId="0"/>
    <cellStyle name="_LCD_Pocket TV 2" xfId="0"/>
    <cellStyle name="_LCD_Pocket TV 3" xfId="0"/>
    <cellStyle name="_LCD_Pocket TV 4" xfId="0"/>
    <cellStyle name="_LCD_Pocket TV_By Region" xfId="0"/>
    <cellStyle name="_LCD_Pocket TV_CORP SG&amp;A" xfId="0"/>
    <cellStyle name="_LCD_Pocket TV_Digitizer" xfId="0"/>
    <cellStyle name="_LCD_Pocket TV_GPS OTHER" xfId="0"/>
    <cellStyle name="_LCD_Pocket TV_GPS OTHER 2" xfId="0"/>
    <cellStyle name="_LCD_Pocket TV_GPS OTHER 3" xfId="0"/>
    <cellStyle name="_LCD_Pocket TV_GPS OTHER 4" xfId="0"/>
    <cellStyle name="_LCD_Pocket TV_GPS OTHER 4 2" xfId="0"/>
    <cellStyle name="_LCD_Pocket TV_GPS OTHER_By Region" xfId="0"/>
    <cellStyle name="_LCD_Pocket TV_GPS OTHER_CORP SG&amp;A" xfId="0"/>
    <cellStyle name="_LCD_Pocket TV_GPS OTHER_LCD" xfId="0"/>
    <cellStyle name="_LCD_Pocket TV_GPS OTHER_PJ" xfId="0"/>
    <cellStyle name="_LCD_Pocket TV_LCD" xfId="0"/>
    <cellStyle name="_LCD_Pocket TV_LCD 2" xfId="0"/>
    <cellStyle name="_LCD_Pocket TV_LCD 3" xfId="0"/>
    <cellStyle name="_LCD_Pocket TV_LCD 4" xfId="0"/>
    <cellStyle name="_LCD_Pocket TV_LCD_By Region" xfId="0"/>
    <cellStyle name="_LCD_Pocket TV_LCD_CORP SG&amp;A" xfId="0"/>
    <cellStyle name="_LCD_Pocket TV_LCD_LCD" xfId="0"/>
    <cellStyle name="_LCD_Pocket TV_LCD_PJ" xfId="0"/>
    <cellStyle name="_LCD_Pocket TV_PC Products" xfId="0"/>
    <cellStyle name="_LCD_Pocket TV_PC Products 2" xfId="0"/>
    <cellStyle name="_LCD_Pocket TV_PC Products 3" xfId="0"/>
    <cellStyle name="_LCD_Pocket TV_PC Products 4" xfId="0"/>
    <cellStyle name="_LCD_Pocket TV_PC Products 4 2" xfId="0"/>
    <cellStyle name="_LCD_Pocket TV_PC Products_By Region" xfId="0"/>
    <cellStyle name="_LCD_Pocket TV_PC Products_CORP SG&amp;A" xfId="0"/>
    <cellStyle name="_LCD_Pocket TV_PC Products_LCD" xfId="0"/>
    <cellStyle name="_LCD_Pocket TV_PC Products_PJ" xfId="0"/>
    <cellStyle name="_LCD_Pocket TV_VSA 111014" xfId="0"/>
    <cellStyle name="_LCD_Pocket TV_VSA 111014 2" xfId="0"/>
    <cellStyle name="_LCD_Pocket TV_VSA 111014 3" xfId="0"/>
    <cellStyle name="_LCD_Pocket TV_VSA 111014 4" xfId="0"/>
    <cellStyle name="_LCD_Pocket TV_VSA 111014 4 2" xfId="0"/>
    <cellStyle name="_LCD_Pocket TV_VSA 111014_By Region" xfId="0"/>
    <cellStyle name="_LCD_Pocket TV_VSA 111014_CORP SG&amp;A" xfId="0"/>
    <cellStyle name="_LCD_Pocket TV_VSA 111014_LCD" xfId="0"/>
    <cellStyle name="_LCD_Pocket TV_VSA 111014_PJ" xfId="0"/>
    <cellStyle name="_LCD_Pocket TV_VSA Roll-Up (LW)" xfId="0"/>
    <cellStyle name="_LCD_Pocket TV_VSA Roll-Up (LW) 2" xfId="0"/>
    <cellStyle name="_LCD_Pocket TV_VSA Roll-Up (LW) 3" xfId="0"/>
    <cellStyle name="_LCD_Pocket TV_VSA Roll-Up (LW) 4" xfId="0"/>
    <cellStyle name="_LCD_Pocket TV_VSA Roll-Up (LW) 4 2" xfId="0"/>
    <cellStyle name="_LCD_Pocket TV_VSA Roll-Up (LW)_By Region" xfId="0"/>
    <cellStyle name="_LCD_Pocket TV_VSA Roll-Up (LW)_CORP SG&amp;A" xfId="0"/>
    <cellStyle name="_LCD_Pocket TV_VSA Roll-Up (LW)_LCD" xfId="0"/>
    <cellStyle name="_LCD_Pocket TV_VSA Roll-Up (LW)_PJ" xfId="0"/>
    <cellStyle name="_LCD_Pocket_TV" xfId="0"/>
    <cellStyle name="_LCD_Pocket_TV 2" xfId="0"/>
    <cellStyle name="_LCD_Pocket_TV 3" xfId="0"/>
    <cellStyle name="_LCD_Pocket_TV 4" xfId="0"/>
    <cellStyle name="_LCD_Pocket_TV_By Region" xfId="0"/>
    <cellStyle name="_LCD_Pocket_TV_CORP SG&amp;A" xfId="0"/>
    <cellStyle name="_LCD_Pocket_TV_Digitizer" xfId="0"/>
    <cellStyle name="_LCD_Pocket_TV_GPS OTHER" xfId="0"/>
    <cellStyle name="_LCD_Pocket_TV_GPS OTHER 2" xfId="0"/>
    <cellStyle name="_LCD_Pocket_TV_GPS OTHER 3" xfId="0"/>
    <cellStyle name="_LCD_Pocket_TV_GPS OTHER 4" xfId="0"/>
    <cellStyle name="_LCD_Pocket_TV_GPS OTHER 4 2" xfId="0"/>
    <cellStyle name="_LCD_Pocket_TV_GPS OTHER_By Region" xfId="0"/>
    <cellStyle name="_LCD_Pocket_TV_GPS OTHER_CORP SG&amp;A" xfId="0"/>
    <cellStyle name="_LCD_Pocket_TV_GPS OTHER_LCD" xfId="0"/>
    <cellStyle name="_LCD_Pocket_TV_GPS OTHER_PJ" xfId="0"/>
    <cellStyle name="_LCD_Pocket_TV_LCD" xfId="0"/>
    <cellStyle name="_LCD_Pocket_TV_LCD 2" xfId="0"/>
    <cellStyle name="_LCD_Pocket_TV_LCD 3" xfId="0"/>
    <cellStyle name="_LCD_Pocket_TV_LCD 4" xfId="0"/>
    <cellStyle name="_LCD_Pocket_TV_LCD_By Region" xfId="0"/>
    <cellStyle name="_LCD_Pocket_TV_LCD_CORP SG&amp;A" xfId="0"/>
    <cellStyle name="_LCD_Pocket_TV_LCD_LCD" xfId="0"/>
    <cellStyle name="_LCD_Pocket_TV_LCD_PJ" xfId="0"/>
    <cellStyle name="_LCD_Pocket_TV_PC Products" xfId="0"/>
    <cellStyle name="_LCD_Pocket_TV_PC Products 2" xfId="0"/>
    <cellStyle name="_LCD_Pocket_TV_PC Products 3" xfId="0"/>
    <cellStyle name="_LCD_Pocket_TV_PC Products 4" xfId="0"/>
    <cellStyle name="_LCD_Pocket_TV_PC Products 4 2" xfId="0"/>
    <cellStyle name="_LCD_Pocket_TV_PC Products_By Region" xfId="0"/>
    <cellStyle name="_LCD_Pocket_TV_PC Products_CORP SG&amp;A" xfId="0"/>
    <cellStyle name="_LCD_Pocket_TV_PC Products_LCD" xfId="0"/>
    <cellStyle name="_LCD_Pocket_TV_PC Products_PJ" xfId="0"/>
    <cellStyle name="_LCD_Pocket_TV_VSA 111014" xfId="0"/>
    <cellStyle name="_LCD_Pocket_TV_VSA 111014 2" xfId="0"/>
    <cellStyle name="_LCD_Pocket_TV_VSA 111014 3" xfId="0"/>
    <cellStyle name="_LCD_Pocket_TV_VSA 111014 4" xfId="0"/>
    <cellStyle name="_LCD_Pocket_TV_VSA 111014 4 2" xfId="0"/>
    <cellStyle name="_LCD_Pocket_TV_VSA 111014_By Region" xfId="0"/>
    <cellStyle name="_LCD_Pocket_TV_VSA 111014_CORP SG&amp;A" xfId="0"/>
    <cellStyle name="_LCD_Pocket_TV_VSA 111014_LCD" xfId="0"/>
    <cellStyle name="_LCD_Pocket_TV_VSA 111014_PJ" xfId="0"/>
    <cellStyle name="_LCD_Pocket_TV_VSA Roll-Up (LW)" xfId="0"/>
    <cellStyle name="_LCD_Pocket_TV_VSA Roll-Up (LW) 2" xfId="0"/>
    <cellStyle name="_LCD_Pocket_TV_VSA Roll-Up (LW) 3" xfId="0"/>
    <cellStyle name="_LCD_Pocket_TV_VSA Roll-Up (LW) 4" xfId="0"/>
    <cellStyle name="_LCD_Pocket_TV_VSA Roll-Up (LW) 4 2" xfId="0"/>
    <cellStyle name="_LCD_Pocket_TV_VSA Roll-Up (LW)_By Region" xfId="0"/>
    <cellStyle name="_LCD_Pocket_TV_VSA Roll-Up (LW)_CORP SG&amp;A" xfId="0"/>
    <cellStyle name="_LCD_Pocket_TV_VSA Roll-Up (LW)_LCD" xfId="0"/>
    <cellStyle name="_LCD_Pocket_TV_VSA Roll-Up (LW)_PJ" xfId="0"/>
    <cellStyle name="_LCD_TV" xfId="0"/>
    <cellStyle name="_LCD_TV 2" xfId="0"/>
    <cellStyle name="_LCD_TV 3" xfId="0"/>
    <cellStyle name="_LCD_TV 4" xfId="0"/>
    <cellStyle name="_LCD_TV_By Region" xfId="0"/>
    <cellStyle name="_LCD_TV_CORP SG&amp;A" xfId="0"/>
    <cellStyle name="_LCD_TV_Digitizer" xfId="0"/>
    <cellStyle name="_LCD_TV_GPS OTHER" xfId="0"/>
    <cellStyle name="_LCD_TV_GPS OTHER 2" xfId="0"/>
    <cellStyle name="_LCD_TV_GPS OTHER 3" xfId="0"/>
    <cellStyle name="_LCD_TV_GPS OTHER 4" xfId="0"/>
    <cellStyle name="_LCD_TV_GPS OTHER 4 2" xfId="0"/>
    <cellStyle name="_LCD_TV_GPS OTHER_By Region" xfId="0"/>
    <cellStyle name="_LCD_TV_GPS OTHER_CORP SG&amp;A" xfId="0"/>
    <cellStyle name="_LCD_TV_GPS OTHER_LCD" xfId="0"/>
    <cellStyle name="_LCD_TV_GPS OTHER_PJ" xfId="0"/>
    <cellStyle name="_LCD_TV_LCD" xfId="0"/>
    <cellStyle name="_LCD_TV_LCD 2" xfId="0"/>
    <cellStyle name="_LCD_TV_LCD 3" xfId="0"/>
    <cellStyle name="_LCD_TV_LCD 4" xfId="0"/>
    <cellStyle name="_LCD_TV_LCD_By Region" xfId="0"/>
    <cellStyle name="_LCD_TV_LCD_CORP SG&amp;A" xfId="0"/>
    <cellStyle name="_LCD_TV_LCD_LCD" xfId="0"/>
    <cellStyle name="_LCD_TV_LCD_PJ" xfId="0"/>
    <cellStyle name="_LCD_TV_PC Products" xfId="0"/>
    <cellStyle name="_LCD_TV_PC Products 2" xfId="0"/>
    <cellStyle name="_LCD_TV_PC Products 3" xfId="0"/>
    <cellStyle name="_LCD_TV_PC Products 4" xfId="0"/>
    <cellStyle name="_LCD_TV_PC Products 4 2" xfId="0"/>
    <cellStyle name="_LCD_TV_PC Products_By Region" xfId="0"/>
    <cellStyle name="_LCD_TV_PC Products_CORP SG&amp;A" xfId="0"/>
    <cellStyle name="_LCD_TV_PC Products_LCD" xfId="0"/>
    <cellStyle name="_LCD_TV_PC Products_PJ" xfId="0"/>
    <cellStyle name="_LCD_TV_VSA 111014" xfId="0"/>
    <cellStyle name="_LCD_TV_VSA 111014 2" xfId="0"/>
    <cellStyle name="_LCD_TV_VSA 111014 3" xfId="0"/>
    <cellStyle name="_LCD_TV_VSA 111014 4" xfId="0"/>
    <cellStyle name="_LCD_TV_VSA 111014 4 2" xfId="0"/>
    <cellStyle name="_LCD_TV_VSA 111014_By Region" xfId="0"/>
    <cellStyle name="_LCD_TV_VSA 111014_CORP SG&amp;A" xfId="0"/>
    <cellStyle name="_LCD_TV_VSA 111014_LCD" xfId="0"/>
    <cellStyle name="_LCD_TV_VSA 111014_PJ" xfId="0"/>
    <cellStyle name="_LCD_TV_VSA Roll-Up (LW)" xfId="0"/>
    <cellStyle name="_LCD_TV_VSA Roll-Up (LW) 2" xfId="0"/>
    <cellStyle name="_LCD_TV_VSA Roll-Up (LW) 3" xfId="0"/>
    <cellStyle name="_LCD_TV_VSA Roll-Up (LW) 4" xfId="0"/>
    <cellStyle name="_LCD_TV_VSA Roll-Up (LW) 4 2" xfId="0"/>
    <cellStyle name="_LCD_TV_VSA Roll-Up (LW)_By Region" xfId="0"/>
    <cellStyle name="_LCD_TV_VSA Roll-Up (LW)_CORP SG&amp;A" xfId="0"/>
    <cellStyle name="_LCD_TV_VSA Roll-Up (LW)_LCD" xfId="0"/>
    <cellStyle name="_LCD_TV_VSA Roll-Up (LW)_PJ" xfId="0"/>
    <cellStyle name="_LCD_VD" xfId="0"/>
    <cellStyle name="_LCD_VD 2" xfId="0"/>
    <cellStyle name="_LCD_VD 3" xfId="0"/>
    <cellStyle name="_LCD_VD 4" xfId="0"/>
    <cellStyle name="_LCD_VD_By Region" xfId="0"/>
    <cellStyle name="_LCD_VD_CORP SG&amp;A" xfId="0"/>
    <cellStyle name="_LCD_VD_Digitizer" xfId="0"/>
    <cellStyle name="_LCD_VD_GPS OTHER" xfId="0"/>
    <cellStyle name="_LCD_VD_GPS OTHER 2" xfId="0"/>
    <cellStyle name="_LCD_VD_GPS OTHER 3" xfId="0"/>
    <cellStyle name="_LCD_VD_GPS OTHER 4" xfId="0"/>
    <cellStyle name="_LCD_VD_GPS OTHER 4 2" xfId="0"/>
    <cellStyle name="_LCD_VD_GPS OTHER_By Region" xfId="0"/>
    <cellStyle name="_LCD_VD_GPS OTHER_CORP SG&amp;A" xfId="0"/>
    <cellStyle name="_LCD_VD_GPS OTHER_LCD" xfId="0"/>
    <cellStyle name="_LCD_VD_GPS OTHER_PJ" xfId="0"/>
    <cellStyle name="_LCD_VD_LCD" xfId="0"/>
    <cellStyle name="_LCD_VD_LCD 2" xfId="0"/>
    <cellStyle name="_LCD_VD_LCD 3" xfId="0"/>
    <cellStyle name="_LCD_VD_LCD 4" xfId="0"/>
    <cellStyle name="_LCD_VD_LCD_By Region" xfId="0"/>
    <cellStyle name="_LCD_VD_LCD_CORP SG&amp;A" xfId="0"/>
    <cellStyle name="_LCD_VD_LCD_LCD" xfId="0"/>
    <cellStyle name="_LCD_VD_LCD_PJ" xfId="0"/>
    <cellStyle name="_LCD_VD_PC Products" xfId="0"/>
    <cellStyle name="_LCD_VD_PC Products 2" xfId="0"/>
    <cellStyle name="_LCD_VD_PC Products 3" xfId="0"/>
    <cellStyle name="_LCD_VD_PC Products 4" xfId="0"/>
    <cellStyle name="_LCD_VD_PC Products 4 2" xfId="0"/>
    <cellStyle name="_LCD_VD_PC Products_By Region" xfId="0"/>
    <cellStyle name="_LCD_VD_PC Products_CORP SG&amp;A" xfId="0"/>
    <cellStyle name="_LCD_VD_PC Products_LCD" xfId="0"/>
    <cellStyle name="_LCD_VD_PC Products_PJ" xfId="0"/>
    <cellStyle name="_LCD_VD_VSA 111014" xfId="0"/>
    <cellStyle name="_LCD_VD_VSA 111014 2" xfId="0"/>
    <cellStyle name="_LCD_VD_VSA 111014 3" xfId="0"/>
    <cellStyle name="_LCD_VD_VSA 111014 4" xfId="0"/>
    <cellStyle name="_LCD_VD_VSA 111014 4 2" xfId="0"/>
    <cellStyle name="_LCD_VD_VSA 111014_By Region" xfId="0"/>
    <cellStyle name="_LCD_VD_VSA 111014_CORP SG&amp;A" xfId="0"/>
    <cellStyle name="_LCD_VD_VSA 111014_LCD" xfId="0"/>
    <cellStyle name="_LCD_VD_VSA 111014_PJ" xfId="0"/>
    <cellStyle name="_LCD_VD_VSA Roll-Up (LW)" xfId="0"/>
    <cellStyle name="_LCD_VD_VSA Roll-Up (LW) 2" xfId="0"/>
    <cellStyle name="_LCD_VD_VSA Roll-Up (LW) 3" xfId="0"/>
    <cellStyle name="_LCD_VD_VSA Roll-Up (LW) 4" xfId="0"/>
    <cellStyle name="_LCD_VD_VSA Roll-Up (LW) 4 2" xfId="0"/>
    <cellStyle name="_LCD_VD_VSA Roll-Up (LW)_By Region" xfId="0"/>
    <cellStyle name="_LCD_VD_VSA Roll-Up (LW)_CORP SG&amp;A" xfId="0"/>
    <cellStyle name="_LCD_VD_VSA Roll-Up (LW)_LCD" xfId="0"/>
    <cellStyle name="_LCD_VD_VSA Roll-Up (LW)_PJ" xfId="0"/>
    <cellStyle name="_LCD_VSA 111014" xfId="0"/>
    <cellStyle name="_LCD_VSA 111014 2" xfId="0"/>
    <cellStyle name="_LCD_VSA 111014 3" xfId="0"/>
    <cellStyle name="_LCD_VSA 111014 4" xfId="0"/>
    <cellStyle name="_LCD_VSA 111014 4 2" xfId="0"/>
    <cellStyle name="_LCD_VSA 111014_By Region" xfId="0"/>
    <cellStyle name="_LCD_VSA 111014_CORP SG&amp;A" xfId="0"/>
    <cellStyle name="_LCD_VSA 111014_LCD" xfId="0"/>
    <cellStyle name="_LCD_VSA 111014_PJ" xfId="0"/>
    <cellStyle name="_LCD_VSA Roll-Up (LW)" xfId="0"/>
    <cellStyle name="_LCD_VSA Roll-Up (LW) 2" xfId="0"/>
    <cellStyle name="_LCD_VSA Roll-Up (LW) 3" xfId="0"/>
    <cellStyle name="_LCD_VSA Roll-Up (LW) 4" xfId="0"/>
    <cellStyle name="_LCD_VSA Roll-Up (LW) 4 2" xfId="0"/>
    <cellStyle name="_LCD_VSA Roll-Up (LW)_By Region" xfId="0"/>
    <cellStyle name="_LCD_VSA Roll-Up (LW)_CORP SG&amp;A" xfId="0"/>
    <cellStyle name="_LCD_VSA Roll-Up (LW)_LCD" xfId="0"/>
    <cellStyle name="_LCD_VSA Roll-Up (LW)_PJ" xfId="0"/>
    <cellStyle name="_LCD_VSE 2011 Budget" xfId="0"/>
    <cellStyle name="_LCD_VSE 2011 Budget 2" xfId="0"/>
    <cellStyle name="_LCD_VSE 2011 Budget 3" xfId="0"/>
    <cellStyle name="_LCD_VSE 2011 Budget 4" xfId="0"/>
    <cellStyle name="_LCD_VSE 2011 Budget_By Region" xfId="0"/>
    <cellStyle name="_LCD_VSE 2011 Budget_CORP SG&amp;A" xfId="0"/>
    <cellStyle name="_LCD_VSE 2011 Budget_Digitizer" xfId="0"/>
    <cellStyle name="_LCD_VSE 2011 Budget_GPS OTHER" xfId="0"/>
    <cellStyle name="_LCD_VSE 2011 Budget_GPS OTHER 2" xfId="0"/>
    <cellStyle name="_LCD_VSE 2011 Budget_GPS OTHER 3" xfId="0"/>
    <cellStyle name="_LCD_VSE 2011 Budget_GPS OTHER 4" xfId="0"/>
    <cellStyle name="_LCD_VSE 2011 Budget_GPS OTHER 4 2" xfId="0"/>
    <cellStyle name="_LCD_VSE 2011 Budget_GPS OTHER_By Region" xfId="0"/>
    <cellStyle name="_LCD_VSE 2011 Budget_GPS OTHER_CORP SG&amp;A" xfId="0"/>
    <cellStyle name="_LCD_VSE 2011 Budget_GPS OTHER_LCD" xfId="0"/>
    <cellStyle name="_LCD_VSE 2011 Budget_GPS OTHER_PJ" xfId="0"/>
    <cellStyle name="_LCD_VSE 2011 Budget_LCD" xfId="0"/>
    <cellStyle name="_LCD_VSE 2011 Budget_LCD 2" xfId="0"/>
    <cellStyle name="_LCD_VSE 2011 Budget_LCD 3" xfId="0"/>
    <cellStyle name="_LCD_VSE 2011 Budget_LCD 4" xfId="0"/>
    <cellStyle name="_LCD_VSE 2011 Budget_LCD_By Region" xfId="0"/>
    <cellStyle name="_LCD_VSE 2011 Budget_LCD_CORP SG&amp;A" xfId="0"/>
    <cellStyle name="_LCD_VSE 2011 Budget_LCD_LCD" xfId="0"/>
    <cellStyle name="_LCD_VSE 2011 Budget_LCD_PJ" xfId="0"/>
    <cellStyle name="_LCD_VSE 2011 Budget_PC Products" xfId="0"/>
    <cellStyle name="_LCD_VSE 2011 Budget_PC Products 2" xfId="0"/>
    <cellStyle name="_LCD_VSE 2011 Budget_PC Products 3" xfId="0"/>
    <cellStyle name="_LCD_VSE 2011 Budget_PC Products 4" xfId="0"/>
    <cellStyle name="_LCD_VSE 2011 Budget_PC Products 4 2" xfId="0"/>
    <cellStyle name="_LCD_VSE 2011 Budget_PC Products_By Region" xfId="0"/>
    <cellStyle name="_LCD_VSE 2011 Budget_PC Products_CORP SG&amp;A" xfId="0"/>
    <cellStyle name="_LCD_VSE 2011 Budget_PC Products_LCD" xfId="0"/>
    <cellStyle name="_LCD_VSE 2011 Budget_PC Products_PJ" xfId="0"/>
    <cellStyle name="_LCD_VSE 2011 Budget_VSA 111014" xfId="0"/>
    <cellStyle name="_LCD_VSE 2011 Budget_VSA 111014 2" xfId="0"/>
    <cellStyle name="_LCD_VSE 2011 Budget_VSA 111014 3" xfId="0"/>
    <cellStyle name="_LCD_VSE 2011 Budget_VSA 111014 4" xfId="0"/>
    <cellStyle name="_LCD_VSE 2011 Budget_VSA 111014 4 2" xfId="0"/>
    <cellStyle name="_LCD_VSE 2011 Budget_VSA 111014_By Region" xfId="0"/>
    <cellStyle name="_LCD_VSE 2011 Budget_VSA 111014_CORP SG&amp;A" xfId="0"/>
    <cellStyle name="_LCD_VSE 2011 Budget_VSA 111014_LCD" xfId="0"/>
    <cellStyle name="_LCD_VSE 2011 Budget_VSA 111014_PJ" xfId="0"/>
    <cellStyle name="_LCD_VSE 2011 Budget_VSA Roll-Up (LW)" xfId="0"/>
    <cellStyle name="_LCD_VSE 2011 Budget_VSA Roll-Up (LW) 2" xfId="0"/>
    <cellStyle name="_LCD_VSE 2011 Budget_VSA Roll-Up (LW) 3" xfId="0"/>
    <cellStyle name="_LCD_VSE 2011 Budget_VSA Roll-Up (LW) 4" xfId="0"/>
    <cellStyle name="_LCD_VSE 2011 Budget_VSA Roll-Up (LW) 4 2" xfId="0"/>
    <cellStyle name="_LCD_VSE 2011 Budget_VSA Roll-Up (LW)_By Region" xfId="0"/>
    <cellStyle name="_LCD_VSE 2011 Budget_VSA Roll-Up (LW)_CORP SG&amp;A" xfId="0"/>
    <cellStyle name="_LCD_VSE 2011 Budget_VSA Roll-Up (LW)_LCD" xfId="0"/>
    <cellStyle name="_LCD_VSE 2011 Budget_VSA Roll-Up (LW)_PJ" xfId="0"/>
    <cellStyle name="_LCD_VSE 2H  WFP review (Spring Global meeting)-conservative Adam working v3" xfId="0"/>
    <cellStyle name="_LCD_VSE 2H  WFP review (Spring Global meeting)-conservative Adam working v3 2" xfId="0"/>
    <cellStyle name="_LCD_VSE 2H  WFP review (Spring Global meeting)-conservative Adam working v3 3" xfId="0"/>
    <cellStyle name="_LCD_VSE 2H Rebalance 110712" xfId="0"/>
    <cellStyle name="_LCD_VSE 2H Rebalance 110712 2" xfId="0"/>
    <cellStyle name="_LCD_VSE 2H Rebalance 110712 3" xfId="0"/>
    <cellStyle name="_LCD_VSE 2H Rebalance 110712 4" xfId="0"/>
    <cellStyle name="_LCD_VSE 2H Rebalance 110712_By Region" xfId="0"/>
    <cellStyle name="_LCD_VSE 2H Rebalance 110712_CORP SG&amp;A" xfId="0"/>
    <cellStyle name="_LCD_VSE WFP 101203" xfId="0"/>
    <cellStyle name="_LCD_VSE WFP 101203 2" xfId="0"/>
    <cellStyle name="_LCD_VSE WFP 101203 3" xfId="0"/>
    <cellStyle name="_LCD_VSE WFP 101203 4" xfId="0"/>
    <cellStyle name="_LCD_VSE WFP 101203_By Region" xfId="0"/>
    <cellStyle name="_LCD_VSE WFP 101203_CORP SG&amp;A" xfId="0"/>
    <cellStyle name="_LCD_VSE WFP 110311" xfId="0"/>
    <cellStyle name="_LCD_VSE WFP 110311 2" xfId="0"/>
    <cellStyle name="_LCD_VSE WFP 110311 3" xfId="0"/>
    <cellStyle name="_LCD_VSE WFP 110311 4" xfId="0"/>
    <cellStyle name="_LCD_VSE WFP 110311_By Region" xfId="0"/>
    <cellStyle name="_LCD_VSE WFP 110311_CORP SG&amp;A" xfId="0"/>
    <cellStyle name="_LCD_VSE WFP 110415" xfId="0"/>
    <cellStyle name="_LCD_VSE WFP 110415 2" xfId="0"/>
    <cellStyle name="_LCD_VSE WFP 110415 3" xfId="0"/>
    <cellStyle name="_LCD_VSE WFP 110415 4" xfId="0"/>
    <cellStyle name="_LCD_VSE WFP 110415_By Region" xfId="0"/>
    <cellStyle name="_LCD_VSE WFP 110415_CORP SG&amp;A" xfId="0"/>
    <cellStyle name="_LCD_VSE WFP_100409" xfId="0"/>
    <cellStyle name="_LCD_VSE WFP_100409 2" xfId="0"/>
    <cellStyle name="_LCD_VSE WFP_100409 3" xfId="0"/>
    <cellStyle name="_LCD_VSE WFP_100409 4" xfId="0"/>
    <cellStyle name="_LCD_VSE WFP_100409_By Region" xfId="0"/>
    <cellStyle name="_LCD_VSE WFP_100409_CORP SG&amp;A" xfId="0"/>
    <cellStyle name="_LCD_VSE WFP_100409_Digitizer" xfId="0"/>
    <cellStyle name="_LCD_VSE WFP_100409_GPS OTHER" xfId="0"/>
    <cellStyle name="_LCD_VSE WFP_100409_GPS OTHER 2" xfId="0"/>
    <cellStyle name="_LCD_VSE WFP_100409_GPS OTHER 3" xfId="0"/>
    <cellStyle name="_LCD_VSE WFP_100409_GPS OTHER 4" xfId="0"/>
    <cellStyle name="_LCD_VSE WFP_100409_GPS OTHER 4 2" xfId="0"/>
    <cellStyle name="_LCD_VSE WFP_100409_GPS OTHER_By Region" xfId="0"/>
    <cellStyle name="_LCD_VSE WFP_100409_GPS OTHER_CORP SG&amp;A" xfId="0"/>
    <cellStyle name="_LCD_VSE WFP_100409_GPS OTHER_LCD" xfId="0"/>
    <cellStyle name="_LCD_VSE WFP_100409_GPS OTHER_PJ" xfId="0"/>
    <cellStyle name="_LCD_VSE WFP_100409_LCD" xfId="0"/>
    <cellStyle name="_LCD_VSE WFP_100409_LCD 2" xfId="0"/>
    <cellStyle name="_LCD_VSE WFP_100409_LCD 3" xfId="0"/>
    <cellStyle name="_LCD_VSE WFP_100409_LCD 4" xfId="0"/>
    <cellStyle name="_LCD_VSE WFP_100409_LCD_By Region" xfId="0"/>
    <cellStyle name="_LCD_VSE WFP_100409_LCD_CORP SG&amp;A" xfId="0"/>
    <cellStyle name="_LCD_VSE WFP_100409_LCD_LCD" xfId="0"/>
    <cellStyle name="_LCD_VSE WFP_100409_LCD_PJ" xfId="0"/>
    <cellStyle name="_LCD_VSE WFP_100409_PC Products" xfId="0"/>
    <cellStyle name="_LCD_VSE WFP_100409_PC Products 2" xfId="0"/>
    <cellStyle name="_LCD_VSE WFP_100409_PC Products 3" xfId="0"/>
    <cellStyle name="_LCD_VSE WFP_100409_PC Products 4" xfId="0"/>
    <cellStyle name="_LCD_VSE WFP_100409_PC Products 4 2" xfId="0"/>
    <cellStyle name="_LCD_VSE WFP_100409_PC Products_By Region" xfId="0"/>
    <cellStyle name="_LCD_VSE WFP_100409_PC Products_CORP SG&amp;A" xfId="0"/>
    <cellStyle name="_LCD_VSE WFP_100409_PC Products_LCD" xfId="0"/>
    <cellStyle name="_LCD_VSE WFP_100409_PC Products_PJ" xfId="0"/>
    <cellStyle name="_LCD_VSE WFP_100409_VSA 111014" xfId="0"/>
    <cellStyle name="_LCD_VSE WFP_100409_VSA 111014 2" xfId="0"/>
    <cellStyle name="_LCD_VSE WFP_100409_VSA 111014 3" xfId="0"/>
    <cellStyle name="_LCD_VSE WFP_100409_VSA 111014 4" xfId="0"/>
    <cellStyle name="_LCD_VSE WFP_100409_VSA 111014 4 2" xfId="0"/>
    <cellStyle name="_LCD_VSE WFP_100409_VSA 111014_By Region" xfId="0"/>
    <cellStyle name="_LCD_VSE WFP_100409_VSA 111014_CORP SG&amp;A" xfId="0"/>
    <cellStyle name="_LCD_VSE WFP_100409_VSA 111014_LCD" xfId="0"/>
    <cellStyle name="_LCD_VSE WFP_100409_VSA 111014_PJ" xfId="0"/>
    <cellStyle name="_LCD_VSE WFP_100409_VSA Roll-Up (LW)" xfId="0"/>
    <cellStyle name="_LCD_VSE WFP_100409_VSA Roll-Up (LW) 2" xfId="0"/>
    <cellStyle name="_LCD_VSE WFP_100409_VSA Roll-Up (LW) 3" xfId="0"/>
    <cellStyle name="_LCD_VSE WFP_100409_VSA Roll-Up (LW) 4" xfId="0"/>
    <cellStyle name="_LCD_VSE WFP_100409_VSA Roll-Up (LW) 4 2" xfId="0"/>
    <cellStyle name="_LCD_VSE WFP_100409_VSA Roll-Up (LW)_By Region" xfId="0"/>
    <cellStyle name="_LCD_VSE WFP_100409_VSA Roll-Up (LW)_CORP SG&amp;A" xfId="0"/>
    <cellStyle name="_LCD_VSE WFP_100409_VSA Roll-Up (LW)_LCD" xfId="0"/>
    <cellStyle name="_LCD_VSE WFP_100409_VSA Roll-Up (LW)_PJ" xfId="0"/>
    <cellStyle name="_LCD_VSE WFP_100421 v2" xfId="0"/>
    <cellStyle name="_LCD_VSE WFP_100421 v2 2" xfId="0"/>
    <cellStyle name="_LCD_VSE WFP_100421 v2 3" xfId="0"/>
    <cellStyle name="_LCD_VSE WFP_100421 v2 4" xfId="0"/>
    <cellStyle name="_LCD_VSE WFP_100421 v2_By Region" xfId="0"/>
    <cellStyle name="_LCD_VSE WFP_100421 v2_CORP SG&amp;A" xfId="0"/>
    <cellStyle name="_LCD_VSE WFP_100421 v2_Digitizer" xfId="0"/>
    <cellStyle name="_LCD_VSE WFP_100421 v2_GPS OTHER" xfId="0"/>
    <cellStyle name="_LCD_VSE WFP_100421 v2_GPS OTHER 2" xfId="0"/>
    <cellStyle name="_LCD_VSE WFP_100421 v2_GPS OTHER 3" xfId="0"/>
    <cellStyle name="_LCD_VSE WFP_100421 v2_GPS OTHER 4" xfId="0"/>
    <cellStyle name="_LCD_VSE WFP_100421 v2_GPS OTHER 4 2" xfId="0"/>
    <cellStyle name="_LCD_VSE WFP_100421 v2_GPS OTHER_By Region" xfId="0"/>
    <cellStyle name="_LCD_VSE WFP_100421 v2_GPS OTHER_CORP SG&amp;A" xfId="0"/>
    <cellStyle name="_LCD_VSE WFP_100421 v2_GPS OTHER_LCD" xfId="0"/>
    <cellStyle name="_LCD_VSE WFP_100421 v2_GPS OTHER_PJ" xfId="0"/>
    <cellStyle name="_LCD_VSE WFP_100421 v2_LCD" xfId="0"/>
    <cellStyle name="_LCD_VSE WFP_100421 v2_LCD 2" xfId="0"/>
    <cellStyle name="_LCD_VSE WFP_100421 v2_LCD 3" xfId="0"/>
    <cellStyle name="_LCD_VSE WFP_100421 v2_LCD 4" xfId="0"/>
    <cellStyle name="_LCD_VSE WFP_100421 v2_LCD_By Region" xfId="0"/>
    <cellStyle name="_LCD_VSE WFP_100421 v2_LCD_CORP SG&amp;A" xfId="0"/>
    <cellStyle name="_LCD_VSE WFP_100421 v2_LCD_LCD" xfId="0"/>
    <cellStyle name="_LCD_VSE WFP_100421 v2_LCD_PJ" xfId="0"/>
    <cellStyle name="_LCD_VSE WFP_100421 v2_PC Products" xfId="0"/>
    <cellStyle name="_LCD_VSE WFP_100421 v2_PC Products 2" xfId="0"/>
    <cellStyle name="_LCD_VSE WFP_100421 v2_PC Products 3" xfId="0"/>
    <cellStyle name="_LCD_VSE WFP_100421 v2_PC Products 4" xfId="0"/>
    <cellStyle name="_LCD_VSE WFP_100421 v2_PC Products 4 2" xfId="0"/>
    <cellStyle name="_LCD_VSE WFP_100421 v2_PC Products_By Region" xfId="0"/>
    <cellStyle name="_LCD_VSE WFP_100421 v2_PC Products_CORP SG&amp;A" xfId="0"/>
    <cellStyle name="_LCD_VSE WFP_100421 v2_PC Products_LCD" xfId="0"/>
    <cellStyle name="_LCD_VSE WFP_100421 v2_PC Products_PJ" xfId="0"/>
    <cellStyle name="_LCD_VSE WFP_100421 v2_VSA 111014" xfId="0"/>
    <cellStyle name="_LCD_VSE WFP_100421 v2_VSA 111014 2" xfId="0"/>
    <cellStyle name="_LCD_VSE WFP_100421 v2_VSA 111014 3" xfId="0"/>
    <cellStyle name="_LCD_VSE WFP_100421 v2_VSA 111014 4" xfId="0"/>
    <cellStyle name="_LCD_VSE WFP_100421 v2_VSA 111014 4 2" xfId="0"/>
    <cellStyle name="_LCD_VSE WFP_100421 v2_VSA 111014_By Region" xfId="0"/>
    <cellStyle name="_LCD_VSE WFP_100421 v2_VSA 111014_CORP SG&amp;A" xfId="0"/>
    <cellStyle name="_LCD_VSE WFP_100421 v2_VSA 111014_LCD" xfId="0"/>
    <cellStyle name="_LCD_VSE WFP_100421 v2_VSA 111014_PJ" xfId="0"/>
    <cellStyle name="_LCD_VSE WFP_100421 v2_VSA Roll-Up (LW)" xfId="0"/>
    <cellStyle name="_LCD_VSE WFP_100421 v2_VSA Roll-Up (LW) 2" xfId="0"/>
    <cellStyle name="_LCD_VSE WFP_100421 v2_VSA Roll-Up (LW) 3" xfId="0"/>
    <cellStyle name="_LCD_VSE WFP_100421 v2_VSA Roll-Up (LW) 4" xfId="0"/>
    <cellStyle name="_LCD_VSE WFP_100421 v2_VSA Roll-Up (LW) 4 2" xfId="0"/>
    <cellStyle name="_LCD_VSE WFP_100421 v2_VSA Roll-Up (LW)_By Region" xfId="0"/>
    <cellStyle name="_LCD_VSE WFP_100421 v2_VSA Roll-Up (LW)_CORP SG&amp;A" xfId="0"/>
    <cellStyle name="_LCD_VSE WFP_100421 v2_VSA Roll-Up (LW)_LCD" xfId="0"/>
    <cellStyle name="_LCD_VSE WFP_100421 v2_VSA Roll-Up (LW)_PJ" xfId="0"/>
    <cellStyle name="_LCD_VSE WFP_100507" xfId="0"/>
    <cellStyle name="_LCD_VSE WFP_100507 2" xfId="0"/>
    <cellStyle name="_LCD_VSE WFP_100507 3" xfId="0"/>
    <cellStyle name="_LCD_VSE WFP_100507 4" xfId="0"/>
    <cellStyle name="_LCD_VSE WFP_100507_By Region" xfId="0"/>
    <cellStyle name="_LCD_VSE WFP_100507_CORP SG&amp;A" xfId="0"/>
    <cellStyle name="_LCD_VSE WFP_100507_Digitizer" xfId="0"/>
    <cellStyle name="_LCD_VSE WFP_100507_GPS OTHER" xfId="0"/>
    <cellStyle name="_LCD_VSE WFP_100507_GPS OTHER 2" xfId="0"/>
    <cellStyle name="_LCD_VSE WFP_100507_GPS OTHER 3" xfId="0"/>
    <cellStyle name="_LCD_VSE WFP_100507_GPS OTHER 4" xfId="0"/>
    <cellStyle name="_LCD_VSE WFP_100507_GPS OTHER 4 2" xfId="0"/>
    <cellStyle name="_LCD_VSE WFP_100507_GPS OTHER_By Region" xfId="0"/>
    <cellStyle name="_LCD_VSE WFP_100507_GPS OTHER_CORP SG&amp;A" xfId="0"/>
    <cellStyle name="_LCD_VSE WFP_100507_GPS OTHER_LCD" xfId="0"/>
    <cellStyle name="_LCD_VSE WFP_100507_GPS OTHER_PJ" xfId="0"/>
    <cellStyle name="_LCD_VSE WFP_100507_LCD" xfId="0"/>
    <cellStyle name="_LCD_VSE WFP_100507_LCD 2" xfId="0"/>
    <cellStyle name="_LCD_VSE WFP_100507_LCD 3" xfId="0"/>
    <cellStyle name="_LCD_VSE WFP_100507_LCD 4" xfId="0"/>
    <cellStyle name="_LCD_VSE WFP_100507_LCD_By Region" xfId="0"/>
    <cellStyle name="_LCD_VSE WFP_100507_LCD_CORP SG&amp;A" xfId="0"/>
    <cellStyle name="_LCD_VSE WFP_100507_LCD_LCD" xfId="0"/>
    <cellStyle name="_LCD_VSE WFP_100507_LCD_PJ" xfId="0"/>
    <cellStyle name="_LCD_VSE WFP_100507_PC Products" xfId="0"/>
    <cellStyle name="_LCD_VSE WFP_100507_PC Products 2" xfId="0"/>
    <cellStyle name="_LCD_VSE WFP_100507_PC Products 3" xfId="0"/>
    <cellStyle name="_LCD_VSE WFP_100507_PC Products 4" xfId="0"/>
    <cellStyle name="_LCD_VSE WFP_100507_PC Products 4 2" xfId="0"/>
    <cellStyle name="_LCD_VSE WFP_100507_PC Products_By Region" xfId="0"/>
    <cellStyle name="_LCD_VSE WFP_100507_PC Products_CORP SG&amp;A" xfId="0"/>
    <cellStyle name="_LCD_VSE WFP_100507_PC Products_LCD" xfId="0"/>
    <cellStyle name="_LCD_VSE WFP_100507_PC Products_PJ" xfId="0"/>
    <cellStyle name="_LCD_VSE WFP_100507_VSA 111014" xfId="0"/>
    <cellStyle name="_LCD_VSE WFP_100507_VSA 111014 2" xfId="0"/>
    <cellStyle name="_LCD_VSE WFP_100507_VSA 111014 3" xfId="0"/>
    <cellStyle name="_LCD_VSE WFP_100507_VSA 111014 4" xfId="0"/>
    <cellStyle name="_LCD_VSE WFP_100507_VSA 111014 4 2" xfId="0"/>
    <cellStyle name="_LCD_VSE WFP_100507_VSA 111014_By Region" xfId="0"/>
    <cellStyle name="_LCD_VSE WFP_100507_VSA 111014_CORP SG&amp;A" xfId="0"/>
    <cellStyle name="_LCD_VSE WFP_100507_VSA 111014_LCD" xfId="0"/>
    <cellStyle name="_LCD_VSE WFP_100507_VSA 111014_PJ" xfId="0"/>
    <cellStyle name="_LCD_VSE WFP_100507_VSA Roll-Up (LW)" xfId="0"/>
    <cellStyle name="_LCD_VSE WFP_100507_VSA Roll-Up (LW) 2" xfId="0"/>
    <cellStyle name="_LCD_VSE WFP_100507_VSA Roll-Up (LW) 3" xfId="0"/>
    <cellStyle name="_LCD_VSE WFP_100507_VSA Roll-Up (LW) 4" xfId="0"/>
    <cellStyle name="_LCD_VSE WFP_100507_VSA Roll-Up (LW) 4 2" xfId="0"/>
    <cellStyle name="_LCD_VSE WFP_100507_VSA Roll-Up (LW)_By Region" xfId="0"/>
    <cellStyle name="_LCD_VSE WFP_100507_VSA Roll-Up (LW)_CORP SG&amp;A" xfId="0"/>
    <cellStyle name="_LCD_VSE WFP_100507_VSA Roll-Up (LW)_LCD" xfId="0"/>
    <cellStyle name="_LCD_VSE WFP_100507_VSA Roll-Up (LW)_PJ" xfId="0"/>
    <cellStyle name="_LCD_VSE WFP_100608" xfId="0"/>
    <cellStyle name="_LCD_VSE WFP_100608 2" xfId="0"/>
    <cellStyle name="_LCD_VSE WFP_100608 3" xfId="0"/>
    <cellStyle name="_LCD_VSE WFP_100608 4" xfId="0"/>
    <cellStyle name="_LCD_VSE WFP_100608_By Region" xfId="0"/>
    <cellStyle name="_LCD_VSE WFP_100608_CORP SG&amp;A" xfId="0"/>
    <cellStyle name="_LCD_VSE WFP_100608_Digitizer" xfId="0"/>
    <cellStyle name="_LCD_VSE WFP_100608_GPS OTHER" xfId="0"/>
    <cellStyle name="_LCD_VSE WFP_100608_GPS OTHER 2" xfId="0"/>
    <cellStyle name="_LCD_VSE WFP_100608_GPS OTHER 3" xfId="0"/>
    <cellStyle name="_LCD_VSE WFP_100608_GPS OTHER 4" xfId="0"/>
    <cellStyle name="_LCD_VSE WFP_100608_GPS OTHER 4 2" xfId="0"/>
    <cellStyle name="_LCD_VSE WFP_100608_GPS OTHER_By Region" xfId="0"/>
    <cellStyle name="_LCD_VSE WFP_100608_GPS OTHER_CORP SG&amp;A" xfId="0"/>
    <cellStyle name="_LCD_VSE WFP_100608_GPS OTHER_LCD" xfId="0"/>
    <cellStyle name="_LCD_VSE WFP_100608_GPS OTHER_PJ" xfId="0"/>
    <cellStyle name="_LCD_VSE WFP_100608_LCD" xfId="0"/>
    <cellStyle name="_LCD_VSE WFP_100608_LCD 2" xfId="0"/>
    <cellStyle name="_LCD_VSE WFP_100608_LCD 3" xfId="0"/>
    <cellStyle name="_LCD_VSE WFP_100608_LCD 4" xfId="0"/>
    <cellStyle name="_LCD_VSE WFP_100608_LCD_By Region" xfId="0"/>
    <cellStyle name="_LCD_VSE WFP_100608_LCD_CORP SG&amp;A" xfId="0"/>
    <cellStyle name="_LCD_VSE WFP_100608_LCD_LCD" xfId="0"/>
    <cellStyle name="_LCD_VSE WFP_100608_LCD_PJ" xfId="0"/>
    <cellStyle name="_LCD_VSE WFP_100608_PC Products" xfId="0"/>
    <cellStyle name="_LCD_VSE WFP_100608_PC Products 2" xfId="0"/>
    <cellStyle name="_LCD_VSE WFP_100608_PC Products 3" xfId="0"/>
    <cellStyle name="_LCD_VSE WFP_100608_PC Products 4" xfId="0"/>
    <cellStyle name="_LCD_VSE WFP_100608_PC Products 4 2" xfId="0"/>
    <cellStyle name="_LCD_VSE WFP_100608_PC Products_By Region" xfId="0"/>
    <cellStyle name="_LCD_VSE WFP_100608_PC Products_CORP SG&amp;A" xfId="0"/>
    <cellStyle name="_LCD_VSE WFP_100608_PC Products_LCD" xfId="0"/>
    <cellStyle name="_LCD_VSE WFP_100608_PC Products_PJ" xfId="0"/>
    <cellStyle name="_LCD_VSE WFP_100608_VSA 111014" xfId="0"/>
    <cellStyle name="_LCD_VSE WFP_100608_VSA 111014 2" xfId="0"/>
    <cellStyle name="_LCD_VSE WFP_100608_VSA 111014 3" xfId="0"/>
    <cellStyle name="_LCD_VSE WFP_100608_VSA 111014 4" xfId="0"/>
    <cellStyle name="_LCD_VSE WFP_100608_VSA 111014 4 2" xfId="0"/>
    <cellStyle name="_LCD_VSE WFP_100608_VSA 111014_By Region" xfId="0"/>
    <cellStyle name="_LCD_VSE WFP_100608_VSA 111014_CORP SG&amp;A" xfId="0"/>
    <cellStyle name="_LCD_VSE WFP_100608_VSA 111014_LCD" xfId="0"/>
    <cellStyle name="_LCD_VSE WFP_100608_VSA 111014_PJ" xfId="0"/>
    <cellStyle name="_LCD_VSE WFP_100608_VSA Roll-Up (LW)" xfId="0"/>
    <cellStyle name="_LCD_VSE WFP_100608_VSA Roll-Up (LW) 2" xfId="0"/>
    <cellStyle name="_LCD_VSE WFP_100608_VSA Roll-Up (LW) 3" xfId="0"/>
    <cellStyle name="_LCD_VSE WFP_100608_VSA Roll-Up (LW) 4" xfId="0"/>
    <cellStyle name="_LCD_VSE WFP_100608_VSA Roll-Up (LW) 4 2" xfId="0"/>
    <cellStyle name="_LCD_VSE WFP_100608_VSA Roll-Up (LW)_By Region" xfId="0"/>
    <cellStyle name="_LCD_VSE WFP_100608_VSA Roll-Up (LW)_CORP SG&amp;A" xfId="0"/>
    <cellStyle name="_LCD_VSE WFP_100608_VSA Roll-Up (LW)_LCD" xfId="0"/>
    <cellStyle name="_LCD_VSE WFP_100608_VSA Roll-Up (LW)_PJ" xfId="0"/>
    <cellStyle name="_LCD_VSE WFP_100625" xfId="0"/>
    <cellStyle name="_LCD_VSE WFP_100625 2" xfId="0"/>
    <cellStyle name="_LCD_VSE WFP_100625 3" xfId="0"/>
    <cellStyle name="_LCD_VSE WFP_100625 4" xfId="0"/>
    <cellStyle name="_LCD_VSE WFP_100625_By Region" xfId="0"/>
    <cellStyle name="_LCD_VSE WFP_100625_CORP SG&amp;A" xfId="0"/>
    <cellStyle name="_LCD_VSE WFP_100625_Digitizer" xfId="0"/>
    <cellStyle name="_LCD_VSE WFP_100625_GPS OTHER" xfId="0"/>
    <cellStyle name="_LCD_VSE WFP_100625_GPS OTHER 2" xfId="0"/>
    <cellStyle name="_LCD_VSE WFP_100625_GPS OTHER 3" xfId="0"/>
    <cellStyle name="_LCD_VSE WFP_100625_GPS OTHER 4" xfId="0"/>
    <cellStyle name="_LCD_VSE WFP_100625_GPS OTHER 4 2" xfId="0"/>
    <cellStyle name="_LCD_VSE WFP_100625_GPS OTHER_By Region" xfId="0"/>
    <cellStyle name="_LCD_VSE WFP_100625_GPS OTHER_CORP SG&amp;A" xfId="0"/>
    <cellStyle name="_LCD_VSE WFP_100625_GPS OTHER_LCD" xfId="0"/>
    <cellStyle name="_LCD_VSE WFP_100625_GPS OTHER_PJ" xfId="0"/>
    <cellStyle name="_LCD_VSE WFP_100625_LCD" xfId="0"/>
    <cellStyle name="_LCD_VSE WFP_100625_LCD 2" xfId="0"/>
    <cellStyle name="_LCD_VSE WFP_100625_LCD 3" xfId="0"/>
    <cellStyle name="_LCD_VSE WFP_100625_LCD 4" xfId="0"/>
    <cellStyle name="_LCD_VSE WFP_100625_LCD_By Region" xfId="0"/>
    <cellStyle name="_LCD_VSE WFP_100625_LCD_CORP SG&amp;A" xfId="0"/>
    <cellStyle name="_LCD_VSE WFP_100625_LCD_LCD" xfId="0"/>
    <cellStyle name="_LCD_VSE WFP_100625_LCD_PJ" xfId="0"/>
    <cellStyle name="_LCD_VSE WFP_100625_PC Products" xfId="0"/>
    <cellStyle name="_LCD_VSE WFP_100625_PC Products 2" xfId="0"/>
    <cellStyle name="_LCD_VSE WFP_100625_PC Products 3" xfId="0"/>
    <cellStyle name="_LCD_VSE WFP_100625_PC Products 4" xfId="0"/>
    <cellStyle name="_LCD_VSE WFP_100625_PC Products 4 2" xfId="0"/>
    <cellStyle name="_LCD_VSE WFP_100625_PC Products_By Region" xfId="0"/>
    <cellStyle name="_LCD_VSE WFP_100625_PC Products_CORP SG&amp;A" xfId="0"/>
    <cellStyle name="_LCD_VSE WFP_100625_PC Products_LCD" xfId="0"/>
    <cellStyle name="_LCD_VSE WFP_100625_PC Products_PJ" xfId="0"/>
    <cellStyle name="_LCD_VSE WFP_100625_VSA 111014" xfId="0"/>
    <cellStyle name="_LCD_VSE WFP_100625_VSA 111014 2" xfId="0"/>
    <cellStyle name="_LCD_VSE WFP_100625_VSA 111014 3" xfId="0"/>
    <cellStyle name="_LCD_VSE WFP_100625_VSA 111014 4" xfId="0"/>
    <cellStyle name="_LCD_VSE WFP_100625_VSA 111014 4 2" xfId="0"/>
    <cellStyle name="_LCD_VSE WFP_100625_VSA 111014_By Region" xfId="0"/>
    <cellStyle name="_LCD_VSE WFP_100625_VSA 111014_CORP SG&amp;A" xfId="0"/>
    <cellStyle name="_LCD_VSE WFP_100625_VSA 111014_LCD" xfId="0"/>
    <cellStyle name="_LCD_VSE WFP_100625_VSA 111014_PJ" xfId="0"/>
    <cellStyle name="_LCD_VSE WFP_100625_VSA Roll-Up (LW)" xfId="0"/>
    <cellStyle name="_LCD_VSE WFP_100625_VSA Roll-Up (LW) 2" xfId="0"/>
    <cellStyle name="_LCD_VSE WFP_100625_VSA Roll-Up (LW) 3" xfId="0"/>
    <cellStyle name="_LCD_VSE WFP_100625_VSA Roll-Up (LW) 4" xfId="0"/>
    <cellStyle name="_LCD_VSE WFP_100625_VSA Roll-Up (LW) 4 2" xfId="0"/>
    <cellStyle name="_LCD_VSE WFP_100625_VSA Roll-Up (LW)_By Region" xfId="0"/>
    <cellStyle name="_LCD_VSE WFP_100625_VSA Roll-Up (LW)_CORP SG&amp;A" xfId="0"/>
    <cellStyle name="_LCD_VSE WFP_100625_VSA Roll-Up (LW)_LCD" xfId="0"/>
    <cellStyle name="_LCD_VSE WFP_100625_VSA Roll-Up (LW)_PJ" xfId="0"/>
    <cellStyle name="_LCD_VSE WFP_100708_3rd" xfId="0"/>
    <cellStyle name="_LCD_VSE WFP_100708_3rd 2" xfId="0"/>
    <cellStyle name="_LCD_VSE WFP_100708_3rd 3" xfId="0"/>
    <cellStyle name="_LCD_VSE WFP_100708_3rd 4" xfId="0"/>
    <cellStyle name="_LCD_VSE WFP_100708_3rd_By Region" xfId="0"/>
    <cellStyle name="_LCD_VSE WFP_100708_3rd_CORP SG&amp;A" xfId="0"/>
    <cellStyle name="_LCD_VSE WFP_100708_3rd_Digitizer" xfId="0"/>
    <cellStyle name="_LCD_VSE WFP_100708_3rd_GPS OTHER" xfId="0"/>
    <cellStyle name="_LCD_VSE WFP_100708_3rd_GPS OTHER 2" xfId="0"/>
    <cellStyle name="_LCD_VSE WFP_100708_3rd_GPS OTHER 3" xfId="0"/>
    <cellStyle name="_LCD_VSE WFP_100708_3rd_GPS OTHER 4" xfId="0"/>
    <cellStyle name="_LCD_VSE WFP_100708_3rd_GPS OTHER 4 2" xfId="0"/>
    <cellStyle name="_LCD_VSE WFP_100708_3rd_GPS OTHER_By Region" xfId="0"/>
    <cellStyle name="_LCD_VSE WFP_100708_3rd_GPS OTHER_CORP SG&amp;A" xfId="0"/>
    <cellStyle name="_LCD_VSE WFP_100708_3rd_GPS OTHER_LCD" xfId="0"/>
    <cellStyle name="_LCD_VSE WFP_100708_3rd_GPS OTHER_PJ" xfId="0"/>
    <cellStyle name="_LCD_VSE WFP_100708_3rd_LCD" xfId="0"/>
    <cellStyle name="_LCD_VSE WFP_100708_3rd_LCD 2" xfId="0"/>
    <cellStyle name="_LCD_VSE WFP_100708_3rd_LCD 3" xfId="0"/>
    <cellStyle name="_LCD_VSE WFP_100708_3rd_LCD 4" xfId="0"/>
    <cellStyle name="_LCD_VSE WFP_100708_3rd_LCD_By Region" xfId="0"/>
    <cellStyle name="_LCD_VSE WFP_100708_3rd_LCD_CORP SG&amp;A" xfId="0"/>
    <cellStyle name="_LCD_VSE WFP_100708_3rd_LCD_LCD" xfId="0"/>
    <cellStyle name="_LCD_VSE WFP_100708_3rd_LCD_PJ" xfId="0"/>
    <cellStyle name="_LCD_VSE WFP_100708_3rd_PC Products" xfId="0"/>
    <cellStyle name="_LCD_VSE WFP_100708_3rd_PC Products 2" xfId="0"/>
    <cellStyle name="_LCD_VSE WFP_100708_3rd_PC Products 3" xfId="0"/>
    <cellStyle name="_LCD_VSE WFP_100708_3rd_PC Products 4" xfId="0"/>
    <cellStyle name="_LCD_VSE WFP_100708_3rd_PC Products 4 2" xfId="0"/>
    <cellStyle name="_LCD_VSE WFP_100708_3rd_PC Products_By Region" xfId="0"/>
    <cellStyle name="_LCD_VSE WFP_100708_3rd_PC Products_CORP SG&amp;A" xfId="0"/>
    <cellStyle name="_LCD_VSE WFP_100708_3rd_PC Products_LCD" xfId="0"/>
    <cellStyle name="_LCD_VSE WFP_100708_3rd_PC Products_PJ" xfId="0"/>
    <cellStyle name="_LCD_VSE WFP_100708_3rd_VSA 111014" xfId="0"/>
    <cellStyle name="_LCD_VSE WFP_100708_3rd_VSA 111014 2" xfId="0"/>
    <cellStyle name="_LCD_VSE WFP_100708_3rd_VSA 111014 3" xfId="0"/>
    <cellStyle name="_LCD_VSE WFP_100708_3rd_VSA 111014 4" xfId="0"/>
    <cellStyle name="_LCD_VSE WFP_100708_3rd_VSA 111014 4 2" xfId="0"/>
    <cellStyle name="_LCD_VSE WFP_100708_3rd_VSA 111014_By Region" xfId="0"/>
    <cellStyle name="_LCD_VSE WFP_100708_3rd_VSA 111014_CORP SG&amp;A" xfId="0"/>
    <cellStyle name="_LCD_VSE WFP_100708_3rd_VSA 111014_LCD" xfId="0"/>
    <cellStyle name="_LCD_VSE WFP_100708_3rd_VSA 111014_PJ" xfId="0"/>
    <cellStyle name="_LCD_VSE WFP_100708_3rd_VSA Roll-Up (LW)" xfId="0"/>
    <cellStyle name="_LCD_VSE WFP_100708_3rd_VSA Roll-Up (LW) 2" xfId="0"/>
    <cellStyle name="_LCD_VSE WFP_100708_3rd_VSA Roll-Up (LW) 3" xfId="0"/>
    <cellStyle name="_LCD_VSE WFP_100708_3rd_VSA Roll-Up (LW) 4" xfId="0"/>
    <cellStyle name="_LCD_VSE WFP_100708_3rd_VSA Roll-Up (LW) 4 2" xfId="0"/>
    <cellStyle name="_LCD_VSE WFP_100708_3rd_VSA Roll-Up (LW)_By Region" xfId="0"/>
    <cellStyle name="_LCD_VSE WFP_100708_3rd_VSA Roll-Up (LW)_CORP SG&amp;A" xfId="0"/>
    <cellStyle name="_LCD_VSE WFP_100708_3rd_VSA Roll-Up (LW)_LCD" xfId="0"/>
    <cellStyle name="_LCD_VSE WFP_100708_3rd_VSA Roll-Up (LW)_PJ" xfId="0"/>
    <cellStyle name="_LCD_VSE WFP_100726" xfId="0"/>
    <cellStyle name="_LCD_VSE WFP_100726 2" xfId="0"/>
    <cellStyle name="_LCD_VSE WFP_100726 3" xfId="0"/>
    <cellStyle name="_LCD_VSE WFP_100726 4" xfId="0"/>
    <cellStyle name="_LCD_VSE WFP_100726-1" xfId="0"/>
    <cellStyle name="_LCD_VSE WFP_100726-1 2" xfId="0"/>
    <cellStyle name="_LCD_VSE WFP_100726-1 3" xfId="0"/>
    <cellStyle name="_LCD_VSE WFP_100726-1 4" xfId="0"/>
    <cellStyle name="_LCD_VSE WFP_100726-1_By Region" xfId="0"/>
    <cellStyle name="_LCD_VSE WFP_100726-1_CORP SG&amp;A" xfId="0"/>
    <cellStyle name="_LCD_VSE WFP_100726-1_Digitizer" xfId="0"/>
    <cellStyle name="_LCD_VSE WFP_100726-1_GPS OTHER" xfId="0"/>
    <cellStyle name="_LCD_VSE WFP_100726-1_GPS OTHER 2" xfId="0"/>
    <cellStyle name="_LCD_VSE WFP_100726-1_GPS OTHER 3" xfId="0"/>
    <cellStyle name="_LCD_VSE WFP_100726-1_GPS OTHER 4" xfId="0"/>
    <cellStyle name="_LCD_VSE WFP_100726-1_GPS OTHER 4 2" xfId="0"/>
    <cellStyle name="_LCD_VSE WFP_100726-1_GPS OTHER_By Region" xfId="0"/>
    <cellStyle name="_LCD_VSE WFP_100726-1_GPS OTHER_CORP SG&amp;A" xfId="0"/>
    <cellStyle name="_LCD_VSE WFP_100726-1_GPS OTHER_LCD" xfId="0"/>
    <cellStyle name="_LCD_VSE WFP_100726-1_GPS OTHER_PJ" xfId="0"/>
    <cellStyle name="_LCD_VSE WFP_100726-1_LCD" xfId="0"/>
    <cellStyle name="_LCD_VSE WFP_100726-1_LCD 2" xfId="0"/>
    <cellStyle name="_LCD_VSE WFP_100726-1_LCD 3" xfId="0"/>
    <cellStyle name="_LCD_VSE WFP_100726-1_LCD 4" xfId="0"/>
    <cellStyle name="_LCD_VSE WFP_100726-1_LCD_By Region" xfId="0"/>
    <cellStyle name="_LCD_VSE WFP_100726-1_LCD_CORP SG&amp;A" xfId="0"/>
    <cellStyle name="_LCD_VSE WFP_100726-1_LCD_LCD" xfId="0"/>
    <cellStyle name="_LCD_VSE WFP_100726-1_LCD_PJ" xfId="0"/>
    <cellStyle name="_LCD_VSE WFP_100726-1_PC Products" xfId="0"/>
    <cellStyle name="_LCD_VSE WFP_100726-1_PC Products 2" xfId="0"/>
    <cellStyle name="_LCD_VSE WFP_100726-1_PC Products 3" xfId="0"/>
    <cellStyle name="_LCD_VSE WFP_100726-1_PC Products 4" xfId="0"/>
    <cellStyle name="_LCD_VSE WFP_100726-1_PC Products 4 2" xfId="0"/>
    <cellStyle name="_LCD_VSE WFP_100726-1_PC Products_By Region" xfId="0"/>
    <cellStyle name="_LCD_VSE WFP_100726-1_PC Products_CORP SG&amp;A" xfId="0"/>
    <cellStyle name="_LCD_VSE WFP_100726-1_PC Products_LCD" xfId="0"/>
    <cellStyle name="_LCD_VSE WFP_100726-1_PC Products_PJ" xfId="0"/>
    <cellStyle name="_LCD_VSE WFP_100726-1_VSA 111014" xfId="0"/>
    <cellStyle name="_LCD_VSE WFP_100726-1_VSA 111014 2" xfId="0"/>
    <cellStyle name="_LCD_VSE WFP_100726-1_VSA 111014 3" xfId="0"/>
    <cellStyle name="_LCD_VSE WFP_100726-1_VSA 111014 4" xfId="0"/>
    <cellStyle name="_LCD_VSE WFP_100726-1_VSA 111014 4 2" xfId="0"/>
    <cellStyle name="_LCD_VSE WFP_100726-1_VSA 111014_By Region" xfId="0"/>
    <cellStyle name="_LCD_VSE WFP_100726-1_VSA 111014_CORP SG&amp;A" xfId="0"/>
    <cellStyle name="_LCD_VSE WFP_100726-1_VSA 111014_LCD" xfId="0"/>
    <cellStyle name="_LCD_VSE WFP_100726-1_VSA 111014_PJ" xfId="0"/>
    <cellStyle name="_LCD_VSE WFP_100726-1_VSA Roll-Up (LW)" xfId="0"/>
    <cellStyle name="_LCD_VSE WFP_100726-1_VSA Roll-Up (LW) 2" xfId="0"/>
    <cellStyle name="_LCD_VSE WFP_100726-1_VSA Roll-Up (LW) 3" xfId="0"/>
    <cellStyle name="_LCD_VSE WFP_100726-1_VSA Roll-Up (LW) 4" xfId="0"/>
    <cellStyle name="_LCD_VSE WFP_100726-1_VSA Roll-Up (LW) 4 2" xfId="0"/>
    <cellStyle name="_LCD_VSE WFP_100726-1_VSA Roll-Up (LW)_By Region" xfId="0"/>
    <cellStyle name="_LCD_VSE WFP_100726-1_VSA Roll-Up (LW)_CORP SG&amp;A" xfId="0"/>
    <cellStyle name="_LCD_VSE WFP_100726-1_VSA Roll-Up (LW)_LCD" xfId="0"/>
    <cellStyle name="_LCD_VSE WFP_100726-1_VSA Roll-Up (LW)_PJ" xfId="0"/>
    <cellStyle name="_LCD_VSE WFP_100726-2-yc" xfId="0"/>
    <cellStyle name="_LCD_VSE WFP_100726-2-yc 2" xfId="0"/>
    <cellStyle name="_LCD_VSE WFP_100726-2-yc 3" xfId="0"/>
    <cellStyle name="_LCD_VSE WFP_100726-2-yc 4" xfId="0"/>
    <cellStyle name="_LCD_VSE WFP_100726-2-yc_By Region" xfId="0"/>
    <cellStyle name="_LCD_VSE WFP_100726-2-yc_CORP SG&amp;A" xfId="0"/>
    <cellStyle name="_LCD_VSE WFP_100726-2-yc_Digitizer" xfId="0"/>
    <cellStyle name="_LCD_VSE WFP_100726-2-yc_GPS OTHER" xfId="0"/>
    <cellStyle name="_LCD_VSE WFP_100726-2-yc_GPS OTHER 2" xfId="0"/>
    <cellStyle name="_LCD_VSE WFP_100726-2-yc_GPS OTHER 3" xfId="0"/>
    <cellStyle name="_LCD_VSE WFP_100726-2-yc_GPS OTHER 4" xfId="0"/>
    <cellStyle name="_LCD_VSE WFP_100726-2-yc_GPS OTHER 4 2" xfId="0"/>
    <cellStyle name="_LCD_VSE WFP_100726-2-yc_GPS OTHER_By Region" xfId="0"/>
    <cellStyle name="_LCD_VSE WFP_100726-2-yc_GPS OTHER_CORP SG&amp;A" xfId="0"/>
    <cellStyle name="_LCD_VSE WFP_100726-2-yc_GPS OTHER_LCD" xfId="0"/>
    <cellStyle name="_LCD_VSE WFP_100726-2-yc_GPS OTHER_PJ" xfId="0"/>
    <cellStyle name="_LCD_VSE WFP_100726-2-yc_LCD" xfId="0"/>
    <cellStyle name="_LCD_VSE WFP_100726-2-yc_LCD 2" xfId="0"/>
    <cellStyle name="_LCD_VSE WFP_100726-2-yc_LCD 3" xfId="0"/>
    <cellStyle name="_LCD_VSE WFP_100726-2-yc_LCD 4" xfId="0"/>
    <cellStyle name="_LCD_VSE WFP_100726-2-yc_LCD_By Region" xfId="0"/>
    <cellStyle name="_LCD_VSE WFP_100726-2-yc_LCD_CORP SG&amp;A" xfId="0"/>
    <cellStyle name="_LCD_VSE WFP_100726-2-yc_LCD_LCD" xfId="0"/>
    <cellStyle name="_LCD_VSE WFP_100726-2-yc_LCD_PJ" xfId="0"/>
    <cellStyle name="_LCD_VSE WFP_100726-2-yc_PC Products" xfId="0"/>
    <cellStyle name="_LCD_VSE WFP_100726-2-yc_PC Products 2" xfId="0"/>
    <cellStyle name="_LCD_VSE WFP_100726-2-yc_PC Products 3" xfId="0"/>
    <cellStyle name="_LCD_VSE WFP_100726-2-yc_PC Products 4" xfId="0"/>
    <cellStyle name="_LCD_VSE WFP_100726-2-yc_PC Products 4 2" xfId="0"/>
    <cellStyle name="_LCD_VSE WFP_100726-2-yc_PC Products_By Region" xfId="0"/>
    <cellStyle name="_LCD_VSE WFP_100726-2-yc_PC Products_CORP SG&amp;A" xfId="0"/>
    <cellStyle name="_LCD_VSE WFP_100726-2-yc_PC Products_LCD" xfId="0"/>
    <cellStyle name="_LCD_VSE WFP_100726-2-yc_PC Products_PJ" xfId="0"/>
    <cellStyle name="_LCD_VSE WFP_100726-2-yc_VSA 111014" xfId="0"/>
    <cellStyle name="_LCD_VSE WFP_100726-2-yc_VSA 111014 2" xfId="0"/>
    <cellStyle name="_LCD_VSE WFP_100726-2-yc_VSA 111014 3" xfId="0"/>
    <cellStyle name="_LCD_VSE WFP_100726-2-yc_VSA 111014 4" xfId="0"/>
    <cellStyle name="_LCD_VSE WFP_100726-2-yc_VSA 111014 4 2" xfId="0"/>
    <cellStyle name="_LCD_VSE WFP_100726-2-yc_VSA 111014_By Region" xfId="0"/>
    <cellStyle name="_LCD_VSE WFP_100726-2-yc_VSA 111014_CORP SG&amp;A" xfId="0"/>
    <cellStyle name="_LCD_VSE WFP_100726-2-yc_VSA 111014_LCD" xfId="0"/>
    <cellStyle name="_LCD_VSE WFP_100726-2-yc_VSA 111014_PJ" xfId="0"/>
    <cellStyle name="_LCD_VSE WFP_100726-2-yc_VSA Roll-Up (LW)" xfId="0"/>
    <cellStyle name="_LCD_VSE WFP_100726-2-yc_VSA Roll-Up (LW) 2" xfId="0"/>
    <cellStyle name="_LCD_VSE WFP_100726-2-yc_VSA Roll-Up (LW) 3" xfId="0"/>
    <cellStyle name="_LCD_VSE WFP_100726-2-yc_VSA Roll-Up (LW) 4" xfId="0"/>
    <cellStyle name="_LCD_VSE WFP_100726-2-yc_VSA Roll-Up (LW) 4 2" xfId="0"/>
    <cellStyle name="_LCD_VSE WFP_100726-2-yc_VSA Roll-Up (LW)_By Region" xfId="0"/>
    <cellStyle name="_LCD_VSE WFP_100726-2-yc_VSA Roll-Up (LW)_CORP SG&amp;A" xfId="0"/>
    <cellStyle name="_LCD_VSE WFP_100726-2-yc_VSA Roll-Up (LW)_LCD" xfId="0"/>
    <cellStyle name="_LCD_VSE WFP_100726-2-yc_VSA Roll-Up (LW)_PJ" xfId="0"/>
    <cellStyle name="_LCD_VSE WFP_100726_By Region" xfId="0"/>
    <cellStyle name="_LCD_VSE WFP_100726_CORP SG&amp;A" xfId="0"/>
    <cellStyle name="_LCD_VSE WFP_100726_Digitizer" xfId="0"/>
    <cellStyle name="_LCD_VSE WFP_100726_GPS OTHER" xfId="0"/>
    <cellStyle name="_LCD_VSE WFP_100726_GPS OTHER 2" xfId="0"/>
    <cellStyle name="_LCD_VSE WFP_100726_GPS OTHER 3" xfId="0"/>
    <cellStyle name="_LCD_VSE WFP_100726_GPS OTHER 4" xfId="0"/>
    <cellStyle name="_LCD_VSE WFP_100726_GPS OTHER 4 2" xfId="0"/>
    <cellStyle name="_LCD_VSE WFP_100726_GPS OTHER_By Region" xfId="0"/>
    <cellStyle name="_LCD_VSE WFP_100726_GPS OTHER_CORP SG&amp;A" xfId="0"/>
    <cellStyle name="_LCD_VSE WFP_100726_GPS OTHER_LCD" xfId="0"/>
    <cellStyle name="_LCD_VSE WFP_100726_GPS OTHER_PJ" xfId="0"/>
    <cellStyle name="_LCD_VSE WFP_100726_LCD" xfId="0"/>
    <cellStyle name="_LCD_VSE WFP_100726_LCD 2" xfId="0"/>
    <cellStyle name="_LCD_VSE WFP_100726_LCD 3" xfId="0"/>
    <cellStyle name="_LCD_VSE WFP_100726_LCD 4" xfId="0"/>
    <cellStyle name="_LCD_VSE WFP_100726_LCD_By Region" xfId="0"/>
    <cellStyle name="_LCD_VSE WFP_100726_LCD_CORP SG&amp;A" xfId="0"/>
    <cellStyle name="_LCD_VSE WFP_100726_LCD_LCD" xfId="0"/>
    <cellStyle name="_LCD_VSE WFP_100726_LCD_PJ" xfId="0"/>
    <cellStyle name="_LCD_VSE WFP_100726_PC Products" xfId="0"/>
    <cellStyle name="_LCD_VSE WFP_100726_PC Products 2" xfId="0"/>
    <cellStyle name="_LCD_VSE WFP_100726_PC Products 3" xfId="0"/>
    <cellStyle name="_LCD_VSE WFP_100726_PC Products 4" xfId="0"/>
    <cellStyle name="_LCD_VSE WFP_100726_PC Products 4 2" xfId="0"/>
    <cellStyle name="_LCD_VSE WFP_100726_PC Products_By Region" xfId="0"/>
    <cellStyle name="_LCD_VSE WFP_100726_PC Products_CORP SG&amp;A" xfId="0"/>
    <cellStyle name="_LCD_VSE WFP_100726_PC Products_LCD" xfId="0"/>
    <cellStyle name="_LCD_VSE WFP_100726_PC Products_PJ" xfId="0"/>
    <cellStyle name="_LCD_VSE WFP_100726_VSA 111014" xfId="0"/>
    <cellStyle name="_LCD_VSE WFP_100726_VSA 111014 2" xfId="0"/>
    <cellStyle name="_LCD_VSE WFP_100726_VSA 111014 3" xfId="0"/>
    <cellStyle name="_LCD_VSE WFP_100726_VSA 111014 4" xfId="0"/>
    <cellStyle name="_LCD_VSE WFP_100726_VSA 111014 4 2" xfId="0"/>
    <cellStyle name="_LCD_VSE WFP_100726_VSA 111014_By Region" xfId="0"/>
    <cellStyle name="_LCD_VSE WFP_100726_VSA 111014_CORP SG&amp;A" xfId="0"/>
    <cellStyle name="_LCD_VSE WFP_100726_VSA 111014_LCD" xfId="0"/>
    <cellStyle name="_LCD_VSE WFP_100726_VSA 111014_PJ" xfId="0"/>
    <cellStyle name="_LCD_VSE WFP_100726_VSA Roll-Up (LW)" xfId="0"/>
    <cellStyle name="_LCD_VSE WFP_100726_VSA Roll-Up (LW) 2" xfId="0"/>
    <cellStyle name="_LCD_VSE WFP_100726_VSA Roll-Up (LW) 3" xfId="0"/>
    <cellStyle name="_LCD_VSE WFP_100726_VSA Roll-Up (LW) 4" xfId="0"/>
    <cellStyle name="_LCD_VSE WFP_100726_VSA Roll-Up (LW) 4 2" xfId="0"/>
    <cellStyle name="_LCD_VSE WFP_100726_VSA Roll-Up (LW)_By Region" xfId="0"/>
    <cellStyle name="_LCD_VSE WFP_100726_VSA Roll-Up (LW)_CORP SG&amp;A" xfId="0"/>
    <cellStyle name="_LCD_VSE WFP_100726_VSA Roll-Up (LW)_LCD" xfId="0"/>
    <cellStyle name="_LCD_VSE WFP_100726_VSA Roll-Up (LW)_PJ" xfId="0"/>
    <cellStyle name="_LCD_VSE WFP_100827-1" xfId="0"/>
    <cellStyle name="_LCD_VSE WFP_100827-1 2" xfId="0"/>
    <cellStyle name="_LCD_VSE WFP_100827-1 3" xfId="0"/>
    <cellStyle name="_LCD_VSE WFP_100827-1 4" xfId="0"/>
    <cellStyle name="_LCD_VSE WFP_100827-1_By Region" xfId="0"/>
    <cellStyle name="_LCD_VSE WFP_100827-1_CORP SG&amp;A" xfId="0"/>
    <cellStyle name="_LCD_VSE WFP_100827-1_Digitizer" xfId="0"/>
    <cellStyle name="_LCD_VSE WFP_100827-1_GPS OTHER" xfId="0"/>
    <cellStyle name="_LCD_VSE WFP_100827-1_GPS OTHER 2" xfId="0"/>
    <cellStyle name="_LCD_VSE WFP_100827-1_GPS OTHER 3" xfId="0"/>
    <cellStyle name="_LCD_VSE WFP_100827-1_GPS OTHER 4" xfId="0"/>
    <cellStyle name="_LCD_VSE WFP_100827-1_GPS OTHER 4 2" xfId="0"/>
    <cellStyle name="_LCD_VSE WFP_100827-1_GPS OTHER_By Region" xfId="0"/>
    <cellStyle name="_LCD_VSE WFP_100827-1_GPS OTHER_CORP SG&amp;A" xfId="0"/>
    <cellStyle name="_LCD_VSE WFP_100827-1_GPS OTHER_LCD" xfId="0"/>
    <cellStyle name="_LCD_VSE WFP_100827-1_GPS OTHER_PJ" xfId="0"/>
    <cellStyle name="_LCD_VSE WFP_100827-1_LCD" xfId="0"/>
    <cellStyle name="_LCD_VSE WFP_100827-1_LCD 2" xfId="0"/>
    <cellStyle name="_LCD_VSE WFP_100827-1_LCD 3" xfId="0"/>
    <cellStyle name="_LCD_VSE WFP_100827-1_LCD 4" xfId="0"/>
    <cellStyle name="_LCD_VSE WFP_100827-1_LCD_By Region" xfId="0"/>
    <cellStyle name="_LCD_VSE WFP_100827-1_LCD_CORP SG&amp;A" xfId="0"/>
    <cellStyle name="_LCD_VSE WFP_100827-1_LCD_LCD" xfId="0"/>
    <cellStyle name="_LCD_VSE WFP_100827-1_LCD_PJ" xfId="0"/>
    <cellStyle name="_LCD_VSE WFP_100827-1_PC Products" xfId="0"/>
    <cellStyle name="_LCD_VSE WFP_100827-1_PC Products 2" xfId="0"/>
    <cellStyle name="_LCD_VSE WFP_100827-1_PC Products 3" xfId="0"/>
    <cellStyle name="_LCD_VSE WFP_100827-1_PC Products 4" xfId="0"/>
    <cellStyle name="_LCD_VSE WFP_100827-1_PC Products 4 2" xfId="0"/>
    <cellStyle name="_LCD_VSE WFP_100827-1_PC Products_By Region" xfId="0"/>
    <cellStyle name="_LCD_VSE WFP_100827-1_PC Products_CORP SG&amp;A" xfId="0"/>
    <cellStyle name="_LCD_VSE WFP_100827-1_PC Products_LCD" xfId="0"/>
    <cellStyle name="_LCD_VSE WFP_100827-1_PC Products_PJ" xfId="0"/>
    <cellStyle name="_LCD_VSE WFP_100827-1_VSA 111014" xfId="0"/>
    <cellStyle name="_LCD_VSE WFP_100827-1_VSA 111014 2" xfId="0"/>
    <cellStyle name="_LCD_VSE WFP_100827-1_VSA 111014 3" xfId="0"/>
    <cellStyle name="_LCD_VSE WFP_100827-1_VSA 111014 4" xfId="0"/>
    <cellStyle name="_LCD_VSE WFP_100827-1_VSA 111014 4 2" xfId="0"/>
    <cellStyle name="_LCD_VSE WFP_100827-1_VSA 111014_By Region" xfId="0"/>
    <cellStyle name="_LCD_VSE WFP_100827-1_VSA 111014_CORP SG&amp;A" xfId="0"/>
    <cellStyle name="_LCD_VSE WFP_100827-1_VSA 111014_LCD" xfId="0"/>
    <cellStyle name="_LCD_VSE WFP_100827-1_VSA 111014_PJ" xfId="0"/>
    <cellStyle name="_LCD_VSE WFP_100827-1_VSA Roll-Up (LW)" xfId="0"/>
    <cellStyle name="_LCD_VSE WFP_100827-1_VSA Roll-Up (LW) 2" xfId="0"/>
    <cellStyle name="_LCD_VSE WFP_100827-1_VSA Roll-Up (LW) 3" xfId="0"/>
    <cellStyle name="_LCD_VSE WFP_100827-1_VSA Roll-Up (LW) 4" xfId="0"/>
    <cellStyle name="_LCD_VSE WFP_100827-1_VSA Roll-Up (LW) 4 2" xfId="0"/>
    <cellStyle name="_LCD_VSE WFP_100827-1_VSA Roll-Up (LW)_By Region" xfId="0"/>
    <cellStyle name="_LCD_VSE WFP_100827-1_VSA Roll-Up (LW)_CORP SG&amp;A" xfId="0"/>
    <cellStyle name="_LCD_VSE WFP_100827-1_VSA Roll-Up (LW)_LCD" xfId="0"/>
    <cellStyle name="_LCD_VSE WFP_100827-1_VSA Roll-Up (LW)_PJ" xfId="0"/>
    <cellStyle name="_LCD_VSE WFP_101001" xfId="0"/>
    <cellStyle name="_LCD_VSE WFP_101001 2" xfId="0"/>
    <cellStyle name="_LCD_VSE WFP_101001 3" xfId="0"/>
    <cellStyle name="_LCD_VSE WFP_101001 4" xfId="0"/>
    <cellStyle name="_LCD_VSE WFP_101001_By Region" xfId="0"/>
    <cellStyle name="_LCD_VSE WFP_101001_CORP SG&amp;A" xfId="0"/>
    <cellStyle name="_LCD_VSE WFP_101001_Digitizer" xfId="0"/>
    <cellStyle name="_LCD_VSE WFP_101001_GPS OTHER" xfId="0"/>
    <cellStyle name="_LCD_VSE WFP_101001_GPS OTHER 2" xfId="0"/>
    <cellStyle name="_LCD_VSE WFP_101001_GPS OTHER 3" xfId="0"/>
    <cellStyle name="_LCD_VSE WFP_101001_GPS OTHER 4" xfId="0"/>
    <cellStyle name="_LCD_VSE WFP_101001_GPS OTHER 4 2" xfId="0"/>
    <cellStyle name="_LCD_VSE WFP_101001_GPS OTHER_By Region" xfId="0"/>
    <cellStyle name="_LCD_VSE WFP_101001_GPS OTHER_CORP SG&amp;A" xfId="0"/>
    <cellStyle name="_LCD_VSE WFP_101001_GPS OTHER_LCD" xfId="0"/>
    <cellStyle name="_LCD_VSE WFP_101001_GPS OTHER_PJ" xfId="0"/>
    <cellStyle name="_LCD_VSE WFP_101001_LCD" xfId="0"/>
    <cellStyle name="_LCD_VSE WFP_101001_LCD 2" xfId="0"/>
    <cellStyle name="_LCD_VSE WFP_101001_LCD 3" xfId="0"/>
    <cellStyle name="_LCD_VSE WFP_101001_LCD 4" xfId="0"/>
    <cellStyle name="_LCD_VSE WFP_101001_LCD_By Region" xfId="0"/>
    <cellStyle name="_LCD_VSE WFP_101001_LCD_CORP SG&amp;A" xfId="0"/>
    <cellStyle name="_LCD_VSE WFP_101001_LCD_LCD" xfId="0"/>
    <cellStyle name="_LCD_VSE WFP_101001_LCD_PJ" xfId="0"/>
    <cellStyle name="_LCD_VSE WFP_101001_PC Products" xfId="0"/>
    <cellStyle name="_LCD_VSE WFP_101001_PC Products 2" xfId="0"/>
    <cellStyle name="_LCD_VSE WFP_101001_PC Products 3" xfId="0"/>
    <cellStyle name="_LCD_VSE WFP_101001_PC Products 4" xfId="0"/>
    <cellStyle name="_LCD_VSE WFP_101001_PC Products 4 2" xfId="0"/>
    <cellStyle name="_LCD_VSE WFP_101001_PC Products_By Region" xfId="0"/>
    <cellStyle name="_LCD_VSE WFP_101001_PC Products_CORP SG&amp;A" xfId="0"/>
    <cellStyle name="_LCD_VSE WFP_101001_PC Products_LCD" xfId="0"/>
    <cellStyle name="_LCD_VSE WFP_101001_PC Products_PJ" xfId="0"/>
    <cellStyle name="_LCD_VSE WFP_101001_VSA 111014" xfId="0"/>
    <cellStyle name="_LCD_VSE WFP_101001_VSA 111014 2" xfId="0"/>
    <cellStyle name="_LCD_VSE WFP_101001_VSA 111014 3" xfId="0"/>
    <cellStyle name="_LCD_VSE WFP_101001_VSA 111014 4" xfId="0"/>
    <cellStyle name="_LCD_VSE WFP_101001_VSA 111014 4 2" xfId="0"/>
    <cellStyle name="_LCD_VSE WFP_101001_VSA 111014_By Region" xfId="0"/>
    <cellStyle name="_LCD_VSE WFP_101001_VSA 111014_CORP SG&amp;A" xfId="0"/>
    <cellStyle name="_LCD_VSE WFP_101001_VSA 111014_LCD" xfId="0"/>
    <cellStyle name="_LCD_VSE WFP_101001_VSA 111014_PJ" xfId="0"/>
    <cellStyle name="_LCD_VSE WFP_101001_VSA Roll-Up (LW)" xfId="0"/>
    <cellStyle name="_LCD_VSE WFP_101001_VSA Roll-Up (LW) 2" xfId="0"/>
    <cellStyle name="_LCD_VSE WFP_101001_VSA Roll-Up (LW) 3" xfId="0"/>
    <cellStyle name="_LCD_VSE WFP_101001_VSA Roll-Up (LW) 4" xfId="0"/>
    <cellStyle name="_LCD_VSE WFP_101001_VSA Roll-Up (LW) 4 2" xfId="0"/>
    <cellStyle name="_LCD_VSE WFP_101001_VSA Roll-Up (LW)_By Region" xfId="0"/>
    <cellStyle name="_LCD_VSE WFP_101001_VSA Roll-Up (LW)_CORP SG&amp;A" xfId="0"/>
    <cellStyle name="_LCD_VSE WFP_101001_VSA Roll-Up (LW)_LCD" xfId="0"/>
    <cellStyle name="_LCD_VSE WFP_101001_VSA Roll-Up (LW)_PJ" xfId="0"/>
    <cellStyle name="_LCD_VSE WFP_101029-with more ViewPad 7" xfId="0"/>
    <cellStyle name="_LCD_VSE WFP_101029-with more ViewPad 7 2" xfId="0"/>
    <cellStyle name="_LCD_VSE WFP_101029-with more ViewPad 7 3" xfId="0"/>
    <cellStyle name="_LCD_VSE WFP_101029-with more ViewPad 7 4" xfId="0"/>
    <cellStyle name="_LCD_VSE WFP_101029-with more ViewPad 7_By Region" xfId="0"/>
    <cellStyle name="_LCD_VSE WFP_101029-with more ViewPad 7_CORP SG&amp;A" xfId="0"/>
    <cellStyle name="_LCD_VSE WFP_101029-with more ViewPad 7_Digitizer" xfId="0"/>
    <cellStyle name="_LCD_VSE WFP_101029-with more ViewPad 7_GPS OTHER" xfId="0"/>
    <cellStyle name="_LCD_VSE WFP_101029-with more ViewPad 7_GPS OTHER 2" xfId="0"/>
    <cellStyle name="_LCD_VSE WFP_101029-with more ViewPad 7_GPS OTHER 3" xfId="0"/>
    <cellStyle name="_LCD_VSE WFP_101029-with more ViewPad 7_GPS OTHER 4" xfId="0"/>
    <cellStyle name="_LCD_VSE WFP_101029-with more ViewPad 7_GPS OTHER 4 2" xfId="0"/>
    <cellStyle name="_LCD_VSE WFP_101029-with more ViewPad 7_GPS OTHER_By Region" xfId="0"/>
    <cellStyle name="_LCD_VSE WFP_101029-with more ViewPad 7_GPS OTHER_CORP SG&amp;A" xfId="0"/>
    <cellStyle name="_LCD_VSE WFP_101029-with more ViewPad 7_GPS OTHER_LCD" xfId="0"/>
    <cellStyle name="_LCD_VSE WFP_101029-with more ViewPad 7_GPS OTHER_PJ" xfId="0"/>
    <cellStyle name="_LCD_VSE WFP_101029-with more ViewPad 7_LCD" xfId="0"/>
    <cellStyle name="_LCD_VSE WFP_101029-with more ViewPad 7_LCD 2" xfId="0"/>
    <cellStyle name="_LCD_VSE WFP_101029-with more ViewPad 7_LCD 3" xfId="0"/>
    <cellStyle name="_LCD_VSE WFP_101029-with more ViewPad 7_LCD 4" xfId="0"/>
    <cellStyle name="_LCD_VSE WFP_101029-with more ViewPad 7_LCD_By Region" xfId="0"/>
    <cellStyle name="_LCD_VSE WFP_101029-with more ViewPad 7_LCD_CORP SG&amp;A" xfId="0"/>
    <cellStyle name="_LCD_VSE WFP_101029-with more ViewPad 7_LCD_LCD" xfId="0"/>
    <cellStyle name="_LCD_VSE WFP_101029-with more ViewPad 7_LCD_PJ" xfId="0"/>
    <cellStyle name="_LCD_VSE WFP_101029-with more ViewPad 7_PC Products" xfId="0"/>
    <cellStyle name="_LCD_VSE WFP_101029-with more ViewPad 7_PC Products 2" xfId="0"/>
    <cellStyle name="_LCD_VSE WFP_101029-with more ViewPad 7_PC Products 3" xfId="0"/>
    <cellStyle name="_LCD_VSE WFP_101029-with more ViewPad 7_PC Products 4" xfId="0"/>
    <cellStyle name="_LCD_VSE WFP_101029-with more ViewPad 7_PC Products 4 2" xfId="0"/>
    <cellStyle name="_LCD_VSE WFP_101029-with more ViewPad 7_PC Products_By Region" xfId="0"/>
    <cellStyle name="_LCD_VSE WFP_101029-with more ViewPad 7_PC Products_CORP SG&amp;A" xfId="0"/>
    <cellStyle name="_LCD_VSE WFP_101029-with more ViewPad 7_PC Products_LCD" xfId="0"/>
    <cellStyle name="_LCD_VSE WFP_101029-with more ViewPad 7_PC Products_PJ" xfId="0"/>
    <cellStyle name="_LCD_VSE WFP_101029-with more ViewPad 7_VSA 111014" xfId="0"/>
    <cellStyle name="_LCD_VSE WFP_101029-with more ViewPad 7_VSA 111014 2" xfId="0"/>
    <cellStyle name="_LCD_VSE WFP_101029-with more ViewPad 7_VSA 111014 3" xfId="0"/>
    <cellStyle name="_LCD_VSE WFP_101029-with more ViewPad 7_VSA 111014 4" xfId="0"/>
    <cellStyle name="_LCD_VSE WFP_101029-with more ViewPad 7_VSA 111014 4 2" xfId="0"/>
    <cellStyle name="_LCD_VSE WFP_101029-with more ViewPad 7_VSA 111014_By Region" xfId="0"/>
    <cellStyle name="_LCD_VSE WFP_101029-with more ViewPad 7_VSA 111014_CORP SG&amp;A" xfId="0"/>
    <cellStyle name="_LCD_VSE WFP_101029-with more ViewPad 7_VSA 111014_LCD" xfId="0"/>
    <cellStyle name="_LCD_VSE WFP_101029-with more ViewPad 7_VSA 111014_PJ" xfId="0"/>
    <cellStyle name="_LCD_VSE WFP_101029-with more ViewPad 7_VSA Roll-Up (LW)" xfId="0"/>
    <cellStyle name="_LCD_VSE WFP_101029-with more ViewPad 7_VSA Roll-Up (LW) 2" xfId="0"/>
    <cellStyle name="_LCD_VSE WFP_101029-with more ViewPad 7_VSA Roll-Up (LW) 3" xfId="0"/>
    <cellStyle name="_LCD_VSE WFP_101029-with more ViewPad 7_VSA Roll-Up (LW) 4" xfId="0"/>
    <cellStyle name="_LCD_VSE WFP_101029-with more ViewPad 7_VSA Roll-Up (LW) 4 2" xfId="0"/>
    <cellStyle name="_LCD_VSE WFP_101029-with more ViewPad 7_VSA Roll-Up (LW)_By Region" xfId="0"/>
    <cellStyle name="_LCD_VSE WFP_101029-with more ViewPad 7_VSA Roll-Up (LW)_CORP SG&amp;A" xfId="0"/>
    <cellStyle name="_LCD_VSE WFP_101029-with more ViewPad 7_VSA Roll-Up (LW)_LCD" xfId="0"/>
    <cellStyle name="_LCD_VSE WFP_101029-with more ViewPad 7_VSA Roll-Up (LW)_PJ" xfId="0"/>
    <cellStyle name="_LCDTV" xfId="0"/>
    <cellStyle name="_LCDTV 2" xfId="0"/>
    <cellStyle name="_LCDTV 3" xfId="0"/>
    <cellStyle name="_LCDTV 4" xfId="0"/>
    <cellStyle name="_LCDTV 5" xfId="0"/>
    <cellStyle name="_LCDTV DCR" xfId="0"/>
    <cellStyle name="_LCDTV DCR 2" xfId="0"/>
    <cellStyle name="_LCDTV DCR_13-wk VSI_Revised" xfId="0"/>
    <cellStyle name="_LCDTV DCR_13-wk VSI_Revised 2" xfId="0"/>
    <cellStyle name="_LCDTV DCR_DCR" xfId="0"/>
    <cellStyle name="_LCDTV DCR_DCR 2" xfId="0"/>
    <cellStyle name="_LCDTV DCR_VSE DCR Planning Model and Trend Charts 20100118" xfId="0"/>
    <cellStyle name="_LCDTV DCR_VSE DCR Planning Model and Trend Charts 20100118 2" xfId="0"/>
    <cellStyle name="_LCDTV DCR_VSE DCR Planning Model and Trend Charts 20100315" xfId="0"/>
    <cellStyle name="_LCDTV DCR_VSE DCR Planning Model and Trend Charts 20100315 2" xfId="0"/>
    <cellStyle name="_LCDTV DCR_WMR VSI" xfId="0"/>
    <cellStyle name="_LCDTV DCR_WMR VSI 2" xfId="0"/>
    <cellStyle name="_LCDTV_By Region" xfId="0"/>
    <cellStyle name="_LCDTV_CIS" xfId="0"/>
    <cellStyle name="_LCDTV_CIS 2" xfId="0"/>
    <cellStyle name="_LCDTV_CIS 3" xfId="0"/>
    <cellStyle name="_LCDTV_CIS 4" xfId="0"/>
    <cellStyle name="_LCDTV_CIS_By Region" xfId="0"/>
    <cellStyle name="_LCDTV_CIS_CORP SG&amp;A" xfId="0"/>
    <cellStyle name="_LCDTV_CIS_Digitizer" xfId="0"/>
    <cellStyle name="_LCDTV_CIS_GPS OTHER" xfId="0"/>
    <cellStyle name="_LCDTV_CIS_GPS OTHER 2" xfId="0"/>
    <cellStyle name="_LCDTV_CIS_GPS OTHER 3" xfId="0"/>
    <cellStyle name="_LCDTV_CIS_GPS OTHER 4" xfId="0"/>
    <cellStyle name="_LCDTV_CIS_GPS OTHER 4 2" xfId="0"/>
    <cellStyle name="_LCDTV_CIS_GPS OTHER_By Region" xfId="0"/>
    <cellStyle name="_LCDTV_CIS_GPS OTHER_CORP SG&amp;A" xfId="0"/>
    <cellStyle name="_LCDTV_CIS_GPS OTHER_LCD" xfId="0"/>
    <cellStyle name="_LCDTV_CIS_GPS OTHER_PJ" xfId="0"/>
    <cellStyle name="_LCDTV_CIS_LCD" xfId="0"/>
    <cellStyle name="_LCDTV_CIS_LCD 2" xfId="0"/>
    <cellStyle name="_LCDTV_CIS_LCD 3" xfId="0"/>
    <cellStyle name="_LCDTV_CIS_LCD 4" xfId="0"/>
    <cellStyle name="_LCDTV_CIS_LCD_By Region" xfId="0"/>
    <cellStyle name="_LCDTV_CIS_LCD_CORP SG&amp;A" xfId="0"/>
    <cellStyle name="_LCDTV_CIS_LCD_LCD" xfId="0"/>
    <cellStyle name="_LCDTV_CIS_LCD_PJ" xfId="0"/>
    <cellStyle name="_LCDTV_CIS_PC Products" xfId="0"/>
    <cellStyle name="_LCDTV_CIS_PC Products 2" xfId="0"/>
    <cellStyle name="_LCDTV_CIS_PC Products 3" xfId="0"/>
    <cellStyle name="_LCDTV_CIS_PC Products 4" xfId="0"/>
    <cellStyle name="_LCDTV_CIS_PC Products 4 2" xfId="0"/>
    <cellStyle name="_LCDTV_CIS_PC Products_By Region" xfId="0"/>
    <cellStyle name="_LCDTV_CIS_PC Products_CORP SG&amp;A" xfId="0"/>
    <cellStyle name="_LCDTV_CIS_PC Products_LCD" xfId="0"/>
    <cellStyle name="_LCDTV_CIS_PC Products_PJ" xfId="0"/>
    <cellStyle name="_LCDTV_CIS_VSA 111014" xfId="0"/>
    <cellStyle name="_LCDTV_CIS_VSA 111014 2" xfId="0"/>
    <cellStyle name="_LCDTV_CIS_VSA 111014 3" xfId="0"/>
    <cellStyle name="_LCDTV_CIS_VSA 111014 4" xfId="0"/>
    <cellStyle name="_LCDTV_CIS_VSA 111014 4 2" xfId="0"/>
    <cellStyle name="_LCDTV_CIS_VSA 111014_By Region" xfId="0"/>
    <cellStyle name="_LCDTV_CIS_VSA 111014_CORP SG&amp;A" xfId="0"/>
    <cellStyle name="_LCDTV_CIS_VSA 111014_LCD" xfId="0"/>
    <cellStyle name="_LCDTV_CIS_VSA 111014_PJ" xfId="0"/>
    <cellStyle name="_LCDTV_CIS_VSA Roll-Up (LW)" xfId="0"/>
    <cellStyle name="_LCDTV_CIS_VSA Roll-Up (LW) 2" xfId="0"/>
    <cellStyle name="_LCDTV_CIS_VSA Roll-Up (LW) 3" xfId="0"/>
    <cellStyle name="_LCDTV_CIS_VSA Roll-Up (LW) 4" xfId="0"/>
    <cellStyle name="_LCDTV_CIS_VSA Roll-Up (LW) 4 2" xfId="0"/>
    <cellStyle name="_LCDTV_CIS_VSA Roll-Up (LW)_By Region" xfId="0"/>
    <cellStyle name="_LCDTV_CIS_VSA Roll-Up (LW)_CORP SG&amp;A" xfId="0"/>
    <cellStyle name="_LCDTV_CIS_VSA Roll-Up (LW)_LCD" xfId="0"/>
    <cellStyle name="_LCDTV_CIS_VSA Roll-Up (LW)_PJ" xfId="0"/>
    <cellStyle name="_LCDTV_CORP SG&amp;A" xfId="0"/>
    <cellStyle name="_LCDTV_CRT" xfId="0"/>
    <cellStyle name="_LCDTV_CRT 2" xfId="0"/>
    <cellStyle name="_LCDTV_CRT 3" xfId="0"/>
    <cellStyle name="_LCDTV_CRT 4" xfId="0"/>
    <cellStyle name="_LCDTV_CRT_By Region" xfId="0"/>
    <cellStyle name="_LCDTV_CRT_CORP SG&amp;A" xfId="0"/>
    <cellStyle name="_LCDTV_CRT_Digitizer" xfId="0"/>
    <cellStyle name="_LCDTV_CRT_GPS OTHER" xfId="0"/>
    <cellStyle name="_LCDTV_CRT_GPS OTHER 2" xfId="0"/>
    <cellStyle name="_LCDTV_CRT_GPS OTHER 3" xfId="0"/>
    <cellStyle name="_LCDTV_CRT_GPS OTHER 4" xfId="0"/>
    <cellStyle name="_LCDTV_CRT_GPS OTHER 4 2" xfId="0"/>
    <cellStyle name="_LCDTV_CRT_GPS OTHER_By Region" xfId="0"/>
    <cellStyle name="_LCDTV_CRT_GPS OTHER_CORP SG&amp;A" xfId="0"/>
    <cellStyle name="_LCDTV_CRT_GPS OTHER_LCD" xfId="0"/>
    <cellStyle name="_LCDTV_CRT_GPS OTHER_PJ" xfId="0"/>
    <cellStyle name="_LCDTV_CRT_LCD" xfId="0"/>
    <cellStyle name="_LCDTV_CRT_LCD 2" xfId="0"/>
    <cellStyle name="_LCDTV_CRT_LCD 3" xfId="0"/>
    <cellStyle name="_LCDTV_CRT_LCD 4" xfId="0"/>
    <cellStyle name="_LCDTV_CRT_LCD_By Region" xfId="0"/>
    <cellStyle name="_LCDTV_CRT_LCD_CORP SG&amp;A" xfId="0"/>
    <cellStyle name="_LCDTV_CRT_LCD_LCD" xfId="0"/>
    <cellStyle name="_LCDTV_CRT_LCD_PJ" xfId="0"/>
    <cellStyle name="_LCDTV_CRT_PC Products" xfId="0"/>
    <cellStyle name="_LCDTV_CRT_PC Products 2" xfId="0"/>
    <cellStyle name="_LCDTV_CRT_PC Products 3" xfId="0"/>
    <cellStyle name="_LCDTV_CRT_PC Products 4" xfId="0"/>
    <cellStyle name="_LCDTV_CRT_PC Products 4 2" xfId="0"/>
    <cellStyle name="_LCDTV_CRT_PC Products_By Region" xfId="0"/>
    <cellStyle name="_LCDTV_CRT_PC Products_CORP SG&amp;A" xfId="0"/>
    <cellStyle name="_LCDTV_CRT_PC Products_LCD" xfId="0"/>
    <cellStyle name="_LCDTV_CRT_PC Products_PJ" xfId="0"/>
    <cellStyle name="_LCDTV_CRT_VSA 111014" xfId="0"/>
    <cellStyle name="_LCDTV_CRT_VSA 111014 2" xfId="0"/>
    <cellStyle name="_LCDTV_CRT_VSA 111014 3" xfId="0"/>
    <cellStyle name="_LCDTV_CRT_VSA 111014 4" xfId="0"/>
    <cellStyle name="_LCDTV_CRT_VSA 111014 4 2" xfId="0"/>
    <cellStyle name="_LCDTV_CRT_VSA 111014_By Region" xfId="0"/>
    <cellStyle name="_LCDTV_CRT_VSA 111014_CORP SG&amp;A" xfId="0"/>
    <cellStyle name="_LCDTV_CRT_VSA 111014_LCD" xfId="0"/>
    <cellStyle name="_LCDTV_CRT_VSA 111014_PJ" xfId="0"/>
    <cellStyle name="_LCDTV_CRT_VSA Roll-Up (LW)" xfId="0"/>
    <cellStyle name="_LCDTV_CRT_VSA Roll-Up (LW) 2" xfId="0"/>
    <cellStyle name="_LCDTV_CRT_VSA Roll-Up (LW) 3" xfId="0"/>
    <cellStyle name="_LCDTV_CRT_VSA Roll-Up (LW) 4" xfId="0"/>
    <cellStyle name="_LCDTV_CRT_VSA Roll-Up (LW) 4 2" xfId="0"/>
    <cellStyle name="_LCDTV_CRT_VSA Roll-Up (LW)_By Region" xfId="0"/>
    <cellStyle name="_LCDTV_CRT_VSA Roll-Up (LW)_CORP SG&amp;A" xfId="0"/>
    <cellStyle name="_LCDTV_CRT_VSA Roll-Up (LW)_LCD" xfId="0"/>
    <cellStyle name="_LCDTV_CRT_VSA Roll-Up (LW)_PJ" xfId="0"/>
    <cellStyle name="_LCDTV_Diff" xfId="0"/>
    <cellStyle name="_LCDTV_Diff 2" xfId="0"/>
    <cellStyle name="_LCDTV_Diff 3" xfId="0"/>
    <cellStyle name="_LCDTV_Diff 4" xfId="0"/>
    <cellStyle name="_LCDTV_Diff_By Region" xfId="0"/>
    <cellStyle name="_LCDTV_Diff_CORP SG&amp;A" xfId="0"/>
    <cellStyle name="_LCDTV_Diff_Digitizer" xfId="0"/>
    <cellStyle name="_LCDTV_Diff_GPS OTHER" xfId="0"/>
    <cellStyle name="_LCDTV_Diff_GPS OTHER 2" xfId="0"/>
    <cellStyle name="_LCDTV_Diff_GPS OTHER 3" xfId="0"/>
    <cellStyle name="_LCDTV_Diff_GPS OTHER 4" xfId="0"/>
    <cellStyle name="_LCDTV_Diff_GPS OTHER 4 2" xfId="0"/>
    <cellStyle name="_LCDTV_Diff_GPS OTHER_By Region" xfId="0"/>
    <cellStyle name="_LCDTV_Diff_GPS OTHER_CORP SG&amp;A" xfId="0"/>
    <cellStyle name="_LCDTV_Diff_GPS OTHER_LCD" xfId="0"/>
    <cellStyle name="_LCDTV_Diff_GPS OTHER_PJ" xfId="0"/>
    <cellStyle name="_LCDTV_Diff_LCD" xfId="0"/>
    <cellStyle name="_LCDTV_Diff_LCD 2" xfId="0"/>
    <cellStyle name="_LCDTV_Diff_LCD 3" xfId="0"/>
    <cellStyle name="_LCDTV_Diff_LCD 4" xfId="0"/>
    <cellStyle name="_LCDTV_Diff_LCD_By Region" xfId="0"/>
    <cellStyle name="_LCDTV_Diff_LCD_CORP SG&amp;A" xfId="0"/>
    <cellStyle name="_LCDTV_Diff_LCD_LCD" xfId="0"/>
    <cellStyle name="_LCDTV_Diff_LCD_PJ" xfId="0"/>
    <cellStyle name="_LCDTV_Diff_PC Products" xfId="0"/>
    <cellStyle name="_LCDTV_Diff_PC Products 2" xfId="0"/>
    <cellStyle name="_LCDTV_Diff_PC Products 3" xfId="0"/>
    <cellStyle name="_LCDTV_Diff_PC Products 4" xfId="0"/>
    <cellStyle name="_LCDTV_Diff_PC Products 4 2" xfId="0"/>
    <cellStyle name="_LCDTV_Diff_PC Products_By Region" xfId="0"/>
    <cellStyle name="_LCDTV_Diff_PC Products_CORP SG&amp;A" xfId="0"/>
    <cellStyle name="_LCDTV_Diff_PC Products_LCD" xfId="0"/>
    <cellStyle name="_LCDTV_Diff_PC Products_PJ" xfId="0"/>
    <cellStyle name="_LCDTV_Diff_VSA 111014" xfId="0"/>
    <cellStyle name="_LCDTV_Diff_VSA 111014 2" xfId="0"/>
    <cellStyle name="_LCDTV_Diff_VSA 111014 3" xfId="0"/>
    <cellStyle name="_LCDTV_Diff_VSA 111014 4" xfId="0"/>
    <cellStyle name="_LCDTV_Diff_VSA 111014 4 2" xfId="0"/>
    <cellStyle name="_LCDTV_Diff_VSA 111014_By Region" xfId="0"/>
    <cellStyle name="_LCDTV_Diff_VSA 111014_CORP SG&amp;A" xfId="0"/>
    <cellStyle name="_LCDTV_Diff_VSA 111014_LCD" xfId="0"/>
    <cellStyle name="_LCDTV_Diff_VSA 111014_PJ" xfId="0"/>
    <cellStyle name="_LCDTV_Diff_VSA Roll-Up (LW)" xfId="0"/>
    <cellStyle name="_LCDTV_Diff_VSA Roll-Up (LW) 2" xfId="0"/>
    <cellStyle name="_LCDTV_Diff_VSA Roll-Up (LW) 3" xfId="0"/>
    <cellStyle name="_LCDTV_Diff_VSA Roll-Up (LW) 4" xfId="0"/>
    <cellStyle name="_LCDTV_Diff_VSA Roll-Up (LW) 4 2" xfId="0"/>
    <cellStyle name="_LCDTV_Diff_VSA Roll-Up (LW)_By Region" xfId="0"/>
    <cellStyle name="_LCDTV_Diff_VSA Roll-Up (LW)_CORP SG&amp;A" xfId="0"/>
    <cellStyle name="_LCDTV_Diff_VSA Roll-Up (LW)_LCD" xfId="0"/>
    <cellStyle name="_LCDTV_Diff_VSA Roll-Up (LW)_PJ" xfId="0"/>
    <cellStyle name="_LCDTV_Digital Product" xfId="0"/>
    <cellStyle name="_LCDTV_Digital Product 2" xfId="0"/>
    <cellStyle name="_LCDTV_Digital Product 3" xfId="0"/>
    <cellStyle name="_LCDTV_Digital Product 4" xfId="0"/>
    <cellStyle name="_LCDTV_Digital Product_By Region" xfId="0"/>
    <cellStyle name="_LCDTV_Digital Product_CORP SG&amp;A" xfId="0"/>
    <cellStyle name="_LCDTV_Digital Product_Digitizer" xfId="0"/>
    <cellStyle name="_LCDTV_Digital Product_GPS OTHER" xfId="0"/>
    <cellStyle name="_LCDTV_Digital Product_GPS OTHER 2" xfId="0"/>
    <cellStyle name="_LCDTV_Digital Product_GPS OTHER 3" xfId="0"/>
    <cellStyle name="_LCDTV_Digital Product_GPS OTHER 4" xfId="0"/>
    <cellStyle name="_LCDTV_Digital Product_GPS OTHER 4 2" xfId="0"/>
    <cellStyle name="_LCDTV_Digital Product_GPS OTHER_By Region" xfId="0"/>
    <cellStyle name="_LCDTV_Digital Product_GPS OTHER_CORP SG&amp;A" xfId="0"/>
    <cellStyle name="_LCDTV_Digital Product_GPS OTHER_LCD" xfId="0"/>
    <cellStyle name="_LCDTV_Digital Product_GPS OTHER_PJ" xfId="0"/>
    <cellStyle name="_LCDTV_Digital Product_LCD" xfId="0"/>
    <cellStyle name="_LCDTV_Digital Product_LCD 2" xfId="0"/>
    <cellStyle name="_LCDTV_Digital Product_LCD 3" xfId="0"/>
    <cellStyle name="_LCDTV_Digital Product_LCD 4" xfId="0"/>
    <cellStyle name="_LCDTV_Digital Product_LCD_By Region" xfId="0"/>
    <cellStyle name="_LCDTV_Digital Product_LCD_CORP SG&amp;A" xfId="0"/>
    <cellStyle name="_LCDTV_Digital Product_LCD_LCD" xfId="0"/>
    <cellStyle name="_LCDTV_Digital Product_LCD_PJ" xfId="0"/>
    <cellStyle name="_LCDTV_Digital Product_PC Products" xfId="0"/>
    <cellStyle name="_LCDTV_Digital Product_PC Products 2" xfId="0"/>
    <cellStyle name="_LCDTV_Digital Product_PC Products 3" xfId="0"/>
    <cellStyle name="_LCDTV_Digital Product_PC Products 4" xfId="0"/>
    <cellStyle name="_LCDTV_Digital Product_PC Products 4 2" xfId="0"/>
    <cellStyle name="_LCDTV_Digital Product_PC Products_By Region" xfId="0"/>
    <cellStyle name="_LCDTV_Digital Product_PC Products_CORP SG&amp;A" xfId="0"/>
    <cellStyle name="_LCDTV_Digital Product_PC Products_LCD" xfId="0"/>
    <cellStyle name="_LCDTV_Digital Product_PC Products_PJ" xfId="0"/>
    <cellStyle name="_LCDTV_Digital Product_VSA 111014" xfId="0"/>
    <cellStyle name="_LCDTV_Digital Product_VSA 111014 2" xfId="0"/>
    <cellStyle name="_LCDTV_Digital Product_VSA 111014 3" xfId="0"/>
    <cellStyle name="_LCDTV_Digital Product_VSA 111014 4" xfId="0"/>
    <cellStyle name="_LCDTV_Digital Product_VSA 111014 4 2" xfId="0"/>
    <cellStyle name="_LCDTV_Digital Product_VSA 111014_By Region" xfId="0"/>
    <cellStyle name="_LCDTV_Digital Product_VSA 111014_CORP SG&amp;A" xfId="0"/>
    <cellStyle name="_LCDTV_Digital Product_VSA 111014_LCD" xfId="0"/>
    <cellStyle name="_LCDTV_Digital Product_VSA 111014_PJ" xfId="0"/>
    <cellStyle name="_LCDTV_Digital Product_VSA Roll-Up (LW)" xfId="0"/>
    <cellStyle name="_LCDTV_Digital Product_VSA Roll-Up (LW) 2" xfId="0"/>
    <cellStyle name="_LCDTV_Digital Product_VSA Roll-Up (LW) 3" xfId="0"/>
    <cellStyle name="_LCDTV_Digital Product_VSA Roll-Up (LW) 4" xfId="0"/>
    <cellStyle name="_LCDTV_Digital Product_VSA Roll-Up (LW) 4 2" xfId="0"/>
    <cellStyle name="_LCDTV_Digital Product_VSA Roll-Up (LW)_By Region" xfId="0"/>
    <cellStyle name="_LCDTV_Digital Product_VSA Roll-Up (LW)_CORP SG&amp;A" xfId="0"/>
    <cellStyle name="_LCDTV_Digital Product_VSA Roll-Up (LW)_LCD" xfId="0"/>
    <cellStyle name="_LCDTV_Digital Product_VSA Roll-Up (LW)_PJ" xfId="0"/>
    <cellStyle name="_LCDTV_Digital Signage" xfId="0"/>
    <cellStyle name="_LCDTV_Digital Signage 2" xfId="0"/>
    <cellStyle name="_LCDTV_Digital Signage 3" xfId="0"/>
    <cellStyle name="_LCDTV_Digital Signage 4" xfId="0"/>
    <cellStyle name="_LCDTV_Digital Signage_By Region" xfId="0"/>
    <cellStyle name="_LCDTV_Digital Signage_CORP SG&amp;A" xfId="0"/>
    <cellStyle name="_LCDTV_Digital Signage_Digitizer" xfId="0"/>
    <cellStyle name="_LCDTV_Digital Signage_GPS OTHER" xfId="0"/>
    <cellStyle name="_LCDTV_Digital Signage_GPS OTHER 2" xfId="0"/>
    <cellStyle name="_LCDTV_Digital Signage_GPS OTHER 3" xfId="0"/>
    <cellStyle name="_LCDTV_Digital Signage_GPS OTHER 4" xfId="0"/>
    <cellStyle name="_LCDTV_Digital Signage_GPS OTHER 4 2" xfId="0"/>
    <cellStyle name="_LCDTV_Digital Signage_GPS OTHER_By Region" xfId="0"/>
    <cellStyle name="_LCDTV_Digital Signage_GPS OTHER_CORP SG&amp;A" xfId="0"/>
    <cellStyle name="_LCDTV_Digital Signage_GPS OTHER_LCD" xfId="0"/>
    <cellStyle name="_LCDTV_Digital Signage_GPS OTHER_PJ" xfId="0"/>
    <cellStyle name="_LCDTV_Digital Signage_LCD" xfId="0"/>
    <cellStyle name="_LCDTV_Digital Signage_LCD 2" xfId="0"/>
    <cellStyle name="_LCDTV_Digital Signage_LCD 3" xfId="0"/>
    <cellStyle name="_LCDTV_Digital Signage_LCD 4" xfId="0"/>
    <cellStyle name="_LCDTV_Digital Signage_LCD_By Region" xfId="0"/>
    <cellStyle name="_LCDTV_Digital Signage_LCD_CORP SG&amp;A" xfId="0"/>
    <cellStyle name="_LCDTV_Digital Signage_LCD_LCD" xfId="0"/>
    <cellStyle name="_LCDTV_Digital Signage_LCD_PJ" xfId="0"/>
    <cellStyle name="_LCDTV_Digital Signage_PC Products" xfId="0"/>
    <cellStyle name="_LCDTV_Digital Signage_PC Products 2" xfId="0"/>
    <cellStyle name="_LCDTV_Digital Signage_PC Products 3" xfId="0"/>
    <cellStyle name="_LCDTV_Digital Signage_PC Products 4" xfId="0"/>
    <cellStyle name="_LCDTV_Digital Signage_PC Products 4 2" xfId="0"/>
    <cellStyle name="_LCDTV_Digital Signage_PC Products_By Region" xfId="0"/>
    <cellStyle name="_LCDTV_Digital Signage_PC Products_CORP SG&amp;A" xfId="0"/>
    <cellStyle name="_LCDTV_Digital Signage_PC Products_LCD" xfId="0"/>
    <cellStyle name="_LCDTV_Digital Signage_PC Products_PJ" xfId="0"/>
    <cellStyle name="_LCDTV_Digital Signage_VSA 111014" xfId="0"/>
    <cellStyle name="_LCDTV_Digital Signage_VSA 111014 2" xfId="0"/>
    <cellStyle name="_LCDTV_Digital Signage_VSA 111014 3" xfId="0"/>
    <cellStyle name="_LCDTV_Digital Signage_VSA 111014 4" xfId="0"/>
    <cellStyle name="_LCDTV_Digital Signage_VSA 111014 4 2" xfId="0"/>
    <cellStyle name="_LCDTV_Digital Signage_VSA 111014_By Region" xfId="0"/>
    <cellStyle name="_LCDTV_Digital Signage_VSA 111014_CORP SG&amp;A" xfId="0"/>
    <cellStyle name="_LCDTV_Digital Signage_VSA 111014_LCD" xfId="0"/>
    <cellStyle name="_LCDTV_Digital Signage_VSA 111014_PJ" xfId="0"/>
    <cellStyle name="_LCDTV_Digital Signage_VSA Roll-Up (LW)" xfId="0"/>
    <cellStyle name="_LCDTV_Digital Signage_VSA Roll-Up (LW) 2" xfId="0"/>
    <cellStyle name="_LCDTV_Digital Signage_VSA Roll-Up (LW) 3" xfId="0"/>
    <cellStyle name="_LCDTV_Digital Signage_VSA Roll-Up (LW) 4" xfId="0"/>
    <cellStyle name="_LCDTV_Digital Signage_VSA Roll-Up (LW) 4 2" xfId="0"/>
    <cellStyle name="_LCDTV_Digital Signage_VSA Roll-Up (LW)_By Region" xfId="0"/>
    <cellStyle name="_LCDTV_Digital Signage_VSA Roll-Up (LW)_CORP SG&amp;A" xfId="0"/>
    <cellStyle name="_LCDTV_Digital Signage_VSA Roll-Up (LW)_LCD" xfId="0"/>
    <cellStyle name="_LCDTV_Digital Signage_VSA Roll-Up (LW)_PJ" xfId="0"/>
    <cellStyle name="_LCDTV_Digitizer" xfId="0"/>
    <cellStyle name="_LCDTV_DMA(VMP)" xfId="0"/>
    <cellStyle name="_LCDTV_DMA(VMP) 2" xfId="0"/>
    <cellStyle name="_LCDTV_DMA(VMP) 3" xfId="0"/>
    <cellStyle name="_LCDTV_DMA(VMP) 4" xfId="0"/>
    <cellStyle name="_LCDTV_DMA(VMP)_By Region" xfId="0"/>
    <cellStyle name="_LCDTV_DMA(VMP)_CORP SG&amp;A" xfId="0"/>
    <cellStyle name="_LCDTV_DMA(VMP)_Digitizer" xfId="0"/>
    <cellStyle name="_LCDTV_DMA(VMP)_GPS OTHER" xfId="0"/>
    <cellStyle name="_LCDTV_DMA(VMP)_GPS OTHER 2" xfId="0"/>
    <cellStyle name="_LCDTV_DMA(VMP)_GPS OTHER 3" xfId="0"/>
    <cellStyle name="_LCDTV_DMA(VMP)_GPS OTHER 4" xfId="0"/>
    <cellStyle name="_LCDTV_DMA(VMP)_GPS OTHER 4 2" xfId="0"/>
    <cellStyle name="_LCDTV_DMA(VMP)_GPS OTHER_By Region" xfId="0"/>
    <cellStyle name="_LCDTV_DMA(VMP)_GPS OTHER_CORP SG&amp;A" xfId="0"/>
    <cellStyle name="_LCDTV_DMA(VMP)_GPS OTHER_LCD" xfId="0"/>
    <cellStyle name="_LCDTV_DMA(VMP)_GPS OTHER_PJ" xfId="0"/>
    <cellStyle name="_LCDTV_DMA(VMP)_LCD" xfId="0"/>
    <cellStyle name="_LCDTV_DMA(VMP)_LCD 2" xfId="0"/>
    <cellStyle name="_LCDTV_DMA(VMP)_LCD 3" xfId="0"/>
    <cellStyle name="_LCDTV_DMA(VMP)_LCD 4" xfId="0"/>
    <cellStyle name="_LCDTV_DMA(VMP)_LCD_By Region" xfId="0"/>
    <cellStyle name="_LCDTV_DMA(VMP)_LCD_CORP SG&amp;A" xfId="0"/>
    <cellStyle name="_LCDTV_DMA(VMP)_LCD_LCD" xfId="0"/>
    <cellStyle name="_LCDTV_DMA(VMP)_LCD_PJ" xfId="0"/>
    <cellStyle name="_LCDTV_DMA(VMP)_PC Products" xfId="0"/>
    <cellStyle name="_LCDTV_DMA(VMP)_PC Products 2" xfId="0"/>
    <cellStyle name="_LCDTV_DMA(VMP)_PC Products 3" xfId="0"/>
    <cellStyle name="_LCDTV_DMA(VMP)_PC Products 4" xfId="0"/>
    <cellStyle name="_LCDTV_DMA(VMP)_PC Products 4 2" xfId="0"/>
    <cellStyle name="_LCDTV_DMA(VMP)_PC Products_By Region" xfId="0"/>
    <cellStyle name="_LCDTV_DMA(VMP)_PC Products_CORP SG&amp;A" xfId="0"/>
    <cellStyle name="_LCDTV_DMA(VMP)_PC Products_LCD" xfId="0"/>
    <cellStyle name="_LCDTV_DMA(VMP)_PC Products_PJ" xfId="0"/>
    <cellStyle name="_LCDTV_DMA(VMP)_VSA 111014" xfId="0"/>
    <cellStyle name="_LCDTV_DMA(VMP)_VSA 111014 2" xfId="0"/>
    <cellStyle name="_LCDTV_DMA(VMP)_VSA 111014 3" xfId="0"/>
    <cellStyle name="_LCDTV_DMA(VMP)_VSA 111014 4" xfId="0"/>
    <cellStyle name="_LCDTV_DMA(VMP)_VSA 111014 4 2" xfId="0"/>
    <cellStyle name="_LCDTV_DMA(VMP)_VSA 111014_By Region" xfId="0"/>
    <cellStyle name="_LCDTV_DMA(VMP)_VSA 111014_CORP SG&amp;A" xfId="0"/>
    <cellStyle name="_LCDTV_DMA(VMP)_VSA 111014_LCD" xfId="0"/>
    <cellStyle name="_LCDTV_DMA(VMP)_VSA 111014_PJ" xfId="0"/>
    <cellStyle name="_LCDTV_DMA(VMP)_VSA Roll-Up (LW)" xfId="0"/>
    <cellStyle name="_LCDTV_DMA(VMP)_VSA Roll-Up (LW) 2" xfId="0"/>
    <cellStyle name="_LCDTV_DMA(VMP)_VSA Roll-Up (LW) 3" xfId="0"/>
    <cellStyle name="_LCDTV_DMA(VMP)_VSA Roll-Up (LW) 4" xfId="0"/>
    <cellStyle name="_LCDTV_DMA(VMP)_VSA Roll-Up (LW) 4 2" xfId="0"/>
    <cellStyle name="_LCDTV_DMA(VMP)_VSA Roll-Up (LW)_By Region" xfId="0"/>
    <cellStyle name="_LCDTV_DMA(VMP)_VSA Roll-Up (LW)_CORP SG&amp;A" xfId="0"/>
    <cellStyle name="_LCDTV_DMA(VMP)_VSA Roll-Up (LW)_LCD" xfId="0"/>
    <cellStyle name="_LCDTV_DMA(VMP)_VSA Roll-Up (LW)_PJ" xfId="0"/>
    <cellStyle name="_LCDTV_DPF" xfId="0"/>
    <cellStyle name="_LCDTV_DPF 2" xfId="0"/>
    <cellStyle name="_LCDTV_DPF 3" xfId="0"/>
    <cellStyle name="_LCDTV_DPF 4" xfId="0"/>
    <cellStyle name="_LCDTV_DPF_By Region" xfId="0"/>
    <cellStyle name="_LCDTV_DPF_CORP SG&amp;A" xfId="0"/>
    <cellStyle name="_LCDTV_DPF_Digitizer" xfId="0"/>
    <cellStyle name="_LCDTV_DPF_GPS OTHER" xfId="0"/>
    <cellStyle name="_LCDTV_DPF_GPS OTHER 2" xfId="0"/>
    <cellStyle name="_LCDTV_DPF_GPS OTHER 3" xfId="0"/>
    <cellStyle name="_LCDTV_DPF_GPS OTHER 4" xfId="0"/>
    <cellStyle name="_LCDTV_DPF_GPS OTHER 4 2" xfId="0"/>
    <cellStyle name="_LCDTV_DPF_GPS OTHER_By Region" xfId="0"/>
    <cellStyle name="_LCDTV_DPF_GPS OTHER_CORP SG&amp;A" xfId="0"/>
    <cellStyle name="_LCDTV_DPF_GPS OTHER_LCD" xfId="0"/>
    <cellStyle name="_LCDTV_DPF_GPS OTHER_PJ" xfId="0"/>
    <cellStyle name="_LCDTV_DPF_LCD" xfId="0"/>
    <cellStyle name="_LCDTV_DPF_LCD 2" xfId="0"/>
    <cellStyle name="_LCDTV_DPF_LCD 3" xfId="0"/>
    <cellStyle name="_LCDTV_DPF_LCD 4" xfId="0"/>
    <cellStyle name="_LCDTV_DPF_LCD_By Region" xfId="0"/>
    <cellStyle name="_LCDTV_DPF_LCD_CORP SG&amp;A" xfId="0"/>
    <cellStyle name="_LCDTV_DPF_LCD_LCD" xfId="0"/>
    <cellStyle name="_LCDTV_DPF_LCD_PJ" xfId="0"/>
    <cellStyle name="_LCDTV_DPF_PC Products" xfId="0"/>
    <cellStyle name="_LCDTV_DPF_PC Products 2" xfId="0"/>
    <cellStyle name="_LCDTV_DPF_PC Products 3" xfId="0"/>
    <cellStyle name="_LCDTV_DPF_PC Products 4" xfId="0"/>
    <cellStyle name="_LCDTV_DPF_PC Products 4 2" xfId="0"/>
    <cellStyle name="_LCDTV_DPF_PC Products_By Region" xfId="0"/>
    <cellStyle name="_LCDTV_DPF_PC Products_CORP SG&amp;A" xfId="0"/>
    <cellStyle name="_LCDTV_DPF_PC Products_LCD" xfId="0"/>
    <cellStyle name="_LCDTV_DPF_PC Products_PJ" xfId="0"/>
    <cellStyle name="_LCDTV_DPF_VSA 111014" xfId="0"/>
    <cellStyle name="_LCDTV_DPF_VSA 111014 2" xfId="0"/>
    <cellStyle name="_LCDTV_DPF_VSA 111014 3" xfId="0"/>
    <cellStyle name="_LCDTV_DPF_VSA 111014 4" xfId="0"/>
    <cellStyle name="_LCDTV_DPF_VSA 111014 4 2" xfId="0"/>
    <cellStyle name="_LCDTV_DPF_VSA 111014_By Region" xfId="0"/>
    <cellStyle name="_LCDTV_DPF_VSA 111014_CORP SG&amp;A" xfId="0"/>
    <cellStyle name="_LCDTV_DPF_VSA 111014_LCD" xfId="0"/>
    <cellStyle name="_LCDTV_DPF_VSA 111014_PJ" xfId="0"/>
    <cellStyle name="_LCDTV_DPF_VSA Roll-Up (LW)" xfId="0"/>
    <cellStyle name="_LCDTV_DPF_VSA Roll-Up (LW) 2" xfId="0"/>
    <cellStyle name="_LCDTV_DPF_VSA Roll-Up (LW) 3" xfId="0"/>
    <cellStyle name="_LCDTV_DPF_VSA Roll-Up (LW) 4" xfId="0"/>
    <cellStyle name="_LCDTV_DPF_VSA Roll-Up (LW) 4 2" xfId="0"/>
    <cellStyle name="_LCDTV_DPF_VSA Roll-Up (LW)_By Region" xfId="0"/>
    <cellStyle name="_LCDTV_DPF_VSA Roll-Up (LW)_CORP SG&amp;A" xfId="0"/>
    <cellStyle name="_LCDTV_DPF_VSA Roll-Up (LW)_LCD" xfId="0"/>
    <cellStyle name="_LCDTV_DPF_VSA Roll-Up (LW)_PJ" xfId="0"/>
    <cellStyle name="_LCDTV_DS" xfId="0"/>
    <cellStyle name="_LCDTV_DS 2" xfId="0"/>
    <cellStyle name="_LCDTV_DS 3" xfId="0"/>
    <cellStyle name="_LCDTV_DS 4" xfId="0"/>
    <cellStyle name="_LCDTV_DS_By Region" xfId="0"/>
    <cellStyle name="_LCDTV_DS_CORP SG&amp;A" xfId="0"/>
    <cellStyle name="_LCDTV_DS_Digitizer" xfId="0"/>
    <cellStyle name="_LCDTV_DS_GPS OTHER" xfId="0"/>
    <cellStyle name="_LCDTV_DS_GPS OTHER 2" xfId="0"/>
    <cellStyle name="_LCDTV_DS_GPS OTHER 3" xfId="0"/>
    <cellStyle name="_LCDTV_DS_GPS OTHER 4" xfId="0"/>
    <cellStyle name="_LCDTV_DS_GPS OTHER 4 2" xfId="0"/>
    <cellStyle name="_LCDTV_DS_GPS OTHER_By Region" xfId="0"/>
    <cellStyle name="_LCDTV_DS_GPS OTHER_CORP SG&amp;A" xfId="0"/>
    <cellStyle name="_LCDTV_DS_GPS OTHER_LCD" xfId="0"/>
    <cellStyle name="_LCDTV_DS_GPS OTHER_PJ" xfId="0"/>
    <cellStyle name="_LCDTV_DS_LCD" xfId="0"/>
    <cellStyle name="_LCDTV_DS_LCD 2" xfId="0"/>
    <cellStyle name="_LCDTV_DS_LCD 3" xfId="0"/>
    <cellStyle name="_LCDTV_DS_LCD 4" xfId="0"/>
    <cellStyle name="_LCDTV_DS_LCD_By Region" xfId="0"/>
    <cellStyle name="_LCDTV_DS_LCD_CORP SG&amp;A" xfId="0"/>
    <cellStyle name="_LCDTV_DS_LCD_LCD" xfId="0"/>
    <cellStyle name="_LCDTV_DS_LCD_PJ" xfId="0"/>
    <cellStyle name="_LCDTV_DS_PC Products" xfId="0"/>
    <cellStyle name="_LCDTV_DS_PC Products 2" xfId="0"/>
    <cellStyle name="_LCDTV_DS_PC Products 3" xfId="0"/>
    <cellStyle name="_LCDTV_DS_PC Products 4" xfId="0"/>
    <cellStyle name="_LCDTV_DS_PC Products 4 2" xfId="0"/>
    <cellStyle name="_LCDTV_DS_PC Products_By Region" xfId="0"/>
    <cellStyle name="_LCDTV_DS_PC Products_CORP SG&amp;A" xfId="0"/>
    <cellStyle name="_LCDTV_DS_PC Products_LCD" xfId="0"/>
    <cellStyle name="_LCDTV_DS_PC Products_PJ" xfId="0"/>
    <cellStyle name="_LCDTV_DS_VSA 111014" xfId="0"/>
    <cellStyle name="_LCDTV_DS_VSA 111014 2" xfId="0"/>
    <cellStyle name="_LCDTV_DS_VSA 111014 3" xfId="0"/>
    <cellStyle name="_LCDTV_DS_VSA 111014 4" xfId="0"/>
    <cellStyle name="_LCDTV_DS_VSA 111014 4 2" xfId="0"/>
    <cellStyle name="_LCDTV_DS_VSA 111014_By Region" xfId="0"/>
    <cellStyle name="_LCDTV_DS_VSA 111014_CORP SG&amp;A" xfId="0"/>
    <cellStyle name="_LCDTV_DS_VSA 111014_LCD" xfId="0"/>
    <cellStyle name="_LCDTV_DS_VSA 111014_PJ" xfId="0"/>
    <cellStyle name="_LCDTV_DS_VSA Roll-Up (LW)" xfId="0"/>
    <cellStyle name="_LCDTV_DS_VSA Roll-Up (LW) 2" xfId="0"/>
    <cellStyle name="_LCDTV_DS_VSA Roll-Up (LW) 3" xfId="0"/>
    <cellStyle name="_LCDTV_DS_VSA Roll-Up (LW) 4" xfId="0"/>
    <cellStyle name="_LCDTV_DS_VSA Roll-Up (LW) 4 2" xfId="0"/>
    <cellStyle name="_LCDTV_DS_VSA Roll-Up (LW)_By Region" xfId="0"/>
    <cellStyle name="_LCDTV_DS_VSA Roll-Up (LW)_CORP SG&amp;A" xfId="0"/>
    <cellStyle name="_LCDTV_DS_VSA Roll-Up (LW)_LCD" xfId="0"/>
    <cellStyle name="_LCDTV_DS_VSA Roll-Up (LW)_PJ" xfId="0"/>
    <cellStyle name="_LCDTV_DVD_TV" xfId="0"/>
    <cellStyle name="_LCDTV_DVD_TV 2" xfId="0"/>
    <cellStyle name="_LCDTV_DVD_TV 3" xfId="0"/>
    <cellStyle name="_LCDTV_DVD_TV 4" xfId="0"/>
    <cellStyle name="_LCDTV_DVD_TV_By Region" xfId="0"/>
    <cellStyle name="_LCDTV_DVD_TV_CORP SG&amp;A" xfId="0"/>
    <cellStyle name="_LCDTV_DVD_TV_Digitizer" xfId="0"/>
    <cellStyle name="_LCDTV_DVD_TV_GPS OTHER" xfId="0"/>
    <cellStyle name="_LCDTV_DVD_TV_GPS OTHER 2" xfId="0"/>
    <cellStyle name="_LCDTV_DVD_TV_GPS OTHER 3" xfId="0"/>
    <cellStyle name="_LCDTV_DVD_TV_GPS OTHER 4" xfId="0"/>
    <cellStyle name="_LCDTV_DVD_TV_GPS OTHER 4 2" xfId="0"/>
    <cellStyle name="_LCDTV_DVD_TV_GPS OTHER_By Region" xfId="0"/>
    <cellStyle name="_LCDTV_DVD_TV_GPS OTHER_CORP SG&amp;A" xfId="0"/>
    <cellStyle name="_LCDTV_DVD_TV_GPS OTHER_LCD" xfId="0"/>
    <cellStyle name="_LCDTV_DVD_TV_GPS OTHER_PJ" xfId="0"/>
    <cellStyle name="_LCDTV_DVD_TV_LCD" xfId="0"/>
    <cellStyle name="_LCDTV_DVD_TV_LCD 2" xfId="0"/>
    <cellStyle name="_LCDTV_DVD_TV_LCD 3" xfId="0"/>
    <cellStyle name="_LCDTV_DVD_TV_LCD 4" xfId="0"/>
    <cellStyle name="_LCDTV_DVD_TV_LCD_By Region" xfId="0"/>
    <cellStyle name="_LCDTV_DVD_TV_LCD_CORP SG&amp;A" xfId="0"/>
    <cellStyle name="_LCDTV_DVD_TV_LCD_LCD" xfId="0"/>
    <cellStyle name="_LCDTV_DVD_TV_LCD_PJ" xfId="0"/>
    <cellStyle name="_LCDTV_DVD_TV_PC Products" xfId="0"/>
    <cellStyle name="_LCDTV_DVD_TV_PC Products 2" xfId="0"/>
    <cellStyle name="_LCDTV_DVD_TV_PC Products 3" xfId="0"/>
    <cellStyle name="_LCDTV_DVD_TV_PC Products 4" xfId="0"/>
    <cellStyle name="_LCDTV_DVD_TV_PC Products 4 2" xfId="0"/>
    <cellStyle name="_LCDTV_DVD_TV_PC Products_By Region" xfId="0"/>
    <cellStyle name="_LCDTV_DVD_TV_PC Products_CORP SG&amp;A" xfId="0"/>
    <cellStyle name="_LCDTV_DVD_TV_PC Products_LCD" xfId="0"/>
    <cellStyle name="_LCDTV_DVD_TV_PC Products_PJ" xfId="0"/>
    <cellStyle name="_LCDTV_DVD_TV_VSA 111014" xfId="0"/>
    <cellStyle name="_LCDTV_DVD_TV_VSA 111014 2" xfId="0"/>
    <cellStyle name="_LCDTV_DVD_TV_VSA 111014 3" xfId="0"/>
    <cellStyle name="_LCDTV_DVD_TV_VSA 111014 4" xfId="0"/>
    <cellStyle name="_LCDTV_DVD_TV_VSA 111014 4 2" xfId="0"/>
    <cellStyle name="_LCDTV_DVD_TV_VSA 111014_By Region" xfId="0"/>
    <cellStyle name="_LCDTV_DVD_TV_VSA 111014_CORP SG&amp;A" xfId="0"/>
    <cellStyle name="_LCDTV_DVD_TV_VSA 111014_LCD" xfId="0"/>
    <cellStyle name="_LCDTV_DVD_TV_VSA 111014_PJ" xfId="0"/>
    <cellStyle name="_LCDTV_DVD_TV_VSA Roll-Up (LW)" xfId="0"/>
    <cellStyle name="_LCDTV_DVD_TV_VSA Roll-Up (LW) 2" xfId="0"/>
    <cellStyle name="_LCDTV_DVD_TV_VSA Roll-Up (LW) 3" xfId="0"/>
    <cellStyle name="_LCDTV_DVD_TV_VSA Roll-Up (LW) 4" xfId="0"/>
    <cellStyle name="_LCDTV_DVD_TV_VSA Roll-Up (LW) 4 2" xfId="0"/>
    <cellStyle name="_LCDTV_DVD_TV_VSA Roll-Up (LW)_By Region" xfId="0"/>
    <cellStyle name="_LCDTV_DVD_TV_VSA Roll-Up (LW)_CORP SG&amp;A" xfId="0"/>
    <cellStyle name="_LCDTV_DVD_TV_VSA Roll-Up (LW)_LCD" xfId="0"/>
    <cellStyle name="_LCDTV_DVD_TV_VSA Roll-Up (LW)_PJ" xfId="0"/>
    <cellStyle name="_LCDTV_GPS OTHER" xfId="0"/>
    <cellStyle name="_LCDTV_GPS OTHER 2" xfId="0"/>
    <cellStyle name="_LCDTV_GPS OTHER 3" xfId="0"/>
    <cellStyle name="_LCDTV_GPS OTHER 4" xfId="0"/>
    <cellStyle name="_LCDTV_GPS OTHER 4 2" xfId="0"/>
    <cellStyle name="_LCDTV_GPS OTHER_By Region" xfId="0"/>
    <cellStyle name="_LCDTV_GPS OTHER_CORP SG&amp;A" xfId="0"/>
    <cellStyle name="_LCDTV_GPS OTHER_LCD" xfId="0"/>
    <cellStyle name="_LCDTV_GPS OTHER_PJ" xfId="0"/>
    <cellStyle name="_LCDTV_LCD" xfId="0"/>
    <cellStyle name="_LCDTV_LCD 2" xfId="0"/>
    <cellStyle name="_LCDTV_LCD 3" xfId="0"/>
    <cellStyle name="_LCDTV_LCD 4" xfId="0"/>
    <cellStyle name="_LCDTV_LCD_1" xfId="0"/>
    <cellStyle name="_LCDTV_LCD_1 2" xfId="0"/>
    <cellStyle name="_LCDTV_LCD_1 3" xfId="0"/>
    <cellStyle name="_LCDTV_LCD_1 4" xfId="0"/>
    <cellStyle name="_LCDTV_LCD_1_By Region" xfId="0"/>
    <cellStyle name="_LCDTV_LCD_1_CORP SG&amp;A" xfId="0"/>
    <cellStyle name="_LCDTV_LCD_1_LCD" xfId="0"/>
    <cellStyle name="_LCDTV_LCD_1_PJ" xfId="0"/>
    <cellStyle name="_LCDTV_LCD_By Region" xfId="0"/>
    <cellStyle name="_LCDTV_LCD_CORP SG&amp;A" xfId="0"/>
    <cellStyle name="_LCDTV_LCD_Digitizer" xfId="0"/>
    <cellStyle name="_LCDTV_LCD_GPS OTHER" xfId="0"/>
    <cellStyle name="_LCDTV_LCD_GPS OTHER 2" xfId="0"/>
    <cellStyle name="_LCDTV_LCD_GPS OTHER 3" xfId="0"/>
    <cellStyle name="_LCDTV_LCD_GPS OTHER 4" xfId="0"/>
    <cellStyle name="_LCDTV_LCD_GPS OTHER 4 2" xfId="0"/>
    <cellStyle name="_LCDTV_LCD_GPS OTHER_By Region" xfId="0"/>
    <cellStyle name="_LCDTV_LCD_GPS OTHER_CORP SG&amp;A" xfId="0"/>
    <cellStyle name="_LCDTV_LCD_GPS OTHER_LCD" xfId="0"/>
    <cellStyle name="_LCDTV_LCD_GPS OTHER_PJ" xfId="0"/>
    <cellStyle name="_LCDTV_LCD_LCD" xfId="0"/>
    <cellStyle name="_LCDTV_LCD_LCD 2" xfId="0"/>
    <cellStyle name="_LCDTV_LCD_LCD 3" xfId="0"/>
    <cellStyle name="_LCDTV_LCD_LCD 4" xfId="0"/>
    <cellStyle name="_LCDTV_LCD_LCD_By Region" xfId="0"/>
    <cellStyle name="_LCDTV_LCD_LCD_CORP SG&amp;A" xfId="0"/>
    <cellStyle name="_LCDTV_LCD_LCD_LCD" xfId="0"/>
    <cellStyle name="_LCDTV_LCD_LCD_PJ" xfId="0"/>
    <cellStyle name="_LCDTV_LCD_PC Products" xfId="0"/>
    <cellStyle name="_LCDTV_LCD_PC Products 2" xfId="0"/>
    <cellStyle name="_LCDTV_LCD_PC Products 3" xfId="0"/>
    <cellStyle name="_LCDTV_LCD_PC Products 4" xfId="0"/>
    <cellStyle name="_LCDTV_LCD_PC Products 4 2" xfId="0"/>
    <cellStyle name="_LCDTV_LCD_PC Products_By Region" xfId="0"/>
    <cellStyle name="_LCDTV_LCD_PC Products_CORP SG&amp;A" xfId="0"/>
    <cellStyle name="_LCDTV_LCD_PC Products_LCD" xfId="0"/>
    <cellStyle name="_LCDTV_LCD_PC Products_PJ" xfId="0"/>
    <cellStyle name="_LCDTV_LCD_VSA 111014" xfId="0"/>
    <cellStyle name="_LCDTV_LCD_VSA 111014 2" xfId="0"/>
    <cellStyle name="_LCDTV_LCD_VSA 111014 3" xfId="0"/>
    <cellStyle name="_LCDTV_LCD_VSA 111014 4" xfId="0"/>
    <cellStyle name="_LCDTV_LCD_VSA 111014 4 2" xfId="0"/>
    <cellStyle name="_LCDTV_LCD_VSA 111014_By Region" xfId="0"/>
    <cellStyle name="_LCDTV_LCD_VSA 111014_CORP SG&amp;A" xfId="0"/>
    <cellStyle name="_LCDTV_LCD_VSA 111014_LCD" xfId="0"/>
    <cellStyle name="_LCDTV_LCD_VSA 111014_PJ" xfId="0"/>
    <cellStyle name="_LCDTV_LCD_VSA Roll-Up (LW)" xfId="0"/>
    <cellStyle name="_LCDTV_LCD_VSA Roll-Up (LW) 2" xfId="0"/>
    <cellStyle name="_LCDTV_LCD_VSA Roll-Up (LW) 3" xfId="0"/>
    <cellStyle name="_LCDTV_LCD_VSA Roll-Up (LW) 4" xfId="0"/>
    <cellStyle name="_LCDTV_LCD_VSA Roll-Up (LW) 4 2" xfId="0"/>
    <cellStyle name="_LCDTV_LCD_VSA Roll-Up (LW)_By Region" xfId="0"/>
    <cellStyle name="_LCDTV_LCD_VSA Roll-Up (LW)_CORP SG&amp;A" xfId="0"/>
    <cellStyle name="_LCDTV_LCD_VSA Roll-Up (LW)_LCD" xfId="0"/>
    <cellStyle name="_LCDTV_LCD_VSA Roll-Up (LW)_PJ" xfId="0"/>
    <cellStyle name="_LCDTV_LCDTV" xfId="0"/>
    <cellStyle name="_LCDTV_LCDTV 2" xfId="0"/>
    <cellStyle name="_LCDTV_LCDTV 3" xfId="0"/>
    <cellStyle name="_LCDTV_LCDTV 4" xfId="0"/>
    <cellStyle name="_LCDTV_LCDTV_By Region" xfId="0"/>
    <cellStyle name="_LCDTV_LCDTV_CORP SG&amp;A" xfId="0"/>
    <cellStyle name="_LCDTV_LCDTV_Digitizer" xfId="0"/>
    <cellStyle name="_LCDTV_LCDTV_GPS OTHER" xfId="0"/>
    <cellStyle name="_LCDTV_LCDTV_GPS OTHER 2" xfId="0"/>
    <cellStyle name="_LCDTV_LCDTV_GPS OTHER 3" xfId="0"/>
    <cellStyle name="_LCDTV_LCDTV_GPS OTHER 4" xfId="0"/>
    <cellStyle name="_LCDTV_LCDTV_GPS OTHER 4 2" xfId="0"/>
    <cellStyle name="_LCDTV_LCDTV_GPS OTHER_By Region" xfId="0"/>
    <cellStyle name="_LCDTV_LCDTV_GPS OTHER_CORP SG&amp;A" xfId="0"/>
    <cellStyle name="_LCDTV_LCDTV_GPS OTHER_LCD" xfId="0"/>
    <cellStyle name="_LCDTV_LCDTV_GPS OTHER_PJ" xfId="0"/>
    <cellStyle name="_LCDTV_LCDTV_LCD" xfId="0"/>
    <cellStyle name="_LCDTV_LCDTV_LCD 2" xfId="0"/>
    <cellStyle name="_LCDTV_LCDTV_LCD 3" xfId="0"/>
    <cellStyle name="_LCDTV_LCDTV_LCD 4" xfId="0"/>
    <cellStyle name="_LCDTV_LCDTV_LCD_By Region" xfId="0"/>
    <cellStyle name="_LCDTV_LCDTV_LCD_CORP SG&amp;A" xfId="0"/>
    <cellStyle name="_LCDTV_LCDTV_LCD_LCD" xfId="0"/>
    <cellStyle name="_LCDTV_LCDTV_LCD_PJ" xfId="0"/>
    <cellStyle name="_LCDTV_LCDTV_PC Products" xfId="0"/>
    <cellStyle name="_LCDTV_LCDTV_PC Products 2" xfId="0"/>
    <cellStyle name="_LCDTV_LCDTV_PC Products 3" xfId="0"/>
    <cellStyle name="_LCDTV_LCDTV_PC Products 4" xfId="0"/>
    <cellStyle name="_LCDTV_LCDTV_PC Products 4 2" xfId="0"/>
    <cellStyle name="_LCDTV_LCDTV_PC Products_By Region" xfId="0"/>
    <cellStyle name="_LCDTV_LCDTV_PC Products_CORP SG&amp;A" xfId="0"/>
    <cellStyle name="_LCDTV_LCDTV_PC Products_LCD" xfId="0"/>
    <cellStyle name="_LCDTV_LCDTV_PC Products_PJ" xfId="0"/>
    <cellStyle name="_LCDTV_LCDTV_VSA 111014" xfId="0"/>
    <cellStyle name="_LCDTV_LCDTV_VSA 111014 2" xfId="0"/>
    <cellStyle name="_LCDTV_LCDTV_VSA 111014 3" xfId="0"/>
    <cellStyle name="_LCDTV_LCDTV_VSA 111014 4" xfId="0"/>
    <cellStyle name="_LCDTV_LCDTV_VSA 111014 4 2" xfId="0"/>
    <cellStyle name="_LCDTV_LCDTV_VSA 111014_By Region" xfId="0"/>
    <cellStyle name="_LCDTV_LCDTV_VSA 111014_CORP SG&amp;A" xfId="0"/>
    <cellStyle name="_LCDTV_LCDTV_VSA 111014_LCD" xfId="0"/>
    <cellStyle name="_LCDTV_LCDTV_VSA 111014_PJ" xfId="0"/>
    <cellStyle name="_LCDTV_LCDTV_VSA Roll-Up (LW)" xfId="0"/>
    <cellStyle name="_LCDTV_LCDTV_VSA Roll-Up (LW) 2" xfId="0"/>
    <cellStyle name="_LCDTV_LCDTV_VSA Roll-Up (LW) 3" xfId="0"/>
    <cellStyle name="_LCDTV_LCDTV_VSA Roll-Up (LW) 4" xfId="0"/>
    <cellStyle name="_LCDTV_LCDTV_VSA Roll-Up (LW) 4 2" xfId="0"/>
    <cellStyle name="_LCDTV_LCDTV_VSA Roll-Up (LW)_By Region" xfId="0"/>
    <cellStyle name="_LCDTV_LCDTV_VSA Roll-Up (LW)_CORP SG&amp;A" xfId="0"/>
    <cellStyle name="_LCDTV_LCDTV_VSA Roll-Up (LW)_LCD" xfId="0"/>
    <cellStyle name="_LCDTV_LCDTV_VSA Roll-Up (LW)_PJ" xfId="0"/>
    <cellStyle name="_LCDTV_MNT" xfId="0"/>
    <cellStyle name="_LCDTV_MNT 2" xfId="0"/>
    <cellStyle name="_LCDTV_MNT 3" xfId="0"/>
    <cellStyle name="_LCDTV_MNT 4" xfId="0"/>
    <cellStyle name="_LCDTV_MNT_By Region" xfId="0"/>
    <cellStyle name="_LCDTV_MNT_CORP SG&amp;A" xfId="0"/>
    <cellStyle name="_LCDTV_MNT_Digitizer" xfId="0"/>
    <cellStyle name="_LCDTV_MNT_GPS OTHER" xfId="0"/>
    <cellStyle name="_LCDTV_MNT_GPS OTHER 2" xfId="0"/>
    <cellStyle name="_LCDTV_MNT_GPS OTHER 3" xfId="0"/>
    <cellStyle name="_LCDTV_MNT_GPS OTHER 4" xfId="0"/>
    <cellStyle name="_LCDTV_MNT_GPS OTHER 4 2" xfId="0"/>
    <cellStyle name="_LCDTV_MNT_GPS OTHER_By Region" xfId="0"/>
    <cellStyle name="_LCDTV_MNT_GPS OTHER_CORP SG&amp;A" xfId="0"/>
    <cellStyle name="_LCDTV_MNT_GPS OTHER_LCD" xfId="0"/>
    <cellStyle name="_LCDTV_MNT_GPS OTHER_PJ" xfId="0"/>
    <cellStyle name="_LCDTV_MNT_LCD" xfId="0"/>
    <cellStyle name="_LCDTV_MNT_LCD 2" xfId="0"/>
    <cellStyle name="_LCDTV_MNT_LCD 3" xfId="0"/>
    <cellStyle name="_LCDTV_MNT_LCD 4" xfId="0"/>
    <cellStyle name="_LCDTV_MNT_LCD_By Region" xfId="0"/>
    <cellStyle name="_LCDTV_MNT_LCD_CORP SG&amp;A" xfId="0"/>
    <cellStyle name="_LCDTV_MNT_LCD_LCD" xfId="0"/>
    <cellStyle name="_LCDTV_MNT_LCD_PJ" xfId="0"/>
    <cellStyle name="_LCDTV_MNT_PC Products" xfId="0"/>
    <cellStyle name="_LCDTV_MNT_PC Products 2" xfId="0"/>
    <cellStyle name="_LCDTV_MNT_PC Products 3" xfId="0"/>
    <cellStyle name="_LCDTV_MNT_PC Products 4" xfId="0"/>
    <cellStyle name="_LCDTV_MNT_PC Products 4 2" xfId="0"/>
    <cellStyle name="_LCDTV_MNT_PC Products_By Region" xfId="0"/>
    <cellStyle name="_LCDTV_MNT_PC Products_CORP SG&amp;A" xfId="0"/>
    <cellStyle name="_LCDTV_MNT_PC Products_LCD" xfId="0"/>
    <cellStyle name="_LCDTV_MNT_PC Products_PJ" xfId="0"/>
    <cellStyle name="_LCDTV_MNT_VSA 111014" xfId="0"/>
    <cellStyle name="_LCDTV_MNT_VSA 111014 2" xfId="0"/>
    <cellStyle name="_LCDTV_MNT_VSA 111014 3" xfId="0"/>
    <cellStyle name="_LCDTV_MNT_VSA 111014 4" xfId="0"/>
    <cellStyle name="_LCDTV_MNT_VSA 111014 4 2" xfId="0"/>
    <cellStyle name="_LCDTV_MNT_VSA 111014_By Region" xfId="0"/>
    <cellStyle name="_LCDTV_MNT_VSA 111014_CORP SG&amp;A" xfId="0"/>
    <cellStyle name="_LCDTV_MNT_VSA 111014_LCD" xfId="0"/>
    <cellStyle name="_LCDTV_MNT_VSA 111014_PJ" xfId="0"/>
    <cellStyle name="_LCDTV_MNT_VSA Roll-Up (LW)" xfId="0"/>
    <cellStyle name="_LCDTV_MNT_VSA Roll-Up (LW) 2" xfId="0"/>
    <cellStyle name="_LCDTV_MNT_VSA Roll-Up (LW) 3" xfId="0"/>
    <cellStyle name="_LCDTV_MNT_VSA Roll-Up (LW) 4" xfId="0"/>
    <cellStyle name="_LCDTV_MNT_VSA Roll-Up (LW) 4 2" xfId="0"/>
    <cellStyle name="_LCDTV_MNT_VSA Roll-Up (LW)_By Region" xfId="0"/>
    <cellStyle name="_LCDTV_MNT_VSA Roll-Up (LW)_CORP SG&amp;A" xfId="0"/>
    <cellStyle name="_LCDTV_MNT_VSA Roll-Up (LW)_LCD" xfId="0"/>
    <cellStyle name="_LCDTV_MNT_VSA Roll-Up (LW)_PJ" xfId="0"/>
    <cellStyle name="_LCDTV_Other" xfId="0"/>
    <cellStyle name="_LCDTV_Other 2" xfId="0"/>
    <cellStyle name="_LCDTV_Other 3" xfId="0"/>
    <cellStyle name="_LCDTV_Other 4" xfId="0"/>
    <cellStyle name="_LCDTV_Other_By Region" xfId="0"/>
    <cellStyle name="_LCDTV_Other_CORP SG&amp;A" xfId="0"/>
    <cellStyle name="_LCDTV_Other_Digitizer" xfId="0"/>
    <cellStyle name="_LCDTV_Other_GPS OTHER" xfId="0"/>
    <cellStyle name="_LCDTV_Other_GPS OTHER 2" xfId="0"/>
    <cellStyle name="_LCDTV_Other_GPS OTHER 3" xfId="0"/>
    <cellStyle name="_LCDTV_Other_GPS OTHER 4" xfId="0"/>
    <cellStyle name="_LCDTV_Other_GPS OTHER 4 2" xfId="0"/>
    <cellStyle name="_LCDTV_Other_GPS OTHER_By Region" xfId="0"/>
    <cellStyle name="_LCDTV_Other_GPS OTHER_CORP SG&amp;A" xfId="0"/>
    <cellStyle name="_LCDTV_Other_GPS OTHER_LCD" xfId="0"/>
    <cellStyle name="_LCDTV_Other_GPS OTHER_PJ" xfId="0"/>
    <cellStyle name="_LCDTV_Other_LCD" xfId="0"/>
    <cellStyle name="_LCDTV_Other_LCD 2" xfId="0"/>
    <cellStyle name="_LCDTV_Other_LCD 3" xfId="0"/>
    <cellStyle name="_LCDTV_Other_LCD 4" xfId="0"/>
    <cellStyle name="_LCDTV_Other_LCD_By Region" xfId="0"/>
    <cellStyle name="_LCDTV_Other_LCD_CORP SG&amp;A" xfId="0"/>
    <cellStyle name="_LCDTV_Other_LCD_LCD" xfId="0"/>
    <cellStyle name="_LCDTV_Other_LCD_PJ" xfId="0"/>
    <cellStyle name="_LCDTV_Other_PC Products" xfId="0"/>
    <cellStyle name="_LCDTV_Other_PC Products 2" xfId="0"/>
    <cellStyle name="_LCDTV_Other_PC Products 3" xfId="0"/>
    <cellStyle name="_LCDTV_Other_PC Products 4" xfId="0"/>
    <cellStyle name="_LCDTV_Other_PC Products 4 2" xfId="0"/>
    <cellStyle name="_LCDTV_Other_PC Products_By Region" xfId="0"/>
    <cellStyle name="_LCDTV_Other_PC Products_CORP SG&amp;A" xfId="0"/>
    <cellStyle name="_LCDTV_Other_PC Products_LCD" xfId="0"/>
    <cellStyle name="_LCDTV_Other_PC Products_PJ" xfId="0"/>
    <cellStyle name="_LCDTV_Other_VSA 111014" xfId="0"/>
    <cellStyle name="_LCDTV_Other_VSA 111014 2" xfId="0"/>
    <cellStyle name="_LCDTV_Other_VSA 111014 3" xfId="0"/>
    <cellStyle name="_LCDTV_Other_VSA 111014 4" xfId="0"/>
    <cellStyle name="_LCDTV_Other_VSA 111014 4 2" xfId="0"/>
    <cellStyle name="_LCDTV_Other_VSA 111014_By Region" xfId="0"/>
    <cellStyle name="_LCDTV_Other_VSA 111014_CORP SG&amp;A" xfId="0"/>
    <cellStyle name="_LCDTV_Other_VSA 111014_LCD" xfId="0"/>
    <cellStyle name="_LCDTV_Other_VSA 111014_PJ" xfId="0"/>
    <cellStyle name="_LCDTV_Other_VSA Roll-Up (LW)" xfId="0"/>
    <cellStyle name="_LCDTV_Other_VSA Roll-Up (LW) 2" xfId="0"/>
    <cellStyle name="_LCDTV_Other_VSA Roll-Up (LW) 3" xfId="0"/>
    <cellStyle name="_LCDTV_Other_VSA Roll-Up (LW) 4" xfId="0"/>
    <cellStyle name="_LCDTV_Other_VSA Roll-Up (LW) 4 2" xfId="0"/>
    <cellStyle name="_LCDTV_Other_VSA Roll-Up (LW)_By Region" xfId="0"/>
    <cellStyle name="_LCDTV_Other_VSA Roll-Up (LW)_CORP SG&amp;A" xfId="0"/>
    <cellStyle name="_LCDTV_Other_VSA Roll-Up (LW)_LCD" xfId="0"/>
    <cellStyle name="_LCDTV_Other_VSA Roll-Up (LW)_PJ" xfId="0"/>
    <cellStyle name="_LCDTV_PC" xfId="0"/>
    <cellStyle name="_LCDTV_PC 2" xfId="0"/>
    <cellStyle name="_LCDTV_PC 3" xfId="0"/>
    <cellStyle name="_LCDTV_PC 4" xfId="0"/>
    <cellStyle name="_LCDTV_PC Products" xfId="0"/>
    <cellStyle name="_LCDTV_PC Products 2" xfId="0"/>
    <cellStyle name="_LCDTV_PC Products 3" xfId="0"/>
    <cellStyle name="_LCDTV_PC Products 4" xfId="0"/>
    <cellStyle name="_LCDTV_PC Products 4 2" xfId="0"/>
    <cellStyle name="_LCDTV_PC Products_By Region" xfId="0"/>
    <cellStyle name="_LCDTV_PC Products_CORP SG&amp;A" xfId="0"/>
    <cellStyle name="_LCDTV_PC Products_LCD" xfId="0"/>
    <cellStyle name="_LCDTV_PC Products_PJ" xfId="0"/>
    <cellStyle name="_LCDTV_PC_By Region" xfId="0"/>
    <cellStyle name="_LCDTV_PC_CORP SG&amp;A" xfId="0"/>
    <cellStyle name="_LCDTV_PC_Digitizer" xfId="0"/>
    <cellStyle name="_LCDTV_PC_DT" xfId="0"/>
    <cellStyle name="_LCDTV_PC_DT 2" xfId="0"/>
    <cellStyle name="_LCDTV_PC_DT 3" xfId="0"/>
    <cellStyle name="_LCDTV_PC_DT_By Region" xfId="0"/>
    <cellStyle name="_LCDTV_PC_GPS OTHER" xfId="0"/>
    <cellStyle name="_LCDTV_PC_GPS OTHER 2" xfId="0"/>
    <cellStyle name="_LCDTV_PC_GPS OTHER 3" xfId="0"/>
    <cellStyle name="_LCDTV_PC_GPS OTHER 4" xfId="0"/>
    <cellStyle name="_LCDTV_PC_GPS OTHER 4 2" xfId="0"/>
    <cellStyle name="_LCDTV_PC_GPS OTHER_By Region" xfId="0"/>
    <cellStyle name="_LCDTV_PC_GPS OTHER_CORP SG&amp;A" xfId="0"/>
    <cellStyle name="_LCDTV_PC_GPS OTHER_LCD" xfId="0"/>
    <cellStyle name="_LCDTV_PC_GPS OTHER_PJ" xfId="0"/>
    <cellStyle name="_LCDTV_PC_LCD" xfId="0"/>
    <cellStyle name="_LCDTV_PC_LCD 2" xfId="0"/>
    <cellStyle name="_LCDTV_PC_LCD 3" xfId="0"/>
    <cellStyle name="_LCDTV_PC_LCD 4" xfId="0"/>
    <cellStyle name="_LCDTV_PC_LCD_By Region" xfId="0"/>
    <cellStyle name="_LCDTV_PC_LCD_CORP SG&amp;A" xfId="0"/>
    <cellStyle name="_LCDTV_PC_LCD_LCD" xfId="0"/>
    <cellStyle name="_LCDTV_PC_LCD_PJ" xfId="0"/>
    <cellStyle name="_LCDTV_PC_PC Products" xfId="0"/>
    <cellStyle name="_LCDTV_PC_PC Products 2" xfId="0"/>
    <cellStyle name="_LCDTV_PC_PC Products 3" xfId="0"/>
    <cellStyle name="_LCDTV_PC_PC Products 4" xfId="0"/>
    <cellStyle name="_LCDTV_PC_PC Products 4 2" xfId="0"/>
    <cellStyle name="_LCDTV_PC_PC Products_By Region" xfId="0"/>
    <cellStyle name="_LCDTV_PC_PC Products_CORP SG&amp;A" xfId="0"/>
    <cellStyle name="_LCDTV_PC_PC Products_LCD" xfId="0"/>
    <cellStyle name="_LCDTV_PC_PC Products_PJ" xfId="0"/>
    <cellStyle name="_LCDTV_PC_TV" xfId="0"/>
    <cellStyle name="_LCDTV_PC_TV 2" xfId="0"/>
    <cellStyle name="_LCDTV_PC_TV 3" xfId="0"/>
    <cellStyle name="_LCDTV_PC_TV 4" xfId="0"/>
    <cellStyle name="_LCDTV_PC_TV_By Region" xfId="0"/>
    <cellStyle name="_LCDTV_PC_TV_CORP SG&amp;A" xfId="0"/>
    <cellStyle name="_LCDTV_PC_TV_Digitizer" xfId="0"/>
    <cellStyle name="_LCDTV_PC_TV_GPS OTHER" xfId="0"/>
    <cellStyle name="_LCDTV_PC_TV_GPS OTHER 2" xfId="0"/>
    <cellStyle name="_LCDTV_PC_TV_GPS OTHER 3" xfId="0"/>
    <cellStyle name="_LCDTV_PC_TV_GPS OTHER 4" xfId="0"/>
    <cellStyle name="_LCDTV_PC_TV_GPS OTHER 4 2" xfId="0"/>
    <cellStyle name="_LCDTV_PC_TV_GPS OTHER_By Region" xfId="0"/>
    <cellStyle name="_LCDTV_PC_TV_GPS OTHER_CORP SG&amp;A" xfId="0"/>
    <cellStyle name="_LCDTV_PC_TV_GPS OTHER_LCD" xfId="0"/>
    <cellStyle name="_LCDTV_PC_TV_GPS OTHER_PJ" xfId="0"/>
    <cellStyle name="_LCDTV_PC_TV_LCD" xfId="0"/>
    <cellStyle name="_LCDTV_PC_TV_LCD 2" xfId="0"/>
    <cellStyle name="_LCDTV_PC_TV_LCD 3" xfId="0"/>
    <cellStyle name="_LCDTV_PC_TV_LCD 4" xfId="0"/>
    <cellStyle name="_LCDTV_PC_TV_LCD_By Region" xfId="0"/>
    <cellStyle name="_LCDTV_PC_TV_LCD_CORP SG&amp;A" xfId="0"/>
    <cellStyle name="_LCDTV_PC_TV_LCD_LCD" xfId="0"/>
    <cellStyle name="_LCDTV_PC_TV_LCD_PJ" xfId="0"/>
    <cellStyle name="_LCDTV_PC_TV_PC Products" xfId="0"/>
    <cellStyle name="_LCDTV_PC_TV_PC Products 2" xfId="0"/>
    <cellStyle name="_LCDTV_PC_TV_PC Products 3" xfId="0"/>
    <cellStyle name="_LCDTV_PC_TV_PC Products 4" xfId="0"/>
    <cellStyle name="_LCDTV_PC_TV_PC Products 4 2" xfId="0"/>
    <cellStyle name="_LCDTV_PC_TV_PC Products_By Region" xfId="0"/>
    <cellStyle name="_LCDTV_PC_TV_PC Products_CORP SG&amp;A" xfId="0"/>
    <cellStyle name="_LCDTV_PC_TV_PC Products_LCD" xfId="0"/>
    <cellStyle name="_LCDTV_PC_TV_PC Products_PJ" xfId="0"/>
    <cellStyle name="_LCDTV_PC_TV_VSA 111014" xfId="0"/>
    <cellStyle name="_LCDTV_PC_TV_VSA 111014 2" xfId="0"/>
    <cellStyle name="_LCDTV_PC_TV_VSA 111014 3" xfId="0"/>
    <cellStyle name="_LCDTV_PC_TV_VSA 111014 4" xfId="0"/>
    <cellStyle name="_LCDTV_PC_TV_VSA 111014 4 2" xfId="0"/>
    <cellStyle name="_LCDTV_PC_TV_VSA 111014_By Region" xfId="0"/>
    <cellStyle name="_LCDTV_PC_TV_VSA 111014_CORP SG&amp;A" xfId="0"/>
    <cellStyle name="_LCDTV_PC_TV_VSA 111014_LCD" xfId="0"/>
    <cellStyle name="_LCDTV_PC_TV_VSA 111014_PJ" xfId="0"/>
    <cellStyle name="_LCDTV_PC_TV_VSA Roll-Up (LW)" xfId="0"/>
    <cellStyle name="_LCDTV_PC_TV_VSA Roll-Up (LW) 2" xfId="0"/>
    <cellStyle name="_LCDTV_PC_TV_VSA Roll-Up (LW) 3" xfId="0"/>
    <cellStyle name="_LCDTV_PC_TV_VSA Roll-Up (LW) 4" xfId="0"/>
    <cellStyle name="_LCDTV_PC_TV_VSA Roll-Up (LW) 4 2" xfId="0"/>
    <cellStyle name="_LCDTV_PC_TV_VSA Roll-Up (LW)_By Region" xfId="0"/>
    <cellStyle name="_LCDTV_PC_TV_VSA Roll-Up (LW)_CORP SG&amp;A" xfId="0"/>
    <cellStyle name="_LCDTV_PC_TV_VSA Roll-Up (LW)_LCD" xfId="0"/>
    <cellStyle name="_LCDTV_PC_TV_VSA Roll-Up (LW)_PJ" xfId="0"/>
    <cellStyle name="_LCDTV_PC_VSA 111014" xfId="0"/>
    <cellStyle name="_LCDTV_PC_VSA 111014 2" xfId="0"/>
    <cellStyle name="_LCDTV_PC_VSA 111014 3" xfId="0"/>
    <cellStyle name="_LCDTV_PC_VSA 111014 4" xfId="0"/>
    <cellStyle name="_LCDTV_PC_VSA 111014 4 2" xfId="0"/>
    <cellStyle name="_LCDTV_PC_VSA 111014_By Region" xfId="0"/>
    <cellStyle name="_LCDTV_PC_VSA 111014_CORP SG&amp;A" xfId="0"/>
    <cellStyle name="_LCDTV_PC_VSA 111014_LCD" xfId="0"/>
    <cellStyle name="_LCDTV_PC_VSA 111014_PJ" xfId="0"/>
    <cellStyle name="_LCDTV_PC_VSA Roll-Up (LW)" xfId="0"/>
    <cellStyle name="_LCDTV_PC_VSA Roll-Up (LW) 2" xfId="0"/>
    <cellStyle name="_LCDTV_PC_VSA Roll-Up (LW) 3" xfId="0"/>
    <cellStyle name="_LCDTV_PC_VSA Roll-Up (LW) 4" xfId="0"/>
    <cellStyle name="_LCDTV_PC_VSA Roll-Up (LW) 4 2" xfId="0"/>
    <cellStyle name="_LCDTV_PC_VSA Roll-Up (LW)_By Region" xfId="0"/>
    <cellStyle name="_LCDTV_PC_VSA Roll-Up (LW)_CORP SG&amp;A" xfId="0"/>
    <cellStyle name="_LCDTV_PC_VSA Roll-Up (LW)_LCD" xfId="0"/>
    <cellStyle name="_LCDTV_PC_VSA Roll-Up (LW)_PJ" xfId="0"/>
    <cellStyle name="_LCDTV_PJ" xfId="0"/>
    <cellStyle name="_LCDTV_PJ 2" xfId="0"/>
    <cellStyle name="_LCDTV_PJ 3" xfId="0"/>
    <cellStyle name="_LCDTV_PJ 4" xfId="0"/>
    <cellStyle name="_LCDTV_PJ_By Region" xfId="0"/>
    <cellStyle name="_LCDTV_PJ_CORP SG&amp;A" xfId="0"/>
    <cellStyle name="_LCDTV_PJ_Digitizer" xfId="0"/>
    <cellStyle name="_LCDTV_PJ_GPS OTHER" xfId="0"/>
    <cellStyle name="_LCDTV_PJ_GPS OTHER 2" xfId="0"/>
    <cellStyle name="_LCDTV_PJ_GPS OTHER 3" xfId="0"/>
    <cellStyle name="_LCDTV_PJ_GPS OTHER 4" xfId="0"/>
    <cellStyle name="_LCDTV_PJ_GPS OTHER 4 2" xfId="0"/>
    <cellStyle name="_LCDTV_PJ_GPS OTHER_By Region" xfId="0"/>
    <cellStyle name="_LCDTV_PJ_GPS OTHER_CORP SG&amp;A" xfId="0"/>
    <cellStyle name="_LCDTV_PJ_GPS OTHER_LCD" xfId="0"/>
    <cellStyle name="_LCDTV_PJ_GPS OTHER_PJ" xfId="0"/>
    <cellStyle name="_LCDTV_PJ_LCD" xfId="0"/>
    <cellStyle name="_LCDTV_PJ_LCD 2" xfId="0"/>
    <cellStyle name="_LCDTV_PJ_LCD 3" xfId="0"/>
    <cellStyle name="_LCDTV_PJ_LCD 4" xfId="0"/>
    <cellStyle name="_LCDTV_PJ_LCD_By Region" xfId="0"/>
    <cellStyle name="_LCDTV_PJ_LCD_CORP SG&amp;A" xfId="0"/>
    <cellStyle name="_LCDTV_PJ_LCD_LCD" xfId="0"/>
    <cellStyle name="_LCDTV_PJ_LCD_PJ" xfId="0"/>
    <cellStyle name="_LCDTV_PJ_PC Products" xfId="0"/>
    <cellStyle name="_LCDTV_PJ_PC Products 2" xfId="0"/>
    <cellStyle name="_LCDTV_PJ_PC Products 3" xfId="0"/>
    <cellStyle name="_LCDTV_PJ_PC Products 4" xfId="0"/>
    <cellStyle name="_LCDTV_PJ_PC Products 4 2" xfId="0"/>
    <cellStyle name="_LCDTV_PJ_PC Products_By Region" xfId="0"/>
    <cellStyle name="_LCDTV_PJ_PC Products_CORP SG&amp;A" xfId="0"/>
    <cellStyle name="_LCDTV_PJ_PC Products_LCD" xfId="0"/>
    <cellStyle name="_LCDTV_PJ_PC Products_PJ" xfId="0"/>
    <cellStyle name="_LCDTV_PJ_VSA 111014" xfId="0"/>
    <cellStyle name="_LCDTV_PJ_VSA 111014 2" xfId="0"/>
    <cellStyle name="_LCDTV_PJ_VSA 111014 3" xfId="0"/>
    <cellStyle name="_LCDTV_PJ_VSA 111014 4" xfId="0"/>
    <cellStyle name="_LCDTV_PJ_VSA 111014 4 2" xfId="0"/>
    <cellStyle name="_LCDTV_PJ_VSA 111014_By Region" xfId="0"/>
    <cellStyle name="_LCDTV_PJ_VSA 111014_CORP SG&amp;A" xfId="0"/>
    <cellStyle name="_LCDTV_PJ_VSA 111014_LCD" xfId="0"/>
    <cellStyle name="_LCDTV_PJ_VSA 111014_PJ" xfId="0"/>
    <cellStyle name="_LCDTV_PJ_VSA Roll-Up (LW)" xfId="0"/>
    <cellStyle name="_LCDTV_PJ_VSA Roll-Up (LW) 2" xfId="0"/>
    <cellStyle name="_LCDTV_PJ_VSA Roll-Up (LW) 3" xfId="0"/>
    <cellStyle name="_LCDTV_PJ_VSA Roll-Up (LW) 4" xfId="0"/>
    <cellStyle name="_LCDTV_PJ_VSA Roll-Up (LW) 4 2" xfId="0"/>
    <cellStyle name="_LCDTV_PJ_VSA Roll-Up (LW)_By Region" xfId="0"/>
    <cellStyle name="_LCDTV_PJ_VSA Roll-Up (LW)_CORP SG&amp;A" xfId="0"/>
    <cellStyle name="_LCDTV_PJ_VSA Roll-Up (LW)_LCD" xfId="0"/>
    <cellStyle name="_LCDTV_PJ_VSA Roll-Up (LW)_PJ" xfId="0"/>
    <cellStyle name="_LCDTV_PMP(VPD)" xfId="0"/>
    <cellStyle name="_LCDTV_PMP(VPD) 2" xfId="0"/>
    <cellStyle name="_LCDTV_PMP(VPD) 3" xfId="0"/>
    <cellStyle name="_LCDTV_PMP(VPD) 4" xfId="0"/>
    <cellStyle name="_LCDTV_PMP(VPD)_By Region" xfId="0"/>
    <cellStyle name="_LCDTV_PMP(VPD)_CORP SG&amp;A" xfId="0"/>
    <cellStyle name="_LCDTV_PMP(VPD)_Digitizer" xfId="0"/>
    <cellStyle name="_LCDTV_PMP(VPD)_GPS OTHER" xfId="0"/>
    <cellStyle name="_LCDTV_PMP(VPD)_GPS OTHER 2" xfId="0"/>
    <cellStyle name="_LCDTV_PMP(VPD)_GPS OTHER 3" xfId="0"/>
    <cellStyle name="_LCDTV_PMP(VPD)_GPS OTHER 4" xfId="0"/>
    <cellStyle name="_LCDTV_PMP(VPD)_GPS OTHER 4 2" xfId="0"/>
    <cellStyle name="_LCDTV_PMP(VPD)_GPS OTHER_By Region" xfId="0"/>
    <cellStyle name="_LCDTV_PMP(VPD)_GPS OTHER_CORP SG&amp;A" xfId="0"/>
    <cellStyle name="_LCDTV_PMP(VPD)_GPS OTHER_LCD" xfId="0"/>
    <cellStyle name="_LCDTV_PMP(VPD)_GPS OTHER_PJ" xfId="0"/>
    <cellStyle name="_LCDTV_PMP(VPD)_LCD" xfId="0"/>
    <cellStyle name="_LCDTV_PMP(VPD)_LCD 2" xfId="0"/>
    <cellStyle name="_LCDTV_PMP(VPD)_LCD 3" xfId="0"/>
    <cellStyle name="_LCDTV_PMP(VPD)_LCD 4" xfId="0"/>
    <cellStyle name="_LCDTV_PMP(VPD)_LCD_By Region" xfId="0"/>
    <cellStyle name="_LCDTV_PMP(VPD)_LCD_CORP SG&amp;A" xfId="0"/>
    <cellStyle name="_LCDTV_PMP(VPD)_LCD_LCD" xfId="0"/>
    <cellStyle name="_LCDTV_PMP(VPD)_LCD_PJ" xfId="0"/>
    <cellStyle name="_LCDTV_PMP(VPD)_PC Products" xfId="0"/>
    <cellStyle name="_LCDTV_PMP(VPD)_PC Products 2" xfId="0"/>
    <cellStyle name="_LCDTV_PMP(VPD)_PC Products 3" xfId="0"/>
    <cellStyle name="_LCDTV_PMP(VPD)_PC Products 4" xfId="0"/>
    <cellStyle name="_LCDTV_PMP(VPD)_PC Products 4 2" xfId="0"/>
    <cellStyle name="_LCDTV_PMP(VPD)_PC Products_By Region" xfId="0"/>
    <cellStyle name="_LCDTV_PMP(VPD)_PC Products_CORP SG&amp;A" xfId="0"/>
    <cellStyle name="_LCDTV_PMP(VPD)_PC Products_LCD" xfId="0"/>
    <cellStyle name="_LCDTV_PMP(VPD)_PC Products_PJ" xfId="0"/>
    <cellStyle name="_LCDTV_PMP(VPD)_VSA 111014" xfId="0"/>
    <cellStyle name="_LCDTV_PMP(VPD)_VSA 111014 2" xfId="0"/>
    <cellStyle name="_LCDTV_PMP(VPD)_VSA 111014 3" xfId="0"/>
    <cellStyle name="_LCDTV_PMP(VPD)_VSA 111014 4" xfId="0"/>
    <cellStyle name="_LCDTV_PMP(VPD)_VSA 111014 4 2" xfId="0"/>
    <cellStyle name="_LCDTV_PMP(VPD)_VSA 111014_By Region" xfId="0"/>
    <cellStyle name="_LCDTV_PMP(VPD)_VSA 111014_CORP SG&amp;A" xfId="0"/>
    <cellStyle name="_LCDTV_PMP(VPD)_VSA 111014_LCD" xfId="0"/>
    <cellStyle name="_LCDTV_PMP(VPD)_VSA 111014_PJ" xfId="0"/>
    <cellStyle name="_LCDTV_PMP(VPD)_VSA Roll-Up (LW)" xfId="0"/>
    <cellStyle name="_LCDTV_PMP(VPD)_VSA Roll-Up (LW) 2" xfId="0"/>
    <cellStyle name="_LCDTV_PMP(VPD)_VSA Roll-Up (LW) 3" xfId="0"/>
    <cellStyle name="_LCDTV_PMP(VPD)_VSA Roll-Up (LW) 4" xfId="0"/>
    <cellStyle name="_LCDTV_PMP(VPD)_VSA Roll-Up (LW) 4 2" xfId="0"/>
    <cellStyle name="_LCDTV_PMP(VPD)_VSA Roll-Up (LW)_By Region" xfId="0"/>
    <cellStyle name="_LCDTV_PMP(VPD)_VSA Roll-Up (LW)_CORP SG&amp;A" xfId="0"/>
    <cellStyle name="_LCDTV_PMP(VPD)_VSA Roll-Up (LW)_LCD" xfId="0"/>
    <cellStyle name="_LCDTV_PMP(VPD)_VSA Roll-Up (LW)_PJ" xfId="0"/>
    <cellStyle name="_LCDTV_Pocket TV" xfId="0"/>
    <cellStyle name="_LCDTV_Pocket TV 2" xfId="0"/>
    <cellStyle name="_LCDTV_Pocket TV 3" xfId="0"/>
    <cellStyle name="_LCDTV_Pocket TV 4" xfId="0"/>
    <cellStyle name="_LCDTV_Pocket TV_By Region" xfId="0"/>
    <cellStyle name="_LCDTV_Pocket TV_CORP SG&amp;A" xfId="0"/>
    <cellStyle name="_LCDTV_Pocket TV_Digitizer" xfId="0"/>
    <cellStyle name="_LCDTV_Pocket TV_GPS OTHER" xfId="0"/>
    <cellStyle name="_LCDTV_Pocket TV_GPS OTHER 2" xfId="0"/>
    <cellStyle name="_LCDTV_Pocket TV_GPS OTHER 3" xfId="0"/>
    <cellStyle name="_LCDTV_Pocket TV_GPS OTHER 4" xfId="0"/>
    <cellStyle name="_LCDTV_Pocket TV_GPS OTHER 4 2" xfId="0"/>
    <cellStyle name="_LCDTV_Pocket TV_GPS OTHER_By Region" xfId="0"/>
    <cellStyle name="_LCDTV_Pocket TV_GPS OTHER_CORP SG&amp;A" xfId="0"/>
    <cellStyle name="_LCDTV_Pocket TV_GPS OTHER_LCD" xfId="0"/>
    <cellStyle name="_LCDTV_Pocket TV_GPS OTHER_PJ" xfId="0"/>
    <cellStyle name="_LCDTV_Pocket TV_LCD" xfId="0"/>
    <cellStyle name="_LCDTV_Pocket TV_LCD 2" xfId="0"/>
    <cellStyle name="_LCDTV_Pocket TV_LCD 3" xfId="0"/>
    <cellStyle name="_LCDTV_Pocket TV_LCD 4" xfId="0"/>
    <cellStyle name="_LCDTV_Pocket TV_LCD_By Region" xfId="0"/>
    <cellStyle name="_LCDTV_Pocket TV_LCD_CORP SG&amp;A" xfId="0"/>
    <cellStyle name="_LCDTV_Pocket TV_LCD_LCD" xfId="0"/>
    <cellStyle name="_LCDTV_Pocket TV_LCD_PJ" xfId="0"/>
    <cellStyle name="_LCDTV_Pocket TV_PC Products" xfId="0"/>
    <cellStyle name="_LCDTV_Pocket TV_PC Products 2" xfId="0"/>
    <cellStyle name="_LCDTV_Pocket TV_PC Products 3" xfId="0"/>
    <cellStyle name="_LCDTV_Pocket TV_PC Products 4" xfId="0"/>
    <cellStyle name="_LCDTV_Pocket TV_PC Products 4 2" xfId="0"/>
    <cellStyle name="_LCDTV_Pocket TV_PC Products_By Region" xfId="0"/>
    <cellStyle name="_LCDTV_Pocket TV_PC Products_CORP SG&amp;A" xfId="0"/>
    <cellStyle name="_LCDTV_Pocket TV_PC Products_LCD" xfId="0"/>
    <cellStyle name="_LCDTV_Pocket TV_PC Products_PJ" xfId="0"/>
    <cellStyle name="_LCDTV_Pocket TV_VSA 111014" xfId="0"/>
    <cellStyle name="_LCDTV_Pocket TV_VSA 111014 2" xfId="0"/>
    <cellStyle name="_LCDTV_Pocket TV_VSA 111014 3" xfId="0"/>
    <cellStyle name="_LCDTV_Pocket TV_VSA 111014 4" xfId="0"/>
    <cellStyle name="_LCDTV_Pocket TV_VSA 111014 4 2" xfId="0"/>
    <cellStyle name="_LCDTV_Pocket TV_VSA 111014_By Region" xfId="0"/>
    <cellStyle name="_LCDTV_Pocket TV_VSA 111014_CORP SG&amp;A" xfId="0"/>
    <cellStyle name="_LCDTV_Pocket TV_VSA 111014_LCD" xfId="0"/>
    <cellStyle name="_LCDTV_Pocket TV_VSA 111014_PJ" xfId="0"/>
    <cellStyle name="_LCDTV_Pocket TV_VSA Roll-Up (LW)" xfId="0"/>
    <cellStyle name="_LCDTV_Pocket TV_VSA Roll-Up (LW) 2" xfId="0"/>
    <cellStyle name="_LCDTV_Pocket TV_VSA Roll-Up (LW) 3" xfId="0"/>
    <cellStyle name="_LCDTV_Pocket TV_VSA Roll-Up (LW) 4" xfId="0"/>
    <cellStyle name="_LCDTV_Pocket TV_VSA Roll-Up (LW) 4 2" xfId="0"/>
    <cellStyle name="_LCDTV_Pocket TV_VSA Roll-Up (LW)_By Region" xfId="0"/>
    <cellStyle name="_LCDTV_Pocket TV_VSA Roll-Up (LW)_CORP SG&amp;A" xfId="0"/>
    <cellStyle name="_LCDTV_Pocket TV_VSA Roll-Up (LW)_LCD" xfId="0"/>
    <cellStyle name="_LCDTV_Pocket TV_VSA Roll-Up (LW)_PJ" xfId="0"/>
    <cellStyle name="_LCDTV_Pocket_TV" xfId="0"/>
    <cellStyle name="_LCDTV_Pocket_TV 2" xfId="0"/>
    <cellStyle name="_LCDTV_Pocket_TV 3" xfId="0"/>
    <cellStyle name="_LCDTV_Pocket_TV 4" xfId="0"/>
    <cellStyle name="_LCDTV_Pocket_TV_By Region" xfId="0"/>
    <cellStyle name="_LCDTV_Pocket_TV_CORP SG&amp;A" xfId="0"/>
    <cellStyle name="_LCDTV_Pocket_TV_Digitizer" xfId="0"/>
    <cellStyle name="_LCDTV_Pocket_TV_GPS OTHER" xfId="0"/>
    <cellStyle name="_LCDTV_Pocket_TV_GPS OTHER 2" xfId="0"/>
    <cellStyle name="_LCDTV_Pocket_TV_GPS OTHER 3" xfId="0"/>
    <cellStyle name="_LCDTV_Pocket_TV_GPS OTHER 4" xfId="0"/>
    <cellStyle name="_LCDTV_Pocket_TV_GPS OTHER 4 2" xfId="0"/>
    <cellStyle name="_LCDTV_Pocket_TV_GPS OTHER_By Region" xfId="0"/>
    <cellStyle name="_LCDTV_Pocket_TV_GPS OTHER_CORP SG&amp;A" xfId="0"/>
    <cellStyle name="_LCDTV_Pocket_TV_GPS OTHER_LCD" xfId="0"/>
    <cellStyle name="_LCDTV_Pocket_TV_GPS OTHER_PJ" xfId="0"/>
    <cellStyle name="_LCDTV_Pocket_TV_LCD" xfId="0"/>
    <cellStyle name="_LCDTV_Pocket_TV_LCD 2" xfId="0"/>
    <cellStyle name="_LCDTV_Pocket_TV_LCD 3" xfId="0"/>
    <cellStyle name="_LCDTV_Pocket_TV_LCD 4" xfId="0"/>
    <cellStyle name="_LCDTV_Pocket_TV_LCD_By Region" xfId="0"/>
    <cellStyle name="_LCDTV_Pocket_TV_LCD_CORP SG&amp;A" xfId="0"/>
    <cellStyle name="_LCDTV_Pocket_TV_LCD_LCD" xfId="0"/>
    <cellStyle name="_LCDTV_Pocket_TV_LCD_PJ" xfId="0"/>
    <cellStyle name="_LCDTV_Pocket_TV_PC Products" xfId="0"/>
    <cellStyle name="_LCDTV_Pocket_TV_PC Products 2" xfId="0"/>
    <cellStyle name="_LCDTV_Pocket_TV_PC Products 3" xfId="0"/>
    <cellStyle name="_LCDTV_Pocket_TV_PC Products 4" xfId="0"/>
    <cellStyle name="_LCDTV_Pocket_TV_PC Products 4 2" xfId="0"/>
    <cellStyle name="_LCDTV_Pocket_TV_PC Products_By Region" xfId="0"/>
    <cellStyle name="_LCDTV_Pocket_TV_PC Products_CORP SG&amp;A" xfId="0"/>
    <cellStyle name="_LCDTV_Pocket_TV_PC Products_LCD" xfId="0"/>
    <cellStyle name="_LCDTV_Pocket_TV_PC Products_PJ" xfId="0"/>
    <cellStyle name="_LCDTV_Pocket_TV_VSA 111014" xfId="0"/>
    <cellStyle name="_LCDTV_Pocket_TV_VSA 111014 2" xfId="0"/>
    <cellStyle name="_LCDTV_Pocket_TV_VSA 111014 3" xfId="0"/>
    <cellStyle name="_LCDTV_Pocket_TV_VSA 111014 4" xfId="0"/>
    <cellStyle name="_LCDTV_Pocket_TV_VSA 111014 4 2" xfId="0"/>
    <cellStyle name="_LCDTV_Pocket_TV_VSA 111014_By Region" xfId="0"/>
    <cellStyle name="_LCDTV_Pocket_TV_VSA 111014_CORP SG&amp;A" xfId="0"/>
    <cellStyle name="_LCDTV_Pocket_TV_VSA 111014_LCD" xfId="0"/>
    <cellStyle name="_LCDTV_Pocket_TV_VSA 111014_PJ" xfId="0"/>
    <cellStyle name="_LCDTV_Pocket_TV_VSA Roll-Up (LW)" xfId="0"/>
    <cellStyle name="_LCDTV_Pocket_TV_VSA Roll-Up (LW) 2" xfId="0"/>
    <cellStyle name="_LCDTV_Pocket_TV_VSA Roll-Up (LW) 3" xfId="0"/>
    <cellStyle name="_LCDTV_Pocket_TV_VSA Roll-Up (LW) 4" xfId="0"/>
    <cellStyle name="_LCDTV_Pocket_TV_VSA Roll-Up (LW) 4 2" xfId="0"/>
    <cellStyle name="_LCDTV_Pocket_TV_VSA Roll-Up (LW)_By Region" xfId="0"/>
    <cellStyle name="_LCDTV_Pocket_TV_VSA Roll-Up (LW)_CORP SG&amp;A" xfId="0"/>
    <cellStyle name="_LCDTV_Pocket_TV_VSA Roll-Up (LW)_LCD" xfId="0"/>
    <cellStyle name="_LCDTV_Pocket_TV_VSA Roll-Up (LW)_PJ" xfId="0"/>
    <cellStyle name="_LCDTV_TV" xfId="0"/>
    <cellStyle name="_LCDTV_TV 2" xfId="0"/>
    <cellStyle name="_LCDTV_TV 3" xfId="0"/>
    <cellStyle name="_LCDTV_TV 4" xfId="0"/>
    <cellStyle name="_LCDTV_TV_By Region" xfId="0"/>
    <cellStyle name="_LCDTV_TV_CORP SG&amp;A" xfId="0"/>
    <cellStyle name="_LCDTV_TV_Digitizer" xfId="0"/>
    <cellStyle name="_LCDTV_TV_GPS OTHER" xfId="0"/>
    <cellStyle name="_LCDTV_TV_GPS OTHER 2" xfId="0"/>
    <cellStyle name="_LCDTV_TV_GPS OTHER 3" xfId="0"/>
    <cellStyle name="_LCDTV_TV_GPS OTHER 4" xfId="0"/>
    <cellStyle name="_LCDTV_TV_GPS OTHER 4 2" xfId="0"/>
    <cellStyle name="_LCDTV_TV_GPS OTHER_By Region" xfId="0"/>
    <cellStyle name="_LCDTV_TV_GPS OTHER_CORP SG&amp;A" xfId="0"/>
    <cellStyle name="_LCDTV_TV_GPS OTHER_LCD" xfId="0"/>
    <cellStyle name="_LCDTV_TV_GPS OTHER_PJ" xfId="0"/>
    <cellStyle name="_LCDTV_TV_LCD" xfId="0"/>
    <cellStyle name="_LCDTV_TV_LCD 2" xfId="0"/>
    <cellStyle name="_LCDTV_TV_LCD 3" xfId="0"/>
    <cellStyle name="_LCDTV_TV_LCD 4" xfId="0"/>
    <cellStyle name="_LCDTV_TV_LCD_By Region" xfId="0"/>
    <cellStyle name="_LCDTV_TV_LCD_CORP SG&amp;A" xfId="0"/>
    <cellStyle name="_LCDTV_TV_LCD_LCD" xfId="0"/>
    <cellStyle name="_LCDTV_TV_LCD_PJ" xfId="0"/>
    <cellStyle name="_LCDTV_TV_PC Products" xfId="0"/>
    <cellStyle name="_LCDTV_TV_PC Products 2" xfId="0"/>
    <cellStyle name="_LCDTV_TV_PC Products 3" xfId="0"/>
    <cellStyle name="_LCDTV_TV_PC Products 4" xfId="0"/>
    <cellStyle name="_LCDTV_TV_PC Products 4 2" xfId="0"/>
    <cellStyle name="_LCDTV_TV_PC Products_By Region" xfId="0"/>
    <cellStyle name="_LCDTV_TV_PC Products_CORP SG&amp;A" xfId="0"/>
    <cellStyle name="_LCDTV_TV_PC Products_LCD" xfId="0"/>
    <cellStyle name="_LCDTV_TV_PC Products_PJ" xfId="0"/>
    <cellStyle name="_LCDTV_TV_VSA 111014" xfId="0"/>
    <cellStyle name="_LCDTV_TV_VSA 111014 2" xfId="0"/>
    <cellStyle name="_LCDTV_TV_VSA 111014 3" xfId="0"/>
    <cellStyle name="_LCDTV_TV_VSA 111014 4" xfId="0"/>
    <cellStyle name="_LCDTV_TV_VSA 111014 4 2" xfId="0"/>
    <cellStyle name="_LCDTV_TV_VSA 111014_By Region" xfId="0"/>
    <cellStyle name="_LCDTV_TV_VSA 111014_CORP SG&amp;A" xfId="0"/>
    <cellStyle name="_LCDTV_TV_VSA 111014_LCD" xfId="0"/>
    <cellStyle name="_LCDTV_TV_VSA 111014_PJ" xfId="0"/>
    <cellStyle name="_LCDTV_TV_VSA Roll-Up (LW)" xfId="0"/>
    <cellStyle name="_LCDTV_TV_VSA Roll-Up (LW) 2" xfId="0"/>
    <cellStyle name="_LCDTV_TV_VSA Roll-Up (LW) 3" xfId="0"/>
    <cellStyle name="_LCDTV_TV_VSA Roll-Up (LW) 4" xfId="0"/>
    <cellStyle name="_LCDTV_TV_VSA Roll-Up (LW) 4 2" xfId="0"/>
    <cellStyle name="_LCDTV_TV_VSA Roll-Up (LW)_By Region" xfId="0"/>
    <cellStyle name="_LCDTV_TV_VSA Roll-Up (LW)_CORP SG&amp;A" xfId="0"/>
    <cellStyle name="_LCDTV_TV_VSA Roll-Up (LW)_LCD" xfId="0"/>
    <cellStyle name="_LCDTV_TV_VSA Roll-Up (LW)_PJ" xfId="0"/>
    <cellStyle name="_LCDTV_VD" xfId="0"/>
    <cellStyle name="_LCDTV_VD 2" xfId="0"/>
    <cellStyle name="_LCDTV_VD 3" xfId="0"/>
    <cellStyle name="_LCDTV_VD 4" xfId="0"/>
    <cellStyle name="_LCDTV_VD_By Region" xfId="0"/>
    <cellStyle name="_LCDTV_VD_CORP SG&amp;A" xfId="0"/>
    <cellStyle name="_LCDTV_VD_Digitizer" xfId="0"/>
    <cellStyle name="_LCDTV_VD_GPS OTHER" xfId="0"/>
    <cellStyle name="_LCDTV_VD_GPS OTHER 2" xfId="0"/>
    <cellStyle name="_LCDTV_VD_GPS OTHER 3" xfId="0"/>
    <cellStyle name="_LCDTV_VD_GPS OTHER 4" xfId="0"/>
    <cellStyle name="_LCDTV_VD_GPS OTHER 4 2" xfId="0"/>
    <cellStyle name="_LCDTV_VD_GPS OTHER_By Region" xfId="0"/>
    <cellStyle name="_LCDTV_VD_GPS OTHER_CORP SG&amp;A" xfId="0"/>
    <cellStyle name="_LCDTV_VD_GPS OTHER_LCD" xfId="0"/>
    <cellStyle name="_LCDTV_VD_GPS OTHER_PJ" xfId="0"/>
    <cellStyle name="_LCDTV_VD_LCD" xfId="0"/>
    <cellStyle name="_LCDTV_VD_LCD 2" xfId="0"/>
    <cellStyle name="_LCDTV_VD_LCD 3" xfId="0"/>
    <cellStyle name="_LCDTV_VD_LCD 4" xfId="0"/>
    <cellStyle name="_LCDTV_VD_LCD_By Region" xfId="0"/>
    <cellStyle name="_LCDTV_VD_LCD_CORP SG&amp;A" xfId="0"/>
    <cellStyle name="_LCDTV_VD_LCD_LCD" xfId="0"/>
    <cellStyle name="_LCDTV_VD_LCD_PJ" xfId="0"/>
    <cellStyle name="_LCDTV_VD_PC Products" xfId="0"/>
    <cellStyle name="_LCDTV_VD_PC Products 2" xfId="0"/>
    <cellStyle name="_LCDTV_VD_PC Products 3" xfId="0"/>
    <cellStyle name="_LCDTV_VD_PC Products 4" xfId="0"/>
    <cellStyle name="_LCDTV_VD_PC Products 4 2" xfId="0"/>
    <cellStyle name="_LCDTV_VD_PC Products_By Region" xfId="0"/>
    <cellStyle name="_LCDTV_VD_PC Products_CORP SG&amp;A" xfId="0"/>
    <cellStyle name="_LCDTV_VD_PC Products_LCD" xfId="0"/>
    <cellStyle name="_LCDTV_VD_PC Products_PJ" xfId="0"/>
    <cellStyle name="_LCDTV_VD_VSA 111014" xfId="0"/>
    <cellStyle name="_LCDTV_VD_VSA 111014 2" xfId="0"/>
    <cellStyle name="_LCDTV_VD_VSA 111014 3" xfId="0"/>
    <cellStyle name="_LCDTV_VD_VSA 111014 4" xfId="0"/>
    <cellStyle name="_LCDTV_VD_VSA 111014 4 2" xfId="0"/>
    <cellStyle name="_LCDTV_VD_VSA 111014_By Region" xfId="0"/>
    <cellStyle name="_LCDTV_VD_VSA 111014_CORP SG&amp;A" xfId="0"/>
    <cellStyle name="_LCDTV_VD_VSA 111014_LCD" xfId="0"/>
    <cellStyle name="_LCDTV_VD_VSA 111014_PJ" xfId="0"/>
    <cellStyle name="_LCDTV_VD_VSA Roll-Up (LW)" xfId="0"/>
    <cellStyle name="_LCDTV_VD_VSA Roll-Up (LW) 2" xfId="0"/>
    <cellStyle name="_LCDTV_VD_VSA Roll-Up (LW) 3" xfId="0"/>
    <cellStyle name="_LCDTV_VD_VSA Roll-Up (LW) 4" xfId="0"/>
    <cellStyle name="_LCDTV_VD_VSA Roll-Up (LW) 4 2" xfId="0"/>
    <cellStyle name="_LCDTV_VD_VSA Roll-Up (LW)_By Region" xfId="0"/>
    <cellStyle name="_LCDTV_VD_VSA Roll-Up (LW)_CORP SG&amp;A" xfId="0"/>
    <cellStyle name="_LCDTV_VD_VSA Roll-Up (LW)_LCD" xfId="0"/>
    <cellStyle name="_LCDTV_VD_VSA Roll-Up (LW)_PJ" xfId="0"/>
    <cellStyle name="_LCDTV_VSA 111014" xfId="0"/>
    <cellStyle name="_LCDTV_VSA 111014 2" xfId="0"/>
    <cellStyle name="_LCDTV_VSA 111014 3" xfId="0"/>
    <cellStyle name="_LCDTV_VSA 111014 4" xfId="0"/>
    <cellStyle name="_LCDTV_VSA 111014 4 2" xfId="0"/>
    <cellStyle name="_LCDTV_VSA 111014_By Region" xfId="0"/>
    <cellStyle name="_LCDTV_VSA 111014_CORP SG&amp;A" xfId="0"/>
    <cellStyle name="_LCDTV_VSA 111014_LCD" xfId="0"/>
    <cellStyle name="_LCDTV_VSA 111014_PJ" xfId="0"/>
    <cellStyle name="_LCDTV_VSA Roll-Up (LW)" xfId="0"/>
    <cellStyle name="_LCDTV_VSA Roll-Up (LW) 2" xfId="0"/>
    <cellStyle name="_LCDTV_VSA Roll-Up (LW) 3" xfId="0"/>
    <cellStyle name="_LCDTV_VSA Roll-Up (LW) 4" xfId="0"/>
    <cellStyle name="_LCDTV_VSA Roll-Up (LW) 4 2" xfId="0"/>
    <cellStyle name="_LCDTV_VSA Roll-Up (LW)_By Region" xfId="0"/>
    <cellStyle name="_LCDTV_VSA Roll-Up (LW)_CORP SG&amp;A" xfId="0"/>
    <cellStyle name="_LCDTV_VSA Roll-Up (LW)_LCD" xfId="0"/>
    <cellStyle name="_LCDTV_VSA Roll-Up (LW)_PJ" xfId="0"/>
    <cellStyle name="_LCDTV_VSE 2011 Budget" xfId="0"/>
    <cellStyle name="_LCDTV_VSE 2011 Budget 2" xfId="0"/>
    <cellStyle name="_LCDTV_VSE 2011 Budget 3" xfId="0"/>
    <cellStyle name="_LCDTV_VSE 2011 Budget 4" xfId="0"/>
    <cellStyle name="_LCDTV_VSE 2011 Budget_By Region" xfId="0"/>
    <cellStyle name="_LCDTV_VSE 2011 Budget_CORP SG&amp;A" xfId="0"/>
    <cellStyle name="_LCDTV_VSE 2011 Budget_Digitizer" xfId="0"/>
    <cellStyle name="_LCDTV_VSE 2011 Budget_GPS OTHER" xfId="0"/>
    <cellStyle name="_LCDTV_VSE 2011 Budget_GPS OTHER 2" xfId="0"/>
    <cellStyle name="_LCDTV_VSE 2011 Budget_GPS OTHER 3" xfId="0"/>
    <cellStyle name="_LCDTV_VSE 2011 Budget_GPS OTHER 4" xfId="0"/>
    <cellStyle name="_LCDTV_VSE 2011 Budget_GPS OTHER 4 2" xfId="0"/>
    <cellStyle name="_LCDTV_VSE 2011 Budget_GPS OTHER_By Region" xfId="0"/>
    <cellStyle name="_LCDTV_VSE 2011 Budget_GPS OTHER_CORP SG&amp;A" xfId="0"/>
    <cellStyle name="_LCDTV_VSE 2011 Budget_GPS OTHER_LCD" xfId="0"/>
    <cellStyle name="_LCDTV_VSE 2011 Budget_GPS OTHER_PJ" xfId="0"/>
    <cellStyle name="_LCDTV_VSE 2011 Budget_LCD" xfId="0"/>
    <cellStyle name="_LCDTV_VSE 2011 Budget_LCD 2" xfId="0"/>
    <cellStyle name="_LCDTV_VSE 2011 Budget_LCD 3" xfId="0"/>
    <cellStyle name="_LCDTV_VSE 2011 Budget_LCD 4" xfId="0"/>
    <cellStyle name="_LCDTV_VSE 2011 Budget_LCD_By Region" xfId="0"/>
    <cellStyle name="_LCDTV_VSE 2011 Budget_LCD_CORP SG&amp;A" xfId="0"/>
    <cellStyle name="_LCDTV_VSE 2011 Budget_LCD_LCD" xfId="0"/>
    <cellStyle name="_LCDTV_VSE 2011 Budget_LCD_PJ" xfId="0"/>
    <cellStyle name="_LCDTV_VSE 2011 Budget_PC Products" xfId="0"/>
    <cellStyle name="_LCDTV_VSE 2011 Budget_PC Products 2" xfId="0"/>
    <cellStyle name="_LCDTV_VSE 2011 Budget_PC Products 3" xfId="0"/>
    <cellStyle name="_LCDTV_VSE 2011 Budget_PC Products 4" xfId="0"/>
    <cellStyle name="_LCDTV_VSE 2011 Budget_PC Products 4 2" xfId="0"/>
    <cellStyle name="_LCDTV_VSE 2011 Budget_PC Products_By Region" xfId="0"/>
    <cellStyle name="_LCDTV_VSE 2011 Budget_PC Products_CORP SG&amp;A" xfId="0"/>
    <cellStyle name="_LCDTV_VSE 2011 Budget_PC Products_LCD" xfId="0"/>
    <cellStyle name="_LCDTV_VSE 2011 Budget_PC Products_PJ" xfId="0"/>
    <cellStyle name="_LCDTV_VSE 2011 Budget_VSA 111014" xfId="0"/>
    <cellStyle name="_LCDTV_VSE 2011 Budget_VSA 111014 2" xfId="0"/>
    <cellStyle name="_LCDTV_VSE 2011 Budget_VSA 111014 3" xfId="0"/>
    <cellStyle name="_LCDTV_VSE 2011 Budget_VSA 111014 4" xfId="0"/>
    <cellStyle name="_LCDTV_VSE 2011 Budget_VSA 111014 4 2" xfId="0"/>
    <cellStyle name="_LCDTV_VSE 2011 Budget_VSA 111014_By Region" xfId="0"/>
    <cellStyle name="_LCDTV_VSE 2011 Budget_VSA 111014_CORP SG&amp;A" xfId="0"/>
    <cellStyle name="_LCDTV_VSE 2011 Budget_VSA 111014_LCD" xfId="0"/>
    <cellStyle name="_LCDTV_VSE 2011 Budget_VSA 111014_PJ" xfId="0"/>
    <cellStyle name="_LCDTV_VSE 2011 Budget_VSA Roll-Up (LW)" xfId="0"/>
    <cellStyle name="_LCDTV_VSE 2011 Budget_VSA Roll-Up (LW) 2" xfId="0"/>
    <cellStyle name="_LCDTV_VSE 2011 Budget_VSA Roll-Up (LW) 3" xfId="0"/>
    <cellStyle name="_LCDTV_VSE 2011 Budget_VSA Roll-Up (LW) 4" xfId="0"/>
    <cellStyle name="_LCDTV_VSE 2011 Budget_VSA Roll-Up (LW) 4 2" xfId="0"/>
    <cellStyle name="_LCDTV_VSE 2011 Budget_VSA Roll-Up (LW)_By Region" xfId="0"/>
    <cellStyle name="_LCDTV_VSE 2011 Budget_VSA Roll-Up (LW)_CORP SG&amp;A" xfId="0"/>
    <cellStyle name="_LCDTV_VSE 2011 Budget_VSA Roll-Up (LW)_LCD" xfId="0"/>
    <cellStyle name="_LCDTV_VSE 2011 Budget_VSA Roll-Up (LW)_PJ" xfId="0"/>
    <cellStyle name="_LCDTV_VSE 2H  WFP review (Spring Global meeting)-conservative Adam working v3" xfId="0"/>
    <cellStyle name="_LCDTV_VSE 2H  WFP review (Spring Global meeting)-conservative Adam working v3 2" xfId="0"/>
    <cellStyle name="_LCDTV_VSE 2H  WFP review (Spring Global meeting)-conservative Adam working v3 3" xfId="0"/>
    <cellStyle name="_LCDTV_VSE 2H Rebalance 110712" xfId="0"/>
    <cellStyle name="_LCDTV_VSE 2H Rebalance 110712 2" xfId="0"/>
    <cellStyle name="_LCDTV_VSE 2H Rebalance 110712 3" xfId="0"/>
    <cellStyle name="_LCDTV_VSE 2H Rebalance 110712 4" xfId="0"/>
    <cellStyle name="_LCDTV_VSE 2H Rebalance 110712_By Region" xfId="0"/>
    <cellStyle name="_LCDTV_VSE 2H Rebalance 110712_CORP SG&amp;A" xfId="0"/>
    <cellStyle name="_LCDTV_VSE WFP 101203" xfId="0"/>
    <cellStyle name="_LCDTV_VSE WFP 101203 2" xfId="0"/>
    <cellStyle name="_LCDTV_VSE WFP 101203 3" xfId="0"/>
    <cellStyle name="_LCDTV_VSE WFP 101203 4" xfId="0"/>
    <cellStyle name="_LCDTV_VSE WFP 101203_By Region" xfId="0"/>
    <cellStyle name="_LCDTV_VSE WFP 101203_CORP SG&amp;A" xfId="0"/>
    <cellStyle name="_LCDTV_VSE WFP 110311" xfId="0"/>
    <cellStyle name="_LCDTV_VSE WFP 110311 2" xfId="0"/>
    <cellStyle name="_LCDTV_VSE WFP 110311 3" xfId="0"/>
    <cellStyle name="_LCDTV_VSE WFP 110311 4" xfId="0"/>
    <cellStyle name="_LCDTV_VSE WFP 110311_By Region" xfId="0"/>
    <cellStyle name="_LCDTV_VSE WFP 110311_CORP SG&amp;A" xfId="0"/>
    <cellStyle name="_LCDTV_VSE WFP 110415" xfId="0"/>
    <cellStyle name="_LCDTV_VSE WFP 110415 2" xfId="0"/>
    <cellStyle name="_LCDTV_VSE WFP 110415 3" xfId="0"/>
    <cellStyle name="_LCDTV_VSE WFP 110415 4" xfId="0"/>
    <cellStyle name="_LCDTV_VSE WFP 110415_By Region" xfId="0"/>
    <cellStyle name="_LCDTV_VSE WFP 110415_CORP SG&amp;A" xfId="0"/>
    <cellStyle name="_LCDTV_VSE WFP_100409" xfId="0"/>
    <cellStyle name="_LCDTV_VSE WFP_100409 2" xfId="0"/>
    <cellStyle name="_LCDTV_VSE WFP_100409 3" xfId="0"/>
    <cellStyle name="_LCDTV_VSE WFP_100409 4" xfId="0"/>
    <cellStyle name="_LCDTV_VSE WFP_100409_By Region" xfId="0"/>
    <cellStyle name="_LCDTV_VSE WFP_100409_CORP SG&amp;A" xfId="0"/>
    <cellStyle name="_LCDTV_VSE WFP_100409_Digitizer" xfId="0"/>
    <cellStyle name="_LCDTV_VSE WFP_100409_GPS OTHER" xfId="0"/>
    <cellStyle name="_LCDTV_VSE WFP_100409_GPS OTHER 2" xfId="0"/>
    <cellStyle name="_LCDTV_VSE WFP_100409_GPS OTHER 3" xfId="0"/>
    <cellStyle name="_LCDTV_VSE WFP_100409_GPS OTHER 4" xfId="0"/>
    <cellStyle name="_LCDTV_VSE WFP_100409_GPS OTHER 4 2" xfId="0"/>
    <cellStyle name="_LCDTV_VSE WFP_100409_GPS OTHER_By Region" xfId="0"/>
    <cellStyle name="_LCDTV_VSE WFP_100409_GPS OTHER_CORP SG&amp;A" xfId="0"/>
    <cellStyle name="_LCDTV_VSE WFP_100409_GPS OTHER_LCD" xfId="0"/>
    <cellStyle name="_LCDTV_VSE WFP_100409_GPS OTHER_PJ" xfId="0"/>
    <cellStyle name="_LCDTV_VSE WFP_100409_LCD" xfId="0"/>
    <cellStyle name="_LCDTV_VSE WFP_100409_LCD 2" xfId="0"/>
    <cellStyle name="_LCDTV_VSE WFP_100409_LCD 3" xfId="0"/>
    <cellStyle name="_LCDTV_VSE WFP_100409_LCD 4" xfId="0"/>
    <cellStyle name="_LCDTV_VSE WFP_100409_LCD_By Region" xfId="0"/>
    <cellStyle name="_LCDTV_VSE WFP_100409_LCD_CORP SG&amp;A" xfId="0"/>
    <cellStyle name="_LCDTV_VSE WFP_100409_LCD_LCD" xfId="0"/>
    <cellStyle name="_LCDTV_VSE WFP_100409_LCD_PJ" xfId="0"/>
    <cellStyle name="_LCDTV_VSE WFP_100409_PC Products" xfId="0"/>
    <cellStyle name="_LCDTV_VSE WFP_100409_PC Products 2" xfId="0"/>
    <cellStyle name="_LCDTV_VSE WFP_100409_PC Products 3" xfId="0"/>
    <cellStyle name="_LCDTV_VSE WFP_100409_PC Products 4" xfId="0"/>
    <cellStyle name="_LCDTV_VSE WFP_100409_PC Products 4 2" xfId="0"/>
    <cellStyle name="_LCDTV_VSE WFP_100409_PC Products_By Region" xfId="0"/>
    <cellStyle name="_LCDTV_VSE WFP_100409_PC Products_CORP SG&amp;A" xfId="0"/>
    <cellStyle name="_LCDTV_VSE WFP_100409_PC Products_LCD" xfId="0"/>
    <cellStyle name="_LCDTV_VSE WFP_100409_PC Products_PJ" xfId="0"/>
    <cellStyle name="_LCDTV_VSE WFP_100409_VSA 111014" xfId="0"/>
    <cellStyle name="_LCDTV_VSE WFP_100409_VSA 111014 2" xfId="0"/>
    <cellStyle name="_LCDTV_VSE WFP_100409_VSA 111014 3" xfId="0"/>
    <cellStyle name="_LCDTV_VSE WFP_100409_VSA 111014 4" xfId="0"/>
    <cellStyle name="_LCDTV_VSE WFP_100409_VSA 111014 4 2" xfId="0"/>
    <cellStyle name="_LCDTV_VSE WFP_100409_VSA 111014_By Region" xfId="0"/>
    <cellStyle name="_LCDTV_VSE WFP_100409_VSA 111014_CORP SG&amp;A" xfId="0"/>
    <cellStyle name="_LCDTV_VSE WFP_100409_VSA 111014_LCD" xfId="0"/>
    <cellStyle name="_LCDTV_VSE WFP_100409_VSA 111014_PJ" xfId="0"/>
    <cellStyle name="_LCDTV_VSE WFP_100409_VSA Roll-Up (LW)" xfId="0"/>
    <cellStyle name="_LCDTV_VSE WFP_100409_VSA Roll-Up (LW) 2" xfId="0"/>
    <cellStyle name="_LCDTV_VSE WFP_100409_VSA Roll-Up (LW) 3" xfId="0"/>
    <cellStyle name="_LCDTV_VSE WFP_100409_VSA Roll-Up (LW) 4" xfId="0"/>
    <cellStyle name="_LCDTV_VSE WFP_100409_VSA Roll-Up (LW) 4 2" xfId="0"/>
    <cellStyle name="_LCDTV_VSE WFP_100409_VSA Roll-Up (LW)_By Region" xfId="0"/>
    <cellStyle name="_LCDTV_VSE WFP_100409_VSA Roll-Up (LW)_CORP SG&amp;A" xfId="0"/>
    <cellStyle name="_LCDTV_VSE WFP_100409_VSA Roll-Up (LW)_LCD" xfId="0"/>
    <cellStyle name="_LCDTV_VSE WFP_100409_VSA Roll-Up (LW)_PJ" xfId="0"/>
    <cellStyle name="_LCDTV_VSE WFP_100421 v2" xfId="0"/>
    <cellStyle name="_LCDTV_VSE WFP_100421 v2 2" xfId="0"/>
    <cellStyle name="_LCDTV_VSE WFP_100421 v2 3" xfId="0"/>
    <cellStyle name="_LCDTV_VSE WFP_100421 v2 4" xfId="0"/>
    <cellStyle name="_LCDTV_VSE WFP_100421 v2_By Region" xfId="0"/>
    <cellStyle name="_LCDTV_VSE WFP_100421 v2_CORP SG&amp;A" xfId="0"/>
    <cellStyle name="_LCDTV_VSE WFP_100421 v2_Digitizer" xfId="0"/>
    <cellStyle name="_LCDTV_VSE WFP_100421 v2_GPS OTHER" xfId="0"/>
    <cellStyle name="_LCDTV_VSE WFP_100421 v2_GPS OTHER 2" xfId="0"/>
    <cellStyle name="_LCDTV_VSE WFP_100421 v2_GPS OTHER 3" xfId="0"/>
    <cellStyle name="_LCDTV_VSE WFP_100421 v2_GPS OTHER 4" xfId="0"/>
    <cellStyle name="_LCDTV_VSE WFP_100421 v2_GPS OTHER 4 2" xfId="0"/>
    <cellStyle name="_LCDTV_VSE WFP_100421 v2_GPS OTHER_By Region" xfId="0"/>
    <cellStyle name="_LCDTV_VSE WFP_100421 v2_GPS OTHER_CORP SG&amp;A" xfId="0"/>
    <cellStyle name="_LCDTV_VSE WFP_100421 v2_GPS OTHER_LCD" xfId="0"/>
    <cellStyle name="_LCDTV_VSE WFP_100421 v2_GPS OTHER_PJ" xfId="0"/>
    <cellStyle name="_LCDTV_VSE WFP_100421 v2_LCD" xfId="0"/>
    <cellStyle name="_LCDTV_VSE WFP_100421 v2_LCD 2" xfId="0"/>
    <cellStyle name="_LCDTV_VSE WFP_100421 v2_LCD 3" xfId="0"/>
    <cellStyle name="_LCDTV_VSE WFP_100421 v2_LCD 4" xfId="0"/>
    <cellStyle name="_LCDTV_VSE WFP_100421 v2_LCD_By Region" xfId="0"/>
    <cellStyle name="_LCDTV_VSE WFP_100421 v2_LCD_CORP SG&amp;A" xfId="0"/>
    <cellStyle name="_LCDTV_VSE WFP_100421 v2_LCD_LCD" xfId="0"/>
    <cellStyle name="_LCDTV_VSE WFP_100421 v2_LCD_PJ" xfId="0"/>
    <cellStyle name="_LCDTV_VSE WFP_100421 v2_PC Products" xfId="0"/>
    <cellStyle name="_LCDTV_VSE WFP_100421 v2_PC Products 2" xfId="0"/>
    <cellStyle name="_LCDTV_VSE WFP_100421 v2_PC Products 3" xfId="0"/>
    <cellStyle name="_LCDTV_VSE WFP_100421 v2_PC Products 4" xfId="0"/>
    <cellStyle name="_LCDTV_VSE WFP_100421 v2_PC Products 4 2" xfId="0"/>
    <cellStyle name="_LCDTV_VSE WFP_100421 v2_PC Products_By Region" xfId="0"/>
    <cellStyle name="_LCDTV_VSE WFP_100421 v2_PC Products_CORP SG&amp;A" xfId="0"/>
    <cellStyle name="_LCDTV_VSE WFP_100421 v2_PC Products_LCD" xfId="0"/>
    <cellStyle name="_LCDTV_VSE WFP_100421 v2_PC Products_PJ" xfId="0"/>
    <cellStyle name="_LCDTV_VSE WFP_100421 v2_VSA 111014" xfId="0"/>
    <cellStyle name="_LCDTV_VSE WFP_100421 v2_VSA 111014 2" xfId="0"/>
    <cellStyle name="_LCDTV_VSE WFP_100421 v2_VSA 111014 3" xfId="0"/>
    <cellStyle name="_LCDTV_VSE WFP_100421 v2_VSA 111014 4" xfId="0"/>
    <cellStyle name="_LCDTV_VSE WFP_100421 v2_VSA 111014 4 2" xfId="0"/>
    <cellStyle name="_LCDTV_VSE WFP_100421 v2_VSA 111014_By Region" xfId="0"/>
    <cellStyle name="_LCDTV_VSE WFP_100421 v2_VSA 111014_CORP SG&amp;A" xfId="0"/>
    <cellStyle name="_LCDTV_VSE WFP_100421 v2_VSA 111014_LCD" xfId="0"/>
    <cellStyle name="_LCDTV_VSE WFP_100421 v2_VSA 111014_PJ" xfId="0"/>
    <cellStyle name="_LCDTV_VSE WFP_100421 v2_VSA Roll-Up (LW)" xfId="0"/>
    <cellStyle name="_LCDTV_VSE WFP_100421 v2_VSA Roll-Up (LW) 2" xfId="0"/>
    <cellStyle name="_LCDTV_VSE WFP_100421 v2_VSA Roll-Up (LW) 3" xfId="0"/>
    <cellStyle name="_LCDTV_VSE WFP_100421 v2_VSA Roll-Up (LW) 4" xfId="0"/>
    <cellStyle name="_LCDTV_VSE WFP_100421 v2_VSA Roll-Up (LW) 4 2" xfId="0"/>
    <cellStyle name="_LCDTV_VSE WFP_100421 v2_VSA Roll-Up (LW)_By Region" xfId="0"/>
    <cellStyle name="_LCDTV_VSE WFP_100421 v2_VSA Roll-Up (LW)_CORP SG&amp;A" xfId="0"/>
    <cellStyle name="_LCDTV_VSE WFP_100421 v2_VSA Roll-Up (LW)_LCD" xfId="0"/>
    <cellStyle name="_LCDTV_VSE WFP_100421 v2_VSA Roll-Up (LW)_PJ" xfId="0"/>
    <cellStyle name="_LCDTV_VSE WFP_100507" xfId="0"/>
    <cellStyle name="_LCDTV_VSE WFP_100507 2" xfId="0"/>
    <cellStyle name="_LCDTV_VSE WFP_100507 3" xfId="0"/>
    <cellStyle name="_LCDTV_VSE WFP_100507 4" xfId="0"/>
    <cellStyle name="_LCDTV_VSE WFP_100507_By Region" xfId="0"/>
    <cellStyle name="_LCDTV_VSE WFP_100507_CORP SG&amp;A" xfId="0"/>
    <cellStyle name="_LCDTV_VSE WFP_100507_Digitizer" xfId="0"/>
    <cellStyle name="_LCDTV_VSE WFP_100507_GPS OTHER" xfId="0"/>
    <cellStyle name="_LCDTV_VSE WFP_100507_GPS OTHER 2" xfId="0"/>
    <cellStyle name="_LCDTV_VSE WFP_100507_GPS OTHER 3" xfId="0"/>
    <cellStyle name="_LCDTV_VSE WFP_100507_GPS OTHER 4" xfId="0"/>
    <cellStyle name="_LCDTV_VSE WFP_100507_GPS OTHER 4 2" xfId="0"/>
    <cellStyle name="_LCDTV_VSE WFP_100507_GPS OTHER_By Region" xfId="0"/>
    <cellStyle name="_LCDTV_VSE WFP_100507_GPS OTHER_CORP SG&amp;A" xfId="0"/>
    <cellStyle name="_LCDTV_VSE WFP_100507_GPS OTHER_LCD" xfId="0"/>
    <cellStyle name="_LCDTV_VSE WFP_100507_GPS OTHER_PJ" xfId="0"/>
    <cellStyle name="_LCDTV_VSE WFP_100507_LCD" xfId="0"/>
    <cellStyle name="_LCDTV_VSE WFP_100507_LCD 2" xfId="0"/>
    <cellStyle name="_LCDTV_VSE WFP_100507_LCD 3" xfId="0"/>
    <cellStyle name="_LCDTV_VSE WFP_100507_LCD 4" xfId="0"/>
    <cellStyle name="_LCDTV_VSE WFP_100507_LCD_By Region" xfId="0"/>
    <cellStyle name="_LCDTV_VSE WFP_100507_LCD_CORP SG&amp;A" xfId="0"/>
    <cellStyle name="_LCDTV_VSE WFP_100507_LCD_LCD" xfId="0"/>
    <cellStyle name="_LCDTV_VSE WFP_100507_LCD_PJ" xfId="0"/>
    <cellStyle name="_LCDTV_VSE WFP_100507_PC Products" xfId="0"/>
    <cellStyle name="_LCDTV_VSE WFP_100507_PC Products 2" xfId="0"/>
    <cellStyle name="_LCDTV_VSE WFP_100507_PC Products 3" xfId="0"/>
    <cellStyle name="_LCDTV_VSE WFP_100507_PC Products 4" xfId="0"/>
    <cellStyle name="_LCDTV_VSE WFP_100507_PC Products 4 2" xfId="0"/>
    <cellStyle name="_LCDTV_VSE WFP_100507_PC Products_By Region" xfId="0"/>
    <cellStyle name="_LCDTV_VSE WFP_100507_PC Products_CORP SG&amp;A" xfId="0"/>
    <cellStyle name="_LCDTV_VSE WFP_100507_PC Products_LCD" xfId="0"/>
    <cellStyle name="_LCDTV_VSE WFP_100507_PC Products_PJ" xfId="0"/>
    <cellStyle name="_LCDTV_VSE WFP_100507_VSA 111014" xfId="0"/>
    <cellStyle name="_LCDTV_VSE WFP_100507_VSA 111014 2" xfId="0"/>
    <cellStyle name="_LCDTV_VSE WFP_100507_VSA 111014 3" xfId="0"/>
    <cellStyle name="_LCDTV_VSE WFP_100507_VSA 111014 4" xfId="0"/>
    <cellStyle name="_LCDTV_VSE WFP_100507_VSA 111014 4 2" xfId="0"/>
    <cellStyle name="_LCDTV_VSE WFP_100507_VSA 111014_By Region" xfId="0"/>
    <cellStyle name="_LCDTV_VSE WFP_100507_VSA 111014_CORP SG&amp;A" xfId="0"/>
    <cellStyle name="_LCDTV_VSE WFP_100507_VSA 111014_LCD" xfId="0"/>
    <cellStyle name="_LCDTV_VSE WFP_100507_VSA 111014_PJ" xfId="0"/>
    <cellStyle name="_LCDTV_VSE WFP_100507_VSA Roll-Up (LW)" xfId="0"/>
    <cellStyle name="_LCDTV_VSE WFP_100507_VSA Roll-Up (LW) 2" xfId="0"/>
    <cellStyle name="_LCDTV_VSE WFP_100507_VSA Roll-Up (LW) 3" xfId="0"/>
    <cellStyle name="_LCDTV_VSE WFP_100507_VSA Roll-Up (LW) 4" xfId="0"/>
    <cellStyle name="_LCDTV_VSE WFP_100507_VSA Roll-Up (LW) 4 2" xfId="0"/>
    <cellStyle name="_LCDTV_VSE WFP_100507_VSA Roll-Up (LW)_By Region" xfId="0"/>
    <cellStyle name="_LCDTV_VSE WFP_100507_VSA Roll-Up (LW)_CORP SG&amp;A" xfId="0"/>
    <cellStyle name="_LCDTV_VSE WFP_100507_VSA Roll-Up (LW)_LCD" xfId="0"/>
    <cellStyle name="_LCDTV_VSE WFP_100507_VSA Roll-Up (LW)_PJ" xfId="0"/>
    <cellStyle name="_LCDTV_VSE WFP_100608" xfId="0"/>
    <cellStyle name="_LCDTV_VSE WFP_100608 2" xfId="0"/>
    <cellStyle name="_LCDTV_VSE WFP_100608 3" xfId="0"/>
    <cellStyle name="_LCDTV_VSE WFP_100608 4" xfId="0"/>
    <cellStyle name="_LCDTV_VSE WFP_100608_By Region" xfId="0"/>
    <cellStyle name="_LCDTV_VSE WFP_100608_CORP SG&amp;A" xfId="0"/>
    <cellStyle name="_LCDTV_VSE WFP_100608_Digitizer" xfId="0"/>
    <cellStyle name="_LCDTV_VSE WFP_100608_GPS OTHER" xfId="0"/>
    <cellStyle name="_LCDTV_VSE WFP_100608_GPS OTHER 2" xfId="0"/>
    <cellStyle name="_LCDTV_VSE WFP_100608_GPS OTHER 3" xfId="0"/>
    <cellStyle name="_LCDTV_VSE WFP_100608_GPS OTHER 4" xfId="0"/>
    <cellStyle name="_LCDTV_VSE WFP_100608_GPS OTHER 4 2" xfId="0"/>
    <cellStyle name="_LCDTV_VSE WFP_100608_GPS OTHER_By Region" xfId="0"/>
    <cellStyle name="_LCDTV_VSE WFP_100608_GPS OTHER_CORP SG&amp;A" xfId="0"/>
    <cellStyle name="_LCDTV_VSE WFP_100608_GPS OTHER_LCD" xfId="0"/>
    <cellStyle name="_LCDTV_VSE WFP_100608_GPS OTHER_PJ" xfId="0"/>
    <cellStyle name="_LCDTV_VSE WFP_100608_LCD" xfId="0"/>
    <cellStyle name="_LCDTV_VSE WFP_100608_LCD 2" xfId="0"/>
    <cellStyle name="_LCDTV_VSE WFP_100608_LCD 3" xfId="0"/>
    <cellStyle name="_LCDTV_VSE WFP_100608_LCD 4" xfId="0"/>
    <cellStyle name="_LCDTV_VSE WFP_100608_LCD_By Region" xfId="0"/>
    <cellStyle name="_LCDTV_VSE WFP_100608_LCD_CORP SG&amp;A" xfId="0"/>
    <cellStyle name="_LCDTV_VSE WFP_100608_LCD_LCD" xfId="0"/>
    <cellStyle name="_LCDTV_VSE WFP_100608_LCD_PJ" xfId="0"/>
    <cellStyle name="_LCDTV_VSE WFP_100608_PC Products" xfId="0"/>
    <cellStyle name="_LCDTV_VSE WFP_100608_PC Products 2" xfId="0"/>
    <cellStyle name="_LCDTV_VSE WFP_100608_PC Products 3" xfId="0"/>
    <cellStyle name="_LCDTV_VSE WFP_100608_PC Products 4" xfId="0"/>
    <cellStyle name="_LCDTV_VSE WFP_100608_PC Products 4 2" xfId="0"/>
    <cellStyle name="_LCDTV_VSE WFP_100608_PC Products_By Region" xfId="0"/>
    <cellStyle name="_LCDTV_VSE WFP_100608_PC Products_CORP SG&amp;A" xfId="0"/>
    <cellStyle name="_LCDTV_VSE WFP_100608_PC Products_LCD" xfId="0"/>
    <cellStyle name="_LCDTV_VSE WFP_100608_PC Products_PJ" xfId="0"/>
    <cellStyle name="_LCDTV_VSE WFP_100608_VSA 111014" xfId="0"/>
    <cellStyle name="_LCDTV_VSE WFP_100608_VSA 111014 2" xfId="0"/>
    <cellStyle name="_LCDTV_VSE WFP_100608_VSA 111014 3" xfId="0"/>
    <cellStyle name="_LCDTV_VSE WFP_100608_VSA 111014 4" xfId="0"/>
    <cellStyle name="_LCDTV_VSE WFP_100608_VSA 111014 4 2" xfId="0"/>
    <cellStyle name="_LCDTV_VSE WFP_100608_VSA 111014_By Region" xfId="0"/>
    <cellStyle name="_LCDTV_VSE WFP_100608_VSA 111014_CORP SG&amp;A" xfId="0"/>
    <cellStyle name="_LCDTV_VSE WFP_100608_VSA 111014_LCD" xfId="0"/>
    <cellStyle name="_LCDTV_VSE WFP_100608_VSA 111014_PJ" xfId="0"/>
    <cellStyle name="_LCDTV_VSE WFP_100608_VSA Roll-Up (LW)" xfId="0"/>
    <cellStyle name="_LCDTV_VSE WFP_100608_VSA Roll-Up (LW) 2" xfId="0"/>
    <cellStyle name="_LCDTV_VSE WFP_100608_VSA Roll-Up (LW) 3" xfId="0"/>
    <cellStyle name="_LCDTV_VSE WFP_100608_VSA Roll-Up (LW) 4" xfId="0"/>
    <cellStyle name="_LCDTV_VSE WFP_100608_VSA Roll-Up (LW) 4 2" xfId="0"/>
    <cellStyle name="_LCDTV_VSE WFP_100608_VSA Roll-Up (LW)_By Region" xfId="0"/>
    <cellStyle name="_LCDTV_VSE WFP_100608_VSA Roll-Up (LW)_CORP SG&amp;A" xfId="0"/>
    <cellStyle name="_LCDTV_VSE WFP_100608_VSA Roll-Up (LW)_LCD" xfId="0"/>
    <cellStyle name="_LCDTV_VSE WFP_100608_VSA Roll-Up (LW)_PJ" xfId="0"/>
    <cellStyle name="_LCDTV_VSE WFP_100625" xfId="0"/>
    <cellStyle name="_LCDTV_VSE WFP_100625 2" xfId="0"/>
    <cellStyle name="_LCDTV_VSE WFP_100625 3" xfId="0"/>
    <cellStyle name="_LCDTV_VSE WFP_100625 4" xfId="0"/>
    <cellStyle name="_LCDTV_VSE WFP_100625_By Region" xfId="0"/>
    <cellStyle name="_LCDTV_VSE WFP_100625_CORP SG&amp;A" xfId="0"/>
    <cellStyle name="_LCDTV_VSE WFP_100625_Digitizer" xfId="0"/>
    <cellStyle name="_LCDTV_VSE WFP_100625_GPS OTHER" xfId="0"/>
    <cellStyle name="_LCDTV_VSE WFP_100625_GPS OTHER 2" xfId="0"/>
    <cellStyle name="_LCDTV_VSE WFP_100625_GPS OTHER 3" xfId="0"/>
    <cellStyle name="_LCDTV_VSE WFP_100625_GPS OTHER 4" xfId="0"/>
    <cellStyle name="_LCDTV_VSE WFP_100625_GPS OTHER 4 2" xfId="0"/>
    <cellStyle name="_LCDTV_VSE WFP_100625_GPS OTHER_By Region" xfId="0"/>
    <cellStyle name="_LCDTV_VSE WFP_100625_GPS OTHER_CORP SG&amp;A" xfId="0"/>
    <cellStyle name="_LCDTV_VSE WFP_100625_GPS OTHER_LCD" xfId="0"/>
    <cellStyle name="_LCDTV_VSE WFP_100625_GPS OTHER_PJ" xfId="0"/>
    <cellStyle name="_LCDTV_VSE WFP_100625_LCD" xfId="0"/>
    <cellStyle name="_LCDTV_VSE WFP_100625_LCD 2" xfId="0"/>
    <cellStyle name="_LCDTV_VSE WFP_100625_LCD 3" xfId="0"/>
    <cellStyle name="_LCDTV_VSE WFP_100625_LCD 4" xfId="0"/>
    <cellStyle name="_LCDTV_VSE WFP_100625_LCD_By Region" xfId="0"/>
    <cellStyle name="_LCDTV_VSE WFP_100625_LCD_CORP SG&amp;A" xfId="0"/>
    <cellStyle name="_LCDTV_VSE WFP_100625_LCD_LCD" xfId="0"/>
    <cellStyle name="_LCDTV_VSE WFP_100625_LCD_PJ" xfId="0"/>
    <cellStyle name="_LCDTV_VSE WFP_100625_PC Products" xfId="0"/>
    <cellStyle name="_LCDTV_VSE WFP_100625_PC Products 2" xfId="0"/>
    <cellStyle name="_LCDTV_VSE WFP_100625_PC Products 3" xfId="0"/>
    <cellStyle name="_LCDTV_VSE WFP_100625_PC Products 4" xfId="0"/>
    <cellStyle name="_LCDTV_VSE WFP_100625_PC Products 4 2" xfId="0"/>
    <cellStyle name="_LCDTV_VSE WFP_100625_PC Products_By Region" xfId="0"/>
    <cellStyle name="_LCDTV_VSE WFP_100625_PC Products_CORP SG&amp;A" xfId="0"/>
    <cellStyle name="_LCDTV_VSE WFP_100625_PC Products_LCD" xfId="0"/>
    <cellStyle name="_LCDTV_VSE WFP_100625_PC Products_PJ" xfId="0"/>
    <cellStyle name="_LCDTV_VSE WFP_100625_VSA 111014" xfId="0"/>
    <cellStyle name="_LCDTV_VSE WFP_100625_VSA 111014 2" xfId="0"/>
    <cellStyle name="_LCDTV_VSE WFP_100625_VSA 111014 3" xfId="0"/>
    <cellStyle name="_LCDTV_VSE WFP_100625_VSA 111014 4" xfId="0"/>
    <cellStyle name="_LCDTV_VSE WFP_100625_VSA 111014 4 2" xfId="0"/>
    <cellStyle name="_LCDTV_VSE WFP_100625_VSA 111014_By Region" xfId="0"/>
    <cellStyle name="_LCDTV_VSE WFP_100625_VSA 111014_CORP SG&amp;A" xfId="0"/>
    <cellStyle name="_LCDTV_VSE WFP_100625_VSA 111014_LCD" xfId="0"/>
    <cellStyle name="_LCDTV_VSE WFP_100625_VSA 111014_PJ" xfId="0"/>
    <cellStyle name="_LCDTV_VSE WFP_100625_VSA Roll-Up (LW)" xfId="0"/>
    <cellStyle name="_LCDTV_VSE WFP_100625_VSA Roll-Up (LW) 2" xfId="0"/>
    <cellStyle name="_LCDTV_VSE WFP_100625_VSA Roll-Up (LW) 3" xfId="0"/>
    <cellStyle name="_LCDTV_VSE WFP_100625_VSA Roll-Up (LW) 4" xfId="0"/>
    <cellStyle name="_LCDTV_VSE WFP_100625_VSA Roll-Up (LW) 4 2" xfId="0"/>
    <cellStyle name="_LCDTV_VSE WFP_100625_VSA Roll-Up (LW)_By Region" xfId="0"/>
    <cellStyle name="_LCDTV_VSE WFP_100625_VSA Roll-Up (LW)_CORP SG&amp;A" xfId="0"/>
    <cellStyle name="_LCDTV_VSE WFP_100625_VSA Roll-Up (LW)_LCD" xfId="0"/>
    <cellStyle name="_LCDTV_VSE WFP_100625_VSA Roll-Up (LW)_PJ" xfId="0"/>
    <cellStyle name="_LCDTV_VSE WFP_100708_3rd" xfId="0"/>
    <cellStyle name="_LCDTV_VSE WFP_100708_3rd 2" xfId="0"/>
    <cellStyle name="_LCDTV_VSE WFP_100708_3rd 3" xfId="0"/>
    <cellStyle name="_LCDTV_VSE WFP_100708_3rd 4" xfId="0"/>
    <cellStyle name="_LCDTV_VSE WFP_100708_3rd_By Region" xfId="0"/>
    <cellStyle name="_LCDTV_VSE WFP_100708_3rd_CORP SG&amp;A" xfId="0"/>
    <cellStyle name="_LCDTV_VSE WFP_100708_3rd_Digitizer" xfId="0"/>
    <cellStyle name="_LCDTV_VSE WFP_100708_3rd_GPS OTHER" xfId="0"/>
    <cellStyle name="_LCDTV_VSE WFP_100708_3rd_GPS OTHER 2" xfId="0"/>
    <cellStyle name="_LCDTV_VSE WFP_100708_3rd_GPS OTHER 3" xfId="0"/>
    <cellStyle name="_LCDTV_VSE WFP_100708_3rd_GPS OTHER 4" xfId="0"/>
    <cellStyle name="_LCDTV_VSE WFP_100708_3rd_GPS OTHER 4 2" xfId="0"/>
    <cellStyle name="_LCDTV_VSE WFP_100708_3rd_GPS OTHER_By Region" xfId="0"/>
    <cellStyle name="_LCDTV_VSE WFP_100708_3rd_GPS OTHER_CORP SG&amp;A" xfId="0"/>
    <cellStyle name="_LCDTV_VSE WFP_100708_3rd_GPS OTHER_LCD" xfId="0"/>
    <cellStyle name="_LCDTV_VSE WFP_100708_3rd_GPS OTHER_PJ" xfId="0"/>
    <cellStyle name="_LCDTV_VSE WFP_100708_3rd_LCD" xfId="0"/>
    <cellStyle name="_LCDTV_VSE WFP_100708_3rd_LCD 2" xfId="0"/>
    <cellStyle name="_LCDTV_VSE WFP_100708_3rd_LCD 3" xfId="0"/>
    <cellStyle name="_LCDTV_VSE WFP_100708_3rd_LCD 4" xfId="0"/>
    <cellStyle name="_LCDTV_VSE WFP_100708_3rd_LCD_By Region" xfId="0"/>
    <cellStyle name="_LCDTV_VSE WFP_100708_3rd_LCD_CORP SG&amp;A" xfId="0"/>
    <cellStyle name="_LCDTV_VSE WFP_100708_3rd_LCD_LCD" xfId="0"/>
    <cellStyle name="_LCDTV_VSE WFP_100708_3rd_LCD_PJ" xfId="0"/>
    <cellStyle name="_LCDTV_VSE WFP_100708_3rd_PC Products" xfId="0"/>
    <cellStyle name="_LCDTV_VSE WFP_100708_3rd_PC Products 2" xfId="0"/>
    <cellStyle name="_LCDTV_VSE WFP_100708_3rd_PC Products 3" xfId="0"/>
    <cellStyle name="_LCDTV_VSE WFP_100708_3rd_PC Products 4" xfId="0"/>
    <cellStyle name="_LCDTV_VSE WFP_100708_3rd_PC Products 4 2" xfId="0"/>
    <cellStyle name="_LCDTV_VSE WFP_100708_3rd_PC Products_By Region" xfId="0"/>
    <cellStyle name="_LCDTV_VSE WFP_100708_3rd_PC Products_CORP SG&amp;A" xfId="0"/>
    <cellStyle name="_LCDTV_VSE WFP_100708_3rd_PC Products_LCD" xfId="0"/>
    <cellStyle name="_LCDTV_VSE WFP_100708_3rd_PC Products_PJ" xfId="0"/>
    <cellStyle name="_LCDTV_VSE WFP_100708_3rd_VSA 111014" xfId="0"/>
    <cellStyle name="_LCDTV_VSE WFP_100708_3rd_VSA 111014 2" xfId="0"/>
    <cellStyle name="_LCDTV_VSE WFP_100708_3rd_VSA 111014 3" xfId="0"/>
    <cellStyle name="_LCDTV_VSE WFP_100708_3rd_VSA 111014 4" xfId="0"/>
    <cellStyle name="_LCDTV_VSE WFP_100708_3rd_VSA 111014 4 2" xfId="0"/>
    <cellStyle name="_LCDTV_VSE WFP_100708_3rd_VSA 111014_By Region" xfId="0"/>
    <cellStyle name="_LCDTV_VSE WFP_100708_3rd_VSA 111014_CORP SG&amp;A" xfId="0"/>
    <cellStyle name="_LCDTV_VSE WFP_100708_3rd_VSA 111014_LCD" xfId="0"/>
    <cellStyle name="_LCDTV_VSE WFP_100708_3rd_VSA 111014_PJ" xfId="0"/>
    <cellStyle name="_LCDTV_VSE WFP_100708_3rd_VSA Roll-Up (LW)" xfId="0"/>
    <cellStyle name="_LCDTV_VSE WFP_100708_3rd_VSA Roll-Up (LW) 2" xfId="0"/>
    <cellStyle name="_LCDTV_VSE WFP_100708_3rd_VSA Roll-Up (LW) 3" xfId="0"/>
    <cellStyle name="_LCDTV_VSE WFP_100708_3rd_VSA Roll-Up (LW) 4" xfId="0"/>
    <cellStyle name="_LCDTV_VSE WFP_100708_3rd_VSA Roll-Up (LW) 4 2" xfId="0"/>
    <cellStyle name="_LCDTV_VSE WFP_100708_3rd_VSA Roll-Up (LW)_By Region" xfId="0"/>
    <cellStyle name="_LCDTV_VSE WFP_100708_3rd_VSA Roll-Up (LW)_CORP SG&amp;A" xfId="0"/>
    <cellStyle name="_LCDTV_VSE WFP_100708_3rd_VSA Roll-Up (LW)_LCD" xfId="0"/>
    <cellStyle name="_LCDTV_VSE WFP_100708_3rd_VSA Roll-Up (LW)_PJ" xfId="0"/>
    <cellStyle name="_LCDTV_VSE WFP_100726" xfId="0"/>
    <cellStyle name="_LCDTV_VSE WFP_100726 2" xfId="0"/>
    <cellStyle name="_LCDTV_VSE WFP_100726 3" xfId="0"/>
    <cellStyle name="_LCDTV_VSE WFP_100726 4" xfId="0"/>
    <cellStyle name="_LCDTV_VSE WFP_100726-1" xfId="0"/>
    <cellStyle name="_LCDTV_VSE WFP_100726-1 2" xfId="0"/>
    <cellStyle name="_LCDTV_VSE WFP_100726-1 3" xfId="0"/>
    <cellStyle name="_LCDTV_VSE WFP_100726-1 4" xfId="0"/>
    <cellStyle name="_LCDTV_VSE WFP_100726-1_By Region" xfId="0"/>
    <cellStyle name="_LCDTV_VSE WFP_100726-1_CORP SG&amp;A" xfId="0"/>
    <cellStyle name="_LCDTV_VSE WFP_100726-1_Digitizer" xfId="0"/>
    <cellStyle name="_LCDTV_VSE WFP_100726-1_GPS OTHER" xfId="0"/>
    <cellStyle name="_LCDTV_VSE WFP_100726-1_GPS OTHER 2" xfId="0"/>
    <cellStyle name="_LCDTV_VSE WFP_100726-1_GPS OTHER 3" xfId="0"/>
    <cellStyle name="_LCDTV_VSE WFP_100726-1_GPS OTHER 4" xfId="0"/>
    <cellStyle name="_LCDTV_VSE WFP_100726-1_GPS OTHER 4 2" xfId="0"/>
    <cellStyle name="_LCDTV_VSE WFP_100726-1_GPS OTHER_By Region" xfId="0"/>
    <cellStyle name="_LCDTV_VSE WFP_100726-1_GPS OTHER_CORP SG&amp;A" xfId="0"/>
    <cellStyle name="_LCDTV_VSE WFP_100726-1_GPS OTHER_LCD" xfId="0"/>
    <cellStyle name="_LCDTV_VSE WFP_100726-1_GPS OTHER_PJ" xfId="0"/>
    <cellStyle name="_LCDTV_VSE WFP_100726-1_LCD" xfId="0"/>
    <cellStyle name="_LCDTV_VSE WFP_100726-1_LCD 2" xfId="0"/>
    <cellStyle name="_LCDTV_VSE WFP_100726-1_LCD 3" xfId="0"/>
    <cellStyle name="_LCDTV_VSE WFP_100726-1_LCD 4" xfId="0"/>
    <cellStyle name="_LCDTV_VSE WFP_100726-1_LCD_By Region" xfId="0"/>
    <cellStyle name="_LCDTV_VSE WFP_100726-1_LCD_CORP SG&amp;A" xfId="0"/>
    <cellStyle name="_LCDTV_VSE WFP_100726-1_LCD_LCD" xfId="0"/>
    <cellStyle name="_LCDTV_VSE WFP_100726-1_LCD_PJ" xfId="0"/>
    <cellStyle name="_LCDTV_VSE WFP_100726-1_PC Products" xfId="0"/>
    <cellStyle name="_LCDTV_VSE WFP_100726-1_PC Products 2" xfId="0"/>
    <cellStyle name="_LCDTV_VSE WFP_100726-1_PC Products 3" xfId="0"/>
    <cellStyle name="_LCDTV_VSE WFP_100726-1_PC Products 4" xfId="0"/>
    <cellStyle name="_LCDTV_VSE WFP_100726-1_PC Products 4 2" xfId="0"/>
    <cellStyle name="_LCDTV_VSE WFP_100726-1_PC Products_By Region" xfId="0"/>
    <cellStyle name="_LCDTV_VSE WFP_100726-1_PC Products_CORP SG&amp;A" xfId="0"/>
    <cellStyle name="_LCDTV_VSE WFP_100726-1_PC Products_LCD" xfId="0"/>
    <cellStyle name="_LCDTV_VSE WFP_100726-1_PC Products_PJ" xfId="0"/>
    <cellStyle name="_LCDTV_VSE WFP_100726-1_VSA 111014" xfId="0"/>
    <cellStyle name="_LCDTV_VSE WFP_100726-1_VSA 111014 2" xfId="0"/>
    <cellStyle name="_LCDTV_VSE WFP_100726-1_VSA 111014 3" xfId="0"/>
    <cellStyle name="_LCDTV_VSE WFP_100726-1_VSA 111014 4" xfId="0"/>
    <cellStyle name="_LCDTV_VSE WFP_100726-1_VSA 111014 4 2" xfId="0"/>
    <cellStyle name="_LCDTV_VSE WFP_100726-1_VSA 111014_By Region" xfId="0"/>
    <cellStyle name="_LCDTV_VSE WFP_100726-1_VSA 111014_CORP SG&amp;A" xfId="0"/>
    <cellStyle name="_LCDTV_VSE WFP_100726-1_VSA 111014_LCD" xfId="0"/>
    <cellStyle name="_LCDTV_VSE WFP_100726-1_VSA 111014_PJ" xfId="0"/>
    <cellStyle name="_LCDTV_VSE WFP_100726-1_VSA Roll-Up (LW)" xfId="0"/>
    <cellStyle name="_LCDTV_VSE WFP_100726-1_VSA Roll-Up (LW) 2" xfId="0"/>
    <cellStyle name="_LCDTV_VSE WFP_100726-1_VSA Roll-Up (LW) 3" xfId="0"/>
    <cellStyle name="_LCDTV_VSE WFP_100726-1_VSA Roll-Up (LW) 4" xfId="0"/>
    <cellStyle name="_LCDTV_VSE WFP_100726-1_VSA Roll-Up (LW) 4 2" xfId="0"/>
    <cellStyle name="_LCDTV_VSE WFP_100726-1_VSA Roll-Up (LW)_By Region" xfId="0"/>
    <cellStyle name="_LCDTV_VSE WFP_100726-1_VSA Roll-Up (LW)_CORP SG&amp;A" xfId="0"/>
    <cellStyle name="_LCDTV_VSE WFP_100726-1_VSA Roll-Up (LW)_LCD" xfId="0"/>
    <cellStyle name="_LCDTV_VSE WFP_100726-1_VSA Roll-Up (LW)_PJ" xfId="0"/>
    <cellStyle name="_LCDTV_VSE WFP_100726-2-yc" xfId="0"/>
    <cellStyle name="_LCDTV_VSE WFP_100726-2-yc 2" xfId="0"/>
    <cellStyle name="_LCDTV_VSE WFP_100726-2-yc 3" xfId="0"/>
    <cellStyle name="_LCDTV_VSE WFP_100726-2-yc 4" xfId="0"/>
    <cellStyle name="_LCDTV_VSE WFP_100726-2-yc_By Region" xfId="0"/>
    <cellStyle name="_LCDTV_VSE WFP_100726-2-yc_CORP SG&amp;A" xfId="0"/>
    <cellStyle name="_LCDTV_VSE WFP_100726-2-yc_Digitizer" xfId="0"/>
    <cellStyle name="_LCDTV_VSE WFP_100726-2-yc_GPS OTHER" xfId="0"/>
    <cellStyle name="_LCDTV_VSE WFP_100726-2-yc_GPS OTHER 2" xfId="0"/>
    <cellStyle name="_LCDTV_VSE WFP_100726-2-yc_GPS OTHER 3" xfId="0"/>
    <cellStyle name="_LCDTV_VSE WFP_100726-2-yc_GPS OTHER 4" xfId="0"/>
    <cellStyle name="_LCDTV_VSE WFP_100726-2-yc_GPS OTHER 4 2" xfId="0"/>
    <cellStyle name="_LCDTV_VSE WFP_100726-2-yc_GPS OTHER_By Region" xfId="0"/>
    <cellStyle name="_LCDTV_VSE WFP_100726-2-yc_GPS OTHER_CORP SG&amp;A" xfId="0"/>
    <cellStyle name="_LCDTV_VSE WFP_100726-2-yc_GPS OTHER_LCD" xfId="0"/>
    <cellStyle name="_LCDTV_VSE WFP_100726-2-yc_GPS OTHER_PJ" xfId="0"/>
    <cellStyle name="_LCDTV_VSE WFP_100726-2-yc_LCD" xfId="0"/>
    <cellStyle name="_LCDTV_VSE WFP_100726-2-yc_LCD 2" xfId="0"/>
    <cellStyle name="_LCDTV_VSE WFP_100726-2-yc_LCD 3" xfId="0"/>
    <cellStyle name="_LCDTV_VSE WFP_100726-2-yc_LCD 4" xfId="0"/>
    <cellStyle name="_LCDTV_VSE WFP_100726-2-yc_LCD_By Region" xfId="0"/>
    <cellStyle name="_LCDTV_VSE WFP_100726-2-yc_LCD_CORP SG&amp;A" xfId="0"/>
    <cellStyle name="_LCDTV_VSE WFP_100726-2-yc_LCD_LCD" xfId="0"/>
    <cellStyle name="_LCDTV_VSE WFP_100726-2-yc_LCD_PJ" xfId="0"/>
    <cellStyle name="_LCDTV_VSE WFP_100726-2-yc_PC Products" xfId="0"/>
    <cellStyle name="_LCDTV_VSE WFP_100726-2-yc_PC Products 2" xfId="0"/>
    <cellStyle name="_LCDTV_VSE WFP_100726-2-yc_PC Products 3" xfId="0"/>
    <cellStyle name="_LCDTV_VSE WFP_100726-2-yc_PC Products 4" xfId="0"/>
    <cellStyle name="_LCDTV_VSE WFP_100726-2-yc_PC Products 4 2" xfId="0"/>
    <cellStyle name="_LCDTV_VSE WFP_100726-2-yc_PC Products_By Region" xfId="0"/>
    <cellStyle name="_LCDTV_VSE WFP_100726-2-yc_PC Products_CORP SG&amp;A" xfId="0"/>
    <cellStyle name="_LCDTV_VSE WFP_100726-2-yc_PC Products_LCD" xfId="0"/>
    <cellStyle name="_LCDTV_VSE WFP_100726-2-yc_PC Products_PJ" xfId="0"/>
    <cellStyle name="_LCDTV_VSE WFP_100726-2-yc_VSA 111014" xfId="0"/>
    <cellStyle name="_LCDTV_VSE WFP_100726-2-yc_VSA 111014 2" xfId="0"/>
    <cellStyle name="_LCDTV_VSE WFP_100726-2-yc_VSA 111014 3" xfId="0"/>
    <cellStyle name="_LCDTV_VSE WFP_100726-2-yc_VSA 111014 4" xfId="0"/>
    <cellStyle name="_LCDTV_VSE WFP_100726-2-yc_VSA 111014 4 2" xfId="0"/>
    <cellStyle name="_LCDTV_VSE WFP_100726-2-yc_VSA 111014_By Region" xfId="0"/>
    <cellStyle name="_LCDTV_VSE WFP_100726-2-yc_VSA 111014_CORP SG&amp;A" xfId="0"/>
    <cellStyle name="_LCDTV_VSE WFP_100726-2-yc_VSA 111014_LCD" xfId="0"/>
    <cellStyle name="_LCDTV_VSE WFP_100726-2-yc_VSA 111014_PJ" xfId="0"/>
    <cellStyle name="_LCDTV_VSE WFP_100726-2-yc_VSA Roll-Up (LW)" xfId="0"/>
    <cellStyle name="_LCDTV_VSE WFP_100726-2-yc_VSA Roll-Up (LW) 2" xfId="0"/>
    <cellStyle name="_LCDTV_VSE WFP_100726-2-yc_VSA Roll-Up (LW) 3" xfId="0"/>
    <cellStyle name="_LCDTV_VSE WFP_100726-2-yc_VSA Roll-Up (LW) 4" xfId="0"/>
    <cellStyle name="_LCDTV_VSE WFP_100726-2-yc_VSA Roll-Up (LW) 4 2" xfId="0"/>
    <cellStyle name="_LCDTV_VSE WFP_100726-2-yc_VSA Roll-Up (LW)_By Region" xfId="0"/>
    <cellStyle name="_LCDTV_VSE WFP_100726-2-yc_VSA Roll-Up (LW)_CORP SG&amp;A" xfId="0"/>
    <cellStyle name="_LCDTV_VSE WFP_100726-2-yc_VSA Roll-Up (LW)_LCD" xfId="0"/>
    <cellStyle name="_LCDTV_VSE WFP_100726-2-yc_VSA Roll-Up (LW)_PJ" xfId="0"/>
    <cellStyle name="_LCDTV_VSE WFP_100726_By Region" xfId="0"/>
    <cellStyle name="_LCDTV_VSE WFP_100726_CORP SG&amp;A" xfId="0"/>
    <cellStyle name="_LCDTV_VSE WFP_100726_Digitizer" xfId="0"/>
    <cellStyle name="_LCDTV_VSE WFP_100726_GPS OTHER" xfId="0"/>
    <cellStyle name="_LCDTV_VSE WFP_100726_GPS OTHER 2" xfId="0"/>
    <cellStyle name="_LCDTV_VSE WFP_100726_GPS OTHER 3" xfId="0"/>
    <cellStyle name="_LCDTV_VSE WFP_100726_GPS OTHER 4" xfId="0"/>
    <cellStyle name="_LCDTV_VSE WFP_100726_GPS OTHER 4 2" xfId="0"/>
    <cellStyle name="_LCDTV_VSE WFP_100726_GPS OTHER_By Region" xfId="0"/>
    <cellStyle name="_LCDTV_VSE WFP_100726_GPS OTHER_CORP SG&amp;A" xfId="0"/>
    <cellStyle name="_LCDTV_VSE WFP_100726_GPS OTHER_LCD" xfId="0"/>
    <cellStyle name="_LCDTV_VSE WFP_100726_GPS OTHER_PJ" xfId="0"/>
    <cellStyle name="_LCDTV_VSE WFP_100726_LCD" xfId="0"/>
    <cellStyle name="_LCDTV_VSE WFP_100726_LCD 2" xfId="0"/>
    <cellStyle name="_LCDTV_VSE WFP_100726_LCD 3" xfId="0"/>
    <cellStyle name="_LCDTV_VSE WFP_100726_LCD 4" xfId="0"/>
    <cellStyle name="_LCDTV_VSE WFP_100726_LCD_By Region" xfId="0"/>
    <cellStyle name="_LCDTV_VSE WFP_100726_LCD_CORP SG&amp;A" xfId="0"/>
    <cellStyle name="_LCDTV_VSE WFP_100726_LCD_LCD" xfId="0"/>
    <cellStyle name="_LCDTV_VSE WFP_100726_LCD_PJ" xfId="0"/>
    <cellStyle name="_LCDTV_VSE WFP_100726_PC Products" xfId="0"/>
    <cellStyle name="_LCDTV_VSE WFP_100726_PC Products 2" xfId="0"/>
    <cellStyle name="_LCDTV_VSE WFP_100726_PC Products 3" xfId="0"/>
    <cellStyle name="_LCDTV_VSE WFP_100726_PC Products 4" xfId="0"/>
    <cellStyle name="_LCDTV_VSE WFP_100726_PC Products 4 2" xfId="0"/>
    <cellStyle name="_LCDTV_VSE WFP_100726_PC Products_By Region" xfId="0"/>
    <cellStyle name="_LCDTV_VSE WFP_100726_PC Products_CORP SG&amp;A" xfId="0"/>
    <cellStyle name="_LCDTV_VSE WFP_100726_PC Products_LCD" xfId="0"/>
    <cellStyle name="_LCDTV_VSE WFP_100726_PC Products_PJ" xfId="0"/>
    <cellStyle name="_LCDTV_VSE WFP_100726_VSA 111014" xfId="0"/>
    <cellStyle name="_LCDTV_VSE WFP_100726_VSA 111014 2" xfId="0"/>
    <cellStyle name="_LCDTV_VSE WFP_100726_VSA 111014 3" xfId="0"/>
    <cellStyle name="_LCDTV_VSE WFP_100726_VSA 111014 4" xfId="0"/>
    <cellStyle name="_LCDTV_VSE WFP_100726_VSA 111014 4 2" xfId="0"/>
    <cellStyle name="_LCDTV_VSE WFP_100726_VSA 111014_By Region" xfId="0"/>
    <cellStyle name="_LCDTV_VSE WFP_100726_VSA 111014_CORP SG&amp;A" xfId="0"/>
    <cellStyle name="_LCDTV_VSE WFP_100726_VSA 111014_LCD" xfId="0"/>
    <cellStyle name="_LCDTV_VSE WFP_100726_VSA 111014_PJ" xfId="0"/>
    <cellStyle name="_LCDTV_VSE WFP_100726_VSA Roll-Up (LW)" xfId="0"/>
    <cellStyle name="_LCDTV_VSE WFP_100726_VSA Roll-Up (LW) 2" xfId="0"/>
    <cellStyle name="_LCDTV_VSE WFP_100726_VSA Roll-Up (LW) 3" xfId="0"/>
    <cellStyle name="_LCDTV_VSE WFP_100726_VSA Roll-Up (LW) 4" xfId="0"/>
    <cellStyle name="_LCDTV_VSE WFP_100726_VSA Roll-Up (LW) 4 2" xfId="0"/>
    <cellStyle name="_LCDTV_VSE WFP_100726_VSA Roll-Up (LW)_By Region" xfId="0"/>
    <cellStyle name="_LCDTV_VSE WFP_100726_VSA Roll-Up (LW)_CORP SG&amp;A" xfId="0"/>
    <cellStyle name="_LCDTV_VSE WFP_100726_VSA Roll-Up (LW)_LCD" xfId="0"/>
    <cellStyle name="_LCDTV_VSE WFP_100726_VSA Roll-Up (LW)_PJ" xfId="0"/>
    <cellStyle name="_LCDTV_VSE WFP_100827-1" xfId="0"/>
    <cellStyle name="_LCDTV_VSE WFP_100827-1 2" xfId="0"/>
    <cellStyle name="_LCDTV_VSE WFP_100827-1 3" xfId="0"/>
    <cellStyle name="_LCDTV_VSE WFP_100827-1 4" xfId="0"/>
    <cellStyle name="_LCDTV_VSE WFP_100827-1_By Region" xfId="0"/>
    <cellStyle name="_LCDTV_VSE WFP_100827-1_CORP SG&amp;A" xfId="0"/>
    <cellStyle name="_LCDTV_VSE WFP_100827-1_Digitizer" xfId="0"/>
    <cellStyle name="_LCDTV_VSE WFP_100827-1_GPS OTHER" xfId="0"/>
    <cellStyle name="_LCDTV_VSE WFP_100827-1_GPS OTHER 2" xfId="0"/>
    <cellStyle name="_LCDTV_VSE WFP_100827-1_GPS OTHER 3" xfId="0"/>
    <cellStyle name="_LCDTV_VSE WFP_100827-1_GPS OTHER 4" xfId="0"/>
    <cellStyle name="_LCDTV_VSE WFP_100827-1_GPS OTHER 4 2" xfId="0"/>
    <cellStyle name="_LCDTV_VSE WFP_100827-1_GPS OTHER_By Region" xfId="0"/>
    <cellStyle name="_LCDTV_VSE WFP_100827-1_GPS OTHER_CORP SG&amp;A" xfId="0"/>
    <cellStyle name="_LCDTV_VSE WFP_100827-1_GPS OTHER_LCD" xfId="0"/>
    <cellStyle name="_LCDTV_VSE WFP_100827-1_GPS OTHER_PJ" xfId="0"/>
    <cellStyle name="_LCDTV_VSE WFP_100827-1_LCD" xfId="0"/>
    <cellStyle name="_LCDTV_VSE WFP_100827-1_LCD 2" xfId="0"/>
    <cellStyle name="_LCDTV_VSE WFP_100827-1_LCD 3" xfId="0"/>
    <cellStyle name="_LCDTV_VSE WFP_100827-1_LCD 4" xfId="0"/>
    <cellStyle name="_LCDTV_VSE WFP_100827-1_LCD_By Region" xfId="0"/>
    <cellStyle name="_LCDTV_VSE WFP_100827-1_LCD_CORP SG&amp;A" xfId="0"/>
    <cellStyle name="_LCDTV_VSE WFP_100827-1_LCD_LCD" xfId="0"/>
    <cellStyle name="_LCDTV_VSE WFP_100827-1_LCD_PJ" xfId="0"/>
    <cellStyle name="_LCDTV_VSE WFP_100827-1_PC Products" xfId="0"/>
    <cellStyle name="_LCDTV_VSE WFP_100827-1_PC Products 2" xfId="0"/>
    <cellStyle name="_LCDTV_VSE WFP_100827-1_PC Products 3" xfId="0"/>
    <cellStyle name="_LCDTV_VSE WFP_100827-1_PC Products 4" xfId="0"/>
    <cellStyle name="_LCDTV_VSE WFP_100827-1_PC Products 4 2" xfId="0"/>
    <cellStyle name="_LCDTV_VSE WFP_100827-1_PC Products_By Region" xfId="0"/>
    <cellStyle name="_LCDTV_VSE WFP_100827-1_PC Products_CORP SG&amp;A" xfId="0"/>
    <cellStyle name="_LCDTV_VSE WFP_100827-1_PC Products_LCD" xfId="0"/>
    <cellStyle name="_LCDTV_VSE WFP_100827-1_PC Products_PJ" xfId="0"/>
    <cellStyle name="_LCDTV_VSE WFP_100827-1_VSA 111014" xfId="0"/>
    <cellStyle name="_LCDTV_VSE WFP_100827-1_VSA 111014 2" xfId="0"/>
    <cellStyle name="_LCDTV_VSE WFP_100827-1_VSA 111014 3" xfId="0"/>
    <cellStyle name="_LCDTV_VSE WFP_100827-1_VSA 111014 4" xfId="0"/>
    <cellStyle name="_LCDTV_VSE WFP_100827-1_VSA 111014 4 2" xfId="0"/>
    <cellStyle name="_LCDTV_VSE WFP_100827-1_VSA 111014_By Region" xfId="0"/>
    <cellStyle name="_LCDTV_VSE WFP_100827-1_VSA 111014_CORP SG&amp;A" xfId="0"/>
    <cellStyle name="_LCDTV_VSE WFP_100827-1_VSA 111014_LCD" xfId="0"/>
    <cellStyle name="_LCDTV_VSE WFP_100827-1_VSA 111014_PJ" xfId="0"/>
    <cellStyle name="_LCDTV_VSE WFP_100827-1_VSA Roll-Up (LW)" xfId="0"/>
    <cellStyle name="_LCDTV_VSE WFP_100827-1_VSA Roll-Up (LW) 2" xfId="0"/>
    <cellStyle name="_LCDTV_VSE WFP_100827-1_VSA Roll-Up (LW) 3" xfId="0"/>
    <cellStyle name="_LCDTV_VSE WFP_100827-1_VSA Roll-Up (LW) 4" xfId="0"/>
    <cellStyle name="_LCDTV_VSE WFP_100827-1_VSA Roll-Up (LW) 4 2" xfId="0"/>
    <cellStyle name="_LCDTV_VSE WFP_100827-1_VSA Roll-Up (LW)_By Region" xfId="0"/>
    <cellStyle name="_LCDTV_VSE WFP_100827-1_VSA Roll-Up (LW)_CORP SG&amp;A" xfId="0"/>
    <cellStyle name="_LCDTV_VSE WFP_100827-1_VSA Roll-Up (LW)_LCD" xfId="0"/>
    <cellStyle name="_LCDTV_VSE WFP_100827-1_VSA Roll-Up (LW)_PJ" xfId="0"/>
    <cellStyle name="_LCDTV_VSE WFP_101001" xfId="0"/>
    <cellStyle name="_LCDTV_VSE WFP_101001 2" xfId="0"/>
    <cellStyle name="_LCDTV_VSE WFP_101001 3" xfId="0"/>
    <cellStyle name="_LCDTV_VSE WFP_101001 4" xfId="0"/>
    <cellStyle name="_LCDTV_VSE WFP_101001_By Region" xfId="0"/>
    <cellStyle name="_LCDTV_VSE WFP_101001_CORP SG&amp;A" xfId="0"/>
    <cellStyle name="_LCDTV_VSE WFP_101001_Digitizer" xfId="0"/>
    <cellStyle name="_LCDTV_VSE WFP_101001_GPS OTHER" xfId="0"/>
    <cellStyle name="_LCDTV_VSE WFP_101001_GPS OTHER 2" xfId="0"/>
    <cellStyle name="_LCDTV_VSE WFP_101001_GPS OTHER 3" xfId="0"/>
    <cellStyle name="_LCDTV_VSE WFP_101001_GPS OTHER 4" xfId="0"/>
    <cellStyle name="_LCDTV_VSE WFP_101001_GPS OTHER 4 2" xfId="0"/>
    <cellStyle name="_LCDTV_VSE WFP_101001_GPS OTHER_By Region" xfId="0"/>
    <cellStyle name="_LCDTV_VSE WFP_101001_GPS OTHER_CORP SG&amp;A" xfId="0"/>
    <cellStyle name="_LCDTV_VSE WFP_101001_GPS OTHER_LCD" xfId="0"/>
    <cellStyle name="_LCDTV_VSE WFP_101001_GPS OTHER_PJ" xfId="0"/>
    <cellStyle name="_LCDTV_VSE WFP_101001_LCD" xfId="0"/>
    <cellStyle name="_LCDTV_VSE WFP_101001_LCD 2" xfId="0"/>
    <cellStyle name="_LCDTV_VSE WFP_101001_LCD 3" xfId="0"/>
    <cellStyle name="_LCDTV_VSE WFP_101001_LCD 4" xfId="0"/>
    <cellStyle name="_LCDTV_VSE WFP_101001_LCD_By Region" xfId="0"/>
    <cellStyle name="_LCDTV_VSE WFP_101001_LCD_CORP SG&amp;A" xfId="0"/>
    <cellStyle name="_LCDTV_VSE WFP_101001_LCD_LCD" xfId="0"/>
    <cellStyle name="_LCDTV_VSE WFP_101001_LCD_PJ" xfId="0"/>
    <cellStyle name="_LCDTV_VSE WFP_101001_PC Products" xfId="0"/>
    <cellStyle name="_LCDTV_VSE WFP_101001_PC Products 2" xfId="0"/>
    <cellStyle name="_LCDTV_VSE WFP_101001_PC Products 3" xfId="0"/>
    <cellStyle name="_LCDTV_VSE WFP_101001_PC Products 4" xfId="0"/>
    <cellStyle name="_LCDTV_VSE WFP_101001_PC Products 4 2" xfId="0"/>
    <cellStyle name="_LCDTV_VSE WFP_101001_PC Products_By Region" xfId="0"/>
    <cellStyle name="_LCDTV_VSE WFP_101001_PC Products_CORP SG&amp;A" xfId="0"/>
    <cellStyle name="_LCDTV_VSE WFP_101001_PC Products_LCD" xfId="0"/>
    <cellStyle name="_LCDTV_VSE WFP_101001_PC Products_PJ" xfId="0"/>
    <cellStyle name="_LCDTV_VSE WFP_101001_VSA 111014" xfId="0"/>
    <cellStyle name="_LCDTV_VSE WFP_101001_VSA 111014 2" xfId="0"/>
    <cellStyle name="_LCDTV_VSE WFP_101001_VSA 111014 3" xfId="0"/>
    <cellStyle name="_LCDTV_VSE WFP_101001_VSA 111014 4" xfId="0"/>
    <cellStyle name="_LCDTV_VSE WFP_101001_VSA 111014 4 2" xfId="0"/>
    <cellStyle name="_LCDTV_VSE WFP_101001_VSA 111014_By Region" xfId="0"/>
    <cellStyle name="_LCDTV_VSE WFP_101001_VSA 111014_CORP SG&amp;A" xfId="0"/>
    <cellStyle name="_LCDTV_VSE WFP_101001_VSA 111014_LCD" xfId="0"/>
    <cellStyle name="_LCDTV_VSE WFP_101001_VSA 111014_PJ" xfId="0"/>
    <cellStyle name="_LCDTV_VSE WFP_101001_VSA Roll-Up (LW)" xfId="0"/>
    <cellStyle name="_LCDTV_VSE WFP_101001_VSA Roll-Up (LW) 2" xfId="0"/>
    <cellStyle name="_LCDTV_VSE WFP_101001_VSA Roll-Up (LW) 3" xfId="0"/>
    <cellStyle name="_LCDTV_VSE WFP_101001_VSA Roll-Up (LW) 4" xfId="0"/>
    <cellStyle name="_LCDTV_VSE WFP_101001_VSA Roll-Up (LW) 4 2" xfId="0"/>
    <cellStyle name="_LCDTV_VSE WFP_101001_VSA Roll-Up (LW)_By Region" xfId="0"/>
    <cellStyle name="_LCDTV_VSE WFP_101001_VSA Roll-Up (LW)_CORP SG&amp;A" xfId="0"/>
    <cellStyle name="_LCDTV_VSE WFP_101001_VSA Roll-Up (LW)_LCD" xfId="0"/>
    <cellStyle name="_LCDTV_VSE WFP_101001_VSA Roll-Up (LW)_PJ" xfId="0"/>
    <cellStyle name="_LCDTV_VSE WFP_101029-with more ViewPad 7" xfId="0"/>
    <cellStyle name="_LCDTV_VSE WFP_101029-with more ViewPad 7 2" xfId="0"/>
    <cellStyle name="_LCDTV_VSE WFP_101029-with more ViewPad 7 3" xfId="0"/>
    <cellStyle name="_LCDTV_VSE WFP_101029-with more ViewPad 7 4" xfId="0"/>
    <cellStyle name="_LCDTV_VSE WFP_101029-with more ViewPad 7_By Region" xfId="0"/>
    <cellStyle name="_LCDTV_VSE WFP_101029-with more ViewPad 7_CORP SG&amp;A" xfId="0"/>
    <cellStyle name="_LCDTV_VSE WFP_101029-with more ViewPad 7_Digitizer" xfId="0"/>
    <cellStyle name="_LCDTV_VSE WFP_101029-with more ViewPad 7_GPS OTHER" xfId="0"/>
    <cellStyle name="_LCDTV_VSE WFP_101029-with more ViewPad 7_GPS OTHER 2" xfId="0"/>
    <cellStyle name="_LCDTV_VSE WFP_101029-with more ViewPad 7_GPS OTHER 3" xfId="0"/>
    <cellStyle name="_LCDTV_VSE WFP_101029-with more ViewPad 7_GPS OTHER 4" xfId="0"/>
    <cellStyle name="_LCDTV_VSE WFP_101029-with more ViewPad 7_GPS OTHER 4 2" xfId="0"/>
    <cellStyle name="_LCDTV_VSE WFP_101029-with more ViewPad 7_GPS OTHER_By Region" xfId="0"/>
    <cellStyle name="_LCDTV_VSE WFP_101029-with more ViewPad 7_GPS OTHER_CORP SG&amp;A" xfId="0"/>
    <cellStyle name="_LCDTV_VSE WFP_101029-with more ViewPad 7_GPS OTHER_LCD" xfId="0"/>
    <cellStyle name="_LCDTV_VSE WFP_101029-with more ViewPad 7_GPS OTHER_PJ" xfId="0"/>
    <cellStyle name="_LCDTV_VSE WFP_101029-with more ViewPad 7_LCD" xfId="0"/>
    <cellStyle name="_LCDTV_VSE WFP_101029-with more ViewPad 7_LCD 2" xfId="0"/>
    <cellStyle name="_LCDTV_VSE WFP_101029-with more ViewPad 7_LCD 3" xfId="0"/>
    <cellStyle name="_LCDTV_VSE WFP_101029-with more ViewPad 7_LCD 4" xfId="0"/>
    <cellStyle name="_LCDTV_VSE WFP_101029-with more ViewPad 7_LCD_By Region" xfId="0"/>
    <cellStyle name="_LCDTV_VSE WFP_101029-with more ViewPad 7_LCD_CORP SG&amp;A" xfId="0"/>
    <cellStyle name="_LCDTV_VSE WFP_101029-with more ViewPad 7_LCD_LCD" xfId="0"/>
    <cellStyle name="_LCDTV_VSE WFP_101029-with more ViewPad 7_LCD_PJ" xfId="0"/>
    <cellStyle name="_LCDTV_VSE WFP_101029-with more ViewPad 7_PC Products" xfId="0"/>
    <cellStyle name="_LCDTV_VSE WFP_101029-with more ViewPad 7_PC Products 2" xfId="0"/>
    <cellStyle name="_LCDTV_VSE WFP_101029-with more ViewPad 7_PC Products 3" xfId="0"/>
    <cellStyle name="_LCDTV_VSE WFP_101029-with more ViewPad 7_PC Products 4" xfId="0"/>
    <cellStyle name="_LCDTV_VSE WFP_101029-with more ViewPad 7_PC Products 4 2" xfId="0"/>
    <cellStyle name="_LCDTV_VSE WFP_101029-with more ViewPad 7_PC Products_By Region" xfId="0"/>
    <cellStyle name="_LCDTV_VSE WFP_101029-with more ViewPad 7_PC Products_CORP SG&amp;A" xfId="0"/>
    <cellStyle name="_LCDTV_VSE WFP_101029-with more ViewPad 7_PC Products_LCD" xfId="0"/>
    <cellStyle name="_LCDTV_VSE WFP_101029-with more ViewPad 7_PC Products_PJ" xfId="0"/>
    <cellStyle name="_LCDTV_VSE WFP_101029-with more ViewPad 7_VSA 111014" xfId="0"/>
    <cellStyle name="_LCDTV_VSE WFP_101029-with more ViewPad 7_VSA 111014 2" xfId="0"/>
    <cellStyle name="_LCDTV_VSE WFP_101029-with more ViewPad 7_VSA 111014 3" xfId="0"/>
    <cellStyle name="_LCDTV_VSE WFP_101029-with more ViewPad 7_VSA 111014 4" xfId="0"/>
    <cellStyle name="_LCDTV_VSE WFP_101029-with more ViewPad 7_VSA 111014 4 2" xfId="0"/>
    <cellStyle name="_LCDTV_VSE WFP_101029-with more ViewPad 7_VSA 111014_By Region" xfId="0"/>
    <cellStyle name="_LCDTV_VSE WFP_101029-with more ViewPad 7_VSA 111014_CORP SG&amp;A" xfId="0"/>
    <cellStyle name="_LCDTV_VSE WFP_101029-with more ViewPad 7_VSA 111014_LCD" xfId="0"/>
    <cellStyle name="_LCDTV_VSE WFP_101029-with more ViewPad 7_VSA 111014_PJ" xfId="0"/>
    <cellStyle name="_LCDTV_VSE WFP_101029-with more ViewPad 7_VSA Roll-Up (LW)" xfId="0"/>
    <cellStyle name="_LCDTV_VSE WFP_101029-with more ViewPad 7_VSA Roll-Up (LW) 2" xfId="0"/>
    <cellStyle name="_LCDTV_VSE WFP_101029-with more ViewPad 7_VSA Roll-Up (LW) 3" xfId="0"/>
    <cellStyle name="_LCDTV_VSE WFP_101029-with more ViewPad 7_VSA Roll-Up (LW) 4" xfId="0"/>
    <cellStyle name="_LCDTV_VSE WFP_101029-with more ViewPad 7_VSA Roll-Up (LW) 4 2" xfId="0"/>
    <cellStyle name="_LCDTV_VSE WFP_101029-with more ViewPad 7_VSA Roll-Up (LW)_By Region" xfId="0"/>
    <cellStyle name="_LCDTV_VSE WFP_101029-with more ViewPad 7_VSA Roll-Up (LW)_CORP SG&amp;A" xfId="0"/>
    <cellStyle name="_LCDTV_VSE WFP_101029-with more ViewPad 7_VSA Roll-Up (LW)_LCD" xfId="0"/>
    <cellStyle name="_LCDTV_VSE WFP_101029-with more ViewPad 7_VSA Roll-Up (LW)_PJ" xfId="0"/>
    <cellStyle name="_LCM analysis" xfId="0"/>
    <cellStyle name="_LCM analysis 2" xfId="0"/>
    <cellStyle name="_Lookup - Product Warranty VSE-1" xfId="0"/>
    <cellStyle name="_Lookup - Product Warranty VSE-1 2" xfId="0"/>
    <cellStyle name="_Lookup - Product Warranty VSI" xfId="0"/>
    <cellStyle name="_Lookup - Product Warranty VSI 2" xfId="0"/>
    <cellStyle name="_Mar" xfId="0"/>
    <cellStyle name="_Mar 2" xfId="0"/>
    <cellStyle name="_margin-10" xfId="0"/>
    <cellStyle name="_margin-10 2" xfId="0"/>
    <cellStyle name="_margin-10_CORP SG&amp;A" xfId="0"/>
    <cellStyle name="_master" xfId="0"/>
    <cellStyle name="_master 2" xfId="0"/>
    <cellStyle name="_May 08 Margin" xfId="0"/>
    <cellStyle name="_May 08 Margin 2" xfId="0"/>
    <cellStyle name="_May-10" xfId="0"/>
    <cellStyle name="_May-10 2" xfId="0"/>
    <cellStyle name="_MNT" xfId="0"/>
    <cellStyle name="_MNT 2" xfId="0"/>
    <cellStyle name="_MNT 3" xfId="0"/>
    <cellStyle name="_MNT 4" xfId="0"/>
    <cellStyle name="_MNT 5" xfId="0"/>
    <cellStyle name="_MNT_By Region" xfId="0"/>
    <cellStyle name="_MNT_CIS" xfId="0"/>
    <cellStyle name="_MNT_CIS 2" xfId="0"/>
    <cellStyle name="_MNT_CIS 3" xfId="0"/>
    <cellStyle name="_MNT_CIS 4" xfId="0"/>
    <cellStyle name="_MNT_CIS_By Region" xfId="0"/>
    <cellStyle name="_MNT_CIS_CORP SG&amp;A" xfId="0"/>
    <cellStyle name="_MNT_CIS_Digitizer" xfId="0"/>
    <cellStyle name="_MNT_CIS_GPS OTHER" xfId="0"/>
    <cellStyle name="_MNT_CIS_GPS OTHER 2" xfId="0"/>
    <cellStyle name="_MNT_CIS_GPS OTHER 3" xfId="0"/>
    <cellStyle name="_MNT_CIS_GPS OTHER 4" xfId="0"/>
    <cellStyle name="_MNT_CIS_GPS OTHER 4 2" xfId="0"/>
    <cellStyle name="_MNT_CIS_GPS OTHER_By Region" xfId="0"/>
    <cellStyle name="_MNT_CIS_GPS OTHER_CORP SG&amp;A" xfId="0"/>
    <cellStyle name="_MNT_CIS_GPS OTHER_LCD" xfId="0"/>
    <cellStyle name="_MNT_CIS_GPS OTHER_PJ" xfId="0"/>
    <cellStyle name="_MNT_CIS_LCD" xfId="0"/>
    <cellStyle name="_MNT_CIS_LCD 2" xfId="0"/>
    <cellStyle name="_MNT_CIS_LCD 3" xfId="0"/>
    <cellStyle name="_MNT_CIS_LCD 4" xfId="0"/>
    <cellStyle name="_MNT_CIS_LCD_By Region" xfId="0"/>
    <cellStyle name="_MNT_CIS_LCD_CORP SG&amp;A" xfId="0"/>
    <cellStyle name="_MNT_CIS_LCD_LCD" xfId="0"/>
    <cellStyle name="_MNT_CIS_LCD_PJ" xfId="0"/>
    <cellStyle name="_MNT_CIS_PC Products" xfId="0"/>
    <cellStyle name="_MNT_CIS_PC Products 2" xfId="0"/>
    <cellStyle name="_MNT_CIS_PC Products 3" xfId="0"/>
    <cellStyle name="_MNT_CIS_PC Products 4" xfId="0"/>
    <cellStyle name="_MNT_CIS_PC Products 4 2" xfId="0"/>
    <cellStyle name="_MNT_CIS_PC Products_By Region" xfId="0"/>
    <cellStyle name="_MNT_CIS_PC Products_CORP SG&amp;A" xfId="0"/>
    <cellStyle name="_MNT_CIS_PC Products_LCD" xfId="0"/>
    <cellStyle name="_MNT_CIS_PC Products_PJ" xfId="0"/>
    <cellStyle name="_MNT_CIS_VSA 111014" xfId="0"/>
    <cellStyle name="_MNT_CIS_VSA 111014 2" xfId="0"/>
    <cellStyle name="_MNT_CIS_VSA 111014 3" xfId="0"/>
    <cellStyle name="_MNT_CIS_VSA 111014 4" xfId="0"/>
    <cellStyle name="_MNT_CIS_VSA 111014 4 2" xfId="0"/>
    <cellStyle name="_MNT_CIS_VSA 111014_By Region" xfId="0"/>
    <cellStyle name="_MNT_CIS_VSA 111014_CORP SG&amp;A" xfId="0"/>
    <cellStyle name="_MNT_CIS_VSA 111014_LCD" xfId="0"/>
    <cellStyle name="_MNT_CIS_VSA 111014_PJ" xfId="0"/>
    <cellStyle name="_MNT_CIS_VSA Roll-Up (LW)" xfId="0"/>
    <cellStyle name="_MNT_CIS_VSA Roll-Up (LW) 2" xfId="0"/>
    <cellStyle name="_MNT_CIS_VSA Roll-Up (LW) 3" xfId="0"/>
    <cellStyle name="_MNT_CIS_VSA Roll-Up (LW) 4" xfId="0"/>
    <cellStyle name="_MNT_CIS_VSA Roll-Up (LW) 4 2" xfId="0"/>
    <cellStyle name="_MNT_CIS_VSA Roll-Up (LW)_By Region" xfId="0"/>
    <cellStyle name="_MNT_CIS_VSA Roll-Up (LW)_CORP SG&amp;A" xfId="0"/>
    <cellStyle name="_MNT_CIS_VSA Roll-Up (LW)_LCD" xfId="0"/>
    <cellStyle name="_MNT_CIS_VSA Roll-Up (LW)_PJ" xfId="0"/>
    <cellStyle name="_MNT_CORP SG&amp;A" xfId="0"/>
    <cellStyle name="_MNT_CRT" xfId="0"/>
    <cellStyle name="_MNT_CRT 2" xfId="0"/>
    <cellStyle name="_MNT_CRT 3" xfId="0"/>
    <cellStyle name="_MNT_CRT 4" xfId="0"/>
    <cellStyle name="_MNT_CRT_By Region" xfId="0"/>
    <cellStyle name="_MNT_CRT_CORP SG&amp;A" xfId="0"/>
    <cellStyle name="_MNT_CRT_Digitizer" xfId="0"/>
    <cellStyle name="_MNT_CRT_GPS OTHER" xfId="0"/>
    <cellStyle name="_MNT_CRT_GPS OTHER 2" xfId="0"/>
    <cellStyle name="_MNT_CRT_GPS OTHER 3" xfId="0"/>
    <cellStyle name="_MNT_CRT_GPS OTHER 4" xfId="0"/>
    <cellStyle name="_MNT_CRT_GPS OTHER 4 2" xfId="0"/>
    <cellStyle name="_MNT_CRT_GPS OTHER_By Region" xfId="0"/>
    <cellStyle name="_MNT_CRT_GPS OTHER_CORP SG&amp;A" xfId="0"/>
    <cellStyle name="_MNT_CRT_GPS OTHER_LCD" xfId="0"/>
    <cellStyle name="_MNT_CRT_GPS OTHER_PJ" xfId="0"/>
    <cellStyle name="_MNT_CRT_LCD" xfId="0"/>
    <cellStyle name="_MNT_CRT_LCD 2" xfId="0"/>
    <cellStyle name="_MNT_CRT_LCD 3" xfId="0"/>
    <cellStyle name="_MNT_CRT_LCD 4" xfId="0"/>
    <cellStyle name="_MNT_CRT_LCD_By Region" xfId="0"/>
    <cellStyle name="_MNT_CRT_LCD_CORP SG&amp;A" xfId="0"/>
    <cellStyle name="_MNT_CRT_LCD_LCD" xfId="0"/>
    <cellStyle name="_MNT_CRT_LCD_PJ" xfId="0"/>
    <cellStyle name="_MNT_CRT_PC Products" xfId="0"/>
    <cellStyle name="_MNT_CRT_PC Products 2" xfId="0"/>
    <cellStyle name="_MNT_CRT_PC Products 3" xfId="0"/>
    <cellStyle name="_MNT_CRT_PC Products 4" xfId="0"/>
    <cellStyle name="_MNT_CRT_PC Products 4 2" xfId="0"/>
    <cellStyle name="_MNT_CRT_PC Products_By Region" xfId="0"/>
    <cellStyle name="_MNT_CRT_PC Products_CORP SG&amp;A" xfId="0"/>
    <cellStyle name="_MNT_CRT_PC Products_LCD" xfId="0"/>
    <cellStyle name="_MNT_CRT_PC Products_PJ" xfId="0"/>
    <cellStyle name="_MNT_CRT_VSA 111014" xfId="0"/>
    <cellStyle name="_MNT_CRT_VSA 111014 2" xfId="0"/>
    <cellStyle name="_MNT_CRT_VSA 111014 3" xfId="0"/>
    <cellStyle name="_MNT_CRT_VSA 111014 4" xfId="0"/>
    <cellStyle name="_MNT_CRT_VSA 111014 4 2" xfId="0"/>
    <cellStyle name="_MNT_CRT_VSA 111014_By Region" xfId="0"/>
    <cellStyle name="_MNT_CRT_VSA 111014_CORP SG&amp;A" xfId="0"/>
    <cellStyle name="_MNT_CRT_VSA 111014_LCD" xfId="0"/>
    <cellStyle name="_MNT_CRT_VSA 111014_PJ" xfId="0"/>
    <cellStyle name="_MNT_CRT_VSA Roll-Up (LW)" xfId="0"/>
    <cellStyle name="_MNT_CRT_VSA Roll-Up (LW) 2" xfId="0"/>
    <cellStyle name="_MNT_CRT_VSA Roll-Up (LW) 3" xfId="0"/>
    <cellStyle name="_MNT_CRT_VSA Roll-Up (LW) 4" xfId="0"/>
    <cellStyle name="_MNT_CRT_VSA Roll-Up (LW) 4 2" xfId="0"/>
    <cellStyle name="_MNT_CRT_VSA Roll-Up (LW)_By Region" xfId="0"/>
    <cellStyle name="_MNT_CRT_VSA Roll-Up (LW)_CORP SG&amp;A" xfId="0"/>
    <cellStyle name="_MNT_CRT_VSA Roll-Up (LW)_LCD" xfId="0"/>
    <cellStyle name="_MNT_CRT_VSA Roll-Up (LW)_PJ" xfId="0"/>
    <cellStyle name="_MNT_Diff" xfId="0"/>
    <cellStyle name="_MNT_Diff 2" xfId="0"/>
    <cellStyle name="_MNT_Diff 3" xfId="0"/>
    <cellStyle name="_MNT_Diff 4" xfId="0"/>
    <cellStyle name="_MNT_Diff_By Region" xfId="0"/>
    <cellStyle name="_MNT_Diff_CORP SG&amp;A" xfId="0"/>
    <cellStyle name="_MNT_Diff_Digitizer" xfId="0"/>
    <cellStyle name="_MNT_Diff_GPS OTHER" xfId="0"/>
    <cellStyle name="_MNT_Diff_GPS OTHER 2" xfId="0"/>
    <cellStyle name="_MNT_Diff_GPS OTHER 3" xfId="0"/>
    <cellStyle name="_MNT_Diff_GPS OTHER 4" xfId="0"/>
    <cellStyle name="_MNT_Diff_GPS OTHER 4 2" xfId="0"/>
    <cellStyle name="_MNT_Diff_GPS OTHER_By Region" xfId="0"/>
    <cellStyle name="_MNT_Diff_GPS OTHER_CORP SG&amp;A" xfId="0"/>
    <cellStyle name="_MNT_Diff_GPS OTHER_LCD" xfId="0"/>
    <cellStyle name="_MNT_Diff_GPS OTHER_PJ" xfId="0"/>
    <cellStyle name="_MNT_Diff_LCD" xfId="0"/>
    <cellStyle name="_MNT_Diff_LCD 2" xfId="0"/>
    <cellStyle name="_MNT_Diff_LCD 3" xfId="0"/>
    <cellStyle name="_MNT_Diff_LCD 4" xfId="0"/>
    <cellStyle name="_MNT_Diff_LCD_By Region" xfId="0"/>
    <cellStyle name="_MNT_Diff_LCD_CORP SG&amp;A" xfId="0"/>
    <cellStyle name="_MNT_Diff_LCD_LCD" xfId="0"/>
    <cellStyle name="_MNT_Diff_LCD_PJ" xfId="0"/>
    <cellStyle name="_MNT_Diff_PC Products" xfId="0"/>
    <cellStyle name="_MNT_Diff_PC Products 2" xfId="0"/>
    <cellStyle name="_MNT_Diff_PC Products 3" xfId="0"/>
    <cellStyle name="_MNT_Diff_PC Products 4" xfId="0"/>
    <cellStyle name="_MNT_Diff_PC Products 4 2" xfId="0"/>
    <cellStyle name="_MNT_Diff_PC Products_By Region" xfId="0"/>
    <cellStyle name="_MNT_Diff_PC Products_CORP SG&amp;A" xfId="0"/>
    <cellStyle name="_MNT_Diff_PC Products_LCD" xfId="0"/>
    <cellStyle name="_MNT_Diff_PC Products_PJ" xfId="0"/>
    <cellStyle name="_MNT_Diff_VSA 111014" xfId="0"/>
    <cellStyle name="_MNT_Diff_VSA 111014 2" xfId="0"/>
    <cellStyle name="_MNT_Diff_VSA 111014 3" xfId="0"/>
    <cellStyle name="_MNT_Diff_VSA 111014 4" xfId="0"/>
    <cellStyle name="_MNT_Diff_VSA 111014 4 2" xfId="0"/>
    <cellStyle name="_MNT_Diff_VSA 111014_By Region" xfId="0"/>
    <cellStyle name="_MNT_Diff_VSA 111014_CORP SG&amp;A" xfId="0"/>
    <cellStyle name="_MNT_Diff_VSA 111014_LCD" xfId="0"/>
    <cellStyle name="_MNT_Diff_VSA 111014_PJ" xfId="0"/>
    <cellStyle name="_MNT_Diff_VSA Roll-Up (LW)" xfId="0"/>
    <cellStyle name="_MNT_Diff_VSA Roll-Up (LW) 2" xfId="0"/>
    <cellStyle name="_MNT_Diff_VSA Roll-Up (LW) 3" xfId="0"/>
    <cellStyle name="_MNT_Diff_VSA Roll-Up (LW) 4" xfId="0"/>
    <cellStyle name="_MNT_Diff_VSA Roll-Up (LW) 4 2" xfId="0"/>
    <cellStyle name="_MNT_Diff_VSA Roll-Up (LW)_By Region" xfId="0"/>
    <cellStyle name="_MNT_Diff_VSA Roll-Up (LW)_CORP SG&amp;A" xfId="0"/>
    <cellStyle name="_MNT_Diff_VSA Roll-Up (LW)_LCD" xfId="0"/>
    <cellStyle name="_MNT_Diff_VSA Roll-Up (LW)_PJ" xfId="0"/>
    <cellStyle name="_MNT_Digital Product" xfId="0"/>
    <cellStyle name="_MNT_Digital Product 2" xfId="0"/>
    <cellStyle name="_MNT_Digital Product 3" xfId="0"/>
    <cellStyle name="_MNT_Digital Product 4" xfId="0"/>
    <cellStyle name="_MNT_Digital Product_By Region" xfId="0"/>
    <cellStyle name="_MNT_Digital Product_CORP SG&amp;A" xfId="0"/>
    <cellStyle name="_MNT_Digital Product_Digitizer" xfId="0"/>
    <cellStyle name="_MNT_Digital Product_GPS OTHER" xfId="0"/>
    <cellStyle name="_MNT_Digital Product_GPS OTHER 2" xfId="0"/>
    <cellStyle name="_MNT_Digital Product_GPS OTHER 3" xfId="0"/>
    <cellStyle name="_MNT_Digital Product_GPS OTHER 4" xfId="0"/>
    <cellStyle name="_MNT_Digital Product_GPS OTHER 4 2" xfId="0"/>
    <cellStyle name="_MNT_Digital Product_GPS OTHER_By Region" xfId="0"/>
    <cellStyle name="_MNT_Digital Product_GPS OTHER_CORP SG&amp;A" xfId="0"/>
    <cellStyle name="_MNT_Digital Product_GPS OTHER_LCD" xfId="0"/>
    <cellStyle name="_MNT_Digital Product_GPS OTHER_PJ" xfId="0"/>
    <cellStyle name="_MNT_Digital Product_LCD" xfId="0"/>
    <cellStyle name="_MNT_Digital Product_LCD 2" xfId="0"/>
    <cellStyle name="_MNT_Digital Product_LCD 3" xfId="0"/>
    <cellStyle name="_MNT_Digital Product_LCD 4" xfId="0"/>
    <cellStyle name="_MNT_Digital Product_LCD_By Region" xfId="0"/>
    <cellStyle name="_MNT_Digital Product_LCD_CORP SG&amp;A" xfId="0"/>
    <cellStyle name="_MNT_Digital Product_LCD_LCD" xfId="0"/>
    <cellStyle name="_MNT_Digital Product_LCD_PJ" xfId="0"/>
    <cellStyle name="_MNT_Digital Product_PC Products" xfId="0"/>
    <cellStyle name="_MNT_Digital Product_PC Products 2" xfId="0"/>
    <cellStyle name="_MNT_Digital Product_PC Products 3" xfId="0"/>
    <cellStyle name="_MNT_Digital Product_PC Products 4" xfId="0"/>
    <cellStyle name="_MNT_Digital Product_PC Products 4 2" xfId="0"/>
    <cellStyle name="_MNT_Digital Product_PC Products_By Region" xfId="0"/>
    <cellStyle name="_MNT_Digital Product_PC Products_CORP SG&amp;A" xfId="0"/>
    <cellStyle name="_MNT_Digital Product_PC Products_LCD" xfId="0"/>
    <cellStyle name="_MNT_Digital Product_PC Products_PJ" xfId="0"/>
    <cellStyle name="_MNT_Digital Product_VSA 111014" xfId="0"/>
    <cellStyle name="_MNT_Digital Product_VSA 111014 2" xfId="0"/>
    <cellStyle name="_MNT_Digital Product_VSA 111014 3" xfId="0"/>
    <cellStyle name="_MNT_Digital Product_VSA 111014 4" xfId="0"/>
    <cellStyle name="_MNT_Digital Product_VSA 111014 4 2" xfId="0"/>
    <cellStyle name="_MNT_Digital Product_VSA 111014_By Region" xfId="0"/>
    <cellStyle name="_MNT_Digital Product_VSA 111014_CORP SG&amp;A" xfId="0"/>
    <cellStyle name="_MNT_Digital Product_VSA 111014_LCD" xfId="0"/>
    <cellStyle name="_MNT_Digital Product_VSA 111014_PJ" xfId="0"/>
    <cellStyle name="_MNT_Digital Product_VSA Roll-Up (LW)" xfId="0"/>
    <cellStyle name="_MNT_Digital Product_VSA Roll-Up (LW) 2" xfId="0"/>
    <cellStyle name="_MNT_Digital Product_VSA Roll-Up (LW) 3" xfId="0"/>
    <cellStyle name="_MNT_Digital Product_VSA Roll-Up (LW) 4" xfId="0"/>
    <cellStyle name="_MNT_Digital Product_VSA Roll-Up (LW) 4 2" xfId="0"/>
    <cellStyle name="_MNT_Digital Product_VSA Roll-Up (LW)_By Region" xfId="0"/>
    <cellStyle name="_MNT_Digital Product_VSA Roll-Up (LW)_CORP SG&amp;A" xfId="0"/>
    <cellStyle name="_MNT_Digital Product_VSA Roll-Up (LW)_LCD" xfId="0"/>
    <cellStyle name="_MNT_Digital Product_VSA Roll-Up (LW)_PJ" xfId="0"/>
    <cellStyle name="_MNT_Digital Signage" xfId="0"/>
    <cellStyle name="_MNT_Digital Signage 2" xfId="0"/>
    <cellStyle name="_MNT_Digital Signage 3" xfId="0"/>
    <cellStyle name="_MNT_Digital Signage 4" xfId="0"/>
    <cellStyle name="_MNT_Digital Signage_By Region" xfId="0"/>
    <cellStyle name="_MNT_Digital Signage_CORP SG&amp;A" xfId="0"/>
    <cellStyle name="_MNT_Digital Signage_Digitizer" xfId="0"/>
    <cellStyle name="_MNT_Digital Signage_GPS OTHER" xfId="0"/>
    <cellStyle name="_MNT_Digital Signage_GPS OTHER 2" xfId="0"/>
    <cellStyle name="_MNT_Digital Signage_GPS OTHER 3" xfId="0"/>
    <cellStyle name="_MNT_Digital Signage_GPS OTHER 4" xfId="0"/>
    <cellStyle name="_MNT_Digital Signage_GPS OTHER 4 2" xfId="0"/>
    <cellStyle name="_MNT_Digital Signage_GPS OTHER_By Region" xfId="0"/>
    <cellStyle name="_MNT_Digital Signage_GPS OTHER_CORP SG&amp;A" xfId="0"/>
    <cellStyle name="_MNT_Digital Signage_GPS OTHER_LCD" xfId="0"/>
    <cellStyle name="_MNT_Digital Signage_GPS OTHER_PJ" xfId="0"/>
    <cellStyle name="_MNT_Digital Signage_LCD" xfId="0"/>
    <cellStyle name="_MNT_Digital Signage_LCD 2" xfId="0"/>
    <cellStyle name="_MNT_Digital Signage_LCD 3" xfId="0"/>
    <cellStyle name="_MNT_Digital Signage_LCD 4" xfId="0"/>
    <cellStyle name="_MNT_Digital Signage_LCD_By Region" xfId="0"/>
    <cellStyle name="_MNT_Digital Signage_LCD_CORP SG&amp;A" xfId="0"/>
    <cellStyle name="_MNT_Digital Signage_LCD_LCD" xfId="0"/>
    <cellStyle name="_MNT_Digital Signage_LCD_PJ" xfId="0"/>
    <cellStyle name="_MNT_Digital Signage_PC Products" xfId="0"/>
    <cellStyle name="_MNT_Digital Signage_PC Products 2" xfId="0"/>
    <cellStyle name="_MNT_Digital Signage_PC Products 3" xfId="0"/>
    <cellStyle name="_MNT_Digital Signage_PC Products 4" xfId="0"/>
    <cellStyle name="_MNT_Digital Signage_PC Products 4 2" xfId="0"/>
    <cellStyle name="_MNT_Digital Signage_PC Products_By Region" xfId="0"/>
    <cellStyle name="_MNT_Digital Signage_PC Products_CORP SG&amp;A" xfId="0"/>
    <cellStyle name="_MNT_Digital Signage_PC Products_LCD" xfId="0"/>
    <cellStyle name="_MNT_Digital Signage_PC Products_PJ" xfId="0"/>
    <cellStyle name="_MNT_Digital Signage_VSA 111014" xfId="0"/>
    <cellStyle name="_MNT_Digital Signage_VSA 111014 2" xfId="0"/>
    <cellStyle name="_MNT_Digital Signage_VSA 111014 3" xfId="0"/>
    <cellStyle name="_MNT_Digital Signage_VSA 111014 4" xfId="0"/>
    <cellStyle name="_MNT_Digital Signage_VSA 111014 4 2" xfId="0"/>
    <cellStyle name="_MNT_Digital Signage_VSA 111014_By Region" xfId="0"/>
    <cellStyle name="_MNT_Digital Signage_VSA 111014_CORP SG&amp;A" xfId="0"/>
    <cellStyle name="_MNT_Digital Signage_VSA 111014_LCD" xfId="0"/>
    <cellStyle name="_MNT_Digital Signage_VSA 111014_PJ" xfId="0"/>
    <cellStyle name="_MNT_Digital Signage_VSA Roll-Up (LW)" xfId="0"/>
    <cellStyle name="_MNT_Digital Signage_VSA Roll-Up (LW) 2" xfId="0"/>
    <cellStyle name="_MNT_Digital Signage_VSA Roll-Up (LW) 3" xfId="0"/>
    <cellStyle name="_MNT_Digital Signage_VSA Roll-Up (LW) 4" xfId="0"/>
    <cellStyle name="_MNT_Digital Signage_VSA Roll-Up (LW) 4 2" xfId="0"/>
    <cellStyle name="_MNT_Digital Signage_VSA Roll-Up (LW)_By Region" xfId="0"/>
    <cellStyle name="_MNT_Digital Signage_VSA Roll-Up (LW)_CORP SG&amp;A" xfId="0"/>
    <cellStyle name="_MNT_Digital Signage_VSA Roll-Up (LW)_LCD" xfId="0"/>
    <cellStyle name="_MNT_Digital Signage_VSA Roll-Up (LW)_PJ" xfId="0"/>
    <cellStyle name="_MNT_Digitizer" xfId="0"/>
    <cellStyle name="_MNT_DMA(VMP)" xfId="0"/>
    <cellStyle name="_MNT_DMA(VMP) 2" xfId="0"/>
    <cellStyle name="_MNT_DMA(VMP) 3" xfId="0"/>
    <cellStyle name="_MNT_DMA(VMP) 4" xfId="0"/>
    <cellStyle name="_MNT_DMA(VMP)_By Region" xfId="0"/>
    <cellStyle name="_MNT_DMA(VMP)_CORP SG&amp;A" xfId="0"/>
    <cellStyle name="_MNT_DMA(VMP)_Digitizer" xfId="0"/>
    <cellStyle name="_MNT_DMA(VMP)_GPS OTHER" xfId="0"/>
    <cellStyle name="_MNT_DMA(VMP)_GPS OTHER 2" xfId="0"/>
    <cellStyle name="_MNT_DMA(VMP)_GPS OTHER 3" xfId="0"/>
    <cellStyle name="_MNT_DMA(VMP)_GPS OTHER 4" xfId="0"/>
    <cellStyle name="_MNT_DMA(VMP)_GPS OTHER 4 2" xfId="0"/>
    <cellStyle name="_MNT_DMA(VMP)_GPS OTHER_By Region" xfId="0"/>
    <cellStyle name="_MNT_DMA(VMP)_GPS OTHER_CORP SG&amp;A" xfId="0"/>
    <cellStyle name="_MNT_DMA(VMP)_GPS OTHER_LCD" xfId="0"/>
    <cellStyle name="_MNT_DMA(VMP)_GPS OTHER_PJ" xfId="0"/>
    <cellStyle name="_MNT_DMA(VMP)_LCD" xfId="0"/>
    <cellStyle name="_MNT_DMA(VMP)_LCD 2" xfId="0"/>
    <cellStyle name="_MNT_DMA(VMP)_LCD 3" xfId="0"/>
    <cellStyle name="_MNT_DMA(VMP)_LCD 4" xfId="0"/>
    <cellStyle name="_MNT_DMA(VMP)_LCD_By Region" xfId="0"/>
    <cellStyle name="_MNT_DMA(VMP)_LCD_CORP SG&amp;A" xfId="0"/>
    <cellStyle name="_MNT_DMA(VMP)_LCD_LCD" xfId="0"/>
    <cellStyle name="_MNT_DMA(VMP)_LCD_PJ" xfId="0"/>
    <cellStyle name="_MNT_DMA(VMP)_PC Products" xfId="0"/>
    <cellStyle name="_MNT_DMA(VMP)_PC Products 2" xfId="0"/>
    <cellStyle name="_MNT_DMA(VMP)_PC Products 3" xfId="0"/>
    <cellStyle name="_MNT_DMA(VMP)_PC Products 4" xfId="0"/>
    <cellStyle name="_MNT_DMA(VMP)_PC Products 4 2" xfId="0"/>
    <cellStyle name="_MNT_DMA(VMP)_PC Products_By Region" xfId="0"/>
    <cellStyle name="_MNT_DMA(VMP)_PC Products_CORP SG&amp;A" xfId="0"/>
    <cellStyle name="_MNT_DMA(VMP)_PC Products_LCD" xfId="0"/>
    <cellStyle name="_MNT_DMA(VMP)_PC Products_PJ" xfId="0"/>
    <cellStyle name="_MNT_DMA(VMP)_VSA 111014" xfId="0"/>
    <cellStyle name="_MNT_DMA(VMP)_VSA 111014 2" xfId="0"/>
    <cellStyle name="_MNT_DMA(VMP)_VSA 111014 3" xfId="0"/>
    <cellStyle name="_MNT_DMA(VMP)_VSA 111014 4" xfId="0"/>
    <cellStyle name="_MNT_DMA(VMP)_VSA 111014 4 2" xfId="0"/>
    <cellStyle name="_MNT_DMA(VMP)_VSA 111014_By Region" xfId="0"/>
    <cellStyle name="_MNT_DMA(VMP)_VSA 111014_CORP SG&amp;A" xfId="0"/>
    <cellStyle name="_MNT_DMA(VMP)_VSA 111014_LCD" xfId="0"/>
    <cellStyle name="_MNT_DMA(VMP)_VSA 111014_PJ" xfId="0"/>
    <cellStyle name="_MNT_DMA(VMP)_VSA Roll-Up (LW)" xfId="0"/>
    <cellStyle name="_MNT_DMA(VMP)_VSA Roll-Up (LW) 2" xfId="0"/>
    <cellStyle name="_MNT_DMA(VMP)_VSA Roll-Up (LW) 3" xfId="0"/>
    <cellStyle name="_MNT_DMA(VMP)_VSA Roll-Up (LW) 4" xfId="0"/>
    <cellStyle name="_MNT_DMA(VMP)_VSA Roll-Up (LW) 4 2" xfId="0"/>
    <cellStyle name="_MNT_DMA(VMP)_VSA Roll-Up (LW)_By Region" xfId="0"/>
    <cellStyle name="_MNT_DMA(VMP)_VSA Roll-Up (LW)_CORP SG&amp;A" xfId="0"/>
    <cellStyle name="_MNT_DMA(VMP)_VSA Roll-Up (LW)_LCD" xfId="0"/>
    <cellStyle name="_MNT_DMA(VMP)_VSA Roll-Up (LW)_PJ" xfId="0"/>
    <cellStyle name="_MNT_DPF" xfId="0"/>
    <cellStyle name="_MNT_DPF 2" xfId="0"/>
    <cellStyle name="_MNT_DPF 3" xfId="0"/>
    <cellStyle name="_MNT_DPF 4" xfId="0"/>
    <cellStyle name="_MNT_DPF_By Region" xfId="0"/>
    <cellStyle name="_MNT_DPF_CORP SG&amp;A" xfId="0"/>
    <cellStyle name="_MNT_DPF_Digitizer" xfId="0"/>
    <cellStyle name="_MNT_DPF_GPS OTHER" xfId="0"/>
    <cellStyle name="_MNT_DPF_GPS OTHER 2" xfId="0"/>
    <cellStyle name="_MNT_DPF_GPS OTHER 3" xfId="0"/>
    <cellStyle name="_MNT_DPF_GPS OTHER 4" xfId="0"/>
    <cellStyle name="_MNT_DPF_GPS OTHER 4 2" xfId="0"/>
    <cellStyle name="_MNT_DPF_GPS OTHER_By Region" xfId="0"/>
    <cellStyle name="_MNT_DPF_GPS OTHER_CORP SG&amp;A" xfId="0"/>
    <cellStyle name="_MNT_DPF_GPS OTHER_LCD" xfId="0"/>
    <cellStyle name="_MNT_DPF_GPS OTHER_PJ" xfId="0"/>
    <cellStyle name="_MNT_DPF_LCD" xfId="0"/>
    <cellStyle name="_MNT_DPF_LCD 2" xfId="0"/>
    <cellStyle name="_MNT_DPF_LCD 3" xfId="0"/>
    <cellStyle name="_MNT_DPF_LCD 4" xfId="0"/>
    <cellStyle name="_MNT_DPF_LCD_By Region" xfId="0"/>
    <cellStyle name="_MNT_DPF_LCD_CORP SG&amp;A" xfId="0"/>
    <cellStyle name="_MNT_DPF_LCD_LCD" xfId="0"/>
    <cellStyle name="_MNT_DPF_LCD_PJ" xfId="0"/>
    <cellStyle name="_MNT_DPF_PC Products" xfId="0"/>
    <cellStyle name="_MNT_DPF_PC Products 2" xfId="0"/>
    <cellStyle name="_MNT_DPF_PC Products 3" xfId="0"/>
    <cellStyle name="_MNT_DPF_PC Products 4" xfId="0"/>
    <cellStyle name="_MNT_DPF_PC Products 4 2" xfId="0"/>
    <cellStyle name="_MNT_DPF_PC Products_By Region" xfId="0"/>
    <cellStyle name="_MNT_DPF_PC Products_CORP SG&amp;A" xfId="0"/>
    <cellStyle name="_MNT_DPF_PC Products_LCD" xfId="0"/>
    <cellStyle name="_MNT_DPF_PC Products_PJ" xfId="0"/>
    <cellStyle name="_MNT_DPF_VSA 111014" xfId="0"/>
    <cellStyle name="_MNT_DPF_VSA 111014 2" xfId="0"/>
    <cellStyle name="_MNT_DPF_VSA 111014 3" xfId="0"/>
    <cellStyle name="_MNT_DPF_VSA 111014 4" xfId="0"/>
    <cellStyle name="_MNT_DPF_VSA 111014 4 2" xfId="0"/>
    <cellStyle name="_MNT_DPF_VSA 111014_By Region" xfId="0"/>
    <cellStyle name="_MNT_DPF_VSA 111014_CORP SG&amp;A" xfId="0"/>
    <cellStyle name="_MNT_DPF_VSA 111014_LCD" xfId="0"/>
    <cellStyle name="_MNT_DPF_VSA 111014_PJ" xfId="0"/>
    <cellStyle name="_MNT_DPF_VSA Roll-Up (LW)" xfId="0"/>
    <cellStyle name="_MNT_DPF_VSA Roll-Up (LW) 2" xfId="0"/>
    <cellStyle name="_MNT_DPF_VSA Roll-Up (LW) 3" xfId="0"/>
    <cellStyle name="_MNT_DPF_VSA Roll-Up (LW) 4" xfId="0"/>
    <cellStyle name="_MNT_DPF_VSA Roll-Up (LW) 4 2" xfId="0"/>
    <cellStyle name="_MNT_DPF_VSA Roll-Up (LW)_By Region" xfId="0"/>
    <cellStyle name="_MNT_DPF_VSA Roll-Up (LW)_CORP SG&amp;A" xfId="0"/>
    <cellStyle name="_MNT_DPF_VSA Roll-Up (LW)_LCD" xfId="0"/>
    <cellStyle name="_MNT_DPF_VSA Roll-Up (LW)_PJ" xfId="0"/>
    <cellStyle name="_MNT_DS" xfId="0"/>
    <cellStyle name="_MNT_DS 2" xfId="0"/>
    <cellStyle name="_MNT_DS 3" xfId="0"/>
    <cellStyle name="_MNT_DS 4" xfId="0"/>
    <cellStyle name="_MNT_DS_By Region" xfId="0"/>
    <cellStyle name="_MNT_DS_CORP SG&amp;A" xfId="0"/>
    <cellStyle name="_MNT_DS_Digitizer" xfId="0"/>
    <cellStyle name="_MNT_DS_GPS OTHER" xfId="0"/>
    <cellStyle name="_MNT_DS_GPS OTHER 2" xfId="0"/>
    <cellStyle name="_MNT_DS_GPS OTHER 3" xfId="0"/>
    <cellStyle name="_MNT_DS_GPS OTHER 4" xfId="0"/>
    <cellStyle name="_MNT_DS_GPS OTHER 4 2" xfId="0"/>
    <cellStyle name="_MNT_DS_GPS OTHER_By Region" xfId="0"/>
    <cellStyle name="_MNT_DS_GPS OTHER_CORP SG&amp;A" xfId="0"/>
    <cellStyle name="_MNT_DS_GPS OTHER_LCD" xfId="0"/>
    <cellStyle name="_MNT_DS_GPS OTHER_PJ" xfId="0"/>
    <cellStyle name="_MNT_DS_LCD" xfId="0"/>
    <cellStyle name="_MNT_DS_LCD 2" xfId="0"/>
    <cellStyle name="_MNT_DS_LCD 3" xfId="0"/>
    <cellStyle name="_MNT_DS_LCD 4" xfId="0"/>
    <cellStyle name="_MNT_DS_LCD_By Region" xfId="0"/>
    <cellStyle name="_MNT_DS_LCD_CORP SG&amp;A" xfId="0"/>
    <cellStyle name="_MNT_DS_LCD_LCD" xfId="0"/>
    <cellStyle name="_MNT_DS_LCD_PJ" xfId="0"/>
    <cellStyle name="_MNT_DS_PC Products" xfId="0"/>
    <cellStyle name="_MNT_DS_PC Products 2" xfId="0"/>
    <cellStyle name="_MNT_DS_PC Products 3" xfId="0"/>
    <cellStyle name="_MNT_DS_PC Products 4" xfId="0"/>
    <cellStyle name="_MNT_DS_PC Products 4 2" xfId="0"/>
    <cellStyle name="_MNT_DS_PC Products_By Region" xfId="0"/>
    <cellStyle name="_MNT_DS_PC Products_CORP SG&amp;A" xfId="0"/>
    <cellStyle name="_MNT_DS_PC Products_LCD" xfId="0"/>
    <cellStyle name="_MNT_DS_PC Products_PJ" xfId="0"/>
    <cellStyle name="_MNT_DS_VSA 111014" xfId="0"/>
    <cellStyle name="_MNT_DS_VSA 111014 2" xfId="0"/>
    <cellStyle name="_MNT_DS_VSA 111014 3" xfId="0"/>
    <cellStyle name="_MNT_DS_VSA 111014 4" xfId="0"/>
    <cellStyle name="_MNT_DS_VSA 111014 4 2" xfId="0"/>
    <cellStyle name="_MNT_DS_VSA 111014_By Region" xfId="0"/>
    <cellStyle name="_MNT_DS_VSA 111014_CORP SG&amp;A" xfId="0"/>
    <cellStyle name="_MNT_DS_VSA 111014_LCD" xfId="0"/>
    <cellStyle name="_MNT_DS_VSA 111014_PJ" xfId="0"/>
    <cellStyle name="_MNT_DS_VSA Roll-Up (LW)" xfId="0"/>
    <cellStyle name="_MNT_DS_VSA Roll-Up (LW) 2" xfId="0"/>
    <cellStyle name="_MNT_DS_VSA Roll-Up (LW) 3" xfId="0"/>
    <cellStyle name="_MNT_DS_VSA Roll-Up (LW) 4" xfId="0"/>
    <cellStyle name="_MNT_DS_VSA Roll-Up (LW) 4 2" xfId="0"/>
    <cellStyle name="_MNT_DS_VSA Roll-Up (LW)_By Region" xfId="0"/>
    <cellStyle name="_MNT_DS_VSA Roll-Up (LW)_CORP SG&amp;A" xfId="0"/>
    <cellStyle name="_MNT_DS_VSA Roll-Up (LW)_LCD" xfId="0"/>
    <cellStyle name="_MNT_DS_VSA Roll-Up (LW)_PJ" xfId="0"/>
    <cellStyle name="_MNT_DVD_TV" xfId="0"/>
    <cellStyle name="_MNT_DVD_TV 2" xfId="0"/>
    <cellStyle name="_MNT_DVD_TV 3" xfId="0"/>
    <cellStyle name="_MNT_DVD_TV 4" xfId="0"/>
    <cellStyle name="_MNT_DVD_TV_By Region" xfId="0"/>
    <cellStyle name="_MNT_DVD_TV_CORP SG&amp;A" xfId="0"/>
    <cellStyle name="_MNT_DVD_TV_Digitizer" xfId="0"/>
    <cellStyle name="_MNT_DVD_TV_GPS OTHER" xfId="0"/>
    <cellStyle name="_MNT_DVD_TV_GPS OTHER 2" xfId="0"/>
    <cellStyle name="_MNT_DVD_TV_GPS OTHER 3" xfId="0"/>
    <cellStyle name="_MNT_DVD_TV_GPS OTHER 4" xfId="0"/>
    <cellStyle name="_MNT_DVD_TV_GPS OTHER 4 2" xfId="0"/>
    <cellStyle name="_MNT_DVD_TV_GPS OTHER_By Region" xfId="0"/>
    <cellStyle name="_MNT_DVD_TV_GPS OTHER_CORP SG&amp;A" xfId="0"/>
    <cellStyle name="_MNT_DVD_TV_GPS OTHER_LCD" xfId="0"/>
    <cellStyle name="_MNT_DVD_TV_GPS OTHER_PJ" xfId="0"/>
    <cellStyle name="_MNT_DVD_TV_LCD" xfId="0"/>
    <cellStyle name="_MNT_DVD_TV_LCD 2" xfId="0"/>
    <cellStyle name="_MNT_DVD_TV_LCD 3" xfId="0"/>
    <cellStyle name="_MNT_DVD_TV_LCD 4" xfId="0"/>
    <cellStyle name="_MNT_DVD_TV_LCD_By Region" xfId="0"/>
    <cellStyle name="_MNT_DVD_TV_LCD_CORP SG&amp;A" xfId="0"/>
    <cellStyle name="_MNT_DVD_TV_LCD_LCD" xfId="0"/>
    <cellStyle name="_MNT_DVD_TV_LCD_PJ" xfId="0"/>
    <cellStyle name="_MNT_DVD_TV_PC Products" xfId="0"/>
    <cellStyle name="_MNT_DVD_TV_PC Products 2" xfId="0"/>
    <cellStyle name="_MNT_DVD_TV_PC Products 3" xfId="0"/>
    <cellStyle name="_MNT_DVD_TV_PC Products 4" xfId="0"/>
    <cellStyle name="_MNT_DVD_TV_PC Products 4 2" xfId="0"/>
    <cellStyle name="_MNT_DVD_TV_PC Products_By Region" xfId="0"/>
    <cellStyle name="_MNT_DVD_TV_PC Products_CORP SG&amp;A" xfId="0"/>
    <cellStyle name="_MNT_DVD_TV_PC Products_LCD" xfId="0"/>
    <cellStyle name="_MNT_DVD_TV_PC Products_PJ" xfId="0"/>
    <cellStyle name="_MNT_DVD_TV_VSA 111014" xfId="0"/>
    <cellStyle name="_MNT_DVD_TV_VSA 111014 2" xfId="0"/>
    <cellStyle name="_MNT_DVD_TV_VSA 111014 3" xfId="0"/>
    <cellStyle name="_MNT_DVD_TV_VSA 111014 4" xfId="0"/>
    <cellStyle name="_MNT_DVD_TV_VSA 111014 4 2" xfId="0"/>
    <cellStyle name="_MNT_DVD_TV_VSA 111014_By Region" xfId="0"/>
    <cellStyle name="_MNT_DVD_TV_VSA 111014_CORP SG&amp;A" xfId="0"/>
    <cellStyle name="_MNT_DVD_TV_VSA 111014_LCD" xfId="0"/>
    <cellStyle name="_MNT_DVD_TV_VSA 111014_PJ" xfId="0"/>
    <cellStyle name="_MNT_DVD_TV_VSA Roll-Up (LW)" xfId="0"/>
    <cellStyle name="_MNT_DVD_TV_VSA Roll-Up (LW) 2" xfId="0"/>
    <cellStyle name="_MNT_DVD_TV_VSA Roll-Up (LW) 3" xfId="0"/>
    <cellStyle name="_MNT_DVD_TV_VSA Roll-Up (LW) 4" xfId="0"/>
    <cellStyle name="_MNT_DVD_TV_VSA Roll-Up (LW) 4 2" xfId="0"/>
    <cellStyle name="_MNT_DVD_TV_VSA Roll-Up (LW)_By Region" xfId="0"/>
    <cellStyle name="_MNT_DVD_TV_VSA Roll-Up (LW)_CORP SG&amp;A" xfId="0"/>
    <cellStyle name="_MNT_DVD_TV_VSA Roll-Up (LW)_LCD" xfId="0"/>
    <cellStyle name="_MNT_DVD_TV_VSA Roll-Up (LW)_PJ" xfId="0"/>
    <cellStyle name="_MNT_GPS OTHER" xfId="0"/>
    <cellStyle name="_MNT_GPS OTHER 2" xfId="0"/>
    <cellStyle name="_MNT_GPS OTHER 3" xfId="0"/>
    <cellStyle name="_MNT_GPS OTHER 4" xfId="0"/>
    <cellStyle name="_MNT_GPS OTHER 4 2" xfId="0"/>
    <cellStyle name="_MNT_GPS OTHER_By Region" xfId="0"/>
    <cellStyle name="_MNT_GPS OTHER_CORP SG&amp;A" xfId="0"/>
    <cellStyle name="_MNT_GPS OTHER_LCD" xfId="0"/>
    <cellStyle name="_MNT_GPS OTHER_PJ" xfId="0"/>
    <cellStyle name="_MNT_LCD" xfId="0"/>
    <cellStyle name="_MNT_LCD 2" xfId="0"/>
    <cellStyle name="_MNT_LCD 3" xfId="0"/>
    <cellStyle name="_MNT_LCD 4" xfId="0"/>
    <cellStyle name="_MNT_LCD_1" xfId="0"/>
    <cellStyle name="_MNT_LCD_1 2" xfId="0"/>
    <cellStyle name="_MNT_LCD_1 3" xfId="0"/>
    <cellStyle name="_MNT_LCD_1 4" xfId="0"/>
    <cellStyle name="_MNT_LCD_1_By Region" xfId="0"/>
    <cellStyle name="_MNT_LCD_1_CORP SG&amp;A" xfId="0"/>
    <cellStyle name="_MNT_LCD_1_LCD" xfId="0"/>
    <cellStyle name="_MNT_LCD_1_PJ" xfId="0"/>
    <cellStyle name="_MNT_LCD_By Region" xfId="0"/>
    <cellStyle name="_MNT_LCD_CORP SG&amp;A" xfId="0"/>
    <cellStyle name="_MNT_LCD_Digitizer" xfId="0"/>
    <cellStyle name="_MNT_LCD_GPS OTHER" xfId="0"/>
    <cellStyle name="_MNT_LCD_GPS OTHER 2" xfId="0"/>
    <cellStyle name="_MNT_LCD_GPS OTHER 3" xfId="0"/>
    <cellStyle name="_MNT_LCD_GPS OTHER 4" xfId="0"/>
    <cellStyle name="_MNT_LCD_GPS OTHER 4 2" xfId="0"/>
    <cellStyle name="_MNT_LCD_GPS OTHER_By Region" xfId="0"/>
    <cellStyle name="_MNT_LCD_GPS OTHER_CORP SG&amp;A" xfId="0"/>
    <cellStyle name="_MNT_LCD_GPS OTHER_LCD" xfId="0"/>
    <cellStyle name="_MNT_LCD_GPS OTHER_PJ" xfId="0"/>
    <cellStyle name="_MNT_LCD_LCD" xfId="0"/>
    <cellStyle name="_MNT_LCD_LCD 2" xfId="0"/>
    <cellStyle name="_MNT_LCD_LCD 3" xfId="0"/>
    <cellStyle name="_MNT_LCD_LCD 4" xfId="0"/>
    <cellStyle name="_MNT_LCD_LCD_By Region" xfId="0"/>
    <cellStyle name="_MNT_LCD_LCD_CORP SG&amp;A" xfId="0"/>
    <cellStyle name="_MNT_LCD_LCD_LCD" xfId="0"/>
    <cellStyle name="_MNT_LCD_LCD_PJ" xfId="0"/>
    <cellStyle name="_MNT_LCD_PC Products" xfId="0"/>
    <cellStyle name="_MNT_LCD_PC Products 2" xfId="0"/>
    <cellStyle name="_MNT_LCD_PC Products 3" xfId="0"/>
    <cellStyle name="_MNT_LCD_PC Products 4" xfId="0"/>
    <cellStyle name="_MNT_LCD_PC Products 4 2" xfId="0"/>
    <cellStyle name="_MNT_LCD_PC Products_By Region" xfId="0"/>
    <cellStyle name="_MNT_LCD_PC Products_CORP SG&amp;A" xfId="0"/>
    <cellStyle name="_MNT_LCD_PC Products_LCD" xfId="0"/>
    <cellStyle name="_MNT_LCD_PC Products_PJ" xfId="0"/>
    <cellStyle name="_MNT_LCD_VSA 111014" xfId="0"/>
    <cellStyle name="_MNT_LCD_VSA 111014 2" xfId="0"/>
    <cellStyle name="_MNT_LCD_VSA 111014 3" xfId="0"/>
    <cellStyle name="_MNT_LCD_VSA 111014 4" xfId="0"/>
    <cellStyle name="_MNT_LCD_VSA 111014 4 2" xfId="0"/>
    <cellStyle name="_MNT_LCD_VSA 111014_By Region" xfId="0"/>
    <cellStyle name="_MNT_LCD_VSA 111014_CORP SG&amp;A" xfId="0"/>
    <cellStyle name="_MNT_LCD_VSA 111014_LCD" xfId="0"/>
    <cellStyle name="_MNT_LCD_VSA 111014_PJ" xfId="0"/>
    <cellStyle name="_MNT_LCD_VSA Roll-Up (LW)" xfId="0"/>
    <cellStyle name="_MNT_LCD_VSA Roll-Up (LW) 2" xfId="0"/>
    <cellStyle name="_MNT_LCD_VSA Roll-Up (LW) 3" xfId="0"/>
    <cellStyle name="_MNT_LCD_VSA Roll-Up (LW) 4" xfId="0"/>
    <cellStyle name="_MNT_LCD_VSA Roll-Up (LW) 4 2" xfId="0"/>
    <cellStyle name="_MNT_LCD_VSA Roll-Up (LW)_By Region" xfId="0"/>
    <cellStyle name="_MNT_LCD_VSA Roll-Up (LW)_CORP SG&amp;A" xfId="0"/>
    <cellStyle name="_MNT_LCD_VSA Roll-Up (LW)_LCD" xfId="0"/>
    <cellStyle name="_MNT_LCD_VSA Roll-Up (LW)_PJ" xfId="0"/>
    <cellStyle name="_MNT_LCDTV" xfId="0"/>
    <cellStyle name="_MNT_LCDTV 2" xfId="0"/>
    <cellStyle name="_MNT_LCDTV 3" xfId="0"/>
    <cellStyle name="_MNT_LCDTV 4" xfId="0"/>
    <cellStyle name="_MNT_LCDTV_By Region" xfId="0"/>
    <cellStyle name="_MNT_LCDTV_CORP SG&amp;A" xfId="0"/>
    <cellStyle name="_MNT_LCDTV_Digitizer" xfId="0"/>
    <cellStyle name="_MNT_LCDTV_GPS OTHER" xfId="0"/>
    <cellStyle name="_MNT_LCDTV_GPS OTHER 2" xfId="0"/>
    <cellStyle name="_MNT_LCDTV_GPS OTHER 3" xfId="0"/>
    <cellStyle name="_MNT_LCDTV_GPS OTHER 4" xfId="0"/>
    <cellStyle name="_MNT_LCDTV_GPS OTHER 4 2" xfId="0"/>
    <cellStyle name="_MNT_LCDTV_GPS OTHER_By Region" xfId="0"/>
    <cellStyle name="_MNT_LCDTV_GPS OTHER_CORP SG&amp;A" xfId="0"/>
    <cellStyle name="_MNT_LCDTV_GPS OTHER_LCD" xfId="0"/>
    <cellStyle name="_MNT_LCDTV_GPS OTHER_PJ" xfId="0"/>
    <cellStyle name="_MNT_LCDTV_LCD" xfId="0"/>
    <cellStyle name="_MNT_LCDTV_LCD 2" xfId="0"/>
    <cellStyle name="_MNT_LCDTV_LCD 3" xfId="0"/>
    <cellStyle name="_MNT_LCDTV_LCD 4" xfId="0"/>
    <cellStyle name="_MNT_LCDTV_LCD_By Region" xfId="0"/>
    <cellStyle name="_MNT_LCDTV_LCD_CORP SG&amp;A" xfId="0"/>
    <cellStyle name="_MNT_LCDTV_LCD_LCD" xfId="0"/>
    <cellStyle name="_MNT_LCDTV_LCD_PJ" xfId="0"/>
    <cellStyle name="_MNT_LCDTV_PC Products" xfId="0"/>
    <cellStyle name="_MNT_LCDTV_PC Products 2" xfId="0"/>
    <cellStyle name="_MNT_LCDTV_PC Products 3" xfId="0"/>
    <cellStyle name="_MNT_LCDTV_PC Products 4" xfId="0"/>
    <cellStyle name="_MNT_LCDTV_PC Products 4 2" xfId="0"/>
    <cellStyle name="_MNT_LCDTV_PC Products_By Region" xfId="0"/>
    <cellStyle name="_MNT_LCDTV_PC Products_CORP SG&amp;A" xfId="0"/>
    <cellStyle name="_MNT_LCDTV_PC Products_LCD" xfId="0"/>
    <cellStyle name="_MNT_LCDTV_PC Products_PJ" xfId="0"/>
    <cellStyle name="_MNT_LCDTV_VSA 111014" xfId="0"/>
    <cellStyle name="_MNT_LCDTV_VSA 111014 2" xfId="0"/>
    <cellStyle name="_MNT_LCDTV_VSA 111014 3" xfId="0"/>
    <cellStyle name="_MNT_LCDTV_VSA 111014 4" xfId="0"/>
    <cellStyle name="_MNT_LCDTV_VSA 111014 4 2" xfId="0"/>
    <cellStyle name="_MNT_LCDTV_VSA 111014_By Region" xfId="0"/>
    <cellStyle name="_MNT_LCDTV_VSA 111014_CORP SG&amp;A" xfId="0"/>
    <cellStyle name="_MNT_LCDTV_VSA 111014_LCD" xfId="0"/>
    <cellStyle name="_MNT_LCDTV_VSA 111014_PJ" xfId="0"/>
    <cellStyle name="_MNT_LCDTV_VSA Roll-Up (LW)" xfId="0"/>
    <cellStyle name="_MNT_LCDTV_VSA Roll-Up (LW) 2" xfId="0"/>
    <cellStyle name="_MNT_LCDTV_VSA Roll-Up (LW) 3" xfId="0"/>
    <cellStyle name="_MNT_LCDTV_VSA Roll-Up (LW) 4" xfId="0"/>
    <cellStyle name="_MNT_LCDTV_VSA Roll-Up (LW) 4 2" xfId="0"/>
    <cellStyle name="_MNT_LCDTV_VSA Roll-Up (LW)_By Region" xfId="0"/>
    <cellStyle name="_MNT_LCDTV_VSA Roll-Up (LW)_CORP SG&amp;A" xfId="0"/>
    <cellStyle name="_MNT_LCDTV_VSA Roll-Up (LW)_LCD" xfId="0"/>
    <cellStyle name="_MNT_LCDTV_VSA Roll-Up (LW)_PJ" xfId="0"/>
    <cellStyle name="_MNT_MNT" xfId="0"/>
    <cellStyle name="_MNT_MNT 2" xfId="0"/>
    <cellStyle name="_MNT_MNT 3" xfId="0"/>
    <cellStyle name="_MNT_MNT 4" xfId="0"/>
    <cellStyle name="_MNT_MNT_By Region" xfId="0"/>
    <cellStyle name="_MNT_MNT_CORP SG&amp;A" xfId="0"/>
    <cellStyle name="_MNT_MNT_Digitizer" xfId="0"/>
    <cellStyle name="_MNT_MNT_GPS OTHER" xfId="0"/>
    <cellStyle name="_MNT_MNT_GPS OTHER 2" xfId="0"/>
    <cellStyle name="_MNT_MNT_GPS OTHER 3" xfId="0"/>
    <cellStyle name="_MNT_MNT_GPS OTHER 4" xfId="0"/>
    <cellStyle name="_MNT_MNT_GPS OTHER 4 2" xfId="0"/>
    <cellStyle name="_MNT_MNT_GPS OTHER_By Region" xfId="0"/>
    <cellStyle name="_MNT_MNT_GPS OTHER_CORP SG&amp;A" xfId="0"/>
    <cellStyle name="_MNT_MNT_GPS OTHER_LCD" xfId="0"/>
    <cellStyle name="_MNT_MNT_GPS OTHER_PJ" xfId="0"/>
    <cellStyle name="_MNT_MNT_LCD" xfId="0"/>
    <cellStyle name="_MNT_MNT_LCD 2" xfId="0"/>
    <cellStyle name="_MNT_MNT_LCD 3" xfId="0"/>
    <cellStyle name="_MNT_MNT_LCD 4" xfId="0"/>
    <cellStyle name="_MNT_MNT_LCD_By Region" xfId="0"/>
    <cellStyle name="_MNT_MNT_LCD_CORP SG&amp;A" xfId="0"/>
    <cellStyle name="_MNT_MNT_LCD_LCD" xfId="0"/>
    <cellStyle name="_MNT_MNT_LCD_PJ" xfId="0"/>
    <cellStyle name="_MNT_MNT_PC Products" xfId="0"/>
    <cellStyle name="_MNT_MNT_PC Products 2" xfId="0"/>
    <cellStyle name="_MNT_MNT_PC Products 3" xfId="0"/>
    <cellStyle name="_MNT_MNT_PC Products 4" xfId="0"/>
    <cellStyle name="_MNT_MNT_PC Products 4 2" xfId="0"/>
    <cellStyle name="_MNT_MNT_PC Products_By Region" xfId="0"/>
    <cellStyle name="_MNT_MNT_PC Products_CORP SG&amp;A" xfId="0"/>
    <cellStyle name="_MNT_MNT_PC Products_LCD" xfId="0"/>
    <cellStyle name="_MNT_MNT_PC Products_PJ" xfId="0"/>
    <cellStyle name="_MNT_MNT_VSA 111014" xfId="0"/>
    <cellStyle name="_MNT_MNT_VSA 111014 2" xfId="0"/>
    <cellStyle name="_MNT_MNT_VSA 111014 3" xfId="0"/>
    <cellStyle name="_MNT_MNT_VSA 111014 4" xfId="0"/>
    <cellStyle name="_MNT_MNT_VSA 111014 4 2" xfId="0"/>
    <cellStyle name="_MNT_MNT_VSA 111014_By Region" xfId="0"/>
    <cellStyle name="_MNT_MNT_VSA 111014_CORP SG&amp;A" xfId="0"/>
    <cellStyle name="_MNT_MNT_VSA 111014_LCD" xfId="0"/>
    <cellStyle name="_MNT_MNT_VSA 111014_PJ" xfId="0"/>
    <cellStyle name="_MNT_MNT_VSA Roll-Up (LW)" xfId="0"/>
    <cellStyle name="_MNT_MNT_VSA Roll-Up (LW) 2" xfId="0"/>
    <cellStyle name="_MNT_MNT_VSA Roll-Up (LW) 3" xfId="0"/>
    <cellStyle name="_MNT_MNT_VSA Roll-Up (LW) 4" xfId="0"/>
    <cellStyle name="_MNT_MNT_VSA Roll-Up (LW) 4 2" xfId="0"/>
    <cellStyle name="_MNT_MNT_VSA Roll-Up (LW)_By Region" xfId="0"/>
    <cellStyle name="_MNT_MNT_VSA Roll-Up (LW)_CORP SG&amp;A" xfId="0"/>
    <cellStyle name="_MNT_MNT_VSA Roll-Up (LW)_LCD" xfId="0"/>
    <cellStyle name="_MNT_MNT_VSA Roll-Up (LW)_PJ" xfId="0"/>
    <cellStyle name="_MNT_Other" xfId="0"/>
    <cellStyle name="_MNT_Other 2" xfId="0"/>
    <cellStyle name="_MNT_Other 3" xfId="0"/>
    <cellStyle name="_MNT_Other 4" xfId="0"/>
    <cellStyle name="_MNT_Other_By Region" xfId="0"/>
    <cellStyle name="_MNT_Other_CORP SG&amp;A" xfId="0"/>
    <cellStyle name="_MNT_Other_Digitizer" xfId="0"/>
    <cellStyle name="_MNT_Other_GPS OTHER" xfId="0"/>
    <cellStyle name="_MNT_Other_GPS OTHER 2" xfId="0"/>
    <cellStyle name="_MNT_Other_GPS OTHER 3" xfId="0"/>
    <cellStyle name="_MNT_Other_GPS OTHER 4" xfId="0"/>
    <cellStyle name="_MNT_Other_GPS OTHER 4 2" xfId="0"/>
    <cellStyle name="_MNT_Other_GPS OTHER_By Region" xfId="0"/>
    <cellStyle name="_MNT_Other_GPS OTHER_CORP SG&amp;A" xfId="0"/>
    <cellStyle name="_MNT_Other_GPS OTHER_LCD" xfId="0"/>
    <cellStyle name="_MNT_Other_GPS OTHER_PJ" xfId="0"/>
    <cellStyle name="_MNT_Other_LCD" xfId="0"/>
    <cellStyle name="_MNT_Other_LCD 2" xfId="0"/>
    <cellStyle name="_MNT_Other_LCD 3" xfId="0"/>
    <cellStyle name="_MNT_Other_LCD 4" xfId="0"/>
    <cellStyle name="_MNT_Other_LCD_By Region" xfId="0"/>
    <cellStyle name="_MNT_Other_LCD_CORP SG&amp;A" xfId="0"/>
    <cellStyle name="_MNT_Other_LCD_LCD" xfId="0"/>
    <cellStyle name="_MNT_Other_LCD_PJ" xfId="0"/>
    <cellStyle name="_MNT_Other_PC Products" xfId="0"/>
    <cellStyle name="_MNT_Other_PC Products 2" xfId="0"/>
    <cellStyle name="_MNT_Other_PC Products 3" xfId="0"/>
    <cellStyle name="_MNT_Other_PC Products 4" xfId="0"/>
    <cellStyle name="_MNT_Other_PC Products 4 2" xfId="0"/>
    <cellStyle name="_MNT_Other_PC Products_By Region" xfId="0"/>
    <cellStyle name="_MNT_Other_PC Products_CORP SG&amp;A" xfId="0"/>
    <cellStyle name="_MNT_Other_PC Products_LCD" xfId="0"/>
    <cellStyle name="_MNT_Other_PC Products_PJ" xfId="0"/>
    <cellStyle name="_MNT_Other_VSA 111014" xfId="0"/>
    <cellStyle name="_MNT_Other_VSA 111014 2" xfId="0"/>
    <cellStyle name="_MNT_Other_VSA 111014 3" xfId="0"/>
    <cellStyle name="_MNT_Other_VSA 111014 4" xfId="0"/>
    <cellStyle name="_MNT_Other_VSA 111014 4 2" xfId="0"/>
    <cellStyle name="_MNT_Other_VSA 111014_By Region" xfId="0"/>
    <cellStyle name="_MNT_Other_VSA 111014_CORP SG&amp;A" xfId="0"/>
    <cellStyle name="_MNT_Other_VSA 111014_LCD" xfId="0"/>
    <cellStyle name="_MNT_Other_VSA 111014_PJ" xfId="0"/>
    <cellStyle name="_MNT_Other_VSA Roll-Up (LW)" xfId="0"/>
    <cellStyle name="_MNT_Other_VSA Roll-Up (LW) 2" xfId="0"/>
    <cellStyle name="_MNT_Other_VSA Roll-Up (LW) 3" xfId="0"/>
    <cellStyle name="_MNT_Other_VSA Roll-Up (LW) 4" xfId="0"/>
    <cellStyle name="_MNT_Other_VSA Roll-Up (LW) 4 2" xfId="0"/>
    <cellStyle name="_MNT_Other_VSA Roll-Up (LW)_By Region" xfId="0"/>
    <cellStyle name="_MNT_Other_VSA Roll-Up (LW)_CORP SG&amp;A" xfId="0"/>
    <cellStyle name="_MNT_Other_VSA Roll-Up (LW)_LCD" xfId="0"/>
    <cellStyle name="_MNT_Other_VSA Roll-Up (LW)_PJ" xfId="0"/>
    <cellStyle name="_MNT_PC" xfId="0"/>
    <cellStyle name="_MNT_PC 2" xfId="0"/>
    <cellStyle name="_MNT_PC 3" xfId="0"/>
    <cellStyle name="_MNT_PC 4" xfId="0"/>
    <cellStyle name="_MNT_PC Products" xfId="0"/>
    <cellStyle name="_MNT_PC Products 2" xfId="0"/>
    <cellStyle name="_MNT_PC Products 3" xfId="0"/>
    <cellStyle name="_MNT_PC Products 4" xfId="0"/>
    <cellStyle name="_MNT_PC Products 4 2" xfId="0"/>
    <cellStyle name="_MNT_PC Products_By Region" xfId="0"/>
    <cellStyle name="_MNT_PC Products_CORP SG&amp;A" xfId="0"/>
    <cellStyle name="_MNT_PC Products_LCD" xfId="0"/>
    <cellStyle name="_MNT_PC Products_PJ" xfId="0"/>
    <cellStyle name="_MNT_PC_By Region" xfId="0"/>
    <cellStyle name="_MNT_PC_CORP SG&amp;A" xfId="0"/>
    <cellStyle name="_MNT_PC_Digitizer" xfId="0"/>
    <cellStyle name="_MNT_PC_DT" xfId="0"/>
    <cellStyle name="_MNT_PC_DT 2" xfId="0"/>
    <cellStyle name="_MNT_PC_DT 3" xfId="0"/>
    <cellStyle name="_MNT_PC_DT_By Region" xfId="0"/>
    <cellStyle name="_MNT_PC_GPS OTHER" xfId="0"/>
    <cellStyle name="_MNT_PC_GPS OTHER 2" xfId="0"/>
    <cellStyle name="_MNT_PC_GPS OTHER 3" xfId="0"/>
    <cellStyle name="_MNT_PC_GPS OTHER 4" xfId="0"/>
    <cellStyle name="_MNT_PC_GPS OTHER 4 2" xfId="0"/>
    <cellStyle name="_MNT_PC_GPS OTHER_By Region" xfId="0"/>
    <cellStyle name="_MNT_PC_GPS OTHER_CORP SG&amp;A" xfId="0"/>
    <cellStyle name="_MNT_PC_GPS OTHER_LCD" xfId="0"/>
    <cellStyle name="_MNT_PC_GPS OTHER_PJ" xfId="0"/>
    <cellStyle name="_MNT_PC_LCD" xfId="0"/>
    <cellStyle name="_MNT_PC_LCD 2" xfId="0"/>
    <cellStyle name="_MNT_PC_LCD 3" xfId="0"/>
    <cellStyle name="_MNT_PC_LCD 4" xfId="0"/>
    <cellStyle name="_MNT_PC_LCD_By Region" xfId="0"/>
    <cellStyle name="_MNT_PC_LCD_CORP SG&amp;A" xfId="0"/>
    <cellStyle name="_MNT_PC_LCD_LCD" xfId="0"/>
    <cellStyle name="_MNT_PC_LCD_PJ" xfId="0"/>
    <cellStyle name="_MNT_PC_PC Products" xfId="0"/>
    <cellStyle name="_MNT_PC_PC Products 2" xfId="0"/>
    <cellStyle name="_MNT_PC_PC Products 3" xfId="0"/>
    <cellStyle name="_MNT_PC_PC Products 4" xfId="0"/>
    <cellStyle name="_MNT_PC_PC Products 4 2" xfId="0"/>
    <cellStyle name="_MNT_PC_PC Products_By Region" xfId="0"/>
    <cellStyle name="_MNT_PC_PC Products_CORP SG&amp;A" xfId="0"/>
    <cellStyle name="_MNT_PC_PC Products_LCD" xfId="0"/>
    <cellStyle name="_MNT_PC_PC Products_PJ" xfId="0"/>
    <cellStyle name="_MNT_PC_TV" xfId="0"/>
    <cellStyle name="_MNT_PC_TV 2" xfId="0"/>
    <cellStyle name="_MNT_PC_TV 3" xfId="0"/>
    <cellStyle name="_MNT_PC_TV 4" xfId="0"/>
    <cellStyle name="_MNT_PC_TV_By Region" xfId="0"/>
    <cellStyle name="_MNT_PC_TV_CORP SG&amp;A" xfId="0"/>
    <cellStyle name="_MNT_PC_TV_Digitizer" xfId="0"/>
    <cellStyle name="_MNT_PC_TV_GPS OTHER" xfId="0"/>
    <cellStyle name="_MNT_PC_TV_GPS OTHER 2" xfId="0"/>
    <cellStyle name="_MNT_PC_TV_GPS OTHER 3" xfId="0"/>
    <cellStyle name="_MNT_PC_TV_GPS OTHER 4" xfId="0"/>
    <cellStyle name="_MNT_PC_TV_GPS OTHER 4 2" xfId="0"/>
    <cellStyle name="_MNT_PC_TV_GPS OTHER_By Region" xfId="0"/>
    <cellStyle name="_MNT_PC_TV_GPS OTHER_CORP SG&amp;A" xfId="0"/>
    <cellStyle name="_MNT_PC_TV_GPS OTHER_LCD" xfId="0"/>
    <cellStyle name="_MNT_PC_TV_GPS OTHER_PJ" xfId="0"/>
    <cellStyle name="_MNT_PC_TV_LCD" xfId="0"/>
    <cellStyle name="_MNT_PC_TV_LCD 2" xfId="0"/>
    <cellStyle name="_MNT_PC_TV_LCD 3" xfId="0"/>
    <cellStyle name="_MNT_PC_TV_LCD 4" xfId="0"/>
    <cellStyle name="_MNT_PC_TV_LCD_By Region" xfId="0"/>
    <cellStyle name="_MNT_PC_TV_LCD_CORP SG&amp;A" xfId="0"/>
    <cellStyle name="_MNT_PC_TV_LCD_LCD" xfId="0"/>
    <cellStyle name="_MNT_PC_TV_LCD_PJ" xfId="0"/>
    <cellStyle name="_MNT_PC_TV_PC Products" xfId="0"/>
    <cellStyle name="_MNT_PC_TV_PC Products 2" xfId="0"/>
    <cellStyle name="_MNT_PC_TV_PC Products 3" xfId="0"/>
    <cellStyle name="_MNT_PC_TV_PC Products 4" xfId="0"/>
    <cellStyle name="_MNT_PC_TV_PC Products 4 2" xfId="0"/>
    <cellStyle name="_MNT_PC_TV_PC Products_By Region" xfId="0"/>
    <cellStyle name="_MNT_PC_TV_PC Products_CORP SG&amp;A" xfId="0"/>
    <cellStyle name="_MNT_PC_TV_PC Products_LCD" xfId="0"/>
    <cellStyle name="_MNT_PC_TV_PC Products_PJ" xfId="0"/>
    <cellStyle name="_MNT_PC_TV_VSA 111014" xfId="0"/>
    <cellStyle name="_MNT_PC_TV_VSA 111014 2" xfId="0"/>
    <cellStyle name="_MNT_PC_TV_VSA 111014 3" xfId="0"/>
    <cellStyle name="_MNT_PC_TV_VSA 111014 4" xfId="0"/>
    <cellStyle name="_MNT_PC_TV_VSA 111014 4 2" xfId="0"/>
    <cellStyle name="_MNT_PC_TV_VSA 111014_By Region" xfId="0"/>
    <cellStyle name="_MNT_PC_TV_VSA 111014_CORP SG&amp;A" xfId="0"/>
    <cellStyle name="_MNT_PC_TV_VSA 111014_LCD" xfId="0"/>
    <cellStyle name="_MNT_PC_TV_VSA 111014_PJ" xfId="0"/>
    <cellStyle name="_MNT_PC_TV_VSA Roll-Up (LW)" xfId="0"/>
    <cellStyle name="_MNT_PC_TV_VSA Roll-Up (LW) 2" xfId="0"/>
    <cellStyle name="_MNT_PC_TV_VSA Roll-Up (LW) 3" xfId="0"/>
    <cellStyle name="_MNT_PC_TV_VSA Roll-Up (LW) 4" xfId="0"/>
    <cellStyle name="_MNT_PC_TV_VSA Roll-Up (LW) 4 2" xfId="0"/>
    <cellStyle name="_MNT_PC_TV_VSA Roll-Up (LW)_By Region" xfId="0"/>
    <cellStyle name="_MNT_PC_TV_VSA Roll-Up (LW)_CORP SG&amp;A" xfId="0"/>
    <cellStyle name="_MNT_PC_TV_VSA Roll-Up (LW)_LCD" xfId="0"/>
    <cellStyle name="_MNT_PC_TV_VSA Roll-Up (LW)_PJ" xfId="0"/>
    <cellStyle name="_MNT_PC_VSA 111014" xfId="0"/>
    <cellStyle name="_MNT_PC_VSA 111014 2" xfId="0"/>
    <cellStyle name="_MNT_PC_VSA 111014 3" xfId="0"/>
    <cellStyle name="_MNT_PC_VSA 111014 4" xfId="0"/>
    <cellStyle name="_MNT_PC_VSA 111014 4 2" xfId="0"/>
    <cellStyle name="_MNT_PC_VSA 111014_By Region" xfId="0"/>
    <cellStyle name="_MNT_PC_VSA 111014_CORP SG&amp;A" xfId="0"/>
    <cellStyle name="_MNT_PC_VSA 111014_LCD" xfId="0"/>
    <cellStyle name="_MNT_PC_VSA 111014_PJ" xfId="0"/>
    <cellStyle name="_MNT_PC_VSA Roll-Up (LW)" xfId="0"/>
    <cellStyle name="_MNT_PC_VSA Roll-Up (LW) 2" xfId="0"/>
    <cellStyle name="_MNT_PC_VSA Roll-Up (LW) 3" xfId="0"/>
    <cellStyle name="_MNT_PC_VSA Roll-Up (LW) 4" xfId="0"/>
    <cellStyle name="_MNT_PC_VSA Roll-Up (LW) 4 2" xfId="0"/>
    <cellStyle name="_MNT_PC_VSA Roll-Up (LW)_By Region" xfId="0"/>
    <cellStyle name="_MNT_PC_VSA Roll-Up (LW)_CORP SG&amp;A" xfId="0"/>
    <cellStyle name="_MNT_PC_VSA Roll-Up (LW)_LCD" xfId="0"/>
    <cellStyle name="_MNT_PC_VSA Roll-Up (LW)_PJ" xfId="0"/>
    <cellStyle name="_MNT_PJ" xfId="0"/>
    <cellStyle name="_MNT_PJ 2" xfId="0"/>
    <cellStyle name="_MNT_PJ 3" xfId="0"/>
    <cellStyle name="_MNT_PJ 4" xfId="0"/>
    <cellStyle name="_MNT_PJ_By Region" xfId="0"/>
    <cellStyle name="_MNT_PJ_CORP SG&amp;A" xfId="0"/>
    <cellStyle name="_MNT_PJ_Digitizer" xfId="0"/>
    <cellStyle name="_MNT_PJ_GPS OTHER" xfId="0"/>
    <cellStyle name="_MNT_PJ_GPS OTHER 2" xfId="0"/>
    <cellStyle name="_MNT_PJ_GPS OTHER 3" xfId="0"/>
    <cellStyle name="_MNT_PJ_GPS OTHER 4" xfId="0"/>
    <cellStyle name="_MNT_PJ_GPS OTHER 4 2" xfId="0"/>
    <cellStyle name="_MNT_PJ_GPS OTHER_By Region" xfId="0"/>
    <cellStyle name="_MNT_PJ_GPS OTHER_CORP SG&amp;A" xfId="0"/>
    <cellStyle name="_MNT_PJ_GPS OTHER_LCD" xfId="0"/>
    <cellStyle name="_MNT_PJ_GPS OTHER_PJ" xfId="0"/>
    <cellStyle name="_MNT_PJ_LCD" xfId="0"/>
    <cellStyle name="_MNT_PJ_LCD 2" xfId="0"/>
    <cellStyle name="_MNT_PJ_LCD 3" xfId="0"/>
    <cellStyle name="_MNT_PJ_LCD 4" xfId="0"/>
    <cellStyle name="_MNT_PJ_LCD_By Region" xfId="0"/>
    <cellStyle name="_MNT_PJ_LCD_CORP SG&amp;A" xfId="0"/>
    <cellStyle name="_MNT_PJ_LCD_LCD" xfId="0"/>
    <cellStyle name="_MNT_PJ_LCD_PJ" xfId="0"/>
    <cellStyle name="_MNT_PJ_PC Products" xfId="0"/>
    <cellStyle name="_MNT_PJ_PC Products 2" xfId="0"/>
    <cellStyle name="_MNT_PJ_PC Products 3" xfId="0"/>
    <cellStyle name="_MNT_PJ_PC Products 4" xfId="0"/>
    <cellStyle name="_MNT_PJ_PC Products 4 2" xfId="0"/>
    <cellStyle name="_MNT_PJ_PC Products_By Region" xfId="0"/>
    <cellStyle name="_MNT_PJ_PC Products_CORP SG&amp;A" xfId="0"/>
    <cellStyle name="_MNT_PJ_PC Products_LCD" xfId="0"/>
    <cellStyle name="_MNT_PJ_PC Products_PJ" xfId="0"/>
    <cellStyle name="_MNT_PJ_VSA 111014" xfId="0"/>
    <cellStyle name="_MNT_PJ_VSA 111014 2" xfId="0"/>
    <cellStyle name="_MNT_PJ_VSA 111014 3" xfId="0"/>
    <cellStyle name="_MNT_PJ_VSA 111014 4" xfId="0"/>
    <cellStyle name="_MNT_PJ_VSA 111014 4 2" xfId="0"/>
    <cellStyle name="_MNT_PJ_VSA 111014_By Region" xfId="0"/>
    <cellStyle name="_MNT_PJ_VSA 111014_CORP SG&amp;A" xfId="0"/>
    <cellStyle name="_MNT_PJ_VSA 111014_LCD" xfId="0"/>
    <cellStyle name="_MNT_PJ_VSA 111014_PJ" xfId="0"/>
    <cellStyle name="_MNT_PJ_VSA Roll-Up (LW)" xfId="0"/>
    <cellStyle name="_MNT_PJ_VSA Roll-Up (LW) 2" xfId="0"/>
    <cellStyle name="_MNT_PJ_VSA Roll-Up (LW) 3" xfId="0"/>
    <cellStyle name="_MNT_PJ_VSA Roll-Up (LW) 4" xfId="0"/>
    <cellStyle name="_MNT_PJ_VSA Roll-Up (LW) 4 2" xfId="0"/>
    <cellStyle name="_MNT_PJ_VSA Roll-Up (LW)_By Region" xfId="0"/>
    <cellStyle name="_MNT_PJ_VSA Roll-Up (LW)_CORP SG&amp;A" xfId="0"/>
    <cellStyle name="_MNT_PJ_VSA Roll-Up (LW)_LCD" xfId="0"/>
    <cellStyle name="_MNT_PJ_VSA Roll-Up (LW)_PJ" xfId="0"/>
    <cellStyle name="_MNT_PMP(VPD)" xfId="0"/>
    <cellStyle name="_MNT_PMP(VPD) 2" xfId="0"/>
    <cellStyle name="_MNT_PMP(VPD) 3" xfId="0"/>
    <cellStyle name="_MNT_PMP(VPD) 4" xfId="0"/>
    <cellStyle name="_MNT_PMP(VPD)_By Region" xfId="0"/>
    <cellStyle name="_MNT_PMP(VPD)_CORP SG&amp;A" xfId="0"/>
    <cellStyle name="_MNT_PMP(VPD)_Digitizer" xfId="0"/>
    <cellStyle name="_MNT_PMP(VPD)_GPS OTHER" xfId="0"/>
    <cellStyle name="_MNT_PMP(VPD)_GPS OTHER 2" xfId="0"/>
    <cellStyle name="_MNT_PMP(VPD)_GPS OTHER 3" xfId="0"/>
    <cellStyle name="_MNT_PMP(VPD)_GPS OTHER 4" xfId="0"/>
    <cellStyle name="_MNT_PMP(VPD)_GPS OTHER 4 2" xfId="0"/>
    <cellStyle name="_MNT_PMP(VPD)_GPS OTHER_By Region" xfId="0"/>
    <cellStyle name="_MNT_PMP(VPD)_GPS OTHER_CORP SG&amp;A" xfId="0"/>
    <cellStyle name="_MNT_PMP(VPD)_GPS OTHER_LCD" xfId="0"/>
    <cellStyle name="_MNT_PMP(VPD)_GPS OTHER_PJ" xfId="0"/>
    <cellStyle name="_MNT_PMP(VPD)_LCD" xfId="0"/>
    <cellStyle name="_MNT_PMP(VPD)_LCD 2" xfId="0"/>
    <cellStyle name="_MNT_PMP(VPD)_LCD 3" xfId="0"/>
    <cellStyle name="_MNT_PMP(VPD)_LCD 4" xfId="0"/>
    <cellStyle name="_MNT_PMP(VPD)_LCD_By Region" xfId="0"/>
    <cellStyle name="_MNT_PMP(VPD)_LCD_CORP SG&amp;A" xfId="0"/>
    <cellStyle name="_MNT_PMP(VPD)_LCD_LCD" xfId="0"/>
    <cellStyle name="_MNT_PMP(VPD)_LCD_PJ" xfId="0"/>
    <cellStyle name="_MNT_PMP(VPD)_PC Products" xfId="0"/>
    <cellStyle name="_MNT_PMP(VPD)_PC Products 2" xfId="0"/>
    <cellStyle name="_MNT_PMP(VPD)_PC Products 3" xfId="0"/>
    <cellStyle name="_MNT_PMP(VPD)_PC Products 4" xfId="0"/>
    <cellStyle name="_MNT_PMP(VPD)_PC Products 4 2" xfId="0"/>
    <cellStyle name="_MNT_PMP(VPD)_PC Products_By Region" xfId="0"/>
    <cellStyle name="_MNT_PMP(VPD)_PC Products_CORP SG&amp;A" xfId="0"/>
    <cellStyle name="_MNT_PMP(VPD)_PC Products_LCD" xfId="0"/>
    <cellStyle name="_MNT_PMP(VPD)_PC Products_PJ" xfId="0"/>
    <cellStyle name="_MNT_PMP(VPD)_VSA 111014" xfId="0"/>
    <cellStyle name="_MNT_PMP(VPD)_VSA 111014 2" xfId="0"/>
    <cellStyle name="_MNT_PMP(VPD)_VSA 111014 3" xfId="0"/>
    <cellStyle name="_MNT_PMP(VPD)_VSA 111014 4" xfId="0"/>
    <cellStyle name="_MNT_PMP(VPD)_VSA 111014 4 2" xfId="0"/>
    <cellStyle name="_MNT_PMP(VPD)_VSA 111014_By Region" xfId="0"/>
    <cellStyle name="_MNT_PMP(VPD)_VSA 111014_CORP SG&amp;A" xfId="0"/>
    <cellStyle name="_MNT_PMP(VPD)_VSA 111014_LCD" xfId="0"/>
    <cellStyle name="_MNT_PMP(VPD)_VSA 111014_PJ" xfId="0"/>
    <cellStyle name="_MNT_PMP(VPD)_VSA Roll-Up (LW)" xfId="0"/>
    <cellStyle name="_MNT_PMP(VPD)_VSA Roll-Up (LW) 2" xfId="0"/>
    <cellStyle name="_MNT_PMP(VPD)_VSA Roll-Up (LW) 3" xfId="0"/>
    <cellStyle name="_MNT_PMP(VPD)_VSA Roll-Up (LW) 4" xfId="0"/>
    <cellStyle name="_MNT_PMP(VPD)_VSA Roll-Up (LW) 4 2" xfId="0"/>
    <cellStyle name="_MNT_PMP(VPD)_VSA Roll-Up (LW)_By Region" xfId="0"/>
    <cellStyle name="_MNT_PMP(VPD)_VSA Roll-Up (LW)_CORP SG&amp;A" xfId="0"/>
    <cellStyle name="_MNT_PMP(VPD)_VSA Roll-Up (LW)_LCD" xfId="0"/>
    <cellStyle name="_MNT_PMP(VPD)_VSA Roll-Up (LW)_PJ" xfId="0"/>
    <cellStyle name="_MNT_Pocket TV" xfId="0"/>
    <cellStyle name="_MNT_Pocket TV 2" xfId="0"/>
    <cellStyle name="_MNT_Pocket TV 3" xfId="0"/>
    <cellStyle name="_MNT_Pocket TV 4" xfId="0"/>
    <cellStyle name="_MNT_Pocket TV_By Region" xfId="0"/>
    <cellStyle name="_MNT_Pocket TV_CORP SG&amp;A" xfId="0"/>
    <cellStyle name="_MNT_Pocket TV_Digitizer" xfId="0"/>
    <cellStyle name="_MNT_Pocket TV_GPS OTHER" xfId="0"/>
    <cellStyle name="_MNT_Pocket TV_GPS OTHER 2" xfId="0"/>
    <cellStyle name="_MNT_Pocket TV_GPS OTHER 3" xfId="0"/>
    <cellStyle name="_MNT_Pocket TV_GPS OTHER 4" xfId="0"/>
    <cellStyle name="_MNT_Pocket TV_GPS OTHER 4 2" xfId="0"/>
    <cellStyle name="_MNT_Pocket TV_GPS OTHER_By Region" xfId="0"/>
    <cellStyle name="_MNT_Pocket TV_GPS OTHER_CORP SG&amp;A" xfId="0"/>
    <cellStyle name="_MNT_Pocket TV_GPS OTHER_LCD" xfId="0"/>
    <cellStyle name="_MNT_Pocket TV_GPS OTHER_PJ" xfId="0"/>
    <cellStyle name="_MNT_Pocket TV_LCD" xfId="0"/>
    <cellStyle name="_MNT_Pocket TV_LCD 2" xfId="0"/>
    <cellStyle name="_MNT_Pocket TV_LCD 3" xfId="0"/>
    <cellStyle name="_MNT_Pocket TV_LCD 4" xfId="0"/>
    <cellStyle name="_MNT_Pocket TV_LCD_By Region" xfId="0"/>
    <cellStyle name="_MNT_Pocket TV_LCD_CORP SG&amp;A" xfId="0"/>
    <cellStyle name="_MNT_Pocket TV_LCD_LCD" xfId="0"/>
    <cellStyle name="_MNT_Pocket TV_LCD_PJ" xfId="0"/>
    <cellStyle name="_MNT_Pocket TV_PC Products" xfId="0"/>
    <cellStyle name="_MNT_Pocket TV_PC Products 2" xfId="0"/>
    <cellStyle name="_MNT_Pocket TV_PC Products 3" xfId="0"/>
    <cellStyle name="_MNT_Pocket TV_PC Products 4" xfId="0"/>
    <cellStyle name="_MNT_Pocket TV_PC Products 4 2" xfId="0"/>
    <cellStyle name="_MNT_Pocket TV_PC Products_By Region" xfId="0"/>
    <cellStyle name="_MNT_Pocket TV_PC Products_CORP SG&amp;A" xfId="0"/>
    <cellStyle name="_MNT_Pocket TV_PC Products_LCD" xfId="0"/>
    <cellStyle name="_MNT_Pocket TV_PC Products_PJ" xfId="0"/>
    <cellStyle name="_MNT_Pocket TV_VSA 111014" xfId="0"/>
    <cellStyle name="_MNT_Pocket TV_VSA 111014 2" xfId="0"/>
    <cellStyle name="_MNT_Pocket TV_VSA 111014 3" xfId="0"/>
    <cellStyle name="_MNT_Pocket TV_VSA 111014 4" xfId="0"/>
    <cellStyle name="_MNT_Pocket TV_VSA 111014 4 2" xfId="0"/>
    <cellStyle name="_MNT_Pocket TV_VSA 111014_By Region" xfId="0"/>
    <cellStyle name="_MNT_Pocket TV_VSA 111014_CORP SG&amp;A" xfId="0"/>
    <cellStyle name="_MNT_Pocket TV_VSA 111014_LCD" xfId="0"/>
    <cellStyle name="_MNT_Pocket TV_VSA 111014_PJ" xfId="0"/>
    <cellStyle name="_MNT_Pocket TV_VSA Roll-Up (LW)" xfId="0"/>
    <cellStyle name="_MNT_Pocket TV_VSA Roll-Up (LW) 2" xfId="0"/>
    <cellStyle name="_MNT_Pocket TV_VSA Roll-Up (LW) 3" xfId="0"/>
    <cellStyle name="_MNT_Pocket TV_VSA Roll-Up (LW) 4" xfId="0"/>
    <cellStyle name="_MNT_Pocket TV_VSA Roll-Up (LW) 4 2" xfId="0"/>
    <cellStyle name="_MNT_Pocket TV_VSA Roll-Up (LW)_By Region" xfId="0"/>
    <cellStyle name="_MNT_Pocket TV_VSA Roll-Up (LW)_CORP SG&amp;A" xfId="0"/>
    <cellStyle name="_MNT_Pocket TV_VSA Roll-Up (LW)_LCD" xfId="0"/>
    <cellStyle name="_MNT_Pocket TV_VSA Roll-Up (LW)_PJ" xfId="0"/>
    <cellStyle name="_MNT_Pocket_TV" xfId="0"/>
    <cellStyle name="_MNT_Pocket_TV 2" xfId="0"/>
    <cellStyle name="_MNT_Pocket_TV 3" xfId="0"/>
    <cellStyle name="_MNT_Pocket_TV 4" xfId="0"/>
    <cellStyle name="_MNT_Pocket_TV_By Region" xfId="0"/>
    <cellStyle name="_MNT_Pocket_TV_CORP SG&amp;A" xfId="0"/>
    <cellStyle name="_MNT_Pocket_TV_Digitizer" xfId="0"/>
    <cellStyle name="_MNT_Pocket_TV_GPS OTHER" xfId="0"/>
    <cellStyle name="_MNT_Pocket_TV_GPS OTHER 2" xfId="0"/>
    <cellStyle name="_MNT_Pocket_TV_GPS OTHER 3" xfId="0"/>
    <cellStyle name="_MNT_Pocket_TV_GPS OTHER 4" xfId="0"/>
    <cellStyle name="_MNT_Pocket_TV_GPS OTHER 4 2" xfId="0"/>
    <cellStyle name="_MNT_Pocket_TV_GPS OTHER_By Region" xfId="0"/>
    <cellStyle name="_MNT_Pocket_TV_GPS OTHER_CORP SG&amp;A" xfId="0"/>
    <cellStyle name="_MNT_Pocket_TV_GPS OTHER_LCD" xfId="0"/>
    <cellStyle name="_MNT_Pocket_TV_GPS OTHER_PJ" xfId="0"/>
    <cellStyle name="_MNT_Pocket_TV_LCD" xfId="0"/>
    <cellStyle name="_MNT_Pocket_TV_LCD 2" xfId="0"/>
    <cellStyle name="_MNT_Pocket_TV_LCD 3" xfId="0"/>
    <cellStyle name="_MNT_Pocket_TV_LCD 4" xfId="0"/>
    <cellStyle name="_MNT_Pocket_TV_LCD_By Region" xfId="0"/>
    <cellStyle name="_MNT_Pocket_TV_LCD_CORP SG&amp;A" xfId="0"/>
    <cellStyle name="_MNT_Pocket_TV_LCD_LCD" xfId="0"/>
    <cellStyle name="_MNT_Pocket_TV_LCD_PJ" xfId="0"/>
    <cellStyle name="_MNT_Pocket_TV_PC Products" xfId="0"/>
    <cellStyle name="_MNT_Pocket_TV_PC Products 2" xfId="0"/>
    <cellStyle name="_MNT_Pocket_TV_PC Products 3" xfId="0"/>
    <cellStyle name="_MNT_Pocket_TV_PC Products 4" xfId="0"/>
    <cellStyle name="_MNT_Pocket_TV_PC Products 4 2" xfId="0"/>
    <cellStyle name="_MNT_Pocket_TV_PC Products_By Region" xfId="0"/>
    <cellStyle name="_MNT_Pocket_TV_PC Products_CORP SG&amp;A" xfId="0"/>
    <cellStyle name="_MNT_Pocket_TV_PC Products_LCD" xfId="0"/>
    <cellStyle name="_MNT_Pocket_TV_PC Products_PJ" xfId="0"/>
    <cellStyle name="_MNT_Pocket_TV_VSA 111014" xfId="0"/>
    <cellStyle name="_MNT_Pocket_TV_VSA 111014 2" xfId="0"/>
    <cellStyle name="_MNT_Pocket_TV_VSA 111014 3" xfId="0"/>
    <cellStyle name="_MNT_Pocket_TV_VSA 111014 4" xfId="0"/>
    <cellStyle name="_MNT_Pocket_TV_VSA 111014 4 2" xfId="0"/>
    <cellStyle name="_MNT_Pocket_TV_VSA 111014_By Region" xfId="0"/>
    <cellStyle name="_MNT_Pocket_TV_VSA 111014_CORP SG&amp;A" xfId="0"/>
    <cellStyle name="_MNT_Pocket_TV_VSA 111014_LCD" xfId="0"/>
    <cellStyle name="_MNT_Pocket_TV_VSA 111014_PJ" xfId="0"/>
    <cellStyle name="_MNT_Pocket_TV_VSA Roll-Up (LW)" xfId="0"/>
    <cellStyle name="_MNT_Pocket_TV_VSA Roll-Up (LW) 2" xfId="0"/>
    <cellStyle name="_MNT_Pocket_TV_VSA Roll-Up (LW) 3" xfId="0"/>
    <cellStyle name="_MNT_Pocket_TV_VSA Roll-Up (LW) 4" xfId="0"/>
    <cellStyle name="_MNT_Pocket_TV_VSA Roll-Up (LW) 4 2" xfId="0"/>
    <cellStyle name="_MNT_Pocket_TV_VSA Roll-Up (LW)_By Region" xfId="0"/>
    <cellStyle name="_MNT_Pocket_TV_VSA Roll-Up (LW)_CORP SG&amp;A" xfId="0"/>
    <cellStyle name="_MNT_Pocket_TV_VSA Roll-Up (LW)_LCD" xfId="0"/>
    <cellStyle name="_MNT_Pocket_TV_VSA Roll-Up (LW)_PJ" xfId="0"/>
    <cellStyle name="_MNT_TV" xfId="0"/>
    <cellStyle name="_MNT_TV 2" xfId="0"/>
    <cellStyle name="_MNT_TV 3" xfId="0"/>
    <cellStyle name="_MNT_TV 4" xfId="0"/>
    <cellStyle name="_MNT_TV_By Region" xfId="0"/>
    <cellStyle name="_MNT_TV_CORP SG&amp;A" xfId="0"/>
    <cellStyle name="_MNT_TV_Digitizer" xfId="0"/>
    <cellStyle name="_MNT_TV_GPS OTHER" xfId="0"/>
    <cellStyle name="_MNT_TV_GPS OTHER 2" xfId="0"/>
    <cellStyle name="_MNT_TV_GPS OTHER 3" xfId="0"/>
    <cellStyle name="_MNT_TV_GPS OTHER 4" xfId="0"/>
    <cellStyle name="_MNT_TV_GPS OTHER 4 2" xfId="0"/>
    <cellStyle name="_MNT_TV_GPS OTHER_By Region" xfId="0"/>
    <cellStyle name="_MNT_TV_GPS OTHER_CORP SG&amp;A" xfId="0"/>
    <cellStyle name="_MNT_TV_GPS OTHER_LCD" xfId="0"/>
    <cellStyle name="_MNT_TV_GPS OTHER_PJ" xfId="0"/>
    <cellStyle name="_MNT_TV_LCD" xfId="0"/>
    <cellStyle name="_MNT_TV_LCD 2" xfId="0"/>
    <cellStyle name="_MNT_TV_LCD 3" xfId="0"/>
    <cellStyle name="_MNT_TV_LCD 4" xfId="0"/>
    <cellStyle name="_MNT_TV_LCD_By Region" xfId="0"/>
    <cellStyle name="_MNT_TV_LCD_CORP SG&amp;A" xfId="0"/>
    <cellStyle name="_MNT_TV_LCD_LCD" xfId="0"/>
    <cellStyle name="_MNT_TV_LCD_PJ" xfId="0"/>
    <cellStyle name="_MNT_TV_PC Products" xfId="0"/>
    <cellStyle name="_MNT_TV_PC Products 2" xfId="0"/>
    <cellStyle name="_MNT_TV_PC Products 3" xfId="0"/>
    <cellStyle name="_MNT_TV_PC Products 4" xfId="0"/>
    <cellStyle name="_MNT_TV_PC Products 4 2" xfId="0"/>
    <cellStyle name="_MNT_TV_PC Products_By Region" xfId="0"/>
    <cellStyle name="_MNT_TV_PC Products_CORP SG&amp;A" xfId="0"/>
    <cellStyle name="_MNT_TV_PC Products_LCD" xfId="0"/>
    <cellStyle name="_MNT_TV_PC Products_PJ" xfId="0"/>
    <cellStyle name="_MNT_TV_VSA 111014" xfId="0"/>
    <cellStyle name="_MNT_TV_VSA 111014 2" xfId="0"/>
    <cellStyle name="_MNT_TV_VSA 111014 3" xfId="0"/>
    <cellStyle name="_MNT_TV_VSA 111014 4" xfId="0"/>
    <cellStyle name="_MNT_TV_VSA 111014 4 2" xfId="0"/>
    <cellStyle name="_MNT_TV_VSA 111014_By Region" xfId="0"/>
    <cellStyle name="_MNT_TV_VSA 111014_CORP SG&amp;A" xfId="0"/>
    <cellStyle name="_MNT_TV_VSA 111014_LCD" xfId="0"/>
    <cellStyle name="_MNT_TV_VSA 111014_PJ" xfId="0"/>
    <cellStyle name="_MNT_TV_VSA Roll-Up (LW)" xfId="0"/>
    <cellStyle name="_MNT_TV_VSA Roll-Up (LW) 2" xfId="0"/>
    <cellStyle name="_MNT_TV_VSA Roll-Up (LW) 3" xfId="0"/>
    <cellStyle name="_MNT_TV_VSA Roll-Up (LW) 4" xfId="0"/>
    <cellStyle name="_MNT_TV_VSA Roll-Up (LW) 4 2" xfId="0"/>
    <cellStyle name="_MNT_TV_VSA Roll-Up (LW)_By Region" xfId="0"/>
    <cellStyle name="_MNT_TV_VSA Roll-Up (LW)_CORP SG&amp;A" xfId="0"/>
    <cellStyle name="_MNT_TV_VSA Roll-Up (LW)_LCD" xfId="0"/>
    <cellStyle name="_MNT_TV_VSA Roll-Up (LW)_PJ" xfId="0"/>
    <cellStyle name="_MNT_VD" xfId="0"/>
    <cellStyle name="_MNT_VD 2" xfId="0"/>
    <cellStyle name="_MNT_VD 3" xfId="0"/>
    <cellStyle name="_MNT_VD 4" xfId="0"/>
    <cellStyle name="_MNT_VD_By Region" xfId="0"/>
    <cellStyle name="_MNT_VD_CORP SG&amp;A" xfId="0"/>
    <cellStyle name="_MNT_VD_Digitizer" xfId="0"/>
    <cellStyle name="_MNT_VD_GPS OTHER" xfId="0"/>
    <cellStyle name="_MNT_VD_GPS OTHER 2" xfId="0"/>
    <cellStyle name="_MNT_VD_GPS OTHER 3" xfId="0"/>
    <cellStyle name="_MNT_VD_GPS OTHER 4" xfId="0"/>
    <cellStyle name="_MNT_VD_GPS OTHER 4 2" xfId="0"/>
    <cellStyle name="_MNT_VD_GPS OTHER_By Region" xfId="0"/>
    <cellStyle name="_MNT_VD_GPS OTHER_CORP SG&amp;A" xfId="0"/>
    <cellStyle name="_MNT_VD_GPS OTHER_LCD" xfId="0"/>
    <cellStyle name="_MNT_VD_GPS OTHER_PJ" xfId="0"/>
    <cellStyle name="_MNT_VD_LCD" xfId="0"/>
    <cellStyle name="_MNT_VD_LCD 2" xfId="0"/>
    <cellStyle name="_MNT_VD_LCD 3" xfId="0"/>
    <cellStyle name="_MNT_VD_LCD 4" xfId="0"/>
    <cellStyle name="_MNT_VD_LCD_By Region" xfId="0"/>
    <cellStyle name="_MNT_VD_LCD_CORP SG&amp;A" xfId="0"/>
    <cellStyle name="_MNT_VD_LCD_LCD" xfId="0"/>
    <cellStyle name="_MNT_VD_LCD_PJ" xfId="0"/>
    <cellStyle name="_MNT_VD_PC Products" xfId="0"/>
    <cellStyle name="_MNT_VD_PC Products 2" xfId="0"/>
    <cellStyle name="_MNT_VD_PC Products 3" xfId="0"/>
    <cellStyle name="_MNT_VD_PC Products 4" xfId="0"/>
    <cellStyle name="_MNT_VD_PC Products 4 2" xfId="0"/>
    <cellStyle name="_MNT_VD_PC Products_By Region" xfId="0"/>
    <cellStyle name="_MNT_VD_PC Products_CORP SG&amp;A" xfId="0"/>
    <cellStyle name="_MNT_VD_PC Products_LCD" xfId="0"/>
    <cellStyle name="_MNT_VD_PC Products_PJ" xfId="0"/>
    <cellStyle name="_MNT_VD_VSA 111014" xfId="0"/>
    <cellStyle name="_MNT_VD_VSA 111014 2" xfId="0"/>
    <cellStyle name="_MNT_VD_VSA 111014 3" xfId="0"/>
    <cellStyle name="_MNT_VD_VSA 111014 4" xfId="0"/>
    <cellStyle name="_MNT_VD_VSA 111014 4 2" xfId="0"/>
    <cellStyle name="_MNT_VD_VSA 111014_By Region" xfId="0"/>
    <cellStyle name="_MNT_VD_VSA 111014_CORP SG&amp;A" xfId="0"/>
    <cellStyle name="_MNT_VD_VSA 111014_LCD" xfId="0"/>
    <cellStyle name="_MNT_VD_VSA 111014_PJ" xfId="0"/>
    <cellStyle name="_MNT_VD_VSA Roll-Up (LW)" xfId="0"/>
    <cellStyle name="_MNT_VD_VSA Roll-Up (LW) 2" xfId="0"/>
    <cellStyle name="_MNT_VD_VSA Roll-Up (LW) 3" xfId="0"/>
    <cellStyle name="_MNT_VD_VSA Roll-Up (LW) 4" xfId="0"/>
    <cellStyle name="_MNT_VD_VSA Roll-Up (LW) 4 2" xfId="0"/>
    <cellStyle name="_MNT_VD_VSA Roll-Up (LW)_By Region" xfId="0"/>
    <cellStyle name="_MNT_VD_VSA Roll-Up (LW)_CORP SG&amp;A" xfId="0"/>
    <cellStyle name="_MNT_VD_VSA Roll-Up (LW)_LCD" xfId="0"/>
    <cellStyle name="_MNT_VD_VSA Roll-Up (LW)_PJ" xfId="0"/>
    <cellStyle name="_MNT_VSA 111014" xfId="0"/>
    <cellStyle name="_MNT_VSA 111014 2" xfId="0"/>
    <cellStyle name="_MNT_VSA 111014 3" xfId="0"/>
    <cellStyle name="_MNT_VSA 111014 4" xfId="0"/>
    <cellStyle name="_MNT_VSA 111014 4 2" xfId="0"/>
    <cellStyle name="_MNT_VSA 111014_By Region" xfId="0"/>
    <cellStyle name="_MNT_VSA 111014_CORP SG&amp;A" xfId="0"/>
    <cellStyle name="_MNT_VSA 111014_LCD" xfId="0"/>
    <cellStyle name="_MNT_VSA 111014_PJ" xfId="0"/>
    <cellStyle name="_MNT_VSA Roll-Up (LW)" xfId="0"/>
    <cellStyle name="_MNT_VSA Roll-Up (LW) 2" xfId="0"/>
    <cellStyle name="_MNT_VSA Roll-Up (LW) 3" xfId="0"/>
    <cellStyle name="_MNT_VSA Roll-Up (LW) 4" xfId="0"/>
    <cellStyle name="_MNT_VSA Roll-Up (LW) 4 2" xfId="0"/>
    <cellStyle name="_MNT_VSA Roll-Up (LW)_By Region" xfId="0"/>
    <cellStyle name="_MNT_VSA Roll-Up (LW)_CORP SG&amp;A" xfId="0"/>
    <cellStyle name="_MNT_VSA Roll-Up (LW)_LCD" xfId="0"/>
    <cellStyle name="_MNT_VSA Roll-Up (LW)_PJ" xfId="0"/>
    <cellStyle name="_MNT_VSE 2011 Budget" xfId="0"/>
    <cellStyle name="_MNT_VSE 2011 Budget 2" xfId="0"/>
    <cellStyle name="_MNT_VSE 2011 Budget 3" xfId="0"/>
    <cellStyle name="_MNT_VSE 2011 Budget 4" xfId="0"/>
    <cellStyle name="_MNT_VSE 2011 Budget_By Region" xfId="0"/>
    <cellStyle name="_MNT_VSE 2011 Budget_CORP SG&amp;A" xfId="0"/>
    <cellStyle name="_MNT_VSE 2011 Budget_Digitizer" xfId="0"/>
    <cellStyle name="_MNT_VSE 2011 Budget_GPS OTHER" xfId="0"/>
    <cellStyle name="_MNT_VSE 2011 Budget_GPS OTHER 2" xfId="0"/>
    <cellStyle name="_MNT_VSE 2011 Budget_GPS OTHER 3" xfId="0"/>
    <cellStyle name="_MNT_VSE 2011 Budget_GPS OTHER 4" xfId="0"/>
    <cellStyle name="_MNT_VSE 2011 Budget_GPS OTHER 4 2" xfId="0"/>
    <cellStyle name="_MNT_VSE 2011 Budget_GPS OTHER_By Region" xfId="0"/>
    <cellStyle name="_MNT_VSE 2011 Budget_GPS OTHER_CORP SG&amp;A" xfId="0"/>
    <cellStyle name="_MNT_VSE 2011 Budget_GPS OTHER_LCD" xfId="0"/>
    <cellStyle name="_MNT_VSE 2011 Budget_GPS OTHER_PJ" xfId="0"/>
    <cellStyle name="_MNT_VSE 2011 Budget_LCD" xfId="0"/>
    <cellStyle name="_MNT_VSE 2011 Budget_LCD 2" xfId="0"/>
    <cellStyle name="_MNT_VSE 2011 Budget_LCD 3" xfId="0"/>
    <cellStyle name="_MNT_VSE 2011 Budget_LCD 4" xfId="0"/>
    <cellStyle name="_MNT_VSE 2011 Budget_LCD_By Region" xfId="0"/>
    <cellStyle name="_MNT_VSE 2011 Budget_LCD_CORP SG&amp;A" xfId="0"/>
    <cellStyle name="_MNT_VSE 2011 Budget_LCD_LCD" xfId="0"/>
    <cellStyle name="_MNT_VSE 2011 Budget_LCD_PJ" xfId="0"/>
    <cellStyle name="_MNT_VSE 2011 Budget_PC Products" xfId="0"/>
    <cellStyle name="_MNT_VSE 2011 Budget_PC Products 2" xfId="0"/>
    <cellStyle name="_MNT_VSE 2011 Budget_PC Products 3" xfId="0"/>
    <cellStyle name="_MNT_VSE 2011 Budget_PC Products 4" xfId="0"/>
    <cellStyle name="_MNT_VSE 2011 Budget_PC Products 4 2" xfId="0"/>
    <cellStyle name="_MNT_VSE 2011 Budget_PC Products_By Region" xfId="0"/>
    <cellStyle name="_MNT_VSE 2011 Budget_PC Products_CORP SG&amp;A" xfId="0"/>
    <cellStyle name="_MNT_VSE 2011 Budget_PC Products_LCD" xfId="0"/>
    <cellStyle name="_MNT_VSE 2011 Budget_PC Products_PJ" xfId="0"/>
    <cellStyle name="_MNT_VSE 2011 Budget_VSA 111014" xfId="0"/>
    <cellStyle name="_MNT_VSE 2011 Budget_VSA 111014 2" xfId="0"/>
    <cellStyle name="_MNT_VSE 2011 Budget_VSA 111014 3" xfId="0"/>
    <cellStyle name="_MNT_VSE 2011 Budget_VSA 111014 4" xfId="0"/>
    <cellStyle name="_MNT_VSE 2011 Budget_VSA 111014 4 2" xfId="0"/>
    <cellStyle name="_MNT_VSE 2011 Budget_VSA 111014_By Region" xfId="0"/>
    <cellStyle name="_MNT_VSE 2011 Budget_VSA 111014_CORP SG&amp;A" xfId="0"/>
    <cellStyle name="_MNT_VSE 2011 Budget_VSA 111014_LCD" xfId="0"/>
    <cellStyle name="_MNT_VSE 2011 Budget_VSA 111014_PJ" xfId="0"/>
    <cellStyle name="_MNT_VSE 2011 Budget_VSA Roll-Up (LW)" xfId="0"/>
    <cellStyle name="_MNT_VSE 2011 Budget_VSA Roll-Up (LW) 2" xfId="0"/>
    <cellStyle name="_MNT_VSE 2011 Budget_VSA Roll-Up (LW) 3" xfId="0"/>
    <cellStyle name="_MNT_VSE 2011 Budget_VSA Roll-Up (LW) 4" xfId="0"/>
    <cellStyle name="_MNT_VSE 2011 Budget_VSA Roll-Up (LW) 4 2" xfId="0"/>
    <cellStyle name="_MNT_VSE 2011 Budget_VSA Roll-Up (LW)_By Region" xfId="0"/>
    <cellStyle name="_MNT_VSE 2011 Budget_VSA Roll-Up (LW)_CORP SG&amp;A" xfId="0"/>
    <cellStyle name="_MNT_VSE 2011 Budget_VSA Roll-Up (LW)_LCD" xfId="0"/>
    <cellStyle name="_MNT_VSE 2011 Budget_VSA Roll-Up (LW)_PJ" xfId="0"/>
    <cellStyle name="_MNT_VSE 2H  WFP review (Spring Global meeting)-conservative Adam working v3" xfId="0"/>
    <cellStyle name="_MNT_VSE 2H  WFP review (Spring Global meeting)-conservative Adam working v3 2" xfId="0"/>
    <cellStyle name="_MNT_VSE 2H  WFP review (Spring Global meeting)-conservative Adam working v3 3" xfId="0"/>
    <cellStyle name="_MNT_VSE 2H Rebalance 110712" xfId="0"/>
    <cellStyle name="_MNT_VSE 2H Rebalance 110712 2" xfId="0"/>
    <cellStyle name="_MNT_VSE 2H Rebalance 110712 3" xfId="0"/>
    <cellStyle name="_MNT_VSE 2H Rebalance 110712 4" xfId="0"/>
    <cellStyle name="_MNT_VSE 2H Rebalance 110712_By Region" xfId="0"/>
    <cellStyle name="_MNT_VSE 2H Rebalance 110712_CORP SG&amp;A" xfId="0"/>
    <cellStyle name="_MNT_VSE WFP 101203" xfId="0"/>
    <cellStyle name="_MNT_VSE WFP 101203 2" xfId="0"/>
    <cellStyle name="_MNT_VSE WFP 101203 3" xfId="0"/>
    <cellStyle name="_MNT_VSE WFP 101203 4" xfId="0"/>
    <cellStyle name="_MNT_VSE WFP 101203_By Region" xfId="0"/>
    <cellStyle name="_MNT_VSE WFP 101203_CORP SG&amp;A" xfId="0"/>
    <cellStyle name="_MNT_VSE WFP 110311" xfId="0"/>
    <cellStyle name="_MNT_VSE WFP 110311 2" xfId="0"/>
    <cellStyle name="_MNT_VSE WFP 110311 3" xfId="0"/>
    <cellStyle name="_MNT_VSE WFP 110311 4" xfId="0"/>
    <cellStyle name="_MNT_VSE WFP 110311_By Region" xfId="0"/>
    <cellStyle name="_MNT_VSE WFP 110311_CORP SG&amp;A" xfId="0"/>
    <cellStyle name="_MNT_VSE WFP 110415" xfId="0"/>
    <cellStyle name="_MNT_VSE WFP 110415 2" xfId="0"/>
    <cellStyle name="_MNT_VSE WFP 110415 3" xfId="0"/>
    <cellStyle name="_MNT_VSE WFP 110415 4" xfId="0"/>
    <cellStyle name="_MNT_VSE WFP 110415_By Region" xfId="0"/>
    <cellStyle name="_MNT_VSE WFP 110415_CORP SG&amp;A" xfId="0"/>
    <cellStyle name="_MNT_VSE WFP_100409" xfId="0"/>
    <cellStyle name="_MNT_VSE WFP_100409 2" xfId="0"/>
    <cellStyle name="_MNT_VSE WFP_100409 3" xfId="0"/>
    <cellStyle name="_MNT_VSE WFP_100409 4" xfId="0"/>
    <cellStyle name="_MNT_VSE WFP_100409_By Region" xfId="0"/>
    <cellStyle name="_MNT_VSE WFP_100409_CORP SG&amp;A" xfId="0"/>
    <cellStyle name="_MNT_VSE WFP_100409_Digitizer" xfId="0"/>
    <cellStyle name="_MNT_VSE WFP_100409_GPS OTHER" xfId="0"/>
    <cellStyle name="_MNT_VSE WFP_100409_GPS OTHER 2" xfId="0"/>
    <cellStyle name="_MNT_VSE WFP_100409_GPS OTHER 3" xfId="0"/>
    <cellStyle name="_MNT_VSE WFP_100409_GPS OTHER 4" xfId="0"/>
    <cellStyle name="_MNT_VSE WFP_100409_GPS OTHER 4 2" xfId="0"/>
    <cellStyle name="_MNT_VSE WFP_100409_GPS OTHER_By Region" xfId="0"/>
    <cellStyle name="_MNT_VSE WFP_100409_GPS OTHER_CORP SG&amp;A" xfId="0"/>
    <cellStyle name="_MNT_VSE WFP_100409_GPS OTHER_LCD" xfId="0"/>
    <cellStyle name="_MNT_VSE WFP_100409_GPS OTHER_PJ" xfId="0"/>
    <cellStyle name="_MNT_VSE WFP_100409_LCD" xfId="0"/>
    <cellStyle name="_MNT_VSE WFP_100409_LCD 2" xfId="0"/>
    <cellStyle name="_MNT_VSE WFP_100409_LCD 3" xfId="0"/>
    <cellStyle name="_MNT_VSE WFP_100409_LCD 4" xfId="0"/>
    <cellStyle name="_MNT_VSE WFP_100409_LCD_By Region" xfId="0"/>
    <cellStyle name="_MNT_VSE WFP_100409_LCD_CORP SG&amp;A" xfId="0"/>
    <cellStyle name="_MNT_VSE WFP_100409_LCD_LCD" xfId="0"/>
    <cellStyle name="_MNT_VSE WFP_100409_LCD_PJ" xfId="0"/>
    <cellStyle name="_MNT_VSE WFP_100409_PC Products" xfId="0"/>
    <cellStyle name="_MNT_VSE WFP_100409_PC Products 2" xfId="0"/>
    <cellStyle name="_MNT_VSE WFP_100409_PC Products 3" xfId="0"/>
    <cellStyle name="_MNT_VSE WFP_100409_PC Products 4" xfId="0"/>
    <cellStyle name="_MNT_VSE WFP_100409_PC Products 4 2" xfId="0"/>
    <cellStyle name="_MNT_VSE WFP_100409_PC Products_By Region" xfId="0"/>
    <cellStyle name="_MNT_VSE WFP_100409_PC Products_CORP SG&amp;A" xfId="0"/>
    <cellStyle name="_MNT_VSE WFP_100409_PC Products_LCD" xfId="0"/>
    <cellStyle name="_MNT_VSE WFP_100409_PC Products_PJ" xfId="0"/>
    <cellStyle name="_MNT_VSE WFP_100409_VSA 111014" xfId="0"/>
    <cellStyle name="_MNT_VSE WFP_100409_VSA 111014 2" xfId="0"/>
    <cellStyle name="_MNT_VSE WFP_100409_VSA 111014 3" xfId="0"/>
    <cellStyle name="_MNT_VSE WFP_100409_VSA 111014 4" xfId="0"/>
    <cellStyle name="_MNT_VSE WFP_100409_VSA 111014 4 2" xfId="0"/>
    <cellStyle name="_MNT_VSE WFP_100409_VSA 111014_By Region" xfId="0"/>
    <cellStyle name="_MNT_VSE WFP_100409_VSA 111014_CORP SG&amp;A" xfId="0"/>
    <cellStyle name="_MNT_VSE WFP_100409_VSA 111014_LCD" xfId="0"/>
    <cellStyle name="_MNT_VSE WFP_100409_VSA 111014_PJ" xfId="0"/>
    <cellStyle name="_MNT_VSE WFP_100409_VSA Roll-Up (LW)" xfId="0"/>
    <cellStyle name="_MNT_VSE WFP_100409_VSA Roll-Up (LW) 2" xfId="0"/>
    <cellStyle name="_MNT_VSE WFP_100409_VSA Roll-Up (LW) 3" xfId="0"/>
    <cellStyle name="_MNT_VSE WFP_100409_VSA Roll-Up (LW) 4" xfId="0"/>
    <cellStyle name="_MNT_VSE WFP_100409_VSA Roll-Up (LW) 4 2" xfId="0"/>
    <cellStyle name="_MNT_VSE WFP_100409_VSA Roll-Up (LW)_By Region" xfId="0"/>
    <cellStyle name="_MNT_VSE WFP_100409_VSA Roll-Up (LW)_CORP SG&amp;A" xfId="0"/>
    <cellStyle name="_MNT_VSE WFP_100409_VSA Roll-Up (LW)_LCD" xfId="0"/>
    <cellStyle name="_MNT_VSE WFP_100409_VSA Roll-Up (LW)_PJ" xfId="0"/>
    <cellStyle name="_MNT_VSE WFP_100421 v2" xfId="0"/>
    <cellStyle name="_MNT_VSE WFP_100421 v2 2" xfId="0"/>
    <cellStyle name="_MNT_VSE WFP_100421 v2 3" xfId="0"/>
    <cellStyle name="_MNT_VSE WFP_100421 v2 4" xfId="0"/>
    <cellStyle name="_MNT_VSE WFP_100421 v2_By Region" xfId="0"/>
    <cellStyle name="_MNT_VSE WFP_100421 v2_CORP SG&amp;A" xfId="0"/>
    <cellStyle name="_MNT_VSE WFP_100421 v2_Digitizer" xfId="0"/>
    <cellStyle name="_MNT_VSE WFP_100421 v2_GPS OTHER" xfId="0"/>
    <cellStyle name="_MNT_VSE WFP_100421 v2_GPS OTHER 2" xfId="0"/>
    <cellStyle name="_MNT_VSE WFP_100421 v2_GPS OTHER 3" xfId="0"/>
    <cellStyle name="_MNT_VSE WFP_100421 v2_GPS OTHER 4" xfId="0"/>
    <cellStyle name="_MNT_VSE WFP_100421 v2_GPS OTHER 4 2" xfId="0"/>
    <cellStyle name="_MNT_VSE WFP_100421 v2_GPS OTHER_By Region" xfId="0"/>
    <cellStyle name="_MNT_VSE WFP_100421 v2_GPS OTHER_CORP SG&amp;A" xfId="0"/>
    <cellStyle name="_MNT_VSE WFP_100421 v2_GPS OTHER_LCD" xfId="0"/>
    <cellStyle name="_MNT_VSE WFP_100421 v2_GPS OTHER_PJ" xfId="0"/>
    <cellStyle name="_MNT_VSE WFP_100421 v2_LCD" xfId="0"/>
    <cellStyle name="_MNT_VSE WFP_100421 v2_LCD 2" xfId="0"/>
    <cellStyle name="_MNT_VSE WFP_100421 v2_LCD 3" xfId="0"/>
    <cellStyle name="_MNT_VSE WFP_100421 v2_LCD 4" xfId="0"/>
    <cellStyle name="_MNT_VSE WFP_100421 v2_LCD_By Region" xfId="0"/>
    <cellStyle name="_MNT_VSE WFP_100421 v2_LCD_CORP SG&amp;A" xfId="0"/>
    <cellStyle name="_MNT_VSE WFP_100421 v2_LCD_LCD" xfId="0"/>
    <cellStyle name="_MNT_VSE WFP_100421 v2_LCD_PJ" xfId="0"/>
    <cellStyle name="_MNT_VSE WFP_100421 v2_PC Products" xfId="0"/>
    <cellStyle name="_MNT_VSE WFP_100421 v2_PC Products 2" xfId="0"/>
    <cellStyle name="_MNT_VSE WFP_100421 v2_PC Products 3" xfId="0"/>
    <cellStyle name="_MNT_VSE WFP_100421 v2_PC Products 4" xfId="0"/>
    <cellStyle name="_MNT_VSE WFP_100421 v2_PC Products 4 2" xfId="0"/>
    <cellStyle name="_MNT_VSE WFP_100421 v2_PC Products_By Region" xfId="0"/>
    <cellStyle name="_MNT_VSE WFP_100421 v2_PC Products_CORP SG&amp;A" xfId="0"/>
    <cellStyle name="_MNT_VSE WFP_100421 v2_PC Products_LCD" xfId="0"/>
    <cellStyle name="_MNT_VSE WFP_100421 v2_PC Products_PJ" xfId="0"/>
    <cellStyle name="_MNT_VSE WFP_100421 v2_VSA 111014" xfId="0"/>
    <cellStyle name="_MNT_VSE WFP_100421 v2_VSA 111014 2" xfId="0"/>
    <cellStyle name="_MNT_VSE WFP_100421 v2_VSA 111014 3" xfId="0"/>
    <cellStyle name="_MNT_VSE WFP_100421 v2_VSA 111014 4" xfId="0"/>
    <cellStyle name="_MNT_VSE WFP_100421 v2_VSA 111014 4 2" xfId="0"/>
    <cellStyle name="_MNT_VSE WFP_100421 v2_VSA 111014_By Region" xfId="0"/>
    <cellStyle name="_MNT_VSE WFP_100421 v2_VSA 111014_CORP SG&amp;A" xfId="0"/>
    <cellStyle name="_MNT_VSE WFP_100421 v2_VSA 111014_LCD" xfId="0"/>
    <cellStyle name="_MNT_VSE WFP_100421 v2_VSA 111014_PJ" xfId="0"/>
    <cellStyle name="_MNT_VSE WFP_100421 v2_VSA Roll-Up (LW)" xfId="0"/>
    <cellStyle name="_MNT_VSE WFP_100421 v2_VSA Roll-Up (LW) 2" xfId="0"/>
    <cellStyle name="_MNT_VSE WFP_100421 v2_VSA Roll-Up (LW) 3" xfId="0"/>
    <cellStyle name="_MNT_VSE WFP_100421 v2_VSA Roll-Up (LW) 4" xfId="0"/>
    <cellStyle name="_MNT_VSE WFP_100421 v2_VSA Roll-Up (LW) 4 2" xfId="0"/>
    <cellStyle name="_MNT_VSE WFP_100421 v2_VSA Roll-Up (LW)_By Region" xfId="0"/>
    <cellStyle name="_MNT_VSE WFP_100421 v2_VSA Roll-Up (LW)_CORP SG&amp;A" xfId="0"/>
    <cellStyle name="_MNT_VSE WFP_100421 v2_VSA Roll-Up (LW)_LCD" xfId="0"/>
    <cellStyle name="_MNT_VSE WFP_100421 v2_VSA Roll-Up (LW)_PJ" xfId="0"/>
    <cellStyle name="_MNT_VSE WFP_100507" xfId="0"/>
    <cellStyle name="_MNT_VSE WFP_100507 2" xfId="0"/>
    <cellStyle name="_MNT_VSE WFP_100507 3" xfId="0"/>
    <cellStyle name="_MNT_VSE WFP_100507 4" xfId="0"/>
    <cellStyle name="_MNT_VSE WFP_100507_By Region" xfId="0"/>
    <cellStyle name="_MNT_VSE WFP_100507_CORP SG&amp;A" xfId="0"/>
    <cellStyle name="_MNT_VSE WFP_100507_Digitizer" xfId="0"/>
    <cellStyle name="_MNT_VSE WFP_100507_GPS OTHER" xfId="0"/>
    <cellStyle name="_MNT_VSE WFP_100507_GPS OTHER 2" xfId="0"/>
    <cellStyle name="_MNT_VSE WFP_100507_GPS OTHER 3" xfId="0"/>
    <cellStyle name="_MNT_VSE WFP_100507_GPS OTHER 4" xfId="0"/>
    <cellStyle name="_MNT_VSE WFP_100507_GPS OTHER 4 2" xfId="0"/>
    <cellStyle name="_MNT_VSE WFP_100507_GPS OTHER_By Region" xfId="0"/>
    <cellStyle name="_MNT_VSE WFP_100507_GPS OTHER_CORP SG&amp;A" xfId="0"/>
    <cellStyle name="_MNT_VSE WFP_100507_GPS OTHER_LCD" xfId="0"/>
    <cellStyle name="_MNT_VSE WFP_100507_GPS OTHER_PJ" xfId="0"/>
    <cellStyle name="_MNT_VSE WFP_100507_LCD" xfId="0"/>
    <cellStyle name="_MNT_VSE WFP_100507_LCD 2" xfId="0"/>
    <cellStyle name="_MNT_VSE WFP_100507_LCD 3" xfId="0"/>
    <cellStyle name="_MNT_VSE WFP_100507_LCD 4" xfId="0"/>
    <cellStyle name="_MNT_VSE WFP_100507_LCD_By Region" xfId="0"/>
    <cellStyle name="_MNT_VSE WFP_100507_LCD_CORP SG&amp;A" xfId="0"/>
    <cellStyle name="_MNT_VSE WFP_100507_LCD_LCD" xfId="0"/>
    <cellStyle name="_MNT_VSE WFP_100507_LCD_PJ" xfId="0"/>
    <cellStyle name="_MNT_VSE WFP_100507_PC Products" xfId="0"/>
    <cellStyle name="_MNT_VSE WFP_100507_PC Products 2" xfId="0"/>
    <cellStyle name="_MNT_VSE WFP_100507_PC Products 3" xfId="0"/>
    <cellStyle name="_MNT_VSE WFP_100507_PC Products 4" xfId="0"/>
    <cellStyle name="_MNT_VSE WFP_100507_PC Products 4 2" xfId="0"/>
    <cellStyle name="_MNT_VSE WFP_100507_PC Products_By Region" xfId="0"/>
    <cellStyle name="_MNT_VSE WFP_100507_PC Products_CORP SG&amp;A" xfId="0"/>
    <cellStyle name="_MNT_VSE WFP_100507_PC Products_LCD" xfId="0"/>
    <cellStyle name="_MNT_VSE WFP_100507_PC Products_PJ" xfId="0"/>
    <cellStyle name="_MNT_VSE WFP_100507_VSA 111014" xfId="0"/>
    <cellStyle name="_MNT_VSE WFP_100507_VSA 111014 2" xfId="0"/>
    <cellStyle name="_MNT_VSE WFP_100507_VSA 111014 3" xfId="0"/>
    <cellStyle name="_MNT_VSE WFP_100507_VSA 111014 4" xfId="0"/>
    <cellStyle name="_MNT_VSE WFP_100507_VSA 111014 4 2" xfId="0"/>
    <cellStyle name="_MNT_VSE WFP_100507_VSA 111014_By Region" xfId="0"/>
    <cellStyle name="_MNT_VSE WFP_100507_VSA 111014_CORP SG&amp;A" xfId="0"/>
    <cellStyle name="_MNT_VSE WFP_100507_VSA 111014_LCD" xfId="0"/>
    <cellStyle name="_MNT_VSE WFP_100507_VSA 111014_PJ" xfId="0"/>
    <cellStyle name="_MNT_VSE WFP_100507_VSA Roll-Up (LW)" xfId="0"/>
    <cellStyle name="_MNT_VSE WFP_100507_VSA Roll-Up (LW) 2" xfId="0"/>
    <cellStyle name="_MNT_VSE WFP_100507_VSA Roll-Up (LW) 3" xfId="0"/>
    <cellStyle name="_MNT_VSE WFP_100507_VSA Roll-Up (LW) 4" xfId="0"/>
    <cellStyle name="_MNT_VSE WFP_100507_VSA Roll-Up (LW) 4 2" xfId="0"/>
    <cellStyle name="_MNT_VSE WFP_100507_VSA Roll-Up (LW)_By Region" xfId="0"/>
    <cellStyle name="_MNT_VSE WFP_100507_VSA Roll-Up (LW)_CORP SG&amp;A" xfId="0"/>
    <cellStyle name="_MNT_VSE WFP_100507_VSA Roll-Up (LW)_LCD" xfId="0"/>
    <cellStyle name="_MNT_VSE WFP_100507_VSA Roll-Up (LW)_PJ" xfId="0"/>
    <cellStyle name="_MNT_VSE WFP_100608" xfId="0"/>
    <cellStyle name="_MNT_VSE WFP_100608 2" xfId="0"/>
    <cellStyle name="_MNT_VSE WFP_100608 3" xfId="0"/>
    <cellStyle name="_MNT_VSE WFP_100608 4" xfId="0"/>
    <cellStyle name="_MNT_VSE WFP_100608_By Region" xfId="0"/>
    <cellStyle name="_MNT_VSE WFP_100608_CORP SG&amp;A" xfId="0"/>
    <cellStyle name="_MNT_VSE WFP_100608_Digitizer" xfId="0"/>
    <cellStyle name="_MNT_VSE WFP_100608_GPS OTHER" xfId="0"/>
    <cellStyle name="_MNT_VSE WFP_100608_GPS OTHER 2" xfId="0"/>
    <cellStyle name="_MNT_VSE WFP_100608_GPS OTHER 3" xfId="0"/>
    <cellStyle name="_MNT_VSE WFP_100608_GPS OTHER 4" xfId="0"/>
    <cellStyle name="_MNT_VSE WFP_100608_GPS OTHER 4 2" xfId="0"/>
    <cellStyle name="_MNT_VSE WFP_100608_GPS OTHER_By Region" xfId="0"/>
    <cellStyle name="_MNT_VSE WFP_100608_GPS OTHER_CORP SG&amp;A" xfId="0"/>
    <cellStyle name="_MNT_VSE WFP_100608_GPS OTHER_LCD" xfId="0"/>
    <cellStyle name="_MNT_VSE WFP_100608_GPS OTHER_PJ" xfId="0"/>
    <cellStyle name="_MNT_VSE WFP_100608_LCD" xfId="0"/>
    <cellStyle name="_MNT_VSE WFP_100608_LCD 2" xfId="0"/>
    <cellStyle name="_MNT_VSE WFP_100608_LCD 3" xfId="0"/>
    <cellStyle name="_MNT_VSE WFP_100608_LCD 4" xfId="0"/>
    <cellStyle name="_MNT_VSE WFP_100608_LCD_By Region" xfId="0"/>
    <cellStyle name="_MNT_VSE WFP_100608_LCD_CORP SG&amp;A" xfId="0"/>
    <cellStyle name="_MNT_VSE WFP_100608_LCD_LCD" xfId="0"/>
    <cellStyle name="_MNT_VSE WFP_100608_LCD_PJ" xfId="0"/>
    <cellStyle name="_MNT_VSE WFP_100608_PC Products" xfId="0"/>
    <cellStyle name="_MNT_VSE WFP_100608_PC Products 2" xfId="0"/>
    <cellStyle name="_MNT_VSE WFP_100608_PC Products 3" xfId="0"/>
    <cellStyle name="_MNT_VSE WFP_100608_PC Products 4" xfId="0"/>
    <cellStyle name="_MNT_VSE WFP_100608_PC Products 4 2" xfId="0"/>
    <cellStyle name="_MNT_VSE WFP_100608_PC Products_By Region" xfId="0"/>
    <cellStyle name="_MNT_VSE WFP_100608_PC Products_CORP SG&amp;A" xfId="0"/>
    <cellStyle name="_MNT_VSE WFP_100608_PC Products_LCD" xfId="0"/>
    <cellStyle name="_MNT_VSE WFP_100608_PC Products_PJ" xfId="0"/>
    <cellStyle name="_MNT_VSE WFP_100608_VSA 111014" xfId="0"/>
    <cellStyle name="_MNT_VSE WFP_100608_VSA 111014 2" xfId="0"/>
    <cellStyle name="_MNT_VSE WFP_100608_VSA 111014 3" xfId="0"/>
    <cellStyle name="_MNT_VSE WFP_100608_VSA 111014 4" xfId="0"/>
    <cellStyle name="_MNT_VSE WFP_100608_VSA 111014 4 2" xfId="0"/>
    <cellStyle name="_MNT_VSE WFP_100608_VSA 111014_By Region" xfId="0"/>
    <cellStyle name="_MNT_VSE WFP_100608_VSA 111014_CORP SG&amp;A" xfId="0"/>
    <cellStyle name="_MNT_VSE WFP_100608_VSA 111014_LCD" xfId="0"/>
    <cellStyle name="_MNT_VSE WFP_100608_VSA 111014_PJ" xfId="0"/>
    <cellStyle name="_MNT_VSE WFP_100608_VSA Roll-Up (LW)" xfId="0"/>
    <cellStyle name="_MNT_VSE WFP_100608_VSA Roll-Up (LW) 2" xfId="0"/>
    <cellStyle name="_MNT_VSE WFP_100608_VSA Roll-Up (LW) 3" xfId="0"/>
    <cellStyle name="_MNT_VSE WFP_100608_VSA Roll-Up (LW) 4" xfId="0"/>
    <cellStyle name="_MNT_VSE WFP_100608_VSA Roll-Up (LW) 4 2" xfId="0"/>
    <cellStyle name="_MNT_VSE WFP_100608_VSA Roll-Up (LW)_By Region" xfId="0"/>
    <cellStyle name="_MNT_VSE WFP_100608_VSA Roll-Up (LW)_CORP SG&amp;A" xfId="0"/>
    <cellStyle name="_MNT_VSE WFP_100608_VSA Roll-Up (LW)_LCD" xfId="0"/>
    <cellStyle name="_MNT_VSE WFP_100608_VSA Roll-Up (LW)_PJ" xfId="0"/>
    <cellStyle name="_MNT_VSE WFP_100625" xfId="0"/>
    <cellStyle name="_MNT_VSE WFP_100625 2" xfId="0"/>
    <cellStyle name="_MNT_VSE WFP_100625 3" xfId="0"/>
    <cellStyle name="_MNT_VSE WFP_100625 4" xfId="0"/>
    <cellStyle name="_MNT_VSE WFP_100625_By Region" xfId="0"/>
    <cellStyle name="_MNT_VSE WFP_100625_CORP SG&amp;A" xfId="0"/>
    <cellStyle name="_MNT_VSE WFP_100625_Digitizer" xfId="0"/>
    <cellStyle name="_MNT_VSE WFP_100625_GPS OTHER" xfId="0"/>
    <cellStyle name="_MNT_VSE WFP_100625_GPS OTHER 2" xfId="0"/>
    <cellStyle name="_MNT_VSE WFP_100625_GPS OTHER 3" xfId="0"/>
    <cellStyle name="_MNT_VSE WFP_100625_GPS OTHER 4" xfId="0"/>
    <cellStyle name="_MNT_VSE WFP_100625_GPS OTHER 4 2" xfId="0"/>
    <cellStyle name="_MNT_VSE WFP_100625_GPS OTHER_By Region" xfId="0"/>
    <cellStyle name="_MNT_VSE WFP_100625_GPS OTHER_CORP SG&amp;A" xfId="0"/>
    <cellStyle name="_MNT_VSE WFP_100625_GPS OTHER_LCD" xfId="0"/>
    <cellStyle name="_MNT_VSE WFP_100625_GPS OTHER_PJ" xfId="0"/>
    <cellStyle name="_MNT_VSE WFP_100625_LCD" xfId="0"/>
    <cellStyle name="_MNT_VSE WFP_100625_LCD 2" xfId="0"/>
    <cellStyle name="_MNT_VSE WFP_100625_LCD 3" xfId="0"/>
    <cellStyle name="_MNT_VSE WFP_100625_LCD 4" xfId="0"/>
    <cellStyle name="_MNT_VSE WFP_100625_LCD_By Region" xfId="0"/>
    <cellStyle name="_MNT_VSE WFP_100625_LCD_CORP SG&amp;A" xfId="0"/>
    <cellStyle name="_MNT_VSE WFP_100625_LCD_LCD" xfId="0"/>
    <cellStyle name="_MNT_VSE WFP_100625_LCD_PJ" xfId="0"/>
    <cellStyle name="_MNT_VSE WFP_100625_PC Products" xfId="0"/>
    <cellStyle name="_MNT_VSE WFP_100625_PC Products 2" xfId="0"/>
    <cellStyle name="_MNT_VSE WFP_100625_PC Products 3" xfId="0"/>
    <cellStyle name="_MNT_VSE WFP_100625_PC Products 4" xfId="0"/>
    <cellStyle name="_MNT_VSE WFP_100625_PC Products 4 2" xfId="0"/>
    <cellStyle name="_MNT_VSE WFP_100625_PC Products_By Region" xfId="0"/>
    <cellStyle name="_MNT_VSE WFP_100625_PC Products_CORP SG&amp;A" xfId="0"/>
    <cellStyle name="_MNT_VSE WFP_100625_PC Products_LCD" xfId="0"/>
    <cellStyle name="_MNT_VSE WFP_100625_PC Products_PJ" xfId="0"/>
    <cellStyle name="_MNT_VSE WFP_100625_VSA 111014" xfId="0"/>
    <cellStyle name="_MNT_VSE WFP_100625_VSA 111014 2" xfId="0"/>
    <cellStyle name="_MNT_VSE WFP_100625_VSA 111014 3" xfId="0"/>
    <cellStyle name="_MNT_VSE WFP_100625_VSA 111014 4" xfId="0"/>
    <cellStyle name="_MNT_VSE WFP_100625_VSA 111014 4 2" xfId="0"/>
    <cellStyle name="_MNT_VSE WFP_100625_VSA 111014_By Region" xfId="0"/>
    <cellStyle name="_MNT_VSE WFP_100625_VSA 111014_CORP SG&amp;A" xfId="0"/>
    <cellStyle name="_MNT_VSE WFP_100625_VSA 111014_LCD" xfId="0"/>
    <cellStyle name="_MNT_VSE WFP_100625_VSA 111014_PJ" xfId="0"/>
    <cellStyle name="_MNT_VSE WFP_100625_VSA Roll-Up (LW)" xfId="0"/>
    <cellStyle name="_MNT_VSE WFP_100625_VSA Roll-Up (LW) 2" xfId="0"/>
    <cellStyle name="_MNT_VSE WFP_100625_VSA Roll-Up (LW) 3" xfId="0"/>
    <cellStyle name="_MNT_VSE WFP_100625_VSA Roll-Up (LW) 4" xfId="0"/>
    <cellStyle name="_MNT_VSE WFP_100625_VSA Roll-Up (LW) 4 2" xfId="0"/>
    <cellStyle name="_MNT_VSE WFP_100625_VSA Roll-Up (LW)_By Region" xfId="0"/>
    <cellStyle name="_MNT_VSE WFP_100625_VSA Roll-Up (LW)_CORP SG&amp;A" xfId="0"/>
    <cellStyle name="_MNT_VSE WFP_100625_VSA Roll-Up (LW)_LCD" xfId="0"/>
    <cellStyle name="_MNT_VSE WFP_100625_VSA Roll-Up (LW)_PJ" xfId="0"/>
    <cellStyle name="_MNT_VSE WFP_100708_3rd" xfId="0"/>
    <cellStyle name="_MNT_VSE WFP_100708_3rd 2" xfId="0"/>
    <cellStyle name="_MNT_VSE WFP_100708_3rd 3" xfId="0"/>
    <cellStyle name="_MNT_VSE WFP_100708_3rd 4" xfId="0"/>
    <cellStyle name="_MNT_VSE WFP_100708_3rd_By Region" xfId="0"/>
    <cellStyle name="_MNT_VSE WFP_100708_3rd_CORP SG&amp;A" xfId="0"/>
    <cellStyle name="_MNT_VSE WFP_100708_3rd_Digitizer" xfId="0"/>
    <cellStyle name="_MNT_VSE WFP_100708_3rd_GPS OTHER" xfId="0"/>
    <cellStyle name="_MNT_VSE WFP_100708_3rd_GPS OTHER 2" xfId="0"/>
    <cellStyle name="_MNT_VSE WFP_100708_3rd_GPS OTHER 3" xfId="0"/>
    <cellStyle name="_MNT_VSE WFP_100708_3rd_GPS OTHER 4" xfId="0"/>
    <cellStyle name="_MNT_VSE WFP_100708_3rd_GPS OTHER 4 2" xfId="0"/>
    <cellStyle name="_MNT_VSE WFP_100708_3rd_GPS OTHER_By Region" xfId="0"/>
    <cellStyle name="_MNT_VSE WFP_100708_3rd_GPS OTHER_CORP SG&amp;A" xfId="0"/>
    <cellStyle name="_MNT_VSE WFP_100708_3rd_GPS OTHER_LCD" xfId="0"/>
    <cellStyle name="_MNT_VSE WFP_100708_3rd_GPS OTHER_PJ" xfId="0"/>
    <cellStyle name="_MNT_VSE WFP_100708_3rd_LCD" xfId="0"/>
    <cellStyle name="_MNT_VSE WFP_100708_3rd_LCD 2" xfId="0"/>
    <cellStyle name="_MNT_VSE WFP_100708_3rd_LCD 3" xfId="0"/>
    <cellStyle name="_MNT_VSE WFP_100708_3rd_LCD 4" xfId="0"/>
    <cellStyle name="_MNT_VSE WFP_100708_3rd_LCD_By Region" xfId="0"/>
    <cellStyle name="_MNT_VSE WFP_100708_3rd_LCD_CORP SG&amp;A" xfId="0"/>
    <cellStyle name="_MNT_VSE WFP_100708_3rd_LCD_LCD" xfId="0"/>
    <cellStyle name="_MNT_VSE WFP_100708_3rd_LCD_PJ" xfId="0"/>
    <cellStyle name="_MNT_VSE WFP_100708_3rd_PC Products" xfId="0"/>
    <cellStyle name="_MNT_VSE WFP_100708_3rd_PC Products 2" xfId="0"/>
    <cellStyle name="_MNT_VSE WFP_100708_3rd_PC Products 3" xfId="0"/>
    <cellStyle name="_MNT_VSE WFP_100708_3rd_PC Products 4" xfId="0"/>
    <cellStyle name="_MNT_VSE WFP_100708_3rd_PC Products 4 2" xfId="0"/>
    <cellStyle name="_MNT_VSE WFP_100708_3rd_PC Products_By Region" xfId="0"/>
    <cellStyle name="_MNT_VSE WFP_100708_3rd_PC Products_CORP SG&amp;A" xfId="0"/>
    <cellStyle name="_MNT_VSE WFP_100708_3rd_PC Products_LCD" xfId="0"/>
    <cellStyle name="_MNT_VSE WFP_100708_3rd_PC Products_PJ" xfId="0"/>
    <cellStyle name="_MNT_VSE WFP_100708_3rd_VSA 111014" xfId="0"/>
    <cellStyle name="_MNT_VSE WFP_100708_3rd_VSA 111014 2" xfId="0"/>
    <cellStyle name="_MNT_VSE WFP_100708_3rd_VSA 111014 3" xfId="0"/>
    <cellStyle name="_MNT_VSE WFP_100708_3rd_VSA 111014 4" xfId="0"/>
    <cellStyle name="_MNT_VSE WFP_100708_3rd_VSA 111014 4 2" xfId="0"/>
    <cellStyle name="_MNT_VSE WFP_100708_3rd_VSA 111014_By Region" xfId="0"/>
    <cellStyle name="_MNT_VSE WFP_100708_3rd_VSA 111014_CORP SG&amp;A" xfId="0"/>
    <cellStyle name="_MNT_VSE WFP_100708_3rd_VSA 111014_LCD" xfId="0"/>
    <cellStyle name="_MNT_VSE WFP_100708_3rd_VSA 111014_PJ" xfId="0"/>
    <cellStyle name="_MNT_VSE WFP_100708_3rd_VSA Roll-Up (LW)" xfId="0"/>
    <cellStyle name="_MNT_VSE WFP_100708_3rd_VSA Roll-Up (LW) 2" xfId="0"/>
    <cellStyle name="_MNT_VSE WFP_100708_3rd_VSA Roll-Up (LW) 3" xfId="0"/>
    <cellStyle name="_MNT_VSE WFP_100708_3rd_VSA Roll-Up (LW) 4" xfId="0"/>
    <cellStyle name="_MNT_VSE WFP_100708_3rd_VSA Roll-Up (LW) 4 2" xfId="0"/>
    <cellStyle name="_MNT_VSE WFP_100708_3rd_VSA Roll-Up (LW)_By Region" xfId="0"/>
    <cellStyle name="_MNT_VSE WFP_100708_3rd_VSA Roll-Up (LW)_CORP SG&amp;A" xfId="0"/>
    <cellStyle name="_MNT_VSE WFP_100708_3rd_VSA Roll-Up (LW)_LCD" xfId="0"/>
    <cellStyle name="_MNT_VSE WFP_100708_3rd_VSA Roll-Up (LW)_PJ" xfId="0"/>
    <cellStyle name="_MNT_VSE WFP_100726" xfId="0"/>
    <cellStyle name="_MNT_VSE WFP_100726 2" xfId="0"/>
    <cellStyle name="_MNT_VSE WFP_100726 3" xfId="0"/>
    <cellStyle name="_MNT_VSE WFP_100726 4" xfId="0"/>
    <cellStyle name="_MNT_VSE WFP_100726-1" xfId="0"/>
    <cellStyle name="_MNT_VSE WFP_100726-1 2" xfId="0"/>
    <cellStyle name="_MNT_VSE WFP_100726-1 3" xfId="0"/>
    <cellStyle name="_MNT_VSE WFP_100726-1 4" xfId="0"/>
    <cellStyle name="_MNT_VSE WFP_100726-1_By Region" xfId="0"/>
    <cellStyle name="_MNT_VSE WFP_100726-1_CORP SG&amp;A" xfId="0"/>
    <cellStyle name="_MNT_VSE WFP_100726-1_Digitizer" xfId="0"/>
    <cellStyle name="_MNT_VSE WFP_100726-1_GPS OTHER" xfId="0"/>
    <cellStyle name="_MNT_VSE WFP_100726-1_GPS OTHER 2" xfId="0"/>
    <cellStyle name="_MNT_VSE WFP_100726-1_GPS OTHER 3" xfId="0"/>
    <cellStyle name="_MNT_VSE WFP_100726-1_GPS OTHER 4" xfId="0"/>
    <cellStyle name="_MNT_VSE WFP_100726-1_GPS OTHER 4 2" xfId="0"/>
    <cellStyle name="_MNT_VSE WFP_100726-1_GPS OTHER_By Region" xfId="0"/>
    <cellStyle name="_MNT_VSE WFP_100726-1_GPS OTHER_CORP SG&amp;A" xfId="0"/>
    <cellStyle name="_MNT_VSE WFP_100726-1_GPS OTHER_LCD" xfId="0"/>
    <cellStyle name="_MNT_VSE WFP_100726-1_GPS OTHER_PJ" xfId="0"/>
    <cellStyle name="_MNT_VSE WFP_100726-1_LCD" xfId="0"/>
    <cellStyle name="_MNT_VSE WFP_100726-1_LCD 2" xfId="0"/>
    <cellStyle name="_MNT_VSE WFP_100726-1_LCD 3" xfId="0"/>
    <cellStyle name="_MNT_VSE WFP_100726-1_LCD 4" xfId="0"/>
    <cellStyle name="_MNT_VSE WFP_100726-1_LCD_By Region" xfId="0"/>
    <cellStyle name="_MNT_VSE WFP_100726-1_LCD_CORP SG&amp;A" xfId="0"/>
    <cellStyle name="_MNT_VSE WFP_100726-1_LCD_LCD" xfId="0"/>
    <cellStyle name="_MNT_VSE WFP_100726-1_LCD_PJ" xfId="0"/>
    <cellStyle name="_MNT_VSE WFP_100726-1_PC Products" xfId="0"/>
    <cellStyle name="_MNT_VSE WFP_100726-1_PC Products 2" xfId="0"/>
    <cellStyle name="_MNT_VSE WFP_100726-1_PC Products 3" xfId="0"/>
    <cellStyle name="_MNT_VSE WFP_100726-1_PC Products 4" xfId="0"/>
    <cellStyle name="_MNT_VSE WFP_100726-1_PC Products 4 2" xfId="0"/>
    <cellStyle name="_MNT_VSE WFP_100726-1_PC Products_By Region" xfId="0"/>
    <cellStyle name="_MNT_VSE WFP_100726-1_PC Products_CORP SG&amp;A" xfId="0"/>
    <cellStyle name="_MNT_VSE WFP_100726-1_PC Products_LCD" xfId="0"/>
    <cellStyle name="_MNT_VSE WFP_100726-1_PC Products_PJ" xfId="0"/>
    <cellStyle name="_MNT_VSE WFP_100726-1_VSA 111014" xfId="0"/>
    <cellStyle name="_MNT_VSE WFP_100726-1_VSA 111014 2" xfId="0"/>
    <cellStyle name="_MNT_VSE WFP_100726-1_VSA 111014 3" xfId="0"/>
    <cellStyle name="_MNT_VSE WFP_100726-1_VSA 111014 4" xfId="0"/>
    <cellStyle name="_MNT_VSE WFP_100726-1_VSA 111014 4 2" xfId="0"/>
    <cellStyle name="_MNT_VSE WFP_100726-1_VSA 111014_By Region" xfId="0"/>
    <cellStyle name="_MNT_VSE WFP_100726-1_VSA 111014_CORP SG&amp;A" xfId="0"/>
    <cellStyle name="_MNT_VSE WFP_100726-1_VSA 111014_LCD" xfId="0"/>
    <cellStyle name="_MNT_VSE WFP_100726-1_VSA 111014_PJ" xfId="0"/>
    <cellStyle name="_MNT_VSE WFP_100726-1_VSA Roll-Up (LW)" xfId="0"/>
    <cellStyle name="_MNT_VSE WFP_100726-1_VSA Roll-Up (LW) 2" xfId="0"/>
    <cellStyle name="_MNT_VSE WFP_100726-1_VSA Roll-Up (LW) 3" xfId="0"/>
    <cellStyle name="_MNT_VSE WFP_100726-1_VSA Roll-Up (LW) 4" xfId="0"/>
    <cellStyle name="_MNT_VSE WFP_100726-1_VSA Roll-Up (LW) 4 2" xfId="0"/>
    <cellStyle name="_MNT_VSE WFP_100726-1_VSA Roll-Up (LW)_By Region" xfId="0"/>
    <cellStyle name="_MNT_VSE WFP_100726-1_VSA Roll-Up (LW)_CORP SG&amp;A" xfId="0"/>
    <cellStyle name="_MNT_VSE WFP_100726-1_VSA Roll-Up (LW)_LCD" xfId="0"/>
    <cellStyle name="_MNT_VSE WFP_100726-1_VSA Roll-Up (LW)_PJ" xfId="0"/>
    <cellStyle name="_MNT_VSE WFP_100726-2-yc" xfId="0"/>
    <cellStyle name="_MNT_VSE WFP_100726-2-yc 2" xfId="0"/>
    <cellStyle name="_MNT_VSE WFP_100726-2-yc 3" xfId="0"/>
    <cellStyle name="_MNT_VSE WFP_100726-2-yc 4" xfId="0"/>
    <cellStyle name="_MNT_VSE WFP_100726-2-yc_By Region" xfId="0"/>
    <cellStyle name="_MNT_VSE WFP_100726-2-yc_CORP SG&amp;A" xfId="0"/>
    <cellStyle name="_MNT_VSE WFP_100726-2-yc_Digitizer" xfId="0"/>
    <cellStyle name="_MNT_VSE WFP_100726-2-yc_GPS OTHER" xfId="0"/>
    <cellStyle name="_MNT_VSE WFP_100726-2-yc_GPS OTHER 2" xfId="0"/>
    <cellStyle name="_MNT_VSE WFP_100726-2-yc_GPS OTHER 3" xfId="0"/>
    <cellStyle name="_MNT_VSE WFP_100726-2-yc_GPS OTHER 4" xfId="0"/>
    <cellStyle name="_MNT_VSE WFP_100726-2-yc_GPS OTHER 4 2" xfId="0"/>
    <cellStyle name="_MNT_VSE WFP_100726-2-yc_GPS OTHER_By Region" xfId="0"/>
    <cellStyle name="_MNT_VSE WFP_100726-2-yc_GPS OTHER_CORP SG&amp;A" xfId="0"/>
    <cellStyle name="_MNT_VSE WFP_100726-2-yc_GPS OTHER_LCD" xfId="0"/>
    <cellStyle name="_MNT_VSE WFP_100726-2-yc_GPS OTHER_PJ" xfId="0"/>
    <cellStyle name="_MNT_VSE WFP_100726-2-yc_LCD" xfId="0"/>
    <cellStyle name="_MNT_VSE WFP_100726-2-yc_LCD 2" xfId="0"/>
    <cellStyle name="_MNT_VSE WFP_100726-2-yc_LCD 3" xfId="0"/>
    <cellStyle name="_MNT_VSE WFP_100726-2-yc_LCD 4" xfId="0"/>
    <cellStyle name="_MNT_VSE WFP_100726-2-yc_LCD_By Region" xfId="0"/>
    <cellStyle name="_MNT_VSE WFP_100726-2-yc_LCD_CORP SG&amp;A" xfId="0"/>
    <cellStyle name="_MNT_VSE WFP_100726-2-yc_LCD_LCD" xfId="0"/>
    <cellStyle name="_MNT_VSE WFP_100726-2-yc_LCD_PJ" xfId="0"/>
    <cellStyle name="_MNT_VSE WFP_100726-2-yc_PC Products" xfId="0"/>
    <cellStyle name="_MNT_VSE WFP_100726-2-yc_PC Products 2" xfId="0"/>
    <cellStyle name="_MNT_VSE WFP_100726-2-yc_PC Products 3" xfId="0"/>
    <cellStyle name="_MNT_VSE WFP_100726-2-yc_PC Products 4" xfId="0"/>
    <cellStyle name="_MNT_VSE WFP_100726-2-yc_PC Products 4 2" xfId="0"/>
    <cellStyle name="_MNT_VSE WFP_100726-2-yc_PC Products_By Region" xfId="0"/>
    <cellStyle name="_MNT_VSE WFP_100726-2-yc_PC Products_CORP SG&amp;A" xfId="0"/>
    <cellStyle name="_MNT_VSE WFP_100726-2-yc_PC Products_LCD" xfId="0"/>
    <cellStyle name="_MNT_VSE WFP_100726-2-yc_PC Products_PJ" xfId="0"/>
    <cellStyle name="_MNT_VSE WFP_100726-2-yc_VSA 111014" xfId="0"/>
    <cellStyle name="_MNT_VSE WFP_100726-2-yc_VSA 111014 2" xfId="0"/>
    <cellStyle name="_MNT_VSE WFP_100726-2-yc_VSA 111014 3" xfId="0"/>
    <cellStyle name="_MNT_VSE WFP_100726-2-yc_VSA 111014 4" xfId="0"/>
    <cellStyle name="_MNT_VSE WFP_100726-2-yc_VSA 111014 4 2" xfId="0"/>
    <cellStyle name="_MNT_VSE WFP_100726-2-yc_VSA 111014_By Region" xfId="0"/>
    <cellStyle name="_MNT_VSE WFP_100726-2-yc_VSA 111014_CORP SG&amp;A" xfId="0"/>
    <cellStyle name="_MNT_VSE WFP_100726-2-yc_VSA 111014_LCD" xfId="0"/>
    <cellStyle name="_MNT_VSE WFP_100726-2-yc_VSA 111014_PJ" xfId="0"/>
    <cellStyle name="_MNT_VSE WFP_100726-2-yc_VSA Roll-Up (LW)" xfId="0"/>
    <cellStyle name="_MNT_VSE WFP_100726-2-yc_VSA Roll-Up (LW) 2" xfId="0"/>
    <cellStyle name="_MNT_VSE WFP_100726-2-yc_VSA Roll-Up (LW) 3" xfId="0"/>
    <cellStyle name="_MNT_VSE WFP_100726-2-yc_VSA Roll-Up (LW) 4" xfId="0"/>
    <cellStyle name="_MNT_VSE WFP_100726-2-yc_VSA Roll-Up (LW) 4 2" xfId="0"/>
    <cellStyle name="_MNT_VSE WFP_100726-2-yc_VSA Roll-Up (LW)_By Region" xfId="0"/>
    <cellStyle name="_MNT_VSE WFP_100726-2-yc_VSA Roll-Up (LW)_CORP SG&amp;A" xfId="0"/>
    <cellStyle name="_MNT_VSE WFP_100726-2-yc_VSA Roll-Up (LW)_LCD" xfId="0"/>
    <cellStyle name="_MNT_VSE WFP_100726-2-yc_VSA Roll-Up (LW)_PJ" xfId="0"/>
    <cellStyle name="_MNT_VSE WFP_100726_By Region" xfId="0"/>
    <cellStyle name="_MNT_VSE WFP_100726_CORP SG&amp;A" xfId="0"/>
    <cellStyle name="_MNT_VSE WFP_100726_Digitizer" xfId="0"/>
    <cellStyle name="_MNT_VSE WFP_100726_GPS OTHER" xfId="0"/>
    <cellStyle name="_MNT_VSE WFP_100726_GPS OTHER 2" xfId="0"/>
    <cellStyle name="_MNT_VSE WFP_100726_GPS OTHER 3" xfId="0"/>
    <cellStyle name="_MNT_VSE WFP_100726_GPS OTHER 4" xfId="0"/>
    <cellStyle name="_MNT_VSE WFP_100726_GPS OTHER 4 2" xfId="0"/>
    <cellStyle name="_MNT_VSE WFP_100726_GPS OTHER_By Region" xfId="0"/>
    <cellStyle name="_MNT_VSE WFP_100726_GPS OTHER_CORP SG&amp;A" xfId="0"/>
    <cellStyle name="_MNT_VSE WFP_100726_GPS OTHER_LCD" xfId="0"/>
    <cellStyle name="_MNT_VSE WFP_100726_GPS OTHER_PJ" xfId="0"/>
    <cellStyle name="_MNT_VSE WFP_100726_LCD" xfId="0"/>
    <cellStyle name="_MNT_VSE WFP_100726_LCD 2" xfId="0"/>
    <cellStyle name="_MNT_VSE WFP_100726_LCD 3" xfId="0"/>
    <cellStyle name="_MNT_VSE WFP_100726_LCD 4" xfId="0"/>
    <cellStyle name="_MNT_VSE WFP_100726_LCD_By Region" xfId="0"/>
    <cellStyle name="_MNT_VSE WFP_100726_LCD_CORP SG&amp;A" xfId="0"/>
    <cellStyle name="_MNT_VSE WFP_100726_LCD_LCD" xfId="0"/>
    <cellStyle name="_MNT_VSE WFP_100726_LCD_PJ" xfId="0"/>
    <cellStyle name="_MNT_VSE WFP_100726_PC Products" xfId="0"/>
    <cellStyle name="_MNT_VSE WFP_100726_PC Products 2" xfId="0"/>
    <cellStyle name="_MNT_VSE WFP_100726_PC Products 3" xfId="0"/>
    <cellStyle name="_MNT_VSE WFP_100726_PC Products 4" xfId="0"/>
    <cellStyle name="_MNT_VSE WFP_100726_PC Products 4 2" xfId="0"/>
    <cellStyle name="_MNT_VSE WFP_100726_PC Products_By Region" xfId="0"/>
    <cellStyle name="_MNT_VSE WFP_100726_PC Products_CORP SG&amp;A" xfId="0"/>
    <cellStyle name="_MNT_VSE WFP_100726_PC Products_LCD" xfId="0"/>
    <cellStyle name="_MNT_VSE WFP_100726_PC Products_PJ" xfId="0"/>
    <cellStyle name="_MNT_VSE WFP_100726_VSA 111014" xfId="0"/>
    <cellStyle name="_MNT_VSE WFP_100726_VSA 111014 2" xfId="0"/>
    <cellStyle name="_MNT_VSE WFP_100726_VSA 111014 3" xfId="0"/>
    <cellStyle name="_MNT_VSE WFP_100726_VSA 111014 4" xfId="0"/>
    <cellStyle name="_MNT_VSE WFP_100726_VSA 111014 4 2" xfId="0"/>
    <cellStyle name="_MNT_VSE WFP_100726_VSA 111014_By Region" xfId="0"/>
    <cellStyle name="_MNT_VSE WFP_100726_VSA 111014_CORP SG&amp;A" xfId="0"/>
    <cellStyle name="_MNT_VSE WFP_100726_VSA 111014_LCD" xfId="0"/>
    <cellStyle name="_MNT_VSE WFP_100726_VSA 111014_PJ" xfId="0"/>
    <cellStyle name="_MNT_VSE WFP_100726_VSA Roll-Up (LW)" xfId="0"/>
    <cellStyle name="_MNT_VSE WFP_100726_VSA Roll-Up (LW) 2" xfId="0"/>
    <cellStyle name="_MNT_VSE WFP_100726_VSA Roll-Up (LW) 3" xfId="0"/>
    <cellStyle name="_MNT_VSE WFP_100726_VSA Roll-Up (LW) 4" xfId="0"/>
    <cellStyle name="_MNT_VSE WFP_100726_VSA Roll-Up (LW) 4 2" xfId="0"/>
    <cellStyle name="_MNT_VSE WFP_100726_VSA Roll-Up (LW)_By Region" xfId="0"/>
    <cellStyle name="_MNT_VSE WFP_100726_VSA Roll-Up (LW)_CORP SG&amp;A" xfId="0"/>
    <cellStyle name="_MNT_VSE WFP_100726_VSA Roll-Up (LW)_LCD" xfId="0"/>
    <cellStyle name="_MNT_VSE WFP_100726_VSA Roll-Up (LW)_PJ" xfId="0"/>
    <cellStyle name="_MNT_VSE WFP_100827-1" xfId="0"/>
    <cellStyle name="_MNT_VSE WFP_100827-1 2" xfId="0"/>
    <cellStyle name="_MNT_VSE WFP_100827-1 3" xfId="0"/>
    <cellStyle name="_MNT_VSE WFP_100827-1 4" xfId="0"/>
    <cellStyle name="_MNT_VSE WFP_100827-1_By Region" xfId="0"/>
    <cellStyle name="_MNT_VSE WFP_100827-1_CORP SG&amp;A" xfId="0"/>
    <cellStyle name="_MNT_VSE WFP_100827-1_Digitizer" xfId="0"/>
    <cellStyle name="_MNT_VSE WFP_100827-1_GPS OTHER" xfId="0"/>
    <cellStyle name="_MNT_VSE WFP_100827-1_GPS OTHER 2" xfId="0"/>
    <cellStyle name="_MNT_VSE WFP_100827-1_GPS OTHER 3" xfId="0"/>
    <cellStyle name="_MNT_VSE WFP_100827-1_GPS OTHER 4" xfId="0"/>
    <cellStyle name="_MNT_VSE WFP_100827-1_GPS OTHER 4 2" xfId="0"/>
    <cellStyle name="_MNT_VSE WFP_100827-1_GPS OTHER_By Region" xfId="0"/>
    <cellStyle name="_MNT_VSE WFP_100827-1_GPS OTHER_CORP SG&amp;A" xfId="0"/>
    <cellStyle name="_MNT_VSE WFP_100827-1_GPS OTHER_LCD" xfId="0"/>
    <cellStyle name="_MNT_VSE WFP_100827-1_GPS OTHER_PJ" xfId="0"/>
    <cellStyle name="_MNT_VSE WFP_100827-1_LCD" xfId="0"/>
    <cellStyle name="_MNT_VSE WFP_100827-1_LCD 2" xfId="0"/>
    <cellStyle name="_MNT_VSE WFP_100827-1_LCD 3" xfId="0"/>
    <cellStyle name="_MNT_VSE WFP_100827-1_LCD 4" xfId="0"/>
    <cellStyle name="_MNT_VSE WFP_100827-1_LCD_By Region" xfId="0"/>
    <cellStyle name="_MNT_VSE WFP_100827-1_LCD_CORP SG&amp;A" xfId="0"/>
    <cellStyle name="_MNT_VSE WFP_100827-1_LCD_LCD" xfId="0"/>
    <cellStyle name="_MNT_VSE WFP_100827-1_LCD_PJ" xfId="0"/>
    <cellStyle name="_MNT_VSE WFP_100827-1_PC Products" xfId="0"/>
    <cellStyle name="_MNT_VSE WFP_100827-1_PC Products 2" xfId="0"/>
    <cellStyle name="_MNT_VSE WFP_100827-1_PC Products 3" xfId="0"/>
    <cellStyle name="_MNT_VSE WFP_100827-1_PC Products 4" xfId="0"/>
    <cellStyle name="_MNT_VSE WFP_100827-1_PC Products 4 2" xfId="0"/>
    <cellStyle name="_MNT_VSE WFP_100827-1_PC Products_By Region" xfId="0"/>
    <cellStyle name="_MNT_VSE WFP_100827-1_PC Products_CORP SG&amp;A" xfId="0"/>
    <cellStyle name="_MNT_VSE WFP_100827-1_PC Products_LCD" xfId="0"/>
    <cellStyle name="_MNT_VSE WFP_100827-1_PC Products_PJ" xfId="0"/>
    <cellStyle name="_MNT_VSE WFP_100827-1_VSA 111014" xfId="0"/>
    <cellStyle name="_MNT_VSE WFP_100827-1_VSA 111014 2" xfId="0"/>
    <cellStyle name="_MNT_VSE WFP_100827-1_VSA 111014 3" xfId="0"/>
    <cellStyle name="_MNT_VSE WFP_100827-1_VSA 111014 4" xfId="0"/>
    <cellStyle name="_MNT_VSE WFP_100827-1_VSA 111014 4 2" xfId="0"/>
    <cellStyle name="_MNT_VSE WFP_100827-1_VSA 111014_By Region" xfId="0"/>
    <cellStyle name="_MNT_VSE WFP_100827-1_VSA 111014_CORP SG&amp;A" xfId="0"/>
    <cellStyle name="_MNT_VSE WFP_100827-1_VSA 111014_LCD" xfId="0"/>
    <cellStyle name="_MNT_VSE WFP_100827-1_VSA 111014_PJ" xfId="0"/>
    <cellStyle name="_MNT_VSE WFP_100827-1_VSA Roll-Up (LW)" xfId="0"/>
    <cellStyle name="_MNT_VSE WFP_100827-1_VSA Roll-Up (LW) 2" xfId="0"/>
    <cellStyle name="_MNT_VSE WFP_100827-1_VSA Roll-Up (LW) 3" xfId="0"/>
    <cellStyle name="_MNT_VSE WFP_100827-1_VSA Roll-Up (LW) 4" xfId="0"/>
    <cellStyle name="_MNT_VSE WFP_100827-1_VSA Roll-Up (LW) 4 2" xfId="0"/>
    <cellStyle name="_MNT_VSE WFP_100827-1_VSA Roll-Up (LW)_By Region" xfId="0"/>
    <cellStyle name="_MNT_VSE WFP_100827-1_VSA Roll-Up (LW)_CORP SG&amp;A" xfId="0"/>
    <cellStyle name="_MNT_VSE WFP_100827-1_VSA Roll-Up (LW)_LCD" xfId="0"/>
    <cellStyle name="_MNT_VSE WFP_100827-1_VSA Roll-Up (LW)_PJ" xfId="0"/>
    <cellStyle name="_MNT_VSE WFP_101001" xfId="0"/>
    <cellStyle name="_MNT_VSE WFP_101001 2" xfId="0"/>
    <cellStyle name="_MNT_VSE WFP_101001 3" xfId="0"/>
    <cellStyle name="_MNT_VSE WFP_101001 4" xfId="0"/>
    <cellStyle name="_MNT_VSE WFP_101001_By Region" xfId="0"/>
    <cellStyle name="_MNT_VSE WFP_101001_CORP SG&amp;A" xfId="0"/>
    <cellStyle name="_MNT_VSE WFP_101001_Digitizer" xfId="0"/>
    <cellStyle name="_MNT_VSE WFP_101001_GPS OTHER" xfId="0"/>
    <cellStyle name="_MNT_VSE WFP_101001_GPS OTHER 2" xfId="0"/>
    <cellStyle name="_MNT_VSE WFP_101001_GPS OTHER 3" xfId="0"/>
    <cellStyle name="_MNT_VSE WFP_101001_GPS OTHER 4" xfId="0"/>
    <cellStyle name="_MNT_VSE WFP_101001_GPS OTHER 4 2" xfId="0"/>
    <cellStyle name="_MNT_VSE WFP_101001_GPS OTHER_By Region" xfId="0"/>
    <cellStyle name="_MNT_VSE WFP_101001_GPS OTHER_CORP SG&amp;A" xfId="0"/>
    <cellStyle name="_MNT_VSE WFP_101001_GPS OTHER_LCD" xfId="0"/>
    <cellStyle name="_MNT_VSE WFP_101001_GPS OTHER_PJ" xfId="0"/>
    <cellStyle name="_MNT_VSE WFP_101001_LCD" xfId="0"/>
    <cellStyle name="_MNT_VSE WFP_101001_LCD 2" xfId="0"/>
    <cellStyle name="_MNT_VSE WFP_101001_LCD 3" xfId="0"/>
    <cellStyle name="_MNT_VSE WFP_101001_LCD 4" xfId="0"/>
    <cellStyle name="_MNT_VSE WFP_101001_LCD_By Region" xfId="0"/>
    <cellStyle name="_MNT_VSE WFP_101001_LCD_CORP SG&amp;A" xfId="0"/>
    <cellStyle name="_MNT_VSE WFP_101001_LCD_LCD" xfId="0"/>
    <cellStyle name="_MNT_VSE WFP_101001_LCD_PJ" xfId="0"/>
    <cellStyle name="_MNT_VSE WFP_101001_PC Products" xfId="0"/>
    <cellStyle name="_MNT_VSE WFP_101001_PC Products 2" xfId="0"/>
    <cellStyle name="_MNT_VSE WFP_101001_PC Products 3" xfId="0"/>
    <cellStyle name="_MNT_VSE WFP_101001_PC Products 4" xfId="0"/>
    <cellStyle name="_MNT_VSE WFP_101001_PC Products 4 2" xfId="0"/>
    <cellStyle name="_MNT_VSE WFP_101001_PC Products_By Region" xfId="0"/>
    <cellStyle name="_MNT_VSE WFP_101001_PC Products_CORP SG&amp;A" xfId="0"/>
    <cellStyle name="_MNT_VSE WFP_101001_PC Products_LCD" xfId="0"/>
    <cellStyle name="_MNT_VSE WFP_101001_PC Products_PJ" xfId="0"/>
    <cellStyle name="_MNT_VSE WFP_101001_VSA 111014" xfId="0"/>
    <cellStyle name="_MNT_VSE WFP_101001_VSA 111014 2" xfId="0"/>
    <cellStyle name="_MNT_VSE WFP_101001_VSA 111014 3" xfId="0"/>
    <cellStyle name="_MNT_VSE WFP_101001_VSA 111014 4" xfId="0"/>
    <cellStyle name="_MNT_VSE WFP_101001_VSA 111014 4 2" xfId="0"/>
    <cellStyle name="_MNT_VSE WFP_101001_VSA 111014_By Region" xfId="0"/>
    <cellStyle name="_MNT_VSE WFP_101001_VSA 111014_CORP SG&amp;A" xfId="0"/>
    <cellStyle name="_MNT_VSE WFP_101001_VSA 111014_LCD" xfId="0"/>
    <cellStyle name="_MNT_VSE WFP_101001_VSA 111014_PJ" xfId="0"/>
    <cellStyle name="_MNT_VSE WFP_101001_VSA Roll-Up (LW)" xfId="0"/>
    <cellStyle name="_MNT_VSE WFP_101001_VSA Roll-Up (LW) 2" xfId="0"/>
    <cellStyle name="_MNT_VSE WFP_101001_VSA Roll-Up (LW) 3" xfId="0"/>
    <cellStyle name="_MNT_VSE WFP_101001_VSA Roll-Up (LW) 4" xfId="0"/>
    <cellStyle name="_MNT_VSE WFP_101001_VSA Roll-Up (LW) 4 2" xfId="0"/>
    <cellStyle name="_MNT_VSE WFP_101001_VSA Roll-Up (LW)_By Region" xfId="0"/>
    <cellStyle name="_MNT_VSE WFP_101001_VSA Roll-Up (LW)_CORP SG&amp;A" xfId="0"/>
    <cellStyle name="_MNT_VSE WFP_101001_VSA Roll-Up (LW)_LCD" xfId="0"/>
    <cellStyle name="_MNT_VSE WFP_101001_VSA Roll-Up (LW)_PJ" xfId="0"/>
    <cellStyle name="_MNT_VSE WFP_101029-with more ViewPad 7" xfId="0"/>
    <cellStyle name="_MNT_VSE WFP_101029-with more ViewPad 7 2" xfId="0"/>
    <cellStyle name="_MNT_VSE WFP_101029-with more ViewPad 7 3" xfId="0"/>
    <cellStyle name="_MNT_VSE WFP_101029-with more ViewPad 7 4" xfId="0"/>
    <cellStyle name="_MNT_VSE WFP_101029-with more ViewPad 7_By Region" xfId="0"/>
    <cellStyle name="_MNT_VSE WFP_101029-with more ViewPad 7_CORP SG&amp;A" xfId="0"/>
    <cellStyle name="_MNT_VSE WFP_101029-with more ViewPad 7_Digitizer" xfId="0"/>
    <cellStyle name="_MNT_VSE WFP_101029-with more ViewPad 7_GPS OTHER" xfId="0"/>
    <cellStyle name="_MNT_VSE WFP_101029-with more ViewPad 7_GPS OTHER 2" xfId="0"/>
    <cellStyle name="_MNT_VSE WFP_101029-with more ViewPad 7_GPS OTHER 3" xfId="0"/>
    <cellStyle name="_MNT_VSE WFP_101029-with more ViewPad 7_GPS OTHER 4" xfId="0"/>
    <cellStyle name="_MNT_VSE WFP_101029-with more ViewPad 7_GPS OTHER 4 2" xfId="0"/>
    <cellStyle name="_MNT_VSE WFP_101029-with more ViewPad 7_GPS OTHER_By Region" xfId="0"/>
    <cellStyle name="_MNT_VSE WFP_101029-with more ViewPad 7_GPS OTHER_CORP SG&amp;A" xfId="0"/>
    <cellStyle name="_MNT_VSE WFP_101029-with more ViewPad 7_GPS OTHER_LCD" xfId="0"/>
    <cellStyle name="_MNT_VSE WFP_101029-with more ViewPad 7_GPS OTHER_PJ" xfId="0"/>
    <cellStyle name="_MNT_VSE WFP_101029-with more ViewPad 7_LCD" xfId="0"/>
    <cellStyle name="_MNT_VSE WFP_101029-with more ViewPad 7_LCD 2" xfId="0"/>
    <cellStyle name="_MNT_VSE WFP_101029-with more ViewPad 7_LCD 3" xfId="0"/>
    <cellStyle name="_MNT_VSE WFP_101029-with more ViewPad 7_LCD 4" xfId="0"/>
    <cellStyle name="_MNT_VSE WFP_101029-with more ViewPad 7_LCD_By Region" xfId="0"/>
    <cellStyle name="_MNT_VSE WFP_101029-with more ViewPad 7_LCD_CORP SG&amp;A" xfId="0"/>
    <cellStyle name="_MNT_VSE WFP_101029-with more ViewPad 7_LCD_LCD" xfId="0"/>
    <cellStyle name="_MNT_VSE WFP_101029-with more ViewPad 7_LCD_PJ" xfId="0"/>
    <cellStyle name="_MNT_VSE WFP_101029-with more ViewPad 7_PC Products" xfId="0"/>
    <cellStyle name="_MNT_VSE WFP_101029-with more ViewPad 7_PC Products 2" xfId="0"/>
    <cellStyle name="_MNT_VSE WFP_101029-with more ViewPad 7_PC Products 3" xfId="0"/>
    <cellStyle name="_MNT_VSE WFP_101029-with more ViewPad 7_PC Products 4" xfId="0"/>
    <cellStyle name="_MNT_VSE WFP_101029-with more ViewPad 7_PC Products 4 2" xfId="0"/>
    <cellStyle name="_MNT_VSE WFP_101029-with more ViewPad 7_PC Products_By Region" xfId="0"/>
    <cellStyle name="_MNT_VSE WFP_101029-with more ViewPad 7_PC Products_CORP SG&amp;A" xfId="0"/>
    <cellStyle name="_MNT_VSE WFP_101029-with more ViewPad 7_PC Products_LCD" xfId="0"/>
    <cellStyle name="_MNT_VSE WFP_101029-with more ViewPad 7_PC Products_PJ" xfId="0"/>
    <cellStyle name="_MNT_VSE WFP_101029-with more ViewPad 7_VSA 111014" xfId="0"/>
    <cellStyle name="_MNT_VSE WFP_101029-with more ViewPad 7_VSA 111014 2" xfId="0"/>
    <cellStyle name="_MNT_VSE WFP_101029-with more ViewPad 7_VSA 111014 3" xfId="0"/>
    <cellStyle name="_MNT_VSE WFP_101029-with more ViewPad 7_VSA 111014 4" xfId="0"/>
    <cellStyle name="_MNT_VSE WFP_101029-with more ViewPad 7_VSA 111014 4 2" xfId="0"/>
    <cellStyle name="_MNT_VSE WFP_101029-with more ViewPad 7_VSA 111014_By Region" xfId="0"/>
    <cellStyle name="_MNT_VSE WFP_101029-with more ViewPad 7_VSA 111014_CORP SG&amp;A" xfId="0"/>
    <cellStyle name="_MNT_VSE WFP_101029-with more ViewPad 7_VSA 111014_LCD" xfId="0"/>
    <cellStyle name="_MNT_VSE WFP_101029-with more ViewPad 7_VSA 111014_PJ" xfId="0"/>
    <cellStyle name="_MNT_VSE WFP_101029-with more ViewPad 7_VSA Roll-Up (LW)" xfId="0"/>
    <cellStyle name="_MNT_VSE WFP_101029-with more ViewPad 7_VSA Roll-Up (LW) 2" xfId="0"/>
    <cellStyle name="_MNT_VSE WFP_101029-with more ViewPad 7_VSA Roll-Up (LW) 3" xfId="0"/>
    <cellStyle name="_MNT_VSE WFP_101029-with more ViewPad 7_VSA Roll-Up (LW) 4" xfId="0"/>
    <cellStyle name="_MNT_VSE WFP_101029-with more ViewPad 7_VSA Roll-Up (LW) 4 2" xfId="0"/>
    <cellStyle name="_MNT_VSE WFP_101029-with more ViewPad 7_VSA Roll-Up (LW)_By Region" xfId="0"/>
    <cellStyle name="_MNT_VSE WFP_101029-with more ViewPad 7_VSA Roll-Up (LW)_CORP SG&amp;A" xfId="0"/>
    <cellStyle name="_MNT_VSE WFP_101029-with more ViewPad 7_VSA Roll-Up (LW)_LCD" xfId="0"/>
    <cellStyle name="_MNT_VSE WFP_101029-with more ViewPad 7_VSA Roll-Up (LW)_PJ" xfId="0"/>
    <cellStyle name="_Model reference table" xfId="0"/>
    <cellStyle name="_Model reference table 2" xfId="0"/>
    <cellStyle name="_Month Pivot" xfId="0"/>
    <cellStyle name="_Month Pivot 2" xfId="0"/>
    <cellStyle name="_New DSO (Line 22)" xfId="0"/>
    <cellStyle name="_New DSO (Line 22) 2" xfId="0"/>
    <cellStyle name="_new WMR" xfId="0"/>
    <cellStyle name="_new WMR 2" xfId="0"/>
    <cellStyle name="_new WMR_080822 WMR-VSC" xfId="0"/>
    <cellStyle name="_new WMR_080822 WMR-VSC 2" xfId="0"/>
    <cellStyle name="_new WMR_080829 WMR" xfId="0"/>
    <cellStyle name="_new WMR_080829 WMR 2" xfId="0"/>
    <cellStyle name="_new WMR_080905 WMR-VSC" xfId="0"/>
    <cellStyle name="_new WMR_080905 WMR-VSC 2" xfId="0"/>
    <cellStyle name="_new WMR_080912 WMR-VSC" xfId="0"/>
    <cellStyle name="_new WMR_080912 WMR-VSC 2" xfId="0"/>
    <cellStyle name="_new WMR_080919 WMR-VSC" xfId="0"/>
    <cellStyle name="_new WMR_080919 WMR-VSC 2" xfId="0"/>
    <cellStyle name="_new WMR_080926 WMR-VSC" xfId="0"/>
    <cellStyle name="_new WMR_080926 WMR-VSC 2" xfId="0"/>
    <cellStyle name="_new WMR_081003 WMR-VSC_1" xfId="0"/>
    <cellStyle name="_new WMR_081003 WMR-VSC_1 2" xfId="0"/>
    <cellStyle name="_new WMR_081010 WMR-VSC" xfId="0"/>
    <cellStyle name="_new WMR_081010 WMR-VSC 2" xfId="0"/>
    <cellStyle name="_new WMR_081017 WMR-VSC_1" xfId="0"/>
    <cellStyle name="_new WMR_081017 WMR-VSC_1 2" xfId="0"/>
    <cellStyle name="_new WMR_081024 WMR-VSC" xfId="0"/>
    <cellStyle name="_new WMR_081024 WMR-VSC 2" xfId="0"/>
    <cellStyle name="_new WMR_081031 WMR-VSC" xfId="0"/>
    <cellStyle name="_new WMR_081031 WMR-VSC 2" xfId="0"/>
    <cellStyle name="_new WMR_081107 WMR-VSC (2)" xfId="0"/>
    <cellStyle name="_new WMR_081107 WMR-VSC (2) 2" xfId="0"/>
    <cellStyle name="_new WMR_081107 WMR-VSC_1" xfId="0"/>
    <cellStyle name="_new WMR_081107 WMR-VSC_1 2" xfId="0"/>
    <cellStyle name="_new WMR_081114 WMR-VSC" xfId="0"/>
    <cellStyle name="_new WMR_081114 WMR-VSC 2" xfId="0"/>
    <cellStyle name="_new WMR_081121 WMR-VSC" xfId="0"/>
    <cellStyle name="_new WMR_081121 WMR-VSC 2" xfId="0"/>
    <cellStyle name="_new WMR_081128 WMR-VSC" xfId="0"/>
    <cellStyle name="_new WMR_081128 WMR-VSC 2" xfId="0"/>
    <cellStyle name="_new WMR_081128 WMR-VSC_1" xfId="0"/>
    <cellStyle name="_new WMR_081128 WMR-VSC_1 2" xfId="0"/>
    <cellStyle name="_new WMR_081205 WMR-VSC" xfId="0"/>
    <cellStyle name="_new WMR_081205 WMR-VSC 2" xfId="0"/>
    <cellStyle name="_new WMR_081212 WMR-VSC" xfId="0"/>
    <cellStyle name="_new WMR_081212 WMR-VSC 2" xfId="0"/>
    <cellStyle name="_new WMR_081219 WMR-VSC" xfId="0"/>
    <cellStyle name="_new WMR_081219 WMR-VSC 2" xfId="0"/>
    <cellStyle name="_new WMR_090102 WMR-VSC" xfId="0"/>
    <cellStyle name="_new WMR_090102 WMR-VSC 2" xfId="0"/>
    <cellStyle name="_new WMR_090424 WMR_VSE (2)" xfId="0"/>
    <cellStyle name="_new WMR_090424 WMR_VSE (2) 2" xfId="0"/>
    <cellStyle name="_new WMR_090703 WMR-VSC" xfId="0"/>
    <cellStyle name="_new WMR_090703 WMR-VSC 2" xfId="0"/>
    <cellStyle name="_new WMR_All Regions WMR Definitions - Updated 7-27-07" xfId="0"/>
    <cellStyle name="_new WMR_All Regions WMR Definitions - Updated 7-27-07 (3)" xfId="0"/>
    <cellStyle name="_new WMR_All Regions WMR Definitions - Updated 7-27-07 (3) 2" xfId="0"/>
    <cellStyle name="_new WMR_All Regions WMR Definitions - Updated 7-27-07 2" xfId="0"/>
    <cellStyle name="_new WMR_All Regions WMR Definitions - Updated 7-27-07 3" xfId="0"/>
    <cellStyle name="_new WMR_All Regions WMR Definitions - Updated 7-27-07 4" xfId="0"/>
    <cellStyle name="_new WMR_AP Turn Days old" xfId="0"/>
    <cellStyle name="_new WMR_AP Turn Days old 2" xfId="0"/>
    <cellStyle name="_new WMR_Cash" xfId="0"/>
    <cellStyle name="_new WMR_Cash 2" xfId="0"/>
    <cellStyle name="_new WMR_Charts" xfId="0"/>
    <cellStyle name="_new WMR_Charts 2" xfId="0"/>
    <cellStyle name="_new WMR_Inv Data" xfId="0"/>
    <cellStyle name="_new WMR_Inv Data 2" xfId="0"/>
    <cellStyle name="_new WMR_Inventory Pivot" xfId="0"/>
    <cellStyle name="_new WMR_Inventory Pivot 2" xfId="0"/>
    <cellStyle name="_new WMR_New Calculation of Inventory turn day" xfId="0"/>
    <cellStyle name="_new WMR_New Calculation of Inventory turn day 2" xfId="0"/>
    <cellStyle name="_new WMR_NEW WMR" xfId="0"/>
    <cellStyle name="_new WMR_NEW WMR 2" xfId="0"/>
    <cellStyle name="_new WMR_OpenOrder Data" xfId="0"/>
    <cellStyle name="_new WMR_OpenOrder Data 2" xfId="0"/>
    <cellStyle name="_new WMR_Turn Days" xfId="0"/>
    <cellStyle name="_new WMR_Turn Days 2" xfId="0"/>
    <cellStyle name="_new WMR_VDL" xfId="0"/>
    <cellStyle name="_new WMR_VDL 2" xfId="0"/>
    <cellStyle name="_new WMR_VSA" xfId="0"/>
    <cellStyle name="_new WMR_VSA 2" xfId="0"/>
    <cellStyle name="_new WMR_VSA Cash Flow Model (6-4-07)" xfId="0"/>
    <cellStyle name="_new WMR_VSA Cash Flow Model (6-4-07) 2" xfId="0"/>
    <cellStyle name="_new WMR_VSACE" xfId="0"/>
    <cellStyle name="_new WMR_VSACE 2" xfId="0"/>
    <cellStyle name="_new WMR_VSC" xfId="0"/>
    <cellStyle name="_new WMR_VSC 2" xfId="0"/>
    <cellStyle name="_new WMR_VSCN" xfId="0"/>
    <cellStyle name="_new WMR_VSCN 2" xfId="0"/>
    <cellStyle name="_new WMR_VSE" xfId="0"/>
    <cellStyle name="_new WMR_VSE 2" xfId="0"/>
    <cellStyle name="_new WMR_VSE WMR Workbook 08-07-09" xfId="0"/>
    <cellStyle name="_new WMR_VSE WMR Workbook 08-07-09 2" xfId="0"/>
    <cellStyle name="_new WMR_VSE WMR Workbook 11-19-10" xfId="0"/>
    <cellStyle name="_new WMR_VSE WMR Workbook 11-19-10 2" xfId="0"/>
    <cellStyle name="_new WMR_VSE WMR Workbook 12-31-10" xfId="0"/>
    <cellStyle name="_new WMR_VSE WMR Workbook 12-31-10 2" xfId="0"/>
    <cellStyle name="_new WMR_VSI" xfId="0"/>
    <cellStyle name="_new WMR_VSI 2" xfId="0"/>
    <cellStyle name="_new WMR_VSI-WMR" xfId="0"/>
    <cellStyle name="_new WMR_VSI-WMR (5)" xfId="0"/>
    <cellStyle name="_new WMR_VSI-WMR (5) 2" xfId="0"/>
    <cellStyle name="_new WMR_VSI-WMR (6)" xfId="0"/>
    <cellStyle name="_new WMR_VSI-WMR (6) 2" xfId="0"/>
    <cellStyle name="_new WMR_VSI-WMR 10" xfId="0"/>
    <cellStyle name="_new WMR_VSI-WMR 2" xfId="0"/>
    <cellStyle name="_new WMR_VSI-WMR 2007-07-06" xfId="0"/>
    <cellStyle name="_new WMR_VSI-WMR 2007-07-06 2" xfId="0"/>
    <cellStyle name="_new WMR_VSI-WMR 3" xfId="0"/>
    <cellStyle name="_new WMR_VSI-WMR 4" xfId="0"/>
    <cellStyle name="_new WMR_VSI-WMR 5" xfId="0"/>
    <cellStyle name="_new WMR_VSI-WMR 6" xfId="0"/>
    <cellStyle name="_new WMR_VSI-WMR 7" xfId="0"/>
    <cellStyle name="_new WMR_VSI-WMR 8" xfId="0"/>
    <cellStyle name="_new WMR_VSI-WMR 9" xfId="0"/>
    <cellStyle name="_new WMR_VSI-WMR_080822 WMR-VSC" xfId="0"/>
    <cellStyle name="_new WMR_VSI-WMR_080822 WMR-VSC 2" xfId="0"/>
    <cellStyle name="_new WMR_VSI-WMR_080829 WMR" xfId="0"/>
    <cellStyle name="_new WMR_VSI-WMR_080829 WMR 2" xfId="0"/>
    <cellStyle name="_new WMR_VSI-WMR_080905 WMR-VSC" xfId="0"/>
    <cellStyle name="_new WMR_VSI-WMR_080905 WMR-VSC 2" xfId="0"/>
    <cellStyle name="_new WMR_VSI-WMR_080912 WMR-VSC" xfId="0"/>
    <cellStyle name="_new WMR_VSI-WMR_080912 WMR-VSC 2" xfId="0"/>
    <cellStyle name="_new WMR_VSI-WMR_080919 WMR-VSC" xfId="0"/>
    <cellStyle name="_new WMR_VSI-WMR_080919 WMR-VSC 2" xfId="0"/>
    <cellStyle name="_new WMR_VSI-WMR_080926 WMR-VSC" xfId="0"/>
    <cellStyle name="_new WMR_VSI-WMR_080926 WMR-VSC 2" xfId="0"/>
    <cellStyle name="_new WMR_VSI-WMR_081003 WMR-VSC_1" xfId="0"/>
    <cellStyle name="_new WMR_VSI-WMR_081003 WMR-VSC_1 2" xfId="0"/>
    <cellStyle name="_new WMR_VSI-WMR_081010 WMR-VSC" xfId="0"/>
    <cellStyle name="_new WMR_VSI-WMR_081010 WMR-VSC 2" xfId="0"/>
    <cellStyle name="_new WMR_VSI-WMR_081017 WMR-VSC_1" xfId="0"/>
    <cellStyle name="_new WMR_VSI-WMR_081017 WMR-VSC_1 2" xfId="0"/>
    <cellStyle name="_new WMR_VSI-WMR_081024 WMR-VSC" xfId="0"/>
    <cellStyle name="_new WMR_VSI-WMR_081024 WMR-VSC 2" xfId="0"/>
    <cellStyle name="_new WMR_VSI-WMR_081031 WMR-VSC" xfId="0"/>
    <cellStyle name="_new WMR_VSI-WMR_081031 WMR-VSC 2" xfId="0"/>
    <cellStyle name="_new WMR_VSI-WMR_081107 WMR-VSC (2)" xfId="0"/>
    <cellStyle name="_new WMR_VSI-WMR_081107 WMR-VSC (2) 2" xfId="0"/>
    <cellStyle name="_new WMR_VSI-WMR_081107 WMR-VSC_1" xfId="0"/>
    <cellStyle name="_new WMR_VSI-WMR_081107 WMR-VSC_1 2" xfId="0"/>
    <cellStyle name="_new WMR_VSI-WMR_081114 WMR-VSC" xfId="0"/>
    <cellStyle name="_new WMR_VSI-WMR_081114 WMR-VSC 2" xfId="0"/>
    <cellStyle name="_new WMR_VSI-WMR_081121 WMR-VSC" xfId="0"/>
    <cellStyle name="_new WMR_VSI-WMR_081121 WMR-VSC 2" xfId="0"/>
    <cellStyle name="_new WMR_VSI-WMR_081128 WMR-VSC" xfId="0"/>
    <cellStyle name="_new WMR_VSI-WMR_081128 WMR-VSC 2" xfId="0"/>
    <cellStyle name="_new WMR_VSI-WMR_081128 WMR-VSC_1" xfId="0"/>
    <cellStyle name="_new WMR_VSI-WMR_081128 WMR-VSC_1 2" xfId="0"/>
    <cellStyle name="_new WMR_VSI-WMR_081205 WMR-VSC" xfId="0"/>
    <cellStyle name="_new WMR_VSI-WMR_081205 WMR-VSC 2" xfId="0"/>
    <cellStyle name="_new WMR_VSI-WMR_081212 WMR-VSC" xfId="0"/>
    <cellStyle name="_new WMR_VSI-WMR_081212 WMR-VSC 2" xfId="0"/>
    <cellStyle name="_new WMR_VSI-WMR_081219 WMR-VSC" xfId="0"/>
    <cellStyle name="_new WMR_VSI-WMR_081219 WMR-VSC 2" xfId="0"/>
    <cellStyle name="_new WMR_VSI-WMR_090102 WMR-VSC" xfId="0"/>
    <cellStyle name="_new WMR_VSI-WMR_090102 WMR-VSC 2" xfId="0"/>
    <cellStyle name="_new WMR_VSI-WMR_090424 WMR_VSE (2)" xfId="0"/>
    <cellStyle name="_new WMR_VSI-WMR_090424 WMR_VSE (2) 2" xfId="0"/>
    <cellStyle name="_new WMR_VSI-WMR_090703 WMR-VSC" xfId="0"/>
    <cellStyle name="_new WMR_VSI-WMR_090703 WMR-VSC 2" xfId="0"/>
    <cellStyle name="_new WMR_VSI-WMR_AP Turn Days old" xfId="0"/>
    <cellStyle name="_new WMR_VSI-WMR_AP Turn Days old 2" xfId="0"/>
    <cellStyle name="_new WMR_VSI-WMR_Cash" xfId="0"/>
    <cellStyle name="_new WMR_VSI-WMR_Cash 2" xfId="0"/>
    <cellStyle name="_new WMR_VSI-WMR_Charts" xfId="0"/>
    <cellStyle name="_new WMR_VSI-WMR_Charts 2" xfId="0"/>
    <cellStyle name="_new WMR_VSI-WMR_Inv Data" xfId="0"/>
    <cellStyle name="_new WMR_VSI-WMR_Inv Data 2" xfId="0"/>
    <cellStyle name="_new WMR_VSI-WMR_Inventory Pivot" xfId="0"/>
    <cellStyle name="_new WMR_VSI-WMR_Inventory Pivot 2" xfId="0"/>
    <cellStyle name="_new WMR_VSI-WMR_NEW WMR" xfId="0"/>
    <cellStyle name="_new WMR_VSI-WMR_NEW WMR 2" xfId="0"/>
    <cellStyle name="_new WMR_VSI-WMR_OpenOrder Data" xfId="0"/>
    <cellStyle name="_new WMR_VSI-WMR_OpenOrder Data 2" xfId="0"/>
    <cellStyle name="_new WMR_VSI-WMR_Turn Days" xfId="0"/>
    <cellStyle name="_new WMR_VSI-WMR_Turn Days 2" xfId="0"/>
    <cellStyle name="_new WMR_VSI-WMR_VDL" xfId="0"/>
    <cellStyle name="_new WMR_VSI-WMR_VDL 2" xfId="0"/>
    <cellStyle name="_new WMR_VSI-WMR_VSA" xfId="0"/>
    <cellStyle name="_new WMR_VSI-WMR_VSA 2" xfId="0"/>
    <cellStyle name="_new WMR_VSI-WMR_VSA Cash Flow Model (6-4-07)" xfId="0"/>
    <cellStyle name="_new WMR_VSI-WMR_VSA Cash Flow Model (6-4-07) 2" xfId="0"/>
    <cellStyle name="_new WMR_VSI-WMR_VSACE" xfId="0"/>
    <cellStyle name="_new WMR_VSI-WMR_VSACE 2" xfId="0"/>
    <cellStyle name="_new WMR_VSI-WMR_VSC" xfId="0"/>
    <cellStyle name="_new WMR_VSI-WMR_VSC 2" xfId="0"/>
    <cellStyle name="_new WMR_VSI-WMR_VSCN" xfId="0"/>
    <cellStyle name="_new WMR_VSI-WMR_VSCN 2" xfId="0"/>
    <cellStyle name="_new WMR_VSI-WMR_VSE" xfId="0"/>
    <cellStyle name="_new WMR_VSI-WMR_VSE 2" xfId="0"/>
    <cellStyle name="_new WMR_VSI-WMR_VSE WMR Workbook 08-07-09" xfId="0"/>
    <cellStyle name="_new WMR_VSI-WMR_VSE WMR Workbook 08-07-09 2" xfId="0"/>
    <cellStyle name="_new WMR_VSI-WMR_VSE WMR Workbook 11-19-10" xfId="0"/>
    <cellStyle name="_new WMR_VSI-WMR_VSE WMR Workbook 11-19-10 2" xfId="0"/>
    <cellStyle name="_new WMR_VSI-WMR_VSE WMR Workbook 12-31-10" xfId="0"/>
    <cellStyle name="_new WMR_VSI-WMR_VSE WMR Workbook 12-31-10 2" xfId="0"/>
    <cellStyle name="_new WMR_VSI-WMR_VSI" xfId="0"/>
    <cellStyle name="_new WMR_VSI-WMR_VSI 2" xfId="0"/>
    <cellStyle name="_new WMR_VSI-WMR_WMR" xfId="0"/>
    <cellStyle name="_new WMR_VSI-WMR_WMR (by QTY)" xfId="0"/>
    <cellStyle name="_new WMR_VSI-WMR_WMR (by QTY) 2" xfId="0"/>
    <cellStyle name="_new WMR_VSI-WMR_WMR 2" xfId="0"/>
    <cellStyle name="_new WMR_VSI-WMR_WMR 3" xfId="0"/>
    <cellStyle name="_new WMR_VSI-WMR_WMR 4" xfId="0"/>
    <cellStyle name="_new WMR_WMR" xfId="0"/>
    <cellStyle name="_new WMR_WMR (by QTY)" xfId="0"/>
    <cellStyle name="_new WMR_WMR (by QTY) 2" xfId="0"/>
    <cellStyle name="_new WMR_WMR 2" xfId="0"/>
    <cellStyle name="_new WMR_WMR 3" xfId="0"/>
    <cellStyle name="_new WMR_WMR 4" xfId="0"/>
    <cellStyle name="_new WMR_WMR Definitions" xfId="0"/>
    <cellStyle name="_new WMR_WMR Definitions 2" xfId="0"/>
    <cellStyle name="_No1-RD" xfId="0"/>
    <cellStyle name="_No1-RD 2" xfId="0"/>
    <cellStyle name="_NOK" xfId="0"/>
    <cellStyle name="_NOK 2" xfId="0"/>
    <cellStyle name="_Nordic" xfId="0"/>
    <cellStyle name="_Nordic 2" xfId="0"/>
    <cellStyle name="_Nov End" xfId="0"/>
    <cellStyle name="_Nov End 2" xfId="0"/>
    <cellStyle name="_Nov End_CORP SG&amp;A" xfId="0"/>
    <cellStyle name="_NOV-10 VSI Consolidated BS" xfId="0"/>
    <cellStyle name="_NOV-10 VSI Consolidated BS 2" xfId="0"/>
    <cellStyle name="_NOV-10 VSI Consolidated P&amp;L" xfId="0"/>
    <cellStyle name="_NOV-10 VSI Consolidated P&amp;L 2" xfId="0"/>
    <cellStyle name="_NOV-10 VSI Consolidated SG&amp;A" xfId="0"/>
    <cellStyle name="_NOV-10 VSI Consolidated SG&amp;A 2" xfId="0"/>
    <cellStyle name="_OCT-10 VSI Consolidated BS" xfId="0"/>
    <cellStyle name="_OCT-10 VSI Consolidated BS 2" xfId="0"/>
    <cellStyle name="_OCT-10 VSI Consolidated P&amp;L" xfId="0"/>
    <cellStyle name="_OCT-10 VSI Consolidated P&amp;L 2" xfId="0"/>
    <cellStyle name="_OCT-10 VSI Consolidated SG&amp;A" xfId="0"/>
    <cellStyle name="_OCT-10 VSI Consolidated SG&amp;A 2" xfId="0"/>
    <cellStyle name="_on water chart &amp; AP" xfId="0"/>
    <cellStyle name="_on water chart &amp; AP 2" xfId="0"/>
    <cellStyle name="_Other" xfId="0"/>
    <cellStyle name="_Other 2" xfId="0"/>
    <cellStyle name="_Other 3" xfId="0"/>
    <cellStyle name="_Other 4" xfId="0"/>
    <cellStyle name="_Other 5" xfId="0"/>
    <cellStyle name="_Other_By Region" xfId="0"/>
    <cellStyle name="_Other_CIS" xfId="0"/>
    <cellStyle name="_Other_CIS 2" xfId="0"/>
    <cellStyle name="_Other_CIS 3" xfId="0"/>
    <cellStyle name="_Other_CIS 4" xfId="0"/>
    <cellStyle name="_Other_CIS_By Region" xfId="0"/>
    <cellStyle name="_Other_CIS_CORP SG&amp;A" xfId="0"/>
    <cellStyle name="_Other_CIS_Digitizer" xfId="0"/>
    <cellStyle name="_Other_CIS_GPS OTHER" xfId="0"/>
    <cellStyle name="_Other_CIS_GPS OTHER 2" xfId="0"/>
    <cellStyle name="_Other_CIS_GPS OTHER 3" xfId="0"/>
    <cellStyle name="_Other_CIS_GPS OTHER 4" xfId="0"/>
    <cellStyle name="_Other_CIS_GPS OTHER 4 2" xfId="0"/>
    <cellStyle name="_Other_CIS_GPS OTHER_By Region" xfId="0"/>
    <cellStyle name="_Other_CIS_GPS OTHER_CORP SG&amp;A" xfId="0"/>
    <cellStyle name="_Other_CIS_GPS OTHER_LCD" xfId="0"/>
    <cellStyle name="_Other_CIS_GPS OTHER_PJ" xfId="0"/>
    <cellStyle name="_Other_CIS_LCD" xfId="0"/>
    <cellStyle name="_Other_CIS_LCD 2" xfId="0"/>
    <cellStyle name="_Other_CIS_LCD 3" xfId="0"/>
    <cellStyle name="_Other_CIS_LCD 4" xfId="0"/>
    <cellStyle name="_Other_CIS_LCD_By Region" xfId="0"/>
    <cellStyle name="_Other_CIS_LCD_CORP SG&amp;A" xfId="0"/>
    <cellStyle name="_Other_CIS_LCD_LCD" xfId="0"/>
    <cellStyle name="_Other_CIS_LCD_PJ" xfId="0"/>
    <cellStyle name="_Other_CIS_PC Products" xfId="0"/>
    <cellStyle name="_Other_CIS_PC Products 2" xfId="0"/>
    <cellStyle name="_Other_CIS_PC Products 3" xfId="0"/>
    <cellStyle name="_Other_CIS_PC Products 4" xfId="0"/>
    <cellStyle name="_Other_CIS_PC Products 4 2" xfId="0"/>
    <cellStyle name="_Other_CIS_PC Products_By Region" xfId="0"/>
    <cellStyle name="_Other_CIS_PC Products_CORP SG&amp;A" xfId="0"/>
    <cellStyle name="_Other_CIS_PC Products_LCD" xfId="0"/>
    <cellStyle name="_Other_CIS_PC Products_PJ" xfId="0"/>
    <cellStyle name="_Other_CIS_VSA 111014" xfId="0"/>
    <cellStyle name="_Other_CIS_VSA 111014 2" xfId="0"/>
    <cellStyle name="_Other_CIS_VSA 111014 3" xfId="0"/>
    <cellStyle name="_Other_CIS_VSA 111014 4" xfId="0"/>
    <cellStyle name="_Other_CIS_VSA 111014 4 2" xfId="0"/>
    <cellStyle name="_Other_CIS_VSA 111014_By Region" xfId="0"/>
    <cellStyle name="_Other_CIS_VSA 111014_CORP SG&amp;A" xfId="0"/>
    <cellStyle name="_Other_CIS_VSA 111014_LCD" xfId="0"/>
    <cellStyle name="_Other_CIS_VSA 111014_PJ" xfId="0"/>
    <cellStyle name="_Other_CIS_VSA Roll-Up (LW)" xfId="0"/>
    <cellStyle name="_Other_CIS_VSA Roll-Up (LW) 2" xfId="0"/>
    <cellStyle name="_Other_CIS_VSA Roll-Up (LW) 3" xfId="0"/>
    <cellStyle name="_Other_CIS_VSA Roll-Up (LW) 4" xfId="0"/>
    <cellStyle name="_Other_CIS_VSA Roll-Up (LW) 4 2" xfId="0"/>
    <cellStyle name="_Other_CIS_VSA Roll-Up (LW)_By Region" xfId="0"/>
    <cellStyle name="_Other_CIS_VSA Roll-Up (LW)_CORP SG&amp;A" xfId="0"/>
    <cellStyle name="_Other_CIS_VSA Roll-Up (LW)_LCD" xfId="0"/>
    <cellStyle name="_Other_CIS_VSA Roll-Up (LW)_PJ" xfId="0"/>
    <cellStyle name="_Other_CORP SG&amp;A" xfId="0"/>
    <cellStyle name="_Other_CRT" xfId="0"/>
    <cellStyle name="_Other_CRT 2" xfId="0"/>
    <cellStyle name="_Other_CRT 3" xfId="0"/>
    <cellStyle name="_Other_CRT 4" xfId="0"/>
    <cellStyle name="_Other_CRT_By Region" xfId="0"/>
    <cellStyle name="_Other_CRT_CORP SG&amp;A" xfId="0"/>
    <cellStyle name="_Other_CRT_Digitizer" xfId="0"/>
    <cellStyle name="_Other_CRT_GPS OTHER" xfId="0"/>
    <cellStyle name="_Other_CRT_GPS OTHER 2" xfId="0"/>
    <cellStyle name="_Other_CRT_GPS OTHER 3" xfId="0"/>
    <cellStyle name="_Other_CRT_GPS OTHER 4" xfId="0"/>
    <cellStyle name="_Other_CRT_GPS OTHER 4 2" xfId="0"/>
    <cellStyle name="_Other_CRT_GPS OTHER_By Region" xfId="0"/>
    <cellStyle name="_Other_CRT_GPS OTHER_CORP SG&amp;A" xfId="0"/>
    <cellStyle name="_Other_CRT_GPS OTHER_LCD" xfId="0"/>
    <cellStyle name="_Other_CRT_GPS OTHER_PJ" xfId="0"/>
    <cellStyle name="_Other_CRT_LCD" xfId="0"/>
    <cellStyle name="_Other_CRT_LCD 2" xfId="0"/>
    <cellStyle name="_Other_CRT_LCD 3" xfId="0"/>
    <cellStyle name="_Other_CRT_LCD 4" xfId="0"/>
    <cellStyle name="_Other_CRT_LCD_By Region" xfId="0"/>
    <cellStyle name="_Other_CRT_LCD_CORP SG&amp;A" xfId="0"/>
    <cellStyle name="_Other_CRT_LCD_LCD" xfId="0"/>
    <cellStyle name="_Other_CRT_LCD_PJ" xfId="0"/>
    <cellStyle name="_Other_CRT_PC Products" xfId="0"/>
    <cellStyle name="_Other_CRT_PC Products 2" xfId="0"/>
    <cellStyle name="_Other_CRT_PC Products 3" xfId="0"/>
    <cellStyle name="_Other_CRT_PC Products 4" xfId="0"/>
    <cellStyle name="_Other_CRT_PC Products 4 2" xfId="0"/>
    <cellStyle name="_Other_CRT_PC Products_By Region" xfId="0"/>
    <cellStyle name="_Other_CRT_PC Products_CORP SG&amp;A" xfId="0"/>
    <cellStyle name="_Other_CRT_PC Products_LCD" xfId="0"/>
    <cellStyle name="_Other_CRT_PC Products_PJ" xfId="0"/>
    <cellStyle name="_Other_CRT_VSA 111014" xfId="0"/>
    <cellStyle name="_Other_CRT_VSA 111014 2" xfId="0"/>
    <cellStyle name="_Other_CRT_VSA 111014 3" xfId="0"/>
    <cellStyle name="_Other_CRT_VSA 111014 4" xfId="0"/>
    <cellStyle name="_Other_CRT_VSA 111014 4 2" xfId="0"/>
    <cellStyle name="_Other_CRT_VSA 111014_By Region" xfId="0"/>
    <cellStyle name="_Other_CRT_VSA 111014_CORP SG&amp;A" xfId="0"/>
    <cellStyle name="_Other_CRT_VSA 111014_LCD" xfId="0"/>
    <cellStyle name="_Other_CRT_VSA 111014_PJ" xfId="0"/>
    <cellStyle name="_Other_CRT_VSA Roll-Up (LW)" xfId="0"/>
    <cellStyle name="_Other_CRT_VSA Roll-Up (LW) 2" xfId="0"/>
    <cellStyle name="_Other_CRT_VSA Roll-Up (LW) 3" xfId="0"/>
    <cellStyle name="_Other_CRT_VSA Roll-Up (LW) 4" xfId="0"/>
    <cellStyle name="_Other_CRT_VSA Roll-Up (LW) 4 2" xfId="0"/>
    <cellStyle name="_Other_CRT_VSA Roll-Up (LW)_By Region" xfId="0"/>
    <cellStyle name="_Other_CRT_VSA Roll-Up (LW)_CORP SG&amp;A" xfId="0"/>
    <cellStyle name="_Other_CRT_VSA Roll-Up (LW)_LCD" xfId="0"/>
    <cellStyle name="_Other_CRT_VSA Roll-Up (LW)_PJ" xfId="0"/>
    <cellStyle name="_Other_Diff" xfId="0"/>
    <cellStyle name="_Other_Diff 2" xfId="0"/>
    <cellStyle name="_Other_Diff 3" xfId="0"/>
    <cellStyle name="_Other_Diff 4" xfId="0"/>
    <cellStyle name="_Other_Diff_By Region" xfId="0"/>
    <cellStyle name="_Other_Diff_CORP SG&amp;A" xfId="0"/>
    <cellStyle name="_Other_Diff_Digitizer" xfId="0"/>
    <cellStyle name="_Other_Diff_GPS OTHER" xfId="0"/>
    <cellStyle name="_Other_Diff_GPS OTHER 2" xfId="0"/>
    <cellStyle name="_Other_Diff_GPS OTHER 3" xfId="0"/>
    <cellStyle name="_Other_Diff_GPS OTHER 4" xfId="0"/>
    <cellStyle name="_Other_Diff_GPS OTHER 4 2" xfId="0"/>
    <cellStyle name="_Other_Diff_GPS OTHER_By Region" xfId="0"/>
    <cellStyle name="_Other_Diff_GPS OTHER_CORP SG&amp;A" xfId="0"/>
    <cellStyle name="_Other_Diff_GPS OTHER_LCD" xfId="0"/>
    <cellStyle name="_Other_Diff_GPS OTHER_PJ" xfId="0"/>
    <cellStyle name="_Other_Diff_LCD" xfId="0"/>
    <cellStyle name="_Other_Diff_LCD 2" xfId="0"/>
    <cellStyle name="_Other_Diff_LCD 3" xfId="0"/>
    <cellStyle name="_Other_Diff_LCD 4" xfId="0"/>
    <cellStyle name="_Other_Diff_LCD_By Region" xfId="0"/>
    <cellStyle name="_Other_Diff_LCD_CORP SG&amp;A" xfId="0"/>
    <cellStyle name="_Other_Diff_LCD_LCD" xfId="0"/>
    <cellStyle name="_Other_Diff_LCD_PJ" xfId="0"/>
    <cellStyle name="_Other_Diff_PC Products" xfId="0"/>
    <cellStyle name="_Other_Diff_PC Products 2" xfId="0"/>
    <cellStyle name="_Other_Diff_PC Products 3" xfId="0"/>
    <cellStyle name="_Other_Diff_PC Products 4" xfId="0"/>
    <cellStyle name="_Other_Diff_PC Products 4 2" xfId="0"/>
    <cellStyle name="_Other_Diff_PC Products_By Region" xfId="0"/>
    <cellStyle name="_Other_Diff_PC Products_CORP SG&amp;A" xfId="0"/>
    <cellStyle name="_Other_Diff_PC Products_LCD" xfId="0"/>
    <cellStyle name="_Other_Diff_PC Products_PJ" xfId="0"/>
    <cellStyle name="_Other_Diff_VSA 111014" xfId="0"/>
    <cellStyle name="_Other_Diff_VSA 111014 2" xfId="0"/>
    <cellStyle name="_Other_Diff_VSA 111014 3" xfId="0"/>
    <cellStyle name="_Other_Diff_VSA 111014 4" xfId="0"/>
    <cellStyle name="_Other_Diff_VSA 111014 4 2" xfId="0"/>
    <cellStyle name="_Other_Diff_VSA 111014_By Region" xfId="0"/>
    <cellStyle name="_Other_Diff_VSA 111014_CORP SG&amp;A" xfId="0"/>
    <cellStyle name="_Other_Diff_VSA 111014_LCD" xfId="0"/>
    <cellStyle name="_Other_Diff_VSA 111014_PJ" xfId="0"/>
    <cellStyle name="_Other_Diff_VSA Roll-Up (LW)" xfId="0"/>
    <cellStyle name="_Other_Diff_VSA Roll-Up (LW) 2" xfId="0"/>
    <cellStyle name="_Other_Diff_VSA Roll-Up (LW) 3" xfId="0"/>
    <cellStyle name="_Other_Diff_VSA Roll-Up (LW) 4" xfId="0"/>
    <cellStyle name="_Other_Diff_VSA Roll-Up (LW) 4 2" xfId="0"/>
    <cellStyle name="_Other_Diff_VSA Roll-Up (LW)_By Region" xfId="0"/>
    <cellStyle name="_Other_Diff_VSA Roll-Up (LW)_CORP SG&amp;A" xfId="0"/>
    <cellStyle name="_Other_Diff_VSA Roll-Up (LW)_LCD" xfId="0"/>
    <cellStyle name="_Other_Diff_VSA Roll-Up (LW)_PJ" xfId="0"/>
    <cellStyle name="_Other_Digital Product" xfId="0"/>
    <cellStyle name="_Other_Digital Product 2" xfId="0"/>
    <cellStyle name="_Other_Digital Product 3" xfId="0"/>
    <cellStyle name="_Other_Digital Product 4" xfId="0"/>
    <cellStyle name="_Other_Digital Product_By Region" xfId="0"/>
    <cellStyle name="_Other_Digital Product_CORP SG&amp;A" xfId="0"/>
    <cellStyle name="_Other_Digital Product_Digitizer" xfId="0"/>
    <cellStyle name="_Other_Digital Product_GPS OTHER" xfId="0"/>
    <cellStyle name="_Other_Digital Product_GPS OTHER 2" xfId="0"/>
    <cellStyle name="_Other_Digital Product_GPS OTHER 3" xfId="0"/>
    <cellStyle name="_Other_Digital Product_GPS OTHER 4" xfId="0"/>
    <cellStyle name="_Other_Digital Product_GPS OTHER 4 2" xfId="0"/>
    <cellStyle name="_Other_Digital Product_GPS OTHER_By Region" xfId="0"/>
    <cellStyle name="_Other_Digital Product_GPS OTHER_CORP SG&amp;A" xfId="0"/>
    <cellStyle name="_Other_Digital Product_GPS OTHER_LCD" xfId="0"/>
    <cellStyle name="_Other_Digital Product_GPS OTHER_PJ" xfId="0"/>
    <cellStyle name="_Other_Digital Product_LCD" xfId="0"/>
    <cellStyle name="_Other_Digital Product_LCD 2" xfId="0"/>
    <cellStyle name="_Other_Digital Product_LCD 3" xfId="0"/>
    <cellStyle name="_Other_Digital Product_LCD 4" xfId="0"/>
    <cellStyle name="_Other_Digital Product_LCD_By Region" xfId="0"/>
    <cellStyle name="_Other_Digital Product_LCD_CORP SG&amp;A" xfId="0"/>
    <cellStyle name="_Other_Digital Product_LCD_LCD" xfId="0"/>
    <cellStyle name="_Other_Digital Product_LCD_PJ" xfId="0"/>
    <cellStyle name="_Other_Digital Product_PC Products" xfId="0"/>
    <cellStyle name="_Other_Digital Product_PC Products 2" xfId="0"/>
    <cellStyle name="_Other_Digital Product_PC Products 3" xfId="0"/>
    <cellStyle name="_Other_Digital Product_PC Products 4" xfId="0"/>
    <cellStyle name="_Other_Digital Product_PC Products 4 2" xfId="0"/>
    <cellStyle name="_Other_Digital Product_PC Products_By Region" xfId="0"/>
    <cellStyle name="_Other_Digital Product_PC Products_CORP SG&amp;A" xfId="0"/>
    <cellStyle name="_Other_Digital Product_PC Products_LCD" xfId="0"/>
    <cellStyle name="_Other_Digital Product_PC Products_PJ" xfId="0"/>
    <cellStyle name="_Other_Digital Product_VSA 111014" xfId="0"/>
    <cellStyle name="_Other_Digital Product_VSA 111014 2" xfId="0"/>
    <cellStyle name="_Other_Digital Product_VSA 111014 3" xfId="0"/>
    <cellStyle name="_Other_Digital Product_VSA 111014 4" xfId="0"/>
    <cellStyle name="_Other_Digital Product_VSA 111014 4 2" xfId="0"/>
    <cellStyle name="_Other_Digital Product_VSA 111014_By Region" xfId="0"/>
    <cellStyle name="_Other_Digital Product_VSA 111014_CORP SG&amp;A" xfId="0"/>
    <cellStyle name="_Other_Digital Product_VSA 111014_LCD" xfId="0"/>
    <cellStyle name="_Other_Digital Product_VSA 111014_PJ" xfId="0"/>
    <cellStyle name="_Other_Digital Product_VSA Roll-Up (LW)" xfId="0"/>
    <cellStyle name="_Other_Digital Product_VSA Roll-Up (LW) 2" xfId="0"/>
    <cellStyle name="_Other_Digital Product_VSA Roll-Up (LW) 3" xfId="0"/>
    <cellStyle name="_Other_Digital Product_VSA Roll-Up (LW) 4" xfId="0"/>
    <cellStyle name="_Other_Digital Product_VSA Roll-Up (LW) 4 2" xfId="0"/>
    <cellStyle name="_Other_Digital Product_VSA Roll-Up (LW)_By Region" xfId="0"/>
    <cellStyle name="_Other_Digital Product_VSA Roll-Up (LW)_CORP SG&amp;A" xfId="0"/>
    <cellStyle name="_Other_Digital Product_VSA Roll-Up (LW)_LCD" xfId="0"/>
    <cellStyle name="_Other_Digital Product_VSA Roll-Up (LW)_PJ" xfId="0"/>
    <cellStyle name="_Other_Digital Signage" xfId="0"/>
    <cellStyle name="_Other_Digital Signage 2" xfId="0"/>
    <cellStyle name="_Other_Digital Signage 3" xfId="0"/>
    <cellStyle name="_Other_Digital Signage 4" xfId="0"/>
    <cellStyle name="_Other_Digital Signage_By Region" xfId="0"/>
    <cellStyle name="_Other_Digital Signage_CORP SG&amp;A" xfId="0"/>
    <cellStyle name="_Other_Digital Signage_Digitizer" xfId="0"/>
    <cellStyle name="_Other_Digital Signage_GPS OTHER" xfId="0"/>
    <cellStyle name="_Other_Digital Signage_GPS OTHER 2" xfId="0"/>
    <cellStyle name="_Other_Digital Signage_GPS OTHER 3" xfId="0"/>
    <cellStyle name="_Other_Digital Signage_GPS OTHER 4" xfId="0"/>
    <cellStyle name="_Other_Digital Signage_GPS OTHER 4 2" xfId="0"/>
    <cellStyle name="_Other_Digital Signage_GPS OTHER_By Region" xfId="0"/>
    <cellStyle name="_Other_Digital Signage_GPS OTHER_CORP SG&amp;A" xfId="0"/>
    <cellStyle name="_Other_Digital Signage_GPS OTHER_LCD" xfId="0"/>
    <cellStyle name="_Other_Digital Signage_GPS OTHER_PJ" xfId="0"/>
    <cellStyle name="_Other_Digital Signage_LCD" xfId="0"/>
    <cellStyle name="_Other_Digital Signage_LCD 2" xfId="0"/>
    <cellStyle name="_Other_Digital Signage_LCD 3" xfId="0"/>
    <cellStyle name="_Other_Digital Signage_LCD 4" xfId="0"/>
    <cellStyle name="_Other_Digital Signage_LCD_By Region" xfId="0"/>
    <cellStyle name="_Other_Digital Signage_LCD_CORP SG&amp;A" xfId="0"/>
    <cellStyle name="_Other_Digital Signage_LCD_LCD" xfId="0"/>
    <cellStyle name="_Other_Digital Signage_LCD_PJ" xfId="0"/>
    <cellStyle name="_Other_Digital Signage_PC Products" xfId="0"/>
    <cellStyle name="_Other_Digital Signage_PC Products 2" xfId="0"/>
    <cellStyle name="_Other_Digital Signage_PC Products 3" xfId="0"/>
    <cellStyle name="_Other_Digital Signage_PC Products 4" xfId="0"/>
    <cellStyle name="_Other_Digital Signage_PC Products 4 2" xfId="0"/>
    <cellStyle name="_Other_Digital Signage_PC Products_By Region" xfId="0"/>
    <cellStyle name="_Other_Digital Signage_PC Products_CORP SG&amp;A" xfId="0"/>
    <cellStyle name="_Other_Digital Signage_PC Products_LCD" xfId="0"/>
    <cellStyle name="_Other_Digital Signage_PC Products_PJ" xfId="0"/>
    <cellStyle name="_Other_Digital Signage_VSA 111014" xfId="0"/>
    <cellStyle name="_Other_Digital Signage_VSA 111014 2" xfId="0"/>
    <cellStyle name="_Other_Digital Signage_VSA 111014 3" xfId="0"/>
    <cellStyle name="_Other_Digital Signage_VSA 111014 4" xfId="0"/>
    <cellStyle name="_Other_Digital Signage_VSA 111014 4 2" xfId="0"/>
    <cellStyle name="_Other_Digital Signage_VSA 111014_By Region" xfId="0"/>
    <cellStyle name="_Other_Digital Signage_VSA 111014_CORP SG&amp;A" xfId="0"/>
    <cellStyle name="_Other_Digital Signage_VSA 111014_LCD" xfId="0"/>
    <cellStyle name="_Other_Digital Signage_VSA 111014_PJ" xfId="0"/>
    <cellStyle name="_Other_Digital Signage_VSA Roll-Up (LW)" xfId="0"/>
    <cellStyle name="_Other_Digital Signage_VSA Roll-Up (LW) 2" xfId="0"/>
    <cellStyle name="_Other_Digital Signage_VSA Roll-Up (LW) 3" xfId="0"/>
    <cellStyle name="_Other_Digital Signage_VSA Roll-Up (LW) 4" xfId="0"/>
    <cellStyle name="_Other_Digital Signage_VSA Roll-Up (LW) 4 2" xfId="0"/>
    <cellStyle name="_Other_Digital Signage_VSA Roll-Up (LW)_By Region" xfId="0"/>
    <cellStyle name="_Other_Digital Signage_VSA Roll-Up (LW)_CORP SG&amp;A" xfId="0"/>
    <cellStyle name="_Other_Digital Signage_VSA Roll-Up (LW)_LCD" xfId="0"/>
    <cellStyle name="_Other_Digital Signage_VSA Roll-Up (LW)_PJ" xfId="0"/>
    <cellStyle name="_Other_Digitizer" xfId="0"/>
    <cellStyle name="_Other_DMA(VMP)" xfId="0"/>
    <cellStyle name="_Other_DMA(VMP) 2" xfId="0"/>
    <cellStyle name="_Other_DMA(VMP) 3" xfId="0"/>
    <cellStyle name="_Other_DMA(VMP) 4" xfId="0"/>
    <cellStyle name="_Other_DMA(VMP)_By Region" xfId="0"/>
    <cellStyle name="_Other_DMA(VMP)_CORP SG&amp;A" xfId="0"/>
    <cellStyle name="_Other_DMA(VMP)_Digitizer" xfId="0"/>
    <cellStyle name="_Other_DMA(VMP)_GPS OTHER" xfId="0"/>
    <cellStyle name="_Other_DMA(VMP)_GPS OTHER 2" xfId="0"/>
    <cellStyle name="_Other_DMA(VMP)_GPS OTHER 3" xfId="0"/>
    <cellStyle name="_Other_DMA(VMP)_GPS OTHER 4" xfId="0"/>
    <cellStyle name="_Other_DMA(VMP)_GPS OTHER 4 2" xfId="0"/>
    <cellStyle name="_Other_DMA(VMP)_GPS OTHER_By Region" xfId="0"/>
    <cellStyle name="_Other_DMA(VMP)_GPS OTHER_CORP SG&amp;A" xfId="0"/>
    <cellStyle name="_Other_DMA(VMP)_GPS OTHER_LCD" xfId="0"/>
    <cellStyle name="_Other_DMA(VMP)_GPS OTHER_PJ" xfId="0"/>
    <cellStyle name="_Other_DMA(VMP)_LCD" xfId="0"/>
    <cellStyle name="_Other_DMA(VMP)_LCD 2" xfId="0"/>
    <cellStyle name="_Other_DMA(VMP)_LCD 3" xfId="0"/>
    <cellStyle name="_Other_DMA(VMP)_LCD 4" xfId="0"/>
    <cellStyle name="_Other_DMA(VMP)_LCD_By Region" xfId="0"/>
    <cellStyle name="_Other_DMA(VMP)_LCD_CORP SG&amp;A" xfId="0"/>
    <cellStyle name="_Other_DMA(VMP)_LCD_LCD" xfId="0"/>
    <cellStyle name="_Other_DMA(VMP)_LCD_PJ" xfId="0"/>
    <cellStyle name="_Other_DMA(VMP)_PC Products" xfId="0"/>
    <cellStyle name="_Other_DMA(VMP)_PC Products 2" xfId="0"/>
    <cellStyle name="_Other_DMA(VMP)_PC Products 3" xfId="0"/>
    <cellStyle name="_Other_DMA(VMP)_PC Products 4" xfId="0"/>
    <cellStyle name="_Other_DMA(VMP)_PC Products 4 2" xfId="0"/>
    <cellStyle name="_Other_DMA(VMP)_PC Products_By Region" xfId="0"/>
    <cellStyle name="_Other_DMA(VMP)_PC Products_CORP SG&amp;A" xfId="0"/>
    <cellStyle name="_Other_DMA(VMP)_PC Products_LCD" xfId="0"/>
    <cellStyle name="_Other_DMA(VMP)_PC Products_PJ" xfId="0"/>
    <cellStyle name="_Other_DMA(VMP)_VSA 111014" xfId="0"/>
    <cellStyle name="_Other_DMA(VMP)_VSA 111014 2" xfId="0"/>
    <cellStyle name="_Other_DMA(VMP)_VSA 111014 3" xfId="0"/>
    <cellStyle name="_Other_DMA(VMP)_VSA 111014 4" xfId="0"/>
    <cellStyle name="_Other_DMA(VMP)_VSA 111014 4 2" xfId="0"/>
    <cellStyle name="_Other_DMA(VMP)_VSA 111014_By Region" xfId="0"/>
    <cellStyle name="_Other_DMA(VMP)_VSA 111014_CORP SG&amp;A" xfId="0"/>
    <cellStyle name="_Other_DMA(VMP)_VSA 111014_LCD" xfId="0"/>
    <cellStyle name="_Other_DMA(VMP)_VSA 111014_PJ" xfId="0"/>
    <cellStyle name="_Other_DMA(VMP)_VSA Roll-Up (LW)" xfId="0"/>
    <cellStyle name="_Other_DMA(VMP)_VSA Roll-Up (LW) 2" xfId="0"/>
    <cellStyle name="_Other_DMA(VMP)_VSA Roll-Up (LW) 3" xfId="0"/>
    <cellStyle name="_Other_DMA(VMP)_VSA Roll-Up (LW) 4" xfId="0"/>
    <cellStyle name="_Other_DMA(VMP)_VSA Roll-Up (LW) 4 2" xfId="0"/>
    <cellStyle name="_Other_DMA(VMP)_VSA Roll-Up (LW)_By Region" xfId="0"/>
    <cellStyle name="_Other_DMA(VMP)_VSA Roll-Up (LW)_CORP SG&amp;A" xfId="0"/>
    <cellStyle name="_Other_DMA(VMP)_VSA Roll-Up (LW)_LCD" xfId="0"/>
    <cellStyle name="_Other_DMA(VMP)_VSA Roll-Up (LW)_PJ" xfId="0"/>
    <cellStyle name="_Other_DPF" xfId="0"/>
    <cellStyle name="_Other_DPF 2" xfId="0"/>
    <cellStyle name="_Other_DPF 3" xfId="0"/>
    <cellStyle name="_Other_DPF 4" xfId="0"/>
    <cellStyle name="_Other_DPF_By Region" xfId="0"/>
    <cellStyle name="_Other_DPF_CORP SG&amp;A" xfId="0"/>
    <cellStyle name="_Other_DPF_Digitizer" xfId="0"/>
    <cellStyle name="_Other_DPF_GPS OTHER" xfId="0"/>
    <cellStyle name="_Other_DPF_GPS OTHER 2" xfId="0"/>
    <cellStyle name="_Other_DPF_GPS OTHER 3" xfId="0"/>
    <cellStyle name="_Other_DPF_GPS OTHER 4" xfId="0"/>
    <cellStyle name="_Other_DPF_GPS OTHER 4 2" xfId="0"/>
    <cellStyle name="_Other_DPF_GPS OTHER_By Region" xfId="0"/>
    <cellStyle name="_Other_DPF_GPS OTHER_CORP SG&amp;A" xfId="0"/>
    <cellStyle name="_Other_DPF_GPS OTHER_LCD" xfId="0"/>
    <cellStyle name="_Other_DPF_GPS OTHER_PJ" xfId="0"/>
    <cellStyle name="_Other_DPF_LCD" xfId="0"/>
    <cellStyle name="_Other_DPF_LCD 2" xfId="0"/>
    <cellStyle name="_Other_DPF_LCD 3" xfId="0"/>
    <cellStyle name="_Other_DPF_LCD 4" xfId="0"/>
    <cellStyle name="_Other_DPF_LCD_By Region" xfId="0"/>
    <cellStyle name="_Other_DPF_LCD_CORP SG&amp;A" xfId="0"/>
    <cellStyle name="_Other_DPF_LCD_LCD" xfId="0"/>
    <cellStyle name="_Other_DPF_LCD_PJ" xfId="0"/>
    <cellStyle name="_Other_DPF_PC Products" xfId="0"/>
    <cellStyle name="_Other_DPF_PC Products 2" xfId="0"/>
    <cellStyle name="_Other_DPF_PC Products 3" xfId="0"/>
    <cellStyle name="_Other_DPF_PC Products 4" xfId="0"/>
    <cellStyle name="_Other_DPF_PC Products 4 2" xfId="0"/>
    <cellStyle name="_Other_DPF_PC Products_By Region" xfId="0"/>
    <cellStyle name="_Other_DPF_PC Products_CORP SG&amp;A" xfId="0"/>
    <cellStyle name="_Other_DPF_PC Products_LCD" xfId="0"/>
    <cellStyle name="_Other_DPF_PC Products_PJ" xfId="0"/>
    <cellStyle name="_Other_DPF_VSA 111014" xfId="0"/>
    <cellStyle name="_Other_DPF_VSA 111014 2" xfId="0"/>
    <cellStyle name="_Other_DPF_VSA 111014 3" xfId="0"/>
    <cellStyle name="_Other_DPF_VSA 111014 4" xfId="0"/>
    <cellStyle name="_Other_DPF_VSA 111014 4 2" xfId="0"/>
    <cellStyle name="_Other_DPF_VSA 111014_By Region" xfId="0"/>
    <cellStyle name="_Other_DPF_VSA 111014_CORP SG&amp;A" xfId="0"/>
    <cellStyle name="_Other_DPF_VSA 111014_LCD" xfId="0"/>
    <cellStyle name="_Other_DPF_VSA 111014_PJ" xfId="0"/>
    <cellStyle name="_Other_DPF_VSA Roll-Up (LW)" xfId="0"/>
    <cellStyle name="_Other_DPF_VSA Roll-Up (LW) 2" xfId="0"/>
    <cellStyle name="_Other_DPF_VSA Roll-Up (LW) 3" xfId="0"/>
    <cellStyle name="_Other_DPF_VSA Roll-Up (LW) 4" xfId="0"/>
    <cellStyle name="_Other_DPF_VSA Roll-Up (LW) 4 2" xfId="0"/>
    <cellStyle name="_Other_DPF_VSA Roll-Up (LW)_By Region" xfId="0"/>
    <cellStyle name="_Other_DPF_VSA Roll-Up (LW)_CORP SG&amp;A" xfId="0"/>
    <cellStyle name="_Other_DPF_VSA Roll-Up (LW)_LCD" xfId="0"/>
    <cellStyle name="_Other_DPF_VSA Roll-Up (LW)_PJ" xfId="0"/>
    <cellStyle name="_Other_DS" xfId="0"/>
    <cellStyle name="_Other_DS 2" xfId="0"/>
    <cellStyle name="_Other_DS 3" xfId="0"/>
    <cellStyle name="_Other_DS 4" xfId="0"/>
    <cellStyle name="_Other_DS_By Region" xfId="0"/>
    <cellStyle name="_Other_DS_CORP SG&amp;A" xfId="0"/>
    <cellStyle name="_Other_DS_Digitizer" xfId="0"/>
    <cellStyle name="_Other_DS_GPS OTHER" xfId="0"/>
    <cellStyle name="_Other_DS_GPS OTHER 2" xfId="0"/>
    <cellStyle name="_Other_DS_GPS OTHER 3" xfId="0"/>
    <cellStyle name="_Other_DS_GPS OTHER 4" xfId="0"/>
    <cellStyle name="_Other_DS_GPS OTHER 4 2" xfId="0"/>
    <cellStyle name="_Other_DS_GPS OTHER_By Region" xfId="0"/>
    <cellStyle name="_Other_DS_GPS OTHER_CORP SG&amp;A" xfId="0"/>
    <cellStyle name="_Other_DS_GPS OTHER_LCD" xfId="0"/>
    <cellStyle name="_Other_DS_GPS OTHER_PJ" xfId="0"/>
    <cellStyle name="_Other_DS_LCD" xfId="0"/>
    <cellStyle name="_Other_DS_LCD 2" xfId="0"/>
    <cellStyle name="_Other_DS_LCD 3" xfId="0"/>
    <cellStyle name="_Other_DS_LCD 4" xfId="0"/>
    <cellStyle name="_Other_DS_LCD_By Region" xfId="0"/>
    <cellStyle name="_Other_DS_LCD_CORP SG&amp;A" xfId="0"/>
    <cellStyle name="_Other_DS_LCD_LCD" xfId="0"/>
    <cellStyle name="_Other_DS_LCD_PJ" xfId="0"/>
    <cellStyle name="_Other_DS_PC Products" xfId="0"/>
    <cellStyle name="_Other_DS_PC Products 2" xfId="0"/>
    <cellStyle name="_Other_DS_PC Products 3" xfId="0"/>
    <cellStyle name="_Other_DS_PC Products 4" xfId="0"/>
    <cellStyle name="_Other_DS_PC Products 4 2" xfId="0"/>
    <cellStyle name="_Other_DS_PC Products_By Region" xfId="0"/>
    <cellStyle name="_Other_DS_PC Products_CORP SG&amp;A" xfId="0"/>
    <cellStyle name="_Other_DS_PC Products_LCD" xfId="0"/>
    <cellStyle name="_Other_DS_PC Products_PJ" xfId="0"/>
    <cellStyle name="_Other_DS_VSA 111014" xfId="0"/>
    <cellStyle name="_Other_DS_VSA 111014 2" xfId="0"/>
    <cellStyle name="_Other_DS_VSA 111014 3" xfId="0"/>
    <cellStyle name="_Other_DS_VSA 111014 4" xfId="0"/>
    <cellStyle name="_Other_DS_VSA 111014 4 2" xfId="0"/>
    <cellStyle name="_Other_DS_VSA 111014_By Region" xfId="0"/>
    <cellStyle name="_Other_DS_VSA 111014_CORP SG&amp;A" xfId="0"/>
    <cellStyle name="_Other_DS_VSA 111014_LCD" xfId="0"/>
    <cellStyle name="_Other_DS_VSA 111014_PJ" xfId="0"/>
    <cellStyle name="_Other_DS_VSA Roll-Up (LW)" xfId="0"/>
    <cellStyle name="_Other_DS_VSA Roll-Up (LW) 2" xfId="0"/>
    <cellStyle name="_Other_DS_VSA Roll-Up (LW) 3" xfId="0"/>
    <cellStyle name="_Other_DS_VSA Roll-Up (LW) 4" xfId="0"/>
    <cellStyle name="_Other_DS_VSA Roll-Up (LW) 4 2" xfId="0"/>
    <cellStyle name="_Other_DS_VSA Roll-Up (LW)_By Region" xfId="0"/>
    <cellStyle name="_Other_DS_VSA Roll-Up (LW)_CORP SG&amp;A" xfId="0"/>
    <cellStyle name="_Other_DS_VSA Roll-Up (LW)_LCD" xfId="0"/>
    <cellStyle name="_Other_DS_VSA Roll-Up (LW)_PJ" xfId="0"/>
    <cellStyle name="_Other_DVD_TV" xfId="0"/>
    <cellStyle name="_Other_DVD_TV 2" xfId="0"/>
    <cellStyle name="_Other_DVD_TV 3" xfId="0"/>
    <cellStyle name="_Other_DVD_TV 4" xfId="0"/>
    <cellStyle name="_Other_DVD_TV_By Region" xfId="0"/>
    <cellStyle name="_Other_DVD_TV_CORP SG&amp;A" xfId="0"/>
    <cellStyle name="_Other_DVD_TV_Digitizer" xfId="0"/>
    <cellStyle name="_Other_DVD_TV_GPS OTHER" xfId="0"/>
    <cellStyle name="_Other_DVD_TV_GPS OTHER 2" xfId="0"/>
    <cellStyle name="_Other_DVD_TV_GPS OTHER 3" xfId="0"/>
    <cellStyle name="_Other_DVD_TV_GPS OTHER 4" xfId="0"/>
    <cellStyle name="_Other_DVD_TV_GPS OTHER 4 2" xfId="0"/>
    <cellStyle name="_Other_DVD_TV_GPS OTHER_By Region" xfId="0"/>
    <cellStyle name="_Other_DVD_TV_GPS OTHER_CORP SG&amp;A" xfId="0"/>
    <cellStyle name="_Other_DVD_TV_GPS OTHER_LCD" xfId="0"/>
    <cellStyle name="_Other_DVD_TV_GPS OTHER_PJ" xfId="0"/>
    <cellStyle name="_Other_DVD_TV_LCD" xfId="0"/>
    <cellStyle name="_Other_DVD_TV_LCD 2" xfId="0"/>
    <cellStyle name="_Other_DVD_TV_LCD 3" xfId="0"/>
    <cellStyle name="_Other_DVD_TV_LCD 4" xfId="0"/>
    <cellStyle name="_Other_DVD_TV_LCD_By Region" xfId="0"/>
    <cellStyle name="_Other_DVD_TV_LCD_CORP SG&amp;A" xfId="0"/>
    <cellStyle name="_Other_DVD_TV_LCD_LCD" xfId="0"/>
    <cellStyle name="_Other_DVD_TV_LCD_PJ" xfId="0"/>
    <cellStyle name="_Other_DVD_TV_PC Products" xfId="0"/>
    <cellStyle name="_Other_DVD_TV_PC Products 2" xfId="0"/>
    <cellStyle name="_Other_DVD_TV_PC Products 3" xfId="0"/>
    <cellStyle name="_Other_DVD_TV_PC Products 4" xfId="0"/>
    <cellStyle name="_Other_DVD_TV_PC Products 4 2" xfId="0"/>
    <cellStyle name="_Other_DVD_TV_PC Products_By Region" xfId="0"/>
    <cellStyle name="_Other_DVD_TV_PC Products_CORP SG&amp;A" xfId="0"/>
    <cellStyle name="_Other_DVD_TV_PC Products_LCD" xfId="0"/>
    <cellStyle name="_Other_DVD_TV_PC Products_PJ" xfId="0"/>
    <cellStyle name="_Other_DVD_TV_VSA 111014" xfId="0"/>
    <cellStyle name="_Other_DVD_TV_VSA 111014 2" xfId="0"/>
    <cellStyle name="_Other_DVD_TV_VSA 111014 3" xfId="0"/>
    <cellStyle name="_Other_DVD_TV_VSA 111014 4" xfId="0"/>
    <cellStyle name="_Other_DVD_TV_VSA 111014 4 2" xfId="0"/>
    <cellStyle name="_Other_DVD_TV_VSA 111014_By Region" xfId="0"/>
    <cellStyle name="_Other_DVD_TV_VSA 111014_CORP SG&amp;A" xfId="0"/>
    <cellStyle name="_Other_DVD_TV_VSA 111014_LCD" xfId="0"/>
    <cellStyle name="_Other_DVD_TV_VSA 111014_PJ" xfId="0"/>
    <cellStyle name="_Other_DVD_TV_VSA Roll-Up (LW)" xfId="0"/>
    <cellStyle name="_Other_DVD_TV_VSA Roll-Up (LW) 2" xfId="0"/>
    <cellStyle name="_Other_DVD_TV_VSA Roll-Up (LW) 3" xfId="0"/>
    <cellStyle name="_Other_DVD_TV_VSA Roll-Up (LW) 4" xfId="0"/>
    <cellStyle name="_Other_DVD_TV_VSA Roll-Up (LW) 4 2" xfId="0"/>
    <cellStyle name="_Other_DVD_TV_VSA Roll-Up (LW)_By Region" xfId="0"/>
    <cellStyle name="_Other_DVD_TV_VSA Roll-Up (LW)_CORP SG&amp;A" xfId="0"/>
    <cellStyle name="_Other_DVD_TV_VSA Roll-Up (LW)_LCD" xfId="0"/>
    <cellStyle name="_Other_DVD_TV_VSA Roll-Up (LW)_PJ" xfId="0"/>
    <cellStyle name="_Other_GPS OTHER" xfId="0"/>
    <cellStyle name="_Other_GPS OTHER 2" xfId="0"/>
    <cellStyle name="_Other_GPS OTHER 3" xfId="0"/>
    <cellStyle name="_Other_GPS OTHER 4" xfId="0"/>
    <cellStyle name="_Other_GPS OTHER 4 2" xfId="0"/>
    <cellStyle name="_Other_GPS OTHER_By Region" xfId="0"/>
    <cellStyle name="_Other_GPS OTHER_CORP SG&amp;A" xfId="0"/>
    <cellStyle name="_Other_GPS OTHER_LCD" xfId="0"/>
    <cellStyle name="_Other_GPS OTHER_PJ" xfId="0"/>
    <cellStyle name="_Other_LCD" xfId="0"/>
    <cellStyle name="_Other_LCD 2" xfId="0"/>
    <cellStyle name="_Other_LCD 3" xfId="0"/>
    <cellStyle name="_Other_LCD 4" xfId="0"/>
    <cellStyle name="_Other_LCD_1" xfId="0"/>
    <cellStyle name="_Other_LCD_1 2" xfId="0"/>
    <cellStyle name="_Other_LCD_1 3" xfId="0"/>
    <cellStyle name="_Other_LCD_1 4" xfId="0"/>
    <cellStyle name="_Other_LCD_1_By Region" xfId="0"/>
    <cellStyle name="_Other_LCD_1_CORP SG&amp;A" xfId="0"/>
    <cellStyle name="_Other_LCD_1_LCD" xfId="0"/>
    <cellStyle name="_Other_LCD_1_PJ" xfId="0"/>
    <cellStyle name="_Other_LCD_By Region" xfId="0"/>
    <cellStyle name="_Other_LCD_CORP SG&amp;A" xfId="0"/>
    <cellStyle name="_Other_LCD_Digitizer" xfId="0"/>
    <cellStyle name="_Other_LCD_GPS OTHER" xfId="0"/>
    <cellStyle name="_Other_LCD_GPS OTHER 2" xfId="0"/>
    <cellStyle name="_Other_LCD_GPS OTHER 3" xfId="0"/>
    <cellStyle name="_Other_LCD_GPS OTHER 4" xfId="0"/>
    <cellStyle name="_Other_LCD_GPS OTHER 4 2" xfId="0"/>
    <cellStyle name="_Other_LCD_GPS OTHER_By Region" xfId="0"/>
    <cellStyle name="_Other_LCD_GPS OTHER_CORP SG&amp;A" xfId="0"/>
    <cellStyle name="_Other_LCD_GPS OTHER_LCD" xfId="0"/>
    <cellStyle name="_Other_LCD_GPS OTHER_PJ" xfId="0"/>
    <cellStyle name="_Other_LCD_LCD" xfId="0"/>
    <cellStyle name="_Other_LCD_LCD 2" xfId="0"/>
    <cellStyle name="_Other_LCD_LCD 3" xfId="0"/>
    <cellStyle name="_Other_LCD_LCD 4" xfId="0"/>
    <cellStyle name="_Other_LCD_LCD_By Region" xfId="0"/>
    <cellStyle name="_Other_LCD_LCD_CORP SG&amp;A" xfId="0"/>
    <cellStyle name="_Other_LCD_LCD_LCD" xfId="0"/>
    <cellStyle name="_Other_LCD_LCD_PJ" xfId="0"/>
    <cellStyle name="_Other_LCD_PC Products" xfId="0"/>
    <cellStyle name="_Other_LCD_PC Products 2" xfId="0"/>
    <cellStyle name="_Other_LCD_PC Products 3" xfId="0"/>
    <cellStyle name="_Other_LCD_PC Products 4" xfId="0"/>
    <cellStyle name="_Other_LCD_PC Products 4 2" xfId="0"/>
    <cellStyle name="_Other_LCD_PC Products_By Region" xfId="0"/>
    <cellStyle name="_Other_LCD_PC Products_CORP SG&amp;A" xfId="0"/>
    <cellStyle name="_Other_LCD_PC Products_LCD" xfId="0"/>
    <cellStyle name="_Other_LCD_PC Products_PJ" xfId="0"/>
    <cellStyle name="_Other_LCD_VSA 111014" xfId="0"/>
    <cellStyle name="_Other_LCD_VSA 111014 2" xfId="0"/>
    <cellStyle name="_Other_LCD_VSA 111014 3" xfId="0"/>
    <cellStyle name="_Other_LCD_VSA 111014 4" xfId="0"/>
    <cellStyle name="_Other_LCD_VSA 111014 4 2" xfId="0"/>
    <cellStyle name="_Other_LCD_VSA 111014_By Region" xfId="0"/>
    <cellStyle name="_Other_LCD_VSA 111014_CORP SG&amp;A" xfId="0"/>
    <cellStyle name="_Other_LCD_VSA 111014_LCD" xfId="0"/>
    <cellStyle name="_Other_LCD_VSA 111014_PJ" xfId="0"/>
    <cellStyle name="_Other_LCD_VSA Roll-Up (LW)" xfId="0"/>
    <cellStyle name="_Other_LCD_VSA Roll-Up (LW) 2" xfId="0"/>
    <cellStyle name="_Other_LCD_VSA Roll-Up (LW) 3" xfId="0"/>
    <cellStyle name="_Other_LCD_VSA Roll-Up (LW) 4" xfId="0"/>
    <cellStyle name="_Other_LCD_VSA Roll-Up (LW) 4 2" xfId="0"/>
    <cellStyle name="_Other_LCD_VSA Roll-Up (LW)_By Region" xfId="0"/>
    <cellStyle name="_Other_LCD_VSA Roll-Up (LW)_CORP SG&amp;A" xfId="0"/>
    <cellStyle name="_Other_LCD_VSA Roll-Up (LW)_LCD" xfId="0"/>
    <cellStyle name="_Other_LCD_VSA Roll-Up (LW)_PJ" xfId="0"/>
    <cellStyle name="_Other_LCDTV" xfId="0"/>
    <cellStyle name="_Other_LCDTV 2" xfId="0"/>
    <cellStyle name="_Other_LCDTV 3" xfId="0"/>
    <cellStyle name="_Other_LCDTV 4" xfId="0"/>
    <cellStyle name="_Other_LCDTV_By Region" xfId="0"/>
    <cellStyle name="_Other_LCDTV_CORP SG&amp;A" xfId="0"/>
    <cellStyle name="_Other_LCDTV_Digitizer" xfId="0"/>
    <cellStyle name="_Other_LCDTV_GPS OTHER" xfId="0"/>
    <cellStyle name="_Other_LCDTV_GPS OTHER 2" xfId="0"/>
    <cellStyle name="_Other_LCDTV_GPS OTHER 3" xfId="0"/>
    <cellStyle name="_Other_LCDTV_GPS OTHER 4" xfId="0"/>
    <cellStyle name="_Other_LCDTV_GPS OTHER 4 2" xfId="0"/>
    <cellStyle name="_Other_LCDTV_GPS OTHER_By Region" xfId="0"/>
    <cellStyle name="_Other_LCDTV_GPS OTHER_CORP SG&amp;A" xfId="0"/>
    <cellStyle name="_Other_LCDTV_GPS OTHER_LCD" xfId="0"/>
    <cellStyle name="_Other_LCDTV_GPS OTHER_PJ" xfId="0"/>
    <cellStyle name="_Other_LCDTV_LCD" xfId="0"/>
    <cellStyle name="_Other_LCDTV_LCD 2" xfId="0"/>
    <cellStyle name="_Other_LCDTV_LCD 3" xfId="0"/>
    <cellStyle name="_Other_LCDTV_LCD 4" xfId="0"/>
    <cellStyle name="_Other_LCDTV_LCD_By Region" xfId="0"/>
    <cellStyle name="_Other_LCDTV_LCD_CORP SG&amp;A" xfId="0"/>
    <cellStyle name="_Other_LCDTV_LCD_LCD" xfId="0"/>
    <cellStyle name="_Other_LCDTV_LCD_PJ" xfId="0"/>
    <cellStyle name="_Other_LCDTV_PC Products" xfId="0"/>
    <cellStyle name="_Other_LCDTV_PC Products 2" xfId="0"/>
    <cellStyle name="_Other_LCDTV_PC Products 3" xfId="0"/>
    <cellStyle name="_Other_LCDTV_PC Products 4" xfId="0"/>
    <cellStyle name="_Other_LCDTV_PC Products 4 2" xfId="0"/>
    <cellStyle name="_Other_LCDTV_PC Products_By Region" xfId="0"/>
    <cellStyle name="_Other_LCDTV_PC Products_CORP SG&amp;A" xfId="0"/>
    <cellStyle name="_Other_LCDTV_PC Products_LCD" xfId="0"/>
    <cellStyle name="_Other_LCDTV_PC Products_PJ" xfId="0"/>
    <cellStyle name="_Other_LCDTV_VSA 111014" xfId="0"/>
    <cellStyle name="_Other_LCDTV_VSA 111014 2" xfId="0"/>
    <cellStyle name="_Other_LCDTV_VSA 111014 3" xfId="0"/>
    <cellStyle name="_Other_LCDTV_VSA 111014 4" xfId="0"/>
    <cellStyle name="_Other_LCDTV_VSA 111014 4 2" xfId="0"/>
    <cellStyle name="_Other_LCDTV_VSA 111014_By Region" xfId="0"/>
    <cellStyle name="_Other_LCDTV_VSA 111014_CORP SG&amp;A" xfId="0"/>
    <cellStyle name="_Other_LCDTV_VSA 111014_LCD" xfId="0"/>
    <cellStyle name="_Other_LCDTV_VSA 111014_PJ" xfId="0"/>
    <cellStyle name="_Other_LCDTV_VSA Roll-Up (LW)" xfId="0"/>
    <cellStyle name="_Other_LCDTV_VSA Roll-Up (LW) 2" xfId="0"/>
    <cellStyle name="_Other_LCDTV_VSA Roll-Up (LW) 3" xfId="0"/>
    <cellStyle name="_Other_LCDTV_VSA Roll-Up (LW) 4" xfId="0"/>
    <cellStyle name="_Other_LCDTV_VSA Roll-Up (LW) 4 2" xfId="0"/>
    <cellStyle name="_Other_LCDTV_VSA Roll-Up (LW)_By Region" xfId="0"/>
    <cellStyle name="_Other_LCDTV_VSA Roll-Up (LW)_CORP SG&amp;A" xfId="0"/>
    <cellStyle name="_Other_LCDTV_VSA Roll-Up (LW)_LCD" xfId="0"/>
    <cellStyle name="_Other_LCDTV_VSA Roll-Up (LW)_PJ" xfId="0"/>
    <cellStyle name="_Other_MNT" xfId="0"/>
    <cellStyle name="_Other_MNT 2" xfId="0"/>
    <cellStyle name="_Other_MNT 3" xfId="0"/>
    <cellStyle name="_Other_MNT 4" xfId="0"/>
    <cellStyle name="_Other_MNT_By Region" xfId="0"/>
    <cellStyle name="_Other_MNT_CORP SG&amp;A" xfId="0"/>
    <cellStyle name="_Other_MNT_Digitizer" xfId="0"/>
    <cellStyle name="_Other_MNT_GPS OTHER" xfId="0"/>
    <cellStyle name="_Other_MNT_GPS OTHER 2" xfId="0"/>
    <cellStyle name="_Other_MNT_GPS OTHER 3" xfId="0"/>
    <cellStyle name="_Other_MNT_GPS OTHER 4" xfId="0"/>
    <cellStyle name="_Other_MNT_GPS OTHER 4 2" xfId="0"/>
    <cellStyle name="_Other_MNT_GPS OTHER_By Region" xfId="0"/>
    <cellStyle name="_Other_MNT_GPS OTHER_CORP SG&amp;A" xfId="0"/>
    <cellStyle name="_Other_MNT_GPS OTHER_LCD" xfId="0"/>
    <cellStyle name="_Other_MNT_GPS OTHER_PJ" xfId="0"/>
    <cellStyle name="_Other_MNT_LCD" xfId="0"/>
    <cellStyle name="_Other_MNT_LCD 2" xfId="0"/>
    <cellStyle name="_Other_MNT_LCD 3" xfId="0"/>
    <cellStyle name="_Other_MNT_LCD 4" xfId="0"/>
    <cellStyle name="_Other_MNT_LCD_By Region" xfId="0"/>
    <cellStyle name="_Other_MNT_LCD_CORP SG&amp;A" xfId="0"/>
    <cellStyle name="_Other_MNT_LCD_LCD" xfId="0"/>
    <cellStyle name="_Other_MNT_LCD_PJ" xfId="0"/>
    <cellStyle name="_Other_MNT_PC Products" xfId="0"/>
    <cellStyle name="_Other_MNT_PC Products 2" xfId="0"/>
    <cellStyle name="_Other_MNT_PC Products 3" xfId="0"/>
    <cellStyle name="_Other_MNT_PC Products 4" xfId="0"/>
    <cellStyle name="_Other_MNT_PC Products 4 2" xfId="0"/>
    <cellStyle name="_Other_MNT_PC Products_By Region" xfId="0"/>
    <cellStyle name="_Other_MNT_PC Products_CORP SG&amp;A" xfId="0"/>
    <cellStyle name="_Other_MNT_PC Products_LCD" xfId="0"/>
    <cellStyle name="_Other_MNT_PC Products_PJ" xfId="0"/>
    <cellStyle name="_Other_MNT_VSA 111014" xfId="0"/>
    <cellStyle name="_Other_MNT_VSA 111014 2" xfId="0"/>
    <cellStyle name="_Other_MNT_VSA 111014 3" xfId="0"/>
    <cellStyle name="_Other_MNT_VSA 111014 4" xfId="0"/>
    <cellStyle name="_Other_MNT_VSA 111014 4 2" xfId="0"/>
    <cellStyle name="_Other_MNT_VSA 111014_By Region" xfId="0"/>
    <cellStyle name="_Other_MNT_VSA 111014_CORP SG&amp;A" xfId="0"/>
    <cellStyle name="_Other_MNT_VSA 111014_LCD" xfId="0"/>
    <cellStyle name="_Other_MNT_VSA 111014_PJ" xfId="0"/>
    <cellStyle name="_Other_MNT_VSA Roll-Up (LW)" xfId="0"/>
    <cellStyle name="_Other_MNT_VSA Roll-Up (LW) 2" xfId="0"/>
    <cellStyle name="_Other_MNT_VSA Roll-Up (LW) 3" xfId="0"/>
    <cellStyle name="_Other_MNT_VSA Roll-Up (LW) 4" xfId="0"/>
    <cellStyle name="_Other_MNT_VSA Roll-Up (LW) 4 2" xfId="0"/>
    <cellStyle name="_Other_MNT_VSA Roll-Up (LW)_By Region" xfId="0"/>
    <cellStyle name="_Other_MNT_VSA Roll-Up (LW)_CORP SG&amp;A" xfId="0"/>
    <cellStyle name="_Other_MNT_VSA Roll-Up (LW)_LCD" xfId="0"/>
    <cellStyle name="_Other_MNT_VSA Roll-Up (LW)_PJ" xfId="0"/>
    <cellStyle name="_Other_Other" xfId="0"/>
    <cellStyle name="_Other_Other 2" xfId="0"/>
    <cellStyle name="_Other_Other 3" xfId="0"/>
    <cellStyle name="_Other_Other 4" xfId="0"/>
    <cellStyle name="_Other_Other_By Region" xfId="0"/>
    <cellStyle name="_Other_Other_CORP SG&amp;A" xfId="0"/>
    <cellStyle name="_Other_Other_Digitizer" xfId="0"/>
    <cellStyle name="_Other_Other_GPS OTHER" xfId="0"/>
    <cellStyle name="_Other_Other_GPS OTHER 2" xfId="0"/>
    <cellStyle name="_Other_Other_GPS OTHER 3" xfId="0"/>
    <cellStyle name="_Other_Other_GPS OTHER 4" xfId="0"/>
    <cellStyle name="_Other_Other_GPS OTHER 4 2" xfId="0"/>
    <cellStyle name="_Other_Other_GPS OTHER_By Region" xfId="0"/>
    <cellStyle name="_Other_Other_GPS OTHER_CORP SG&amp;A" xfId="0"/>
    <cellStyle name="_Other_Other_GPS OTHER_LCD" xfId="0"/>
    <cellStyle name="_Other_Other_GPS OTHER_PJ" xfId="0"/>
    <cellStyle name="_Other_Other_LCD" xfId="0"/>
    <cellStyle name="_Other_Other_LCD 2" xfId="0"/>
    <cellStyle name="_Other_Other_LCD 3" xfId="0"/>
    <cellStyle name="_Other_Other_LCD 4" xfId="0"/>
    <cellStyle name="_Other_Other_LCD_By Region" xfId="0"/>
    <cellStyle name="_Other_Other_LCD_CORP SG&amp;A" xfId="0"/>
    <cellStyle name="_Other_Other_LCD_LCD" xfId="0"/>
    <cellStyle name="_Other_Other_LCD_PJ" xfId="0"/>
    <cellStyle name="_Other_Other_PC Products" xfId="0"/>
    <cellStyle name="_Other_Other_PC Products 2" xfId="0"/>
    <cellStyle name="_Other_Other_PC Products 3" xfId="0"/>
    <cellStyle name="_Other_Other_PC Products 4" xfId="0"/>
    <cellStyle name="_Other_Other_PC Products 4 2" xfId="0"/>
    <cellStyle name="_Other_Other_PC Products_By Region" xfId="0"/>
    <cellStyle name="_Other_Other_PC Products_CORP SG&amp;A" xfId="0"/>
    <cellStyle name="_Other_Other_PC Products_LCD" xfId="0"/>
    <cellStyle name="_Other_Other_PC Products_PJ" xfId="0"/>
    <cellStyle name="_Other_Other_VSA 111014" xfId="0"/>
    <cellStyle name="_Other_Other_VSA 111014 2" xfId="0"/>
    <cellStyle name="_Other_Other_VSA 111014 3" xfId="0"/>
    <cellStyle name="_Other_Other_VSA 111014 4" xfId="0"/>
    <cellStyle name="_Other_Other_VSA 111014 4 2" xfId="0"/>
    <cellStyle name="_Other_Other_VSA 111014_By Region" xfId="0"/>
    <cellStyle name="_Other_Other_VSA 111014_CORP SG&amp;A" xfId="0"/>
    <cellStyle name="_Other_Other_VSA 111014_LCD" xfId="0"/>
    <cellStyle name="_Other_Other_VSA 111014_PJ" xfId="0"/>
    <cellStyle name="_Other_Other_VSA Roll-Up (LW)" xfId="0"/>
    <cellStyle name="_Other_Other_VSA Roll-Up (LW) 2" xfId="0"/>
    <cellStyle name="_Other_Other_VSA Roll-Up (LW) 3" xfId="0"/>
    <cellStyle name="_Other_Other_VSA Roll-Up (LW) 4" xfId="0"/>
    <cellStyle name="_Other_Other_VSA Roll-Up (LW) 4 2" xfId="0"/>
    <cellStyle name="_Other_Other_VSA Roll-Up (LW)_By Region" xfId="0"/>
    <cellStyle name="_Other_Other_VSA Roll-Up (LW)_CORP SG&amp;A" xfId="0"/>
    <cellStyle name="_Other_Other_VSA Roll-Up (LW)_LCD" xfId="0"/>
    <cellStyle name="_Other_Other_VSA Roll-Up (LW)_PJ" xfId="0"/>
    <cellStyle name="_Other_PC" xfId="0"/>
    <cellStyle name="_Other_PC 2" xfId="0"/>
    <cellStyle name="_Other_PC 3" xfId="0"/>
    <cellStyle name="_Other_PC 4" xfId="0"/>
    <cellStyle name="_Other_PC Products" xfId="0"/>
    <cellStyle name="_Other_PC Products 2" xfId="0"/>
    <cellStyle name="_Other_PC Products 3" xfId="0"/>
    <cellStyle name="_Other_PC Products 4" xfId="0"/>
    <cellStyle name="_Other_PC Products 4 2" xfId="0"/>
    <cellStyle name="_Other_PC Products_By Region" xfId="0"/>
    <cellStyle name="_Other_PC Products_CORP SG&amp;A" xfId="0"/>
    <cellStyle name="_Other_PC Products_LCD" xfId="0"/>
    <cellStyle name="_Other_PC Products_PJ" xfId="0"/>
    <cellStyle name="_Other_PC_By Region" xfId="0"/>
    <cellStyle name="_Other_PC_CORP SG&amp;A" xfId="0"/>
    <cellStyle name="_Other_PC_Digitizer" xfId="0"/>
    <cellStyle name="_Other_PC_DT" xfId="0"/>
    <cellStyle name="_Other_PC_DT 2" xfId="0"/>
    <cellStyle name="_Other_PC_DT 3" xfId="0"/>
    <cellStyle name="_Other_PC_DT_By Region" xfId="0"/>
    <cellStyle name="_Other_PC_GPS OTHER" xfId="0"/>
    <cellStyle name="_Other_PC_GPS OTHER 2" xfId="0"/>
    <cellStyle name="_Other_PC_GPS OTHER 3" xfId="0"/>
    <cellStyle name="_Other_PC_GPS OTHER 4" xfId="0"/>
    <cellStyle name="_Other_PC_GPS OTHER 4 2" xfId="0"/>
    <cellStyle name="_Other_PC_GPS OTHER_By Region" xfId="0"/>
    <cellStyle name="_Other_PC_GPS OTHER_CORP SG&amp;A" xfId="0"/>
    <cellStyle name="_Other_PC_GPS OTHER_LCD" xfId="0"/>
    <cellStyle name="_Other_PC_GPS OTHER_PJ" xfId="0"/>
    <cellStyle name="_Other_PC_LCD" xfId="0"/>
    <cellStyle name="_Other_PC_LCD 2" xfId="0"/>
    <cellStyle name="_Other_PC_LCD 3" xfId="0"/>
    <cellStyle name="_Other_PC_LCD 4" xfId="0"/>
    <cellStyle name="_Other_PC_LCD_By Region" xfId="0"/>
    <cellStyle name="_Other_PC_LCD_CORP SG&amp;A" xfId="0"/>
    <cellStyle name="_Other_PC_LCD_LCD" xfId="0"/>
    <cellStyle name="_Other_PC_LCD_PJ" xfId="0"/>
    <cellStyle name="_Other_PC_PC Products" xfId="0"/>
    <cellStyle name="_Other_PC_PC Products 2" xfId="0"/>
    <cellStyle name="_Other_PC_PC Products 3" xfId="0"/>
    <cellStyle name="_Other_PC_PC Products 4" xfId="0"/>
    <cellStyle name="_Other_PC_PC Products 4 2" xfId="0"/>
    <cellStyle name="_Other_PC_PC Products_By Region" xfId="0"/>
    <cellStyle name="_Other_PC_PC Products_CORP SG&amp;A" xfId="0"/>
    <cellStyle name="_Other_PC_PC Products_LCD" xfId="0"/>
    <cellStyle name="_Other_PC_PC Products_PJ" xfId="0"/>
    <cellStyle name="_Other_PC_TV" xfId="0"/>
    <cellStyle name="_Other_PC_TV 2" xfId="0"/>
    <cellStyle name="_Other_PC_TV 3" xfId="0"/>
    <cellStyle name="_Other_PC_TV 4" xfId="0"/>
    <cellStyle name="_Other_PC_TV_By Region" xfId="0"/>
    <cellStyle name="_Other_PC_TV_CORP SG&amp;A" xfId="0"/>
    <cellStyle name="_Other_PC_TV_Digitizer" xfId="0"/>
    <cellStyle name="_Other_PC_TV_GPS OTHER" xfId="0"/>
    <cellStyle name="_Other_PC_TV_GPS OTHER 2" xfId="0"/>
    <cellStyle name="_Other_PC_TV_GPS OTHER 3" xfId="0"/>
    <cellStyle name="_Other_PC_TV_GPS OTHER 4" xfId="0"/>
    <cellStyle name="_Other_PC_TV_GPS OTHER 4 2" xfId="0"/>
    <cellStyle name="_Other_PC_TV_GPS OTHER_By Region" xfId="0"/>
    <cellStyle name="_Other_PC_TV_GPS OTHER_CORP SG&amp;A" xfId="0"/>
    <cellStyle name="_Other_PC_TV_GPS OTHER_LCD" xfId="0"/>
    <cellStyle name="_Other_PC_TV_GPS OTHER_PJ" xfId="0"/>
    <cellStyle name="_Other_PC_TV_LCD" xfId="0"/>
    <cellStyle name="_Other_PC_TV_LCD 2" xfId="0"/>
    <cellStyle name="_Other_PC_TV_LCD 3" xfId="0"/>
    <cellStyle name="_Other_PC_TV_LCD 4" xfId="0"/>
    <cellStyle name="_Other_PC_TV_LCD_By Region" xfId="0"/>
    <cellStyle name="_Other_PC_TV_LCD_CORP SG&amp;A" xfId="0"/>
    <cellStyle name="_Other_PC_TV_LCD_LCD" xfId="0"/>
    <cellStyle name="_Other_PC_TV_LCD_PJ" xfId="0"/>
    <cellStyle name="_Other_PC_TV_PC Products" xfId="0"/>
    <cellStyle name="_Other_PC_TV_PC Products 2" xfId="0"/>
    <cellStyle name="_Other_PC_TV_PC Products 3" xfId="0"/>
    <cellStyle name="_Other_PC_TV_PC Products 4" xfId="0"/>
    <cellStyle name="_Other_PC_TV_PC Products 4 2" xfId="0"/>
    <cellStyle name="_Other_PC_TV_PC Products_By Region" xfId="0"/>
    <cellStyle name="_Other_PC_TV_PC Products_CORP SG&amp;A" xfId="0"/>
    <cellStyle name="_Other_PC_TV_PC Products_LCD" xfId="0"/>
    <cellStyle name="_Other_PC_TV_PC Products_PJ" xfId="0"/>
    <cellStyle name="_Other_PC_TV_VSA 111014" xfId="0"/>
    <cellStyle name="_Other_PC_TV_VSA 111014 2" xfId="0"/>
    <cellStyle name="_Other_PC_TV_VSA 111014 3" xfId="0"/>
    <cellStyle name="_Other_PC_TV_VSA 111014 4" xfId="0"/>
    <cellStyle name="_Other_PC_TV_VSA 111014 4 2" xfId="0"/>
    <cellStyle name="_Other_PC_TV_VSA 111014_By Region" xfId="0"/>
    <cellStyle name="_Other_PC_TV_VSA 111014_CORP SG&amp;A" xfId="0"/>
    <cellStyle name="_Other_PC_TV_VSA 111014_LCD" xfId="0"/>
    <cellStyle name="_Other_PC_TV_VSA 111014_PJ" xfId="0"/>
    <cellStyle name="_Other_PC_TV_VSA Roll-Up (LW)" xfId="0"/>
    <cellStyle name="_Other_PC_TV_VSA Roll-Up (LW) 2" xfId="0"/>
    <cellStyle name="_Other_PC_TV_VSA Roll-Up (LW) 3" xfId="0"/>
    <cellStyle name="_Other_PC_TV_VSA Roll-Up (LW) 4" xfId="0"/>
    <cellStyle name="_Other_PC_TV_VSA Roll-Up (LW) 4 2" xfId="0"/>
    <cellStyle name="_Other_PC_TV_VSA Roll-Up (LW)_By Region" xfId="0"/>
    <cellStyle name="_Other_PC_TV_VSA Roll-Up (LW)_CORP SG&amp;A" xfId="0"/>
    <cellStyle name="_Other_PC_TV_VSA Roll-Up (LW)_LCD" xfId="0"/>
    <cellStyle name="_Other_PC_TV_VSA Roll-Up (LW)_PJ" xfId="0"/>
    <cellStyle name="_Other_PC_VSA 111014" xfId="0"/>
    <cellStyle name="_Other_PC_VSA 111014 2" xfId="0"/>
    <cellStyle name="_Other_PC_VSA 111014 3" xfId="0"/>
    <cellStyle name="_Other_PC_VSA 111014 4" xfId="0"/>
    <cellStyle name="_Other_PC_VSA 111014 4 2" xfId="0"/>
    <cellStyle name="_Other_PC_VSA 111014_By Region" xfId="0"/>
    <cellStyle name="_Other_PC_VSA 111014_CORP SG&amp;A" xfId="0"/>
    <cellStyle name="_Other_PC_VSA 111014_LCD" xfId="0"/>
    <cellStyle name="_Other_PC_VSA 111014_PJ" xfId="0"/>
    <cellStyle name="_Other_PC_VSA Roll-Up (LW)" xfId="0"/>
    <cellStyle name="_Other_PC_VSA Roll-Up (LW) 2" xfId="0"/>
    <cellStyle name="_Other_PC_VSA Roll-Up (LW) 3" xfId="0"/>
    <cellStyle name="_Other_PC_VSA Roll-Up (LW) 4" xfId="0"/>
    <cellStyle name="_Other_PC_VSA Roll-Up (LW) 4 2" xfId="0"/>
    <cellStyle name="_Other_PC_VSA Roll-Up (LW)_By Region" xfId="0"/>
    <cellStyle name="_Other_PC_VSA Roll-Up (LW)_CORP SG&amp;A" xfId="0"/>
    <cellStyle name="_Other_PC_VSA Roll-Up (LW)_LCD" xfId="0"/>
    <cellStyle name="_Other_PC_VSA Roll-Up (LW)_PJ" xfId="0"/>
    <cellStyle name="_Other_PJ" xfId="0"/>
    <cellStyle name="_Other_PJ 2" xfId="0"/>
    <cellStyle name="_Other_PJ 3" xfId="0"/>
    <cellStyle name="_Other_PJ 4" xfId="0"/>
    <cellStyle name="_Other_PJ_By Region" xfId="0"/>
    <cellStyle name="_Other_PJ_CORP SG&amp;A" xfId="0"/>
    <cellStyle name="_Other_PJ_Digitizer" xfId="0"/>
    <cellStyle name="_Other_PJ_GPS OTHER" xfId="0"/>
    <cellStyle name="_Other_PJ_GPS OTHER 2" xfId="0"/>
    <cellStyle name="_Other_PJ_GPS OTHER 3" xfId="0"/>
    <cellStyle name="_Other_PJ_GPS OTHER 4" xfId="0"/>
    <cellStyle name="_Other_PJ_GPS OTHER 4 2" xfId="0"/>
    <cellStyle name="_Other_PJ_GPS OTHER_By Region" xfId="0"/>
    <cellStyle name="_Other_PJ_GPS OTHER_CORP SG&amp;A" xfId="0"/>
    <cellStyle name="_Other_PJ_GPS OTHER_LCD" xfId="0"/>
    <cellStyle name="_Other_PJ_GPS OTHER_PJ" xfId="0"/>
    <cellStyle name="_Other_PJ_LCD" xfId="0"/>
    <cellStyle name="_Other_PJ_LCD 2" xfId="0"/>
    <cellStyle name="_Other_PJ_LCD 3" xfId="0"/>
    <cellStyle name="_Other_PJ_LCD 4" xfId="0"/>
    <cellStyle name="_Other_PJ_LCD_By Region" xfId="0"/>
    <cellStyle name="_Other_PJ_LCD_CORP SG&amp;A" xfId="0"/>
    <cellStyle name="_Other_PJ_LCD_LCD" xfId="0"/>
    <cellStyle name="_Other_PJ_LCD_PJ" xfId="0"/>
    <cellStyle name="_Other_PJ_PC Products" xfId="0"/>
    <cellStyle name="_Other_PJ_PC Products 2" xfId="0"/>
    <cellStyle name="_Other_PJ_PC Products 3" xfId="0"/>
    <cellStyle name="_Other_PJ_PC Products 4" xfId="0"/>
    <cellStyle name="_Other_PJ_PC Products 4 2" xfId="0"/>
    <cellStyle name="_Other_PJ_PC Products_By Region" xfId="0"/>
    <cellStyle name="_Other_PJ_PC Products_CORP SG&amp;A" xfId="0"/>
    <cellStyle name="_Other_PJ_PC Products_LCD" xfId="0"/>
    <cellStyle name="_Other_PJ_PC Products_PJ" xfId="0"/>
    <cellStyle name="_Other_PJ_VSA 111014" xfId="0"/>
    <cellStyle name="_Other_PJ_VSA 111014 2" xfId="0"/>
    <cellStyle name="_Other_PJ_VSA 111014 3" xfId="0"/>
    <cellStyle name="_Other_PJ_VSA 111014 4" xfId="0"/>
    <cellStyle name="_Other_PJ_VSA 111014 4 2" xfId="0"/>
    <cellStyle name="_Other_PJ_VSA 111014_By Region" xfId="0"/>
    <cellStyle name="_Other_PJ_VSA 111014_CORP SG&amp;A" xfId="0"/>
    <cellStyle name="_Other_PJ_VSA 111014_LCD" xfId="0"/>
    <cellStyle name="_Other_PJ_VSA 111014_PJ" xfId="0"/>
    <cellStyle name="_Other_PJ_VSA Roll-Up (LW)" xfId="0"/>
    <cellStyle name="_Other_PJ_VSA Roll-Up (LW) 2" xfId="0"/>
    <cellStyle name="_Other_PJ_VSA Roll-Up (LW) 3" xfId="0"/>
    <cellStyle name="_Other_PJ_VSA Roll-Up (LW) 4" xfId="0"/>
    <cellStyle name="_Other_PJ_VSA Roll-Up (LW) 4 2" xfId="0"/>
    <cellStyle name="_Other_PJ_VSA Roll-Up (LW)_By Region" xfId="0"/>
    <cellStyle name="_Other_PJ_VSA Roll-Up (LW)_CORP SG&amp;A" xfId="0"/>
    <cellStyle name="_Other_PJ_VSA Roll-Up (LW)_LCD" xfId="0"/>
    <cellStyle name="_Other_PJ_VSA Roll-Up (LW)_PJ" xfId="0"/>
    <cellStyle name="_Other_PMP(VPD)" xfId="0"/>
    <cellStyle name="_Other_PMP(VPD) 2" xfId="0"/>
    <cellStyle name="_Other_PMP(VPD) 3" xfId="0"/>
    <cellStyle name="_Other_PMP(VPD) 4" xfId="0"/>
    <cellStyle name="_Other_PMP(VPD)_By Region" xfId="0"/>
    <cellStyle name="_Other_PMP(VPD)_CORP SG&amp;A" xfId="0"/>
    <cellStyle name="_Other_PMP(VPD)_Digitizer" xfId="0"/>
    <cellStyle name="_Other_PMP(VPD)_GPS OTHER" xfId="0"/>
    <cellStyle name="_Other_PMP(VPD)_GPS OTHER 2" xfId="0"/>
    <cellStyle name="_Other_PMP(VPD)_GPS OTHER 3" xfId="0"/>
    <cellStyle name="_Other_PMP(VPD)_GPS OTHER 4" xfId="0"/>
    <cellStyle name="_Other_PMP(VPD)_GPS OTHER 4 2" xfId="0"/>
    <cellStyle name="_Other_PMP(VPD)_GPS OTHER_By Region" xfId="0"/>
    <cellStyle name="_Other_PMP(VPD)_GPS OTHER_CORP SG&amp;A" xfId="0"/>
    <cellStyle name="_Other_PMP(VPD)_GPS OTHER_LCD" xfId="0"/>
    <cellStyle name="_Other_PMP(VPD)_GPS OTHER_PJ" xfId="0"/>
    <cellStyle name="_Other_PMP(VPD)_LCD" xfId="0"/>
    <cellStyle name="_Other_PMP(VPD)_LCD 2" xfId="0"/>
    <cellStyle name="_Other_PMP(VPD)_LCD 3" xfId="0"/>
    <cellStyle name="_Other_PMP(VPD)_LCD 4" xfId="0"/>
    <cellStyle name="_Other_PMP(VPD)_LCD_By Region" xfId="0"/>
    <cellStyle name="_Other_PMP(VPD)_LCD_CORP SG&amp;A" xfId="0"/>
    <cellStyle name="_Other_PMP(VPD)_LCD_LCD" xfId="0"/>
    <cellStyle name="_Other_PMP(VPD)_LCD_PJ" xfId="0"/>
    <cellStyle name="_Other_PMP(VPD)_PC Products" xfId="0"/>
    <cellStyle name="_Other_PMP(VPD)_PC Products 2" xfId="0"/>
    <cellStyle name="_Other_PMP(VPD)_PC Products 3" xfId="0"/>
    <cellStyle name="_Other_PMP(VPD)_PC Products 4" xfId="0"/>
    <cellStyle name="_Other_PMP(VPD)_PC Products 4 2" xfId="0"/>
    <cellStyle name="_Other_PMP(VPD)_PC Products_By Region" xfId="0"/>
    <cellStyle name="_Other_PMP(VPD)_PC Products_CORP SG&amp;A" xfId="0"/>
    <cellStyle name="_Other_PMP(VPD)_PC Products_LCD" xfId="0"/>
    <cellStyle name="_Other_PMP(VPD)_PC Products_PJ" xfId="0"/>
    <cellStyle name="_Other_PMP(VPD)_VSA 111014" xfId="0"/>
    <cellStyle name="_Other_PMP(VPD)_VSA 111014 2" xfId="0"/>
    <cellStyle name="_Other_PMP(VPD)_VSA 111014 3" xfId="0"/>
    <cellStyle name="_Other_PMP(VPD)_VSA 111014 4" xfId="0"/>
    <cellStyle name="_Other_PMP(VPD)_VSA 111014 4 2" xfId="0"/>
    <cellStyle name="_Other_PMP(VPD)_VSA 111014_By Region" xfId="0"/>
    <cellStyle name="_Other_PMP(VPD)_VSA 111014_CORP SG&amp;A" xfId="0"/>
    <cellStyle name="_Other_PMP(VPD)_VSA 111014_LCD" xfId="0"/>
    <cellStyle name="_Other_PMP(VPD)_VSA 111014_PJ" xfId="0"/>
    <cellStyle name="_Other_PMP(VPD)_VSA Roll-Up (LW)" xfId="0"/>
    <cellStyle name="_Other_PMP(VPD)_VSA Roll-Up (LW) 2" xfId="0"/>
    <cellStyle name="_Other_PMP(VPD)_VSA Roll-Up (LW) 3" xfId="0"/>
    <cellStyle name="_Other_PMP(VPD)_VSA Roll-Up (LW) 4" xfId="0"/>
    <cellStyle name="_Other_PMP(VPD)_VSA Roll-Up (LW) 4 2" xfId="0"/>
    <cellStyle name="_Other_PMP(VPD)_VSA Roll-Up (LW)_By Region" xfId="0"/>
    <cellStyle name="_Other_PMP(VPD)_VSA Roll-Up (LW)_CORP SG&amp;A" xfId="0"/>
    <cellStyle name="_Other_PMP(VPD)_VSA Roll-Up (LW)_LCD" xfId="0"/>
    <cellStyle name="_Other_PMP(VPD)_VSA Roll-Up (LW)_PJ" xfId="0"/>
    <cellStyle name="_Other_Pocket TV" xfId="0"/>
    <cellStyle name="_Other_Pocket TV 2" xfId="0"/>
    <cellStyle name="_Other_Pocket TV 3" xfId="0"/>
    <cellStyle name="_Other_Pocket TV 4" xfId="0"/>
    <cellStyle name="_Other_Pocket TV_By Region" xfId="0"/>
    <cellStyle name="_Other_Pocket TV_CORP SG&amp;A" xfId="0"/>
    <cellStyle name="_Other_Pocket TV_Digitizer" xfId="0"/>
    <cellStyle name="_Other_Pocket TV_GPS OTHER" xfId="0"/>
    <cellStyle name="_Other_Pocket TV_GPS OTHER 2" xfId="0"/>
    <cellStyle name="_Other_Pocket TV_GPS OTHER 3" xfId="0"/>
    <cellStyle name="_Other_Pocket TV_GPS OTHER 4" xfId="0"/>
    <cellStyle name="_Other_Pocket TV_GPS OTHER 4 2" xfId="0"/>
    <cellStyle name="_Other_Pocket TV_GPS OTHER_By Region" xfId="0"/>
    <cellStyle name="_Other_Pocket TV_GPS OTHER_CORP SG&amp;A" xfId="0"/>
    <cellStyle name="_Other_Pocket TV_GPS OTHER_LCD" xfId="0"/>
    <cellStyle name="_Other_Pocket TV_GPS OTHER_PJ" xfId="0"/>
    <cellStyle name="_Other_Pocket TV_LCD" xfId="0"/>
    <cellStyle name="_Other_Pocket TV_LCD 2" xfId="0"/>
    <cellStyle name="_Other_Pocket TV_LCD 3" xfId="0"/>
    <cellStyle name="_Other_Pocket TV_LCD 4" xfId="0"/>
    <cellStyle name="_Other_Pocket TV_LCD_By Region" xfId="0"/>
    <cellStyle name="_Other_Pocket TV_LCD_CORP SG&amp;A" xfId="0"/>
    <cellStyle name="_Other_Pocket TV_LCD_LCD" xfId="0"/>
    <cellStyle name="_Other_Pocket TV_LCD_PJ" xfId="0"/>
    <cellStyle name="_Other_Pocket TV_PC Products" xfId="0"/>
    <cellStyle name="_Other_Pocket TV_PC Products 2" xfId="0"/>
    <cellStyle name="_Other_Pocket TV_PC Products 3" xfId="0"/>
    <cellStyle name="_Other_Pocket TV_PC Products 4" xfId="0"/>
    <cellStyle name="_Other_Pocket TV_PC Products 4 2" xfId="0"/>
    <cellStyle name="_Other_Pocket TV_PC Products_By Region" xfId="0"/>
    <cellStyle name="_Other_Pocket TV_PC Products_CORP SG&amp;A" xfId="0"/>
    <cellStyle name="_Other_Pocket TV_PC Products_LCD" xfId="0"/>
    <cellStyle name="_Other_Pocket TV_PC Products_PJ" xfId="0"/>
    <cellStyle name="_Other_Pocket TV_VSA 111014" xfId="0"/>
    <cellStyle name="_Other_Pocket TV_VSA 111014 2" xfId="0"/>
    <cellStyle name="_Other_Pocket TV_VSA 111014 3" xfId="0"/>
    <cellStyle name="_Other_Pocket TV_VSA 111014 4" xfId="0"/>
    <cellStyle name="_Other_Pocket TV_VSA 111014 4 2" xfId="0"/>
    <cellStyle name="_Other_Pocket TV_VSA 111014_By Region" xfId="0"/>
    <cellStyle name="_Other_Pocket TV_VSA 111014_CORP SG&amp;A" xfId="0"/>
    <cellStyle name="_Other_Pocket TV_VSA 111014_LCD" xfId="0"/>
    <cellStyle name="_Other_Pocket TV_VSA 111014_PJ" xfId="0"/>
    <cellStyle name="_Other_Pocket TV_VSA Roll-Up (LW)" xfId="0"/>
    <cellStyle name="_Other_Pocket TV_VSA Roll-Up (LW) 2" xfId="0"/>
    <cellStyle name="_Other_Pocket TV_VSA Roll-Up (LW) 3" xfId="0"/>
    <cellStyle name="_Other_Pocket TV_VSA Roll-Up (LW) 4" xfId="0"/>
    <cellStyle name="_Other_Pocket TV_VSA Roll-Up (LW) 4 2" xfId="0"/>
    <cellStyle name="_Other_Pocket TV_VSA Roll-Up (LW)_By Region" xfId="0"/>
    <cellStyle name="_Other_Pocket TV_VSA Roll-Up (LW)_CORP SG&amp;A" xfId="0"/>
    <cellStyle name="_Other_Pocket TV_VSA Roll-Up (LW)_LCD" xfId="0"/>
    <cellStyle name="_Other_Pocket TV_VSA Roll-Up (LW)_PJ" xfId="0"/>
    <cellStyle name="_Other_Pocket_TV" xfId="0"/>
    <cellStyle name="_Other_Pocket_TV 2" xfId="0"/>
    <cellStyle name="_Other_Pocket_TV 3" xfId="0"/>
    <cellStyle name="_Other_Pocket_TV 4" xfId="0"/>
    <cellStyle name="_Other_Pocket_TV_By Region" xfId="0"/>
    <cellStyle name="_Other_Pocket_TV_CORP SG&amp;A" xfId="0"/>
    <cellStyle name="_Other_Pocket_TV_Digitizer" xfId="0"/>
    <cellStyle name="_Other_Pocket_TV_GPS OTHER" xfId="0"/>
    <cellStyle name="_Other_Pocket_TV_GPS OTHER 2" xfId="0"/>
    <cellStyle name="_Other_Pocket_TV_GPS OTHER 3" xfId="0"/>
    <cellStyle name="_Other_Pocket_TV_GPS OTHER 4" xfId="0"/>
    <cellStyle name="_Other_Pocket_TV_GPS OTHER 4 2" xfId="0"/>
    <cellStyle name="_Other_Pocket_TV_GPS OTHER_By Region" xfId="0"/>
    <cellStyle name="_Other_Pocket_TV_GPS OTHER_CORP SG&amp;A" xfId="0"/>
    <cellStyle name="_Other_Pocket_TV_GPS OTHER_LCD" xfId="0"/>
    <cellStyle name="_Other_Pocket_TV_GPS OTHER_PJ" xfId="0"/>
    <cellStyle name="_Other_Pocket_TV_LCD" xfId="0"/>
    <cellStyle name="_Other_Pocket_TV_LCD 2" xfId="0"/>
    <cellStyle name="_Other_Pocket_TV_LCD 3" xfId="0"/>
    <cellStyle name="_Other_Pocket_TV_LCD 4" xfId="0"/>
    <cellStyle name="_Other_Pocket_TV_LCD_By Region" xfId="0"/>
    <cellStyle name="_Other_Pocket_TV_LCD_CORP SG&amp;A" xfId="0"/>
    <cellStyle name="_Other_Pocket_TV_LCD_LCD" xfId="0"/>
    <cellStyle name="_Other_Pocket_TV_LCD_PJ" xfId="0"/>
    <cellStyle name="_Other_Pocket_TV_PC Products" xfId="0"/>
    <cellStyle name="_Other_Pocket_TV_PC Products 2" xfId="0"/>
    <cellStyle name="_Other_Pocket_TV_PC Products 3" xfId="0"/>
    <cellStyle name="_Other_Pocket_TV_PC Products 4" xfId="0"/>
    <cellStyle name="_Other_Pocket_TV_PC Products 4 2" xfId="0"/>
    <cellStyle name="_Other_Pocket_TV_PC Products_By Region" xfId="0"/>
    <cellStyle name="_Other_Pocket_TV_PC Products_CORP SG&amp;A" xfId="0"/>
    <cellStyle name="_Other_Pocket_TV_PC Products_LCD" xfId="0"/>
    <cellStyle name="_Other_Pocket_TV_PC Products_PJ" xfId="0"/>
    <cellStyle name="_Other_Pocket_TV_VSA 111014" xfId="0"/>
    <cellStyle name="_Other_Pocket_TV_VSA 111014 2" xfId="0"/>
    <cellStyle name="_Other_Pocket_TV_VSA 111014 3" xfId="0"/>
    <cellStyle name="_Other_Pocket_TV_VSA 111014 4" xfId="0"/>
    <cellStyle name="_Other_Pocket_TV_VSA 111014 4 2" xfId="0"/>
    <cellStyle name="_Other_Pocket_TV_VSA 111014_By Region" xfId="0"/>
    <cellStyle name="_Other_Pocket_TV_VSA 111014_CORP SG&amp;A" xfId="0"/>
    <cellStyle name="_Other_Pocket_TV_VSA 111014_LCD" xfId="0"/>
    <cellStyle name="_Other_Pocket_TV_VSA 111014_PJ" xfId="0"/>
    <cellStyle name="_Other_Pocket_TV_VSA Roll-Up (LW)" xfId="0"/>
    <cellStyle name="_Other_Pocket_TV_VSA Roll-Up (LW) 2" xfId="0"/>
    <cellStyle name="_Other_Pocket_TV_VSA Roll-Up (LW) 3" xfId="0"/>
    <cellStyle name="_Other_Pocket_TV_VSA Roll-Up (LW) 4" xfId="0"/>
    <cellStyle name="_Other_Pocket_TV_VSA Roll-Up (LW) 4 2" xfId="0"/>
    <cellStyle name="_Other_Pocket_TV_VSA Roll-Up (LW)_By Region" xfId="0"/>
    <cellStyle name="_Other_Pocket_TV_VSA Roll-Up (LW)_CORP SG&amp;A" xfId="0"/>
    <cellStyle name="_Other_Pocket_TV_VSA Roll-Up (LW)_LCD" xfId="0"/>
    <cellStyle name="_Other_Pocket_TV_VSA Roll-Up (LW)_PJ" xfId="0"/>
    <cellStyle name="_Other_TV" xfId="0"/>
    <cellStyle name="_Other_TV 2" xfId="0"/>
    <cellStyle name="_Other_TV 3" xfId="0"/>
    <cellStyle name="_Other_TV 4" xfId="0"/>
    <cellStyle name="_Other_TV_By Region" xfId="0"/>
    <cellStyle name="_Other_TV_CORP SG&amp;A" xfId="0"/>
    <cellStyle name="_Other_TV_Digitizer" xfId="0"/>
    <cellStyle name="_Other_TV_GPS OTHER" xfId="0"/>
    <cellStyle name="_Other_TV_GPS OTHER 2" xfId="0"/>
    <cellStyle name="_Other_TV_GPS OTHER 3" xfId="0"/>
    <cellStyle name="_Other_TV_GPS OTHER 4" xfId="0"/>
    <cellStyle name="_Other_TV_GPS OTHER 4 2" xfId="0"/>
    <cellStyle name="_Other_TV_GPS OTHER_By Region" xfId="0"/>
    <cellStyle name="_Other_TV_GPS OTHER_CORP SG&amp;A" xfId="0"/>
    <cellStyle name="_Other_TV_GPS OTHER_LCD" xfId="0"/>
    <cellStyle name="_Other_TV_GPS OTHER_PJ" xfId="0"/>
    <cellStyle name="_Other_TV_LCD" xfId="0"/>
    <cellStyle name="_Other_TV_LCD 2" xfId="0"/>
    <cellStyle name="_Other_TV_LCD 3" xfId="0"/>
    <cellStyle name="_Other_TV_LCD 4" xfId="0"/>
    <cellStyle name="_Other_TV_LCD_By Region" xfId="0"/>
    <cellStyle name="_Other_TV_LCD_CORP SG&amp;A" xfId="0"/>
    <cellStyle name="_Other_TV_LCD_LCD" xfId="0"/>
    <cellStyle name="_Other_TV_LCD_PJ" xfId="0"/>
    <cellStyle name="_Other_TV_PC Products" xfId="0"/>
    <cellStyle name="_Other_TV_PC Products 2" xfId="0"/>
    <cellStyle name="_Other_TV_PC Products 3" xfId="0"/>
    <cellStyle name="_Other_TV_PC Products 4" xfId="0"/>
    <cellStyle name="_Other_TV_PC Products 4 2" xfId="0"/>
    <cellStyle name="_Other_TV_PC Products_By Region" xfId="0"/>
    <cellStyle name="_Other_TV_PC Products_CORP SG&amp;A" xfId="0"/>
    <cellStyle name="_Other_TV_PC Products_LCD" xfId="0"/>
    <cellStyle name="_Other_TV_PC Products_PJ" xfId="0"/>
    <cellStyle name="_Other_TV_VSA 111014" xfId="0"/>
    <cellStyle name="_Other_TV_VSA 111014 2" xfId="0"/>
    <cellStyle name="_Other_TV_VSA 111014 3" xfId="0"/>
    <cellStyle name="_Other_TV_VSA 111014 4" xfId="0"/>
    <cellStyle name="_Other_TV_VSA 111014 4 2" xfId="0"/>
    <cellStyle name="_Other_TV_VSA 111014_By Region" xfId="0"/>
    <cellStyle name="_Other_TV_VSA 111014_CORP SG&amp;A" xfId="0"/>
    <cellStyle name="_Other_TV_VSA 111014_LCD" xfId="0"/>
    <cellStyle name="_Other_TV_VSA 111014_PJ" xfId="0"/>
    <cellStyle name="_Other_TV_VSA Roll-Up (LW)" xfId="0"/>
    <cellStyle name="_Other_TV_VSA Roll-Up (LW) 2" xfId="0"/>
    <cellStyle name="_Other_TV_VSA Roll-Up (LW) 3" xfId="0"/>
    <cellStyle name="_Other_TV_VSA Roll-Up (LW) 4" xfId="0"/>
    <cellStyle name="_Other_TV_VSA Roll-Up (LW) 4 2" xfId="0"/>
    <cellStyle name="_Other_TV_VSA Roll-Up (LW)_By Region" xfId="0"/>
    <cellStyle name="_Other_TV_VSA Roll-Up (LW)_CORP SG&amp;A" xfId="0"/>
    <cellStyle name="_Other_TV_VSA Roll-Up (LW)_LCD" xfId="0"/>
    <cellStyle name="_Other_TV_VSA Roll-Up (LW)_PJ" xfId="0"/>
    <cellStyle name="_Other_VD" xfId="0"/>
    <cellStyle name="_Other_VD 2" xfId="0"/>
    <cellStyle name="_Other_VD 3" xfId="0"/>
    <cellStyle name="_Other_VD 4" xfId="0"/>
    <cellStyle name="_Other_VD_By Region" xfId="0"/>
    <cellStyle name="_Other_VD_CORP SG&amp;A" xfId="0"/>
    <cellStyle name="_Other_VD_Digitizer" xfId="0"/>
    <cellStyle name="_Other_VD_GPS OTHER" xfId="0"/>
    <cellStyle name="_Other_VD_GPS OTHER 2" xfId="0"/>
    <cellStyle name="_Other_VD_GPS OTHER 3" xfId="0"/>
    <cellStyle name="_Other_VD_GPS OTHER 4" xfId="0"/>
    <cellStyle name="_Other_VD_GPS OTHER 4 2" xfId="0"/>
    <cellStyle name="_Other_VD_GPS OTHER_By Region" xfId="0"/>
    <cellStyle name="_Other_VD_GPS OTHER_CORP SG&amp;A" xfId="0"/>
    <cellStyle name="_Other_VD_GPS OTHER_LCD" xfId="0"/>
    <cellStyle name="_Other_VD_GPS OTHER_PJ" xfId="0"/>
    <cellStyle name="_Other_VD_LCD" xfId="0"/>
    <cellStyle name="_Other_VD_LCD 2" xfId="0"/>
    <cellStyle name="_Other_VD_LCD 3" xfId="0"/>
    <cellStyle name="_Other_VD_LCD 4" xfId="0"/>
    <cellStyle name="_Other_VD_LCD_By Region" xfId="0"/>
    <cellStyle name="_Other_VD_LCD_CORP SG&amp;A" xfId="0"/>
    <cellStyle name="_Other_VD_LCD_LCD" xfId="0"/>
    <cellStyle name="_Other_VD_LCD_PJ" xfId="0"/>
    <cellStyle name="_Other_VD_PC Products" xfId="0"/>
    <cellStyle name="_Other_VD_PC Products 2" xfId="0"/>
    <cellStyle name="_Other_VD_PC Products 3" xfId="0"/>
    <cellStyle name="_Other_VD_PC Products 4" xfId="0"/>
    <cellStyle name="_Other_VD_PC Products 4 2" xfId="0"/>
    <cellStyle name="_Other_VD_PC Products_By Region" xfId="0"/>
    <cellStyle name="_Other_VD_PC Products_CORP SG&amp;A" xfId="0"/>
    <cellStyle name="_Other_VD_PC Products_LCD" xfId="0"/>
    <cellStyle name="_Other_VD_PC Products_PJ" xfId="0"/>
    <cellStyle name="_Other_VD_VSA 111014" xfId="0"/>
    <cellStyle name="_Other_VD_VSA 111014 2" xfId="0"/>
    <cellStyle name="_Other_VD_VSA 111014 3" xfId="0"/>
    <cellStyle name="_Other_VD_VSA 111014 4" xfId="0"/>
    <cellStyle name="_Other_VD_VSA 111014 4 2" xfId="0"/>
    <cellStyle name="_Other_VD_VSA 111014_By Region" xfId="0"/>
    <cellStyle name="_Other_VD_VSA 111014_CORP SG&amp;A" xfId="0"/>
    <cellStyle name="_Other_VD_VSA 111014_LCD" xfId="0"/>
    <cellStyle name="_Other_VD_VSA 111014_PJ" xfId="0"/>
    <cellStyle name="_Other_VD_VSA Roll-Up (LW)" xfId="0"/>
    <cellStyle name="_Other_VD_VSA Roll-Up (LW) 2" xfId="0"/>
    <cellStyle name="_Other_VD_VSA Roll-Up (LW) 3" xfId="0"/>
    <cellStyle name="_Other_VD_VSA Roll-Up (LW) 4" xfId="0"/>
    <cellStyle name="_Other_VD_VSA Roll-Up (LW) 4 2" xfId="0"/>
    <cellStyle name="_Other_VD_VSA Roll-Up (LW)_By Region" xfId="0"/>
    <cellStyle name="_Other_VD_VSA Roll-Up (LW)_CORP SG&amp;A" xfId="0"/>
    <cellStyle name="_Other_VD_VSA Roll-Up (LW)_LCD" xfId="0"/>
    <cellStyle name="_Other_VD_VSA Roll-Up (LW)_PJ" xfId="0"/>
    <cellStyle name="_Other_VSA 111014" xfId="0"/>
    <cellStyle name="_Other_VSA 111014 2" xfId="0"/>
    <cellStyle name="_Other_VSA 111014 3" xfId="0"/>
    <cellStyle name="_Other_VSA 111014 4" xfId="0"/>
    <cellStyle name="_Other_VSA 111014 4 2" xfId="0"/>
    <cellStyle name="_Other_VSA 111014_By Region" xfId="0"/>
    <cellStyle name="_Other_VSA 111014_CORP SG&amp;A" xfId="0"/>
    <cellStyle name="_Other_VSA 111014_LCD" xfId="0"/>
    <cellStyle name="_Other_VSA 111014_PJ" xfId="0"/>
    <cellStyle name="_Other_VSA Roll-Up (LW)" xfId="0"/>
    <cellStyle name="_Other_VSA Roll-Up (LW) 2" xfId="0"/>
    <cellStyle name="_Other_VSA Roll-Up (LW) 3" xfId="0"/>
    <cellStyle name="_Other_VSA Roll-Up (LW) 4" xfId="0"/>
    <cellStyle name="_Other_VSA Roll-Up (LW) 4 2" xfId="0"/>
    <cellStyle name="_Other_VSA Roll-Up (LW)_By Region" xfId="0"/>
    <cellStyle name="_Other_VSA Roll-Up (LW)_CORP SG&amp;A" xfId="0"/>
    <cellStyle name="_Other_VSA Roll-Up (LW)_LCD" xfId="0"/>
    <cellStyle name="_Other_VSA Roll-Up (LW)_PJ" xfId="0"/>
    <cellStyle name="_Other_VSE 2011 Budget" xfId="0"/>
    <cellStyle name="_Other_VSE 2011 Budget 2" xfId="0"/>
    <cellStyle name="_Other_VSE 2011 Budget 3" xfId="0"/>
    <cellStyle name="_Other_VSE 2011 Budget 4" xfId="0"/>
    <cellStyle name="_Other_VSE 2011 Budget_By Region" xfId="0"/>
    <cellStyle name="_Other_VSE 2011 Budget_CORP SG&amp;A" xfId="0"/>
    <cellStyle name="_Other_VSE 2011 Budget_Digitizer" xfId="0"/>
    <cellStyle name="_Other_VSE 2011 Budget_GPS OTHER" xfId="0"/>
    <cellStyle name="_Other_VSE 2011 Budget_GPS OTHER 2" xfId="0"/>
    <cellStyle name="_Other_VSE 2011 Budget_GPS OTHER 3" xfId="0"/>
    <cellStyle name="_Other_VSE 2011 Budget_GPS OTHER 4" xfId="0"/>
    <cellStyle name="_Other_VSE 2011 Budget_GPS OTHER 4 2" xfId="0"/>
    <cellStyle name="_Other_VSE 2011 Budget_GPS OTHER_By Region" xfId="0"/>
    <cellStyle name="_Other_VSE 2011 Budget_GPS OTHER_CORP SG&amp;A" xfId="0"/>
    <cellStyle name="_Other_VSE 2011 Budget_GPS OTHER_LCD" xfId="0"/>
    <cellStyle name="_Other_VSE 2011 Budget_GPS OTHER_PJ" xfId="0"/>
    <cellStyle name="_Other_VSE 2011 Budget_LCD" xfId="0"/>
    <cellStyle name="_Other_VSE 2011 Budget_LCD 2" xfId="0"/>
    <cellStyle name="_Other_VSE 2011 Budget_LCD 3" xfId="0"/>
    <cellStyle name="_Other_VSE 2011 Budget_LCD 4" xfId="0"/>
    <cellStyle name="_Other_VSE 2011 Budget_LCD_By Region" xfId="0"/>
    <cellStyle name="_Other_VSE 2011 Budget_LCD_CORP SG&amp;A" xfId="0"/>
    <cellStyle name="_Other_VSE 2011 Budget_LCD_LCD" xfId="0"/>
    <cellStyle name="_Other_VSE 2011 Budget_LCD_PJ" xfId="0"/>
    <cellStyle name="_Other_VSE 2011 Budget_PC Products" xfId="0"/>
    <cellStyle name="_Other_VSE 2011 Budget_PC Products 2" xfId="0"/>
    <cellStyle name="_Other_VSE 2011 Budget_PC Products 3" xfId="0"/>
    <cellStyle name="_Other_VSE 2011 Budget_PC Products 4" xfId="0"/>
    <cellStyle name="_Other_VSE 2011 Budget_PC Products 4 2" xfId="0"/>
    <cellStyle name="_Other_VSE 2011 Budget_PC Products_By Region" xfId="0"/>
    <cellStyle name="_Other_VSE 2011 Budget_PC Products_CORP SG&amp;A" xfId="0"/>
    <cellStyle name="_Other_VSE 2011 Budget_PC Products_LCD" xfId="0"/>
    <cellStyle name="_Other_VSE 2011 Budget_PC Products_PJ" xfId="0"/>
    <cellStyle name="_Other_VSE 2011 Budget_VSA 111014" xfId="0"/>
    <cellStyle name="_Other_VSE 2011 Budget_VSA 111014 2" xfId="0"/>
    <cellStyle name="_Other_VSE 2011 Budget_VSA 111014 3" xfId="0"/>
    <cellStyle name="_Other_VSE 2011 Budget_VSA 111014 4" xfId="0"/>
    <cellStyle name="_Other_VSE 2011 Budget_VSA 111014 4 2" xfId="0"/>
    <cellStyle name="_Other_VSE 2011 Budget_VSA 111014_By Region" xfId="0"/>
    <cellStyle name="_Other_VSE 2011 Budget_VSA 111014_CORP SG&amp;A" xfId="0"/>
    <cellStyle name="_Other_VSE 2011 Budget_VSA 111014_LCD" xfId="0"/>
    <cellStyle name="_Other_VSE 2011 Budget_VSA 111014_PJ" xfId="0"/>
    <cellStyle name="_Other_VSE 2011 Budget_VSA Roll-Up (LW)" xfId="0"/>
    <cellStyle name="_Other_VSE 2011 Budget_VSA Roll-Up (LW) 2" xfId="0"/>
    <cellStyle name="_Other_VSE 2011 Budget_VSA Roll-Up (LW) 3" xfId="0"/>
    <cellStyle name="_Other_VSE 2011 Budget_VSA Roll-Up (LW) 4" xfId="0"/>
    <cellStyle name="_Other_VSE 2011 Budget_VSA Roll-Up (LW) 4 2" xfId="0"/>
    <cellStyle name="_Other_VSE 2011 Budget_VSA Roll-Up (LW)_By Region" xfId="0"/>
    <cellStyle name="_Other_VSE 2011 Budget_VSA Roll-Up (LW)_CORP SG&amp;A" xfId="0"/>
    <cellStyle name="_Other_VSE 2011 Budget_VSA Roll-Up (LW)_LCD" xfId="0"/>
    <cellStyle name="_Other_VSE 2011 Budget_VSA Roll-Up (LW)_PJ" xfId="0"/>
    <cellStyle name="_Other_VSE 2H  WFP review (Spring Global meeting)-conservative Adam working v3" xfId="0"/>
    <cellStyle name="_Other_VSE 2H  WFP review (Spring Global meeting)-conservative Adam working v3 2" xfId="0"/>
    <cellStyle name="_Other_VSE 2H  WFP review (Spring Global meeting)-conservative Adam working v3 3" xfId="0"/>
    <cellStyle name="_Other_VSE 2H Rebalance 110712" xfId="0"/>
    <cellStyle name="_Other_VSE 2H Rebalance 110712 2" xfId="0"/>
    <cellStyle name="_Other_VSE 2H Rebalance 110712 3" xfId="0"/>
    <cellStyle name="_Other_VSE 2H Rebalance 110712 4" xfId="0"/>
    <cellStyle name="_Other_VSE 2H Rebalance 110712_By Region" xfId="0"/>
    <cellStyle name="_Other_VSE 2H Rebalance 110712_CORP SG&amp;A" xfId="0"/>
    <cellStyle name="_Other_VSE WFP 101203" xfId="0"/>
    <cellStyle name="_Other_VSE WFP 101203 2" xfId="0"/>
    <cellStyle name="_Other_VSE WFP 101203 3" xfId="0"/>
    <cellStyle name="_Other_VSE WFP 101203 4" xfId="0"/>
    <cellStyle name="_Other_VSE WFP 101203_By Region" xfId="0"/>
    <cellStyle name="_Other_VSE WFP 101203_CORP SG&amp;A" xfId="0"/>
    <cellStyle name="_Other_VSE WFP 110311" xfId="0"/>
    <cellStyle name="_Other_VSE WFP 110311 2" xfId="0"/>
    <cellStyle name="_Other_VSE WFP 110311 3" xfId="0"/>
    <cellStyle name="_Other_VSE WFP 110311 4" xfId="0"/>
    <cellStyle name="_Other_VSE WFP 110311_By Region" xfId="0"/>
    <cellStyle name="_Other_VSE WFP 110311_CORP SG&amp;A" xfId="0"/>
    <cellStyle name="_Other_VSE WFP 110415" xfId="0"/>
    <cellStyle name="_Other_VSE WFP 110415 2" xfId="0"/>
    <cellStyle name="_Other_VSE WFP 110415 3" xfId="0"/>
    <cellStyle name="_Other_VSE WFP 110415 4" xfId="0"/>
    <cellStyle name="_Other_VSE WFP 110415_By Region" xfId="0"/>
    <cellStyle name="_Other_VSE WFP 110415_CORP SG&amp;A" xfId="0"/>
    <cellStyle name="_Other_VSE WFP_100409" xfId="0"/>
    <cellStyle name="_Other_VSE WFP_100409 2" xfId="0"/>
    <cellStyle name="_Other_VSE WFP_100409 3" xfId="0"/>
    <cellStyle name="_Other_VSE WFP_100409 4" xfId="0"/>
    <cellStyle name="_Other_VSE WFP_100409_By Region" xfId="0"/>
    <cellStyle name="_Other_VSE WFP_100409_CORP SG&amp;A" xfId="0"/>
    <cellStyle name="_Other_VSE WFP_100409_Digitizer" xfId="0"/>
    <cellStyle name="_Other_VSE WFP_100409_GPS OTHER" xfId="0"/>
    <cellStyle name="_Other_VSE WFP_100409_GPS OTHER 2" xfId="0"/>
    <cellStyle name="_Other_VSE WFP_100409_GPS OTHER 3" xfId="0"/>
    <cellStyle name="_Other_VSE WFP_100409_GPS OTHER 4" xfId="0"/>
    <cellStyle name="_Other_VSE WFP_100409_GPS OTHER 4 2" xfId="0"/>
    <cellStyle name="_Other_VSE WFP_100409_GPS OTHER_By Region" xfId="0"/>
    <cellStyle name="_Other_VSE WFP_100409_GPS OTHER_CORP SG&amp;A" xfId="0"/>
    <cellStyle name="_Other_VSE WFP_100409_GPS OTHER_LCD" xfId="0"/>
    <cellStyle name="_Other_VSE WFP_100409_GPS OTHER_PJ" xfId="0"/>
    <cellStyle name="_Other_VSE WFP_100409_LCD" xfId="0"/>
    <cellStyle name="_Other_VSE WFP_100409_LCD 2" xfId="0"/>
    <cellStyle name="_Other_VSE WFP_100409_LCD 3" xfId="0"/>
    <cellStyle name="_Other_VSE WFP_100409_LCD 4" xfId="0"/>
    <cellStyle name="_Other_VSE WFP_100409_LCD_By Region" xfId="0"/>
    <cellStyle name="_Other_VSE WFP_100409_LCD_CORP SG&amp;A" xfId="0"/>
    <cellStyle name="_Other_VSE WFP_100409_LCD_LCD" xfId="0"/>
    <cellStyle name="_Other_VSE WFP_100409_LCD_PJ" xfId="0"/>
    <cellStyle name="_Other_VSE WFP_100409_PC Products" xfId="0"/>
    <cellStyle name="_Other_VSE WFP_100409_PC Products 2" xfId="0"/>
    <cellStyle name="_Other_VSE WFP_100409_PC Products 3" xfId="0"/>
    <cellStyle name="_Other_VSE WFP_100409_PC Products 4" xfId="0"/>
    <cellStyle name="_Other_VSE WFP_100409_PC Products 4 2" xfId="0"/>
    <cellStyle name="_Other_VSE WFP_100409_PC Products_By Region" xfId="0"/>
    <cellStyle name="_Other_VSE WFP_100409_PC Products_CORP SG&amp;A" xfId="0"/>
    <cellStyle name="_Other_VSE WFP_100409_PC Products_LCD" xfId="0"/>
    <cellStyle name="_Other_VSE WFP_100409_PC Products_PJ" xfId="0"/>
    <cellStyle name="_Other_VSE WFP_100409_VSA 111014" xfId="0"/>
    <cellStyle name="_Other_VSE WFP_100409_VSA 111014 2" xfId="0"/>
    <cellStyle name="_Other_VSE WFP_100409_VSA 111014 3" xfId="0"/>
    <cellStyle name="_Other_VSE WFP_100409_VSA 111014 4" xfId="0"/>
    <cellStyle name="_Other_VSE WFP_100409_VSA 111014 4 2" xfId="0"/>
    <cellStyle name="_Other_VSE WFP_100409_VSA 111014_By Region" xfId="0"/>
    <cellStyle name="_Other_VSE WFP_100409_VSA 111014_CORP SG&amp;A" xfId="0"/>
    <cellStyle name="_Other_VSE WFP_100409_VSA 111014_LCD" xfId="0"/>
    <cellStyle name="_Other_VSE WFP_100409_VSA 111014_PJ" xfId="0"/>
    <cellStyle name="_Other_VSE WFP_100409_VSA Roll-Up (LW)" xfId="0"/>
    <cellStyle name="_Other_VSE WFP_100409_VSA Roll-Up (LW) 2" xfId="0"/>
    <cellStyle name="_Other_VSE WFP_100409_VSA Roll-Up (LW) 3" xfId="0"/>
    <cellStyle name="_Other_VSE WFP_100409_VSA Roll-Up (LW) 4" xfId="0"/>
    <cellStyle name="_Other_VSE WFP_100409_VSA Roll-Up (LW) 4 2" xfId="0"/>
    <cellStyle name="_Other_VSE WFP_100409_VSA Roll-Up (LW)_By Region" xfId="0"/>
    <cellStyle name="_Other_VSE WFP_100409_VSA Roll-Up (LW)_CORP SG&amp;A" xfId="0"/>
    <cellStyle name="_Other_VSE WFP_100409_VSA Roll-Up (LW)_LCD" xfId="0"/>
    <cellStyle name="_Other_VSE WFP_100409_VSA Roll-Up (LW)_PJ" xfId="0"/>
    <cellStyle name="_Other_VSE WFP_100421 v2" xfId="0"/>
    <cellStyle name="_Other_VSE WFP_100421 v2 2" xfId="0"/>
    <cellStyle name="_Other_VSE WFP_100421 v2 3" xfId="0"/>
    <cellStyle name="_Other_VSE WFP_100421 v2 4" xfId="0"/>
    <cellStyle name="_Other_VSE WFP_100421 v2_By Region" xfId="0"/>
    <cellStyle name="_Other_VSE WFP_100421 v2_CORP SG&amp;A" xfId="0"/>
    <cellStyle name="_Other_VSE WFP_100421 v2_Digitizer" xfId="0"/>
    <cellStyle name="_Other_VSE WFP_100421 v2_GPS OTHER" xfId="0"/>
    <cellStyle name="_Other_VSE WFP_100421 v2_GPS OTHER 2" xfId="0"/>
    <cellStyle name="_Other_VSE WFP_100421 v2_GPS OTHER 3" xfId="0"/>
    <cellStyle name="_Other_VSE WFP_100421 v2_GPS OTHER 4" xfId="0"/>
    <cellStyle name="_Other_VSE WFP_100421 v2_GPS OTHER 4 2" xfId="0"/>
    <cellStyle name="_Other_VSE WFP_100421 v2_GPS OTHER_By Region" xfId="0"/>
    <cellStyle name="_Other_VSE WFP_100421 v2_GPS OTHER_CORP SG&amp;A" xfId="0"/>
    <cellStyle name="_Other_VSE WFP_100421 v2_GPS OTHER_LCD" xfId="0"/>
    <cellStyle name="_Other_VSE WFP_100421 v2_GPS OTHER_PJ" xfId="0"/>
    <cellStyle name="_Other_VSE WFP_100421 v2_LCD" xfId="0"/>
    <cellStyle name="_Other_VSE WFP_100421 v2_LCD 2" xfId="0"/>
    <cellStyle name="_Other_VSE WFP_100421 v2_LCD 3" xfId="0"/>
    <cellStyle name="_Other_VSE WFP_100421 v2_LCD 4" xfId="0"/>
    <cellStyle name="_Other_VSE WFP_100421 v2_LCD_By Region" xfId="0"/>
    <cellStyle name="_Other_VSE WFP_100421 v2_LCD_CORP SG&amp;A" xfId="0"/>
    <cellStyle name="_Other_VSE WFP_100421 v2_LCD_LCD" xfId="0"/>
    <cellStyle name="_Other_VSE WFP_100421 v2_LCD_PJ" xfId="0"/>
    <cellStyle name="_Other_VSE WFP_100421 v2_PC Products" xfId="0"/>
    <cellStyle name="_Other_VSE WFP_100421 v2_PC Products 2" xfId="0"/>
    <cellStyle name="_Other_VSE WFP_100421 v2_PC Products 3" xfId="0"/>
    <cellStyle name="_Other_VSE WFP_100421 v2_PC Products 4" xfId="0"/>
    <cellStyle name="_Other_VSE WFP_100421 v2_PC Products 4 2" xfId="0"/>
    <cellStyle name="_Other_VSE WFP_100421 v2_PC Products_By Region" xfId="0"/>
    <cellStyle name="_Other_VSE WFP_100421 v2_PC Products_CORP SG&amp;A" xfId="0"/>
    <cellStyle name="_Other_VSE WFP_100421 v2_PC Products_LCD" xfId="0"/>
    <cellStyle name="_Other_VSE WFP_100421 v2_PC Products_PJ" xfId="0"/>
    <cellStyle name="_Other_VSE WFP_100421 v2_VSA 111014" xfId="0"/>
    <cellStyle name="_Other_VSE WFP_100421 v2_VSA 111014 2" xfId="0"/>
    <cellStyle name="_Other_VSE WFP_100421 v2_VSA 111014 3" xfId="0"/>
    <cellStyle name="_Other_VSE WFP_100421 v2_VSA 111014 4" xfId="0"/>
    <cellStyle name="_Other_VSE WFP_100421 v2_VSA 111014 4 2" xfId="0"/>
    <cellStyle name="_Other_VSE WFP_100421 v2_VSA 111014_By Region" xfId="0"/>
    <cellStyle name="_Other_VSE WFP_100421 v2_VSA 111014_CORP SG&amp;A" xfId="0"/>
    <cellStyle name="_Other_VSE WFP_100421 v2_VSA 111014_LCD" xfId="0"/>
    <cellStyle name="_Other_VSE WFP_100421 v2_VSA 111014_PJ" xfId="0"/>
    <cellStyle name="_Other_VSE WFP_100421 v2_VSA Roll-Up (LW)" xfId="0"/>
    <cellStyle name="_Other_VSE WFP_100421 v2_VSA Roll-Up (LW) 2" xfId="0"/>
    <cellStyle name="_Other_VSE WFP_100421 v2_VSA Roll-Up (LW) 3" xfId="0"/>
    <cellStyle name="_Other_VSE WFP_100421 v2_VSA Roll-Up (LW) 4" xfId="0"/>
    <cellStyle name="_Other_VSE WFP_100421 v2_VSA Roll-Up (LW) 4 2" xfId="0"/>
    <cellStyle name="_Other_VSE WFP_100421 v2_VSA Roll-Up (LW)_By Region" xfId="0"/>
    <cellStyle name="_Other_VSE WFP_100421 v2_VSA Roll-Up (LW)_CORP SG&amp;A" xfId="0"/>
    <cellStyle name="_Other_VSE WFP_100421 v2_VSA Roll-Up (LW)_LCD" xfId="0"/>
    <cellStyle name="_Other_VSE WFP_100421 v2_VSA Roll-Up (LW)_PJ" xfId="0"/>
    <cellStyle name="_Other_VSE WFP_100507" xfId="0"/>
    <cellStyle name="_Other_VSE WFP_100507 2" xfId="0"/>
    <cellStyle name="_Other_VSE WFP_100507 3" xfId="0"/>
    <cellStyle name="_Other_VSE WFP_100507 4" xfId="0"/>
    <cellStyle name="_Other_VSE WFP_100507_By Region" xfId="0"/>
    <cellStyle name="_Other_VSE WFP_100507_CORP SG&amp;A" xfId="0"/>
    <cellStyle name="_Other_VSE WFP_100507_Digitizer" xfId="0"/>
    <cellStyle name="_Other_VSE WFP_100507_GPS OTHER" xfId="0"/>
    <cellStyle name="_Other_VSE WFP_100507_GPS OTHER 2" xfId="0"/>
    <cellStyle name="_Other_VSE WFP_100507_GPS OTHER 3" xfId="0"/>
    <cellStyle name="_Other_VSE WFP_100507_GPS OTHER 4" xfId="0"/>
    <cellStyle name="_Other_VSE WFP_100507_GPS OTHER 4 2" xfId="0"/>
    <cellStyle name="_Other_VSE WFP_100507_GPS OTHER_By Region" xfId="0"/>
    <cellStyle name="_Other_VSE WFP_100507_GPS OTHER_CORP SG&amp;A" xfId="0"/>
    <cellStyle name="_Other_VSE WFP_100507_GPS OTHER_LCD" xfId="0"/>
    <cellStyle name="_Other_VSE WFP_100507_GPS OTHER_PJ" xfId="0"/>
    <cellStyle name="_Other_VSE WFP_100507_LCD" xfId="0"/>
    <cellStyle name="_Other_VSE WFP_100507_LCD 2" xfId="0"/>
    <cellStyle name="_Other_VSE WFP_100507_LCD 3" xfId="0"/>
    <cellStyle name="_Other_VSE WFP_100507_LCD 4" xfId="0"/>
    <cellStyle name="_Other_VSE WFP_100507_LCD_By Region" xfId="0"/>
    <cellStyle name="_Other_VSE WFP_100507_LCD_CORP SG&amp;A" xfId="0"/>
    <cellStyle name="_Other_VSE WFP_100507_LCD_LCD" xfId="0"/>
    <cellStyle name="_Other_VSE WFP_100507_LCD_PJ" xfId="0"/>
    <cellStyle name="_Other_VSE WFP_100507_PC Products" xfId="0"/>
    <cellStyle name="_Other_VSE WFP_100507_PC Products 2" xfId="0"/>
    <cellStyle name="_Other_VSE WFP_100507_PC Products 3" xfId="0"/>
    <cellStyle name="_Other_VSE WFP_100507_PC Products 4" xfId="0"/>
    <cellStyle name="_Other_VSE WFP_100507_PC Products 4 2" xfId="0"/>
    <cellStyle name="_Other_VSE WFP_100507_PC Products_By Region" xfId="0"/>
    <cellStyle name="_Other_VSE WFP_100507_PC Products_CORP SG&amp;A" xfId="0"/>
    <cellStyle name="_Other_VSE WFP_100507_PC Products_LCD" xfId="0"/>
    <cellStyle name="_Other_VSE WFP_100507_PC Products_PJ" xfId="0"/>
    <cellStyle name="_Other_VSE WFP_100507_VSA 111014" xfId="0"/>
    <cellStyle name="_Other_VSE WFP_100507_VSA 111014 2" xfId="0"/>
    <cellStyle name="_Other_VSE WFP_100507_VSA 111014 3" xfId="0"/>
    <cellStyle name="_Other_VSE WFP_100507_VSA 111014 4" xfId="0"/>
    <cellStyle name="_Other_VSE WFP_100507_VSA 111014 4 2" xfId="0"/>
    <cellStyle name="_Other_VSE WFP_100507_VSA 111014_By Region" xfId="0"/>
    <cellStyle name="_Other_VSE WFP_100507_VSA 111014_CORP SG&amp;A" xfId="0"/>
    <cellStyle name="_Other_VSE WFP_100507_VSA 111014_LCD" xfId="0"/>
    <cellStyle name="_Other_VSE WFP_100507_VSA 111014_PJ" xfId="0"/>
    <cellStyle name="_Other_VSE WFP_100507_VSA Roll-Up (LW)" xfId="0"/>
    <cellStyle name="_Other_VSE WFP_100507_VSA Roll-Up (LW) 2" xfId="0"/>
    <cellStyle name="_Other_VSE WFP_100507_VSA Roll-Up (LW) 3" xfId="0"/>
    <cellStyle name="_Other_VSE WFP_100507_VSA Roll-Up (LW) 4" xfId="0"/>
    <cellStyle name="_Other_VSE WFP_100507_VSA Roll-Up (LW) 4 2" xfId="0"/>
    <cellStyle name="_Other_VSE WFP_100507_VSA Roll-Up (LW)_By Region" xfId="0"/>
    <cellStyle name="_Other_VSE WFP_100507_VSA Roll-Up (LW)_CORP SG&amp;A" xfId="0"/>
    <cellStyle name="_Other_VSE WFP_100507_VSA Roll-Up (LW)_LCD" xfId="0"/>
    <cellStyle name="_Other_VSE WFP_100507_VSA Roll-Up (LW)_PJ" xfId="0"/>
    <cellStyle name="_Other_VSE WFP_100608" xfId="0"/>
    <cellStyle name="_Other_VSE WFP_100608 2" xfId="0"/>
    <cellStyle name="_Other_VSE WFP_100608 3" xfId="0"/>
    <cellStyle name="_Other_VSE WFP_100608 4" xfId="0"/>
    <cellStyle name="_Other_VSE WFP_100608_By Region" xfId="0"/>
    <cellStyle name="_Other_VSE WFP_100608_CORP SG&amp;A" xfId="0"/>
    <cellStyle name="_Other_VSE WFP_100608_Digitizer" xfId="0"/>
    <cellStyle name="_Other_VSE WFP_100608_GPS OTHER" xfId="0"/>
    <cellStyle name="_Other_VSE WFP_100608_GPS OTHER 2" xfId="0"/>
    <cellStyle name="_Other_VSE WFP_100608_GPS OTHER 3" xfId="0"/>
    <cellStyle name="_Other_VSE WFP_100608_GPS OTHER 4" xfId="0"/>
    <cellStyle name="_Other_VSE WFP_100608_GPS OTHER 4 2" xfId="0"/>
    <cellStyle name="_Other_VSE WFP_100608_GPS OTHER_By Region" xfId="0"/>
    <cellStyle name="_Other_VSE WFP_100608_GPS OTHER_CORP SG&amp;A" xfId="0"/>
    <cellStyle name="_Other_VSE WFP_100608_GPS OTHER_LCD" xfId="0"/>
    <cellStyle name="_Other_VSE WFP_100608_GPS OTHER_PJ" xfId="0"/>
    <cellStyle name="_Other_VSE WFP_100608_LCD" xfId="0"/>
    <cellStyle name="_Other_VSE WFP_100608_LCD 2" xfId="0"/>
    <cellStyle name="_Other_VSE WFP_100608_LCD 3" xfId="0"/>
    <cellStyle name="_Other_VSE WFP_100608_LCD 4" xfId="0"/>
    <cellStyle name="_Other_VSE WFP_100608_LCD_By Region" xfId="0"/>
    <cellStyle name="_Other_VSE WFP_100608_LCD_CORP SG&amp;A" xfId="0"/>
    <cellStyle name="_Other_VSE WFP_100608_LCD_LCD" xfId="0"/>
    <cellStyle name="_Other_VSE WFP_100608_LCD_PJ" xfId="0"/>
    <cellStyle name="_Other_VSE WFP_100608_PC Products" xfId="0"/>
    <cellStyle name="_Other_VSE WFP_100608_PC Products 2" xfId="0"/>
    <cellStyle name="_Other_VSE WFP_100608_PC Products 3" xfId="0"/>
    <cellStyle name="_Other_VSE WFP_100608_PC Products 4" xfId="0"/>
    <cellStyle name="_Other_VSE WFP_100608_PC Products 4 2" xfId="0"/>
    <cellStyle name="_Other_VSE WFP_100608_PC Products_By Region" xfId="0"/>
    <cellStyle name="_Other_VSE WFP_100608_PC Products_CORP SG&amp;A" xfId="0"/>
    <cellStyle name="_Other_VSE WFP_100608_PC Products_LCD" xfId="0"/>
    <cellStyle name="_Other_VSE WFP_100608_PC Products_PJ" xfId="0"/>
    <cellStyle name="_Other_VSE WFP_100608_VSA 111014" xfId="0"/>
    <cellStyle name="_Other_VSE WFP_100608_VSA 111014 2" xfId="0"/>
    <cellStyle name="_Other_VSE WFP_100608_VSA 111014 3" xfId="0"/>
    <cellStyle name="_Other_VSE WFP_100608_VSA 111014 4" xfId="0"/>
    <cellStyle name="_Other_VSE WFP_100608_VSA 111014 4 2" xfId="0"/>
    <cellStyle name="_Other_VSE WFP_100608_VSA 111014_By Region" xfId="0"/>
    <cellStyle name="_Other_VSE WFP_100608_VSA 111014_CORP SG&amp;A" xfId="0"/>
    <cellStyle name="_Other_VSE WFP_100608_VSA 111014_LCD" xfId="0"/>
    <cellStyle name="_Other_VSE WFP_100608_VSA 111014_PJ" xfId="0"/>
    <cellStyle name="_Other_VSE WFP_100608_VSA Roll-Up (LW)" xfId="0"/>
    <cellStyle name="_Other_VSE WFP_100608_VSA Roll-Up (LW) 2" xfId="0"/>
    <cellStyle name="_Other_VSE WFP_100608_VSA Roll-Up (LW) 3" xfId="0"/>
    <cellStyle name="_Other_VSE WFP_100608_VSA Roll-Up (LW) 4" xfId="0"/>
    <cellStyle name="_Other_VSE WFP_100608_VSA Roll-Up (LW) 4 2" xfId="0"/>
    <cellStyle name="_Other_VSE WFP_100608_VSA Roll-Up (LW)_By Region" xfId="0"/>
    <cellStyle name="_Other_VSE WFP_100608_VSA Roll-Up (LW)_CORP SG&amp;A" xfId="0"/>
    <cellStyle name="_Other_VSE WFP_100608_VSA Roll-Up (LW)_LCD" xfId="0"/>
    <cellStyle name="_Other_VSE WFP_100608_VSA Roll-Up (LW)_PJ" xfId="0"/>
    <cellStyle name="_Other_VSE WFP_100625" xfId="0"/>
    <cellStyle name="_Other_VSE WFP_100625 2" xfId="0"/>
    <cellStyle name="_Other_VSE WFP_100625 3" xfId="0"/>
    <cellStyle name="_Other_VSE WFP_100625 4" xfId="0"/>
    <cellStyle name="_Other_VSE WFP_100625_By Region" xfId="0"/>
    <cellStyle name="_Other_VSE WFP_100625_CORP SG&amp;A" xfId="0"/>
    <cellStyle name="_Other_VSE WFP_100625_Digitizer" xfId="0"/>
    <cellStyle name="_Other_VSE WFP_100625_GPS OTHER" xfId="0"/>
    <cellStyle name="_Other_VSE WFP_100625_GPS OTHER 2" xfId="0"/>
    <cellStyle name="_Other_VSE WFP_100625_GPS OTHER 3" xfId="0"/>
    <cellStyle name="_Other_VSE WFP_100625_GPS OTHER 4" xfId="0"/>
    <cellStyle name="_Other_VSE WFP_100625_GPS OTHER 4 2" xfId="0"/>
    <cellStyle name="_Other_VSE WFP_100625_GPS OTHER_By Region" xfId="0"/>
    <cellStyle name="_Other_VSE WFP_100625_GPS OTHER_CORP SG&amp;A" xfId="0"/>
    <cellStyle name="_Other_VSE WFP_100625_GPS OTHER_LCD" xfId="0"/>
    <cellStyle name="_Other_VSE WFP_100625_GPS OTHER_PJ" xfId="0"/>
    <cellStyle name="_Other_VSE WFP_100625_LCD" xfId="0"/>
    <cellStyle name="_Other_VSE WFP_100625_LCD 2" xfId="0"/>
    <cellStyle name="_Other_VSE WFP_100625_LCD 3" xfId="0"/>
    <cellStyle name="_Other_VSE WFP_100625_LCD 4" xfId="0"/>
    <cellStyle name="_Other_VSE WFP_100625_LCD_By Region" xfId="0"/>
    <cellStyle name="_Other_VSE WFP_100625_LCD_CORP SG&amp;A" xfId="0"/>
    <cellStyle name="_Other_VSE WFP_100625_LCD_LCD" xfId="0"/>
    <cellStyle name="_Other_VSE WFP_100625_LCD_PJ" xfId="0"/>
    <cellStyle name="_Other_VSE WFP_100625_PC Products" xfId="0"/>
    <cellStyle name="_Other_VSE WFP_100625_PC Products 2" xfId="0"/>
    <cellStyle name="_Other_VSE WFP_100625_PC Products 3" xfId="0"/>
    <cellStyle name="_Other_VSE WFP_100625_PC Products 4" xfId="0"/>
    <cellStyle name="_Other_VSE WFP_100625_PC Products 4 2" xfId="0"/>
    <cellStyle name="_Other_VSE WFP_100625_PC Products_By Region" xfId="0"/>
    <cellStyle name="_Other_VSE WFP_100625_PC Products_CORP SG&amp;A" xfId="0"/>
    <cellStyle name="_Other_VSE WFP_100625_PC Products_LCD" xfId="0"/>
    <cellStyle name="_Other_VSE WFP_100625_PC Products_PJ" xfId="0"/>
    <cellStyle name="_Other_VSE WFP_100625_VSA 111014" xfId="0"/>
    <cellStyle name="_Other_VSE WFP_100625_VSA 111014 2" xfId="0"/>
    <cellStyle name="_Other_VSE WFP_100625_VSA 111014 3" xfId="0"/>
    <cellStyle name="_Other_VSE WFP_100625_VSA 111014 4" xfId="0"/>
    <cellStyle name="_Other_VSE WFP_100625_VSA 111014 4 2" xfId="0"/>
    <cellStyle name="_Other_VSE WFP_100625_VSA 111014_By Region" xfId="0"/>
    <cellStyle name="_Other_VSE WFP_100625_VSA 111014_CORP SG&amp;A" xfId="0"/>
    <cellStyle name="_Other_VSE WFP_100625_VSA 111014_LCD" xfId="0"/>
    <cellStyle name="_Other_VSE WFP_100625_VSA 111014_PJ" xfId="0"/>
    <cellStyle name="_Other_VSE WFP_100625_VSA Roll-Up (LW)" xfId="0"/>
    <cellStyle name="_Other_VSE WFP_100625_VSA Roll-Up (LW) 2" xfId="0"/>
    <cellStyle name="_Other_VSE WFP_100625_VSA Roll-Up (LW) 3" xfId="0"/>
    <cellStyle name="_Other_VSE WFP_100625_VSA Roll-Up (LW) 4" xfId="0"/>
    <cellStyle name="_Other_VSE WFP_100625_VSA Roll-Up (LW) 4 2" xfId="0"/>
    <cellStyle name="_Other_VSE WFP_100625_VSA Roll-Up (LW)_By Region" xfId="0"/>
    <cellStyle name="_Other_VSE WFP_100625_VSA Roll-Up (LW)_CORP SG&amp;A" xfId="0"/>
    <cellStyle name="_Other_VSE WFP_100625_VSA Roll-Up (LW)_LCD" xfId="0"/>
    <cellStyle name="_Other_VSE WFP_100625_VSA Roll-Up (LW)_PJ" xfId="0"/>
    <cellStyle name="_Other_VSE WFP_100708_3rd" xfId="0"/>
    <cellStyle name="_Other_VSE WFP_100708_3rd 2" xfId="0"/>
    <cellStyle name="_Other_VSE WFP_100708_3rd 3" xfId="0"/>
    <cellStyle name="_Other_VSE WFP_100708_3rd 4" xfId="0"/>
    <cellStyle name="_Other_VSE WFP_100708_3rd_By Region" xfId="0"/>
    <cellStyle name="_Other_VSE WFP_100708_3rd_CORP SG&amp;A" xfId="0"/>
    <cellStyle name="_Other_VSE WFP_100708_3rd_Digitizer" xfId="0"/>
    <cellStyle name="_Other_VSE WFP_100708_3rd_GPS OTHER" xfId="0"/>
    <cellStyle name="_Other_VSE WFP_100708_3rd_GPS OTHER 2" xfId="0"/>
    <cellStyle name="_Other_VSE WFP_100708_3rd_GPS OTHER 3" xfId="0"/>
    <cellStyle name="_Other_VSE WFP_100708_3rd_GPS OTHER 4" xfId="0"/>
    <cellStyle name="_Other_VSE WFP_100708_3rd_GPS OTHER 4 2" xfId="0"/>
    <cellStyle name="_Other_VSE WFP_100708_3rd_GPS OTHER_By Region" xfId="0"/>
    <cellStyle name="_Other_VSE WFP_100708_3rd_GPS OTHER_CORP SG&amp;A" xfId="0"/>
    <cellStyle name="_Other_VSE WFP_100708_3rd_GPS OTHER_LCD" xfId="0"/>
    <cellStyle name="_Other_VSE WFP_100708_3rd_GPS OTHER_PJ" xfId="0"/>
    <cellStyle name="_Other_VSE WFP_100708_3rd_LCD" xfId="0"/>
    <cellStyle name="_Other_VSE WFP_100708_3rd_LCD 2" xfId="0"/>
    <cellStyle name="_Other_VSE WFP_100708_3rd_LCD 3" xfId="0"/>
    <cellStyle name="_Other_VSE WFP_100708_3rd_LCD 4" xfId="0"/>
    <cellStyle name="_Other_VSE WFP_100708_3rd_LCD_By Region" xfId="0"/>
    <cellStyle name="_Other_VSE WFP_100708_3rd_LCD_CORP SG&amp;A" xfId="0"/>
    <cellStyle name="_Other_VSE WFP_100708_3rd_LCD_LCD" xfId="0"/>
    <cellStyle name="_Other_VSE WFP_100708_3rd_LCD_PJ" xfId="0"/>
    <cellStyle name="_Other_VSE WFP_100708_3rd_PC Products" xfId="0"/>
    <cellStyle name="_Other_VSE WFP_100708_3rd_PC Products 2" xfId="0"/>
    <cellStyle name="_Other_VSE WFP_100708_3rd_PC Products 3" xfId="0"/>
    <cellStyle name="_Other_VSE WFP_100708_3rd_PC Products 4" xfId="0"/>
    <cellStyle name="_Other_VSE WFP_100708_3rd_PC Products 4 2" xfId="0"/>
    <cellStyle name="_Other_VSE WFP_100708_3rd_PC Products_By Region" xfId="0"/>
    <cellStyle name="_Other_VSE WFP_100708_3rd_PC Products_CORP SG&amp;A" xfId="0"/>
    <cellStyle name="_Other_VSE WFP_100708_3rd_PC Products_LCD" xfId="0"/>
    <cellStyle name="_Other_VSE WFP_100708_3rd_PC Products_PJ" xfId="0"/>
    <cellStyle name="_Other_VSE WFP_100708_3rd_VSA 111014" xfId="0"/>
    <cellStyle name="_Other_VSE WFP_100708_3rd_VSA 111014 2" xfId="0"/>
    <cellStyle name="_Other_VSE WFP_100708_3rd_VSA 111014 3" xfId="0"/>
    <cellStyle name="_Other_VSE WFP_100708_3rd_VSA 111014 4" xfId="0"/>
    <cellStyle name="_Other_VSE WFP_100708_3rd_VSA 111014 4 2" xfId="0"/>
    <cellStyle name="_Other_VSE WFP_100708_3rd_VSA 111014_By Region" xfId="0"/>
    <cellStyle name="_Other_VSE WFP_100708_3rd_VSA 111014_CORP SG&amp;A" xfId="0"/>
    <cellStyle name="_Other_VSE WFP_100708_3rd_VSA 111014_LCD" xfId="0"/>
    <cellStyle name="_Other_VSE WFP_100708_3rd_VSA 111014_PJ" xfId="0"/>
    <cellStyle name="_Other_VSE WFP_100708_3rd_VSA Roll-Up (LW)" xfId="0"/>
    <cellStyle name="_Other_VSE WFP_100708_3rd_VSA Roll-Up (LW) 2" xfId="0"/>
    <cellStyle name="_Other_VSE WFP_100708_3rd_VSA Roll-Up (LW) 3" xfId="0"/>
    <cellStyle name="_Other_VSE WFP_100708_3rd_VSA Roll-Up (LW) 4" xfId="0"/>
    <cellStyle name="_Other_VSE WFP_100708_3rd_VSA Roll-Up (LW) 4 2" xfId="0"/>
    <cellStyle name="_Other_VSE WFP_100708_3rd_VSA Roll-Up (LW)_By Region" xfId="0"/>
    <cellStyle name="_Other_VSE WFP_100708_3rd_VSA Roll-Up (LW)_CORP SG&amp;A" xfId="0"/>
    <cellStyle name="_Other_VSE WFP_100708_3rd_VSA Roll-Up (LW)_LCD" xfId="0"/>
    <cellStyle name="_Other_VSE WFP_100708_3rd_VSA Roll-Up (LW)_PJ" xfId="0"/>
    <cellStyle name="_Other_VSE WFP_100726" xfId="0"/>
    <cellStyle name="_Other_VSE WFP_100726 2" xfId="0"/>
    <cellStyle name="_Other_VSE WFP_100726 3" xfId="0"/>
    <cellStyle name="_Other_VSE WFP_100726 4" xfId="0"/>
    <cellStyle name="_Other_VSE WFP_100726-1" xfId="0"/>
    <cellStyle name="_Other_VSE WFP_100726-1 2" xfId="0"/>
    <cellStyle name="_Other_VSE WFP_100726-1 3" xfId="0"/>
    <cellStyle name="_Other_VSE WFP_100726-1 4" xfId="0"/>
    <cellStyle name="_Other_VSE WFP_100726-1_By Region" xfId="0"/>
    <cellStyle name="_Other_VSE WFP_100726-1_CORP SG&amp;A" xfId="0"/>
    <cellStyle name="_Other_VSE WFP_100726-1_Digitizer" xfId="0"/>
    <cellStyle name="_Other_VSE WFP_100726-1_GPS OTHER" xfId="0"/>
    <cellStyle name="_Other_VSE WFP_100726-1_GPS OTHER 2" xfId="0"/>
    <cellStyle name="_Other_VSE WFP_100726-1_GPS OTHER 3" xfId="0"/>
    <cellStyle name="_Other_VSE WFP_100726-1_GPS OTHER 4" xfId="0"/>
    <cellStyle name="_Other_VSE WFP_100726-1_GPS OTHER 4 2" xfId="0"/>
    <cellStyle name="_Other_VSE WFP_100726-1_GPS OTHER_By Region" xfId="0"/>
    <cellStyle name="_Other_VSE WFP_100726-1_GPS OTHER_CORP SG&amp;A" xfId="0"/>
    <cellStyle name="_Other_VSE WFP_100726-1_GPS OTHER_LCD" xfId="0"/>
    <cellStyle name="_Other_VSE WFP_100726-1_GPS OTHER_PJ" xfId="0"/>
    <cellStyle name="_Other_VSE WFP_100726-1_LCD" xfId="0"/>
    <cellStyle name="_Other_VSE WFP_100726-1_LCD 2" xfId="0"/>
    <cellStyle name="_Other_VSE WFP_100726-1_LCD 3" xfId="0"/>
    <cellStyle name="_Other_VSE WFP_100726-1_LCD 4" xfId="0"/>
    <cellStyle name="_Other_VSE WFP_100726-1_LCD_By Region" xfId="0"/>
    <cellStyle name="_Other_VSE WFP_100726-1_LCD_CORP SG&amp;A" xfId="0"/>
    <cellStyle name="_Other_VSE WFP_100726-1_LCD_LCD" xfId="0"/>
    <cellStyle name="_Other_VSE WFP_100726-1_LCD_PJ" xfId="0"/>
    <cellStyle name="_Other_VSE WFP_100726-1_PC Products" xfId="0"/>
    <cellStyle name="_Other_VSE WFP_100726-1_PC Products 2" xfId="0"/>
    <cellStyle name="_Other_VSE WFP_100726-1_PC Products 3" xfId="0"/>
    <cellStyle name="_Other_VSE WFP_100726-1_PC Products 4" xfId="0"/>
    <cellStyle name="_Other_VSE WFP_100726-1_PC Products 4 2" xfId="0"/>
    <cellStyle name="_Other_VSE WFP_100726-1_PC Products_By Region" xfId="0"/>
    <cellStyle name="_Other_VSE WFP_100726-1_PC Products_CORP SG&amp;A" xfId="0"/>
    <cellStyle name="_Other_VSE WFP_100726-1_PC Products_LCD" xfId="0"/>
    <cellStyle name="_Other_VSE WFP_100726-1_PC Products_PJ" xfId="0"/>
    <cellStyle name="_Other_VSE WFP_100726-1_VSA 111014" xfId="0"/>
    <cellStyle name="_Other_VSE WFP_100726-1_VSA 111014 2" xfId="0"/>
    <cellStyle name="_Other_VSE WFP_100726-1_VSA 111014 3" xfId="0"/>
    <cellStyle name="_Other_VSE WFP_100726-1_VSA 111014 4" xfId="0"/>
    <cellStyle name="_Other_VSE WFP_100726-1_VSA 111014 4 2" xfId="0"/>
    <cellStyle name="_Other_VSE WFP_100726-1_VSA 111014_By Region" xfId="0"/>
    <cellStyle name="_Other_VSE WFP_100726-1_VSA 111014_CORP SG&amp;A" xfId="0"/>
    <cellStyle name="_Other_VSE WFP_100726-1_VSA 111014_LCD" xfId="0"/>
    <cellStyle name="_Other_VSE WFP_100726-1_VSA 111014_PJ" xfId="0"/>
    <cellStyle name="_Other_VSE WFP_100726-1_VSA Roll-Up (LW)" xfId="0"/>
    <cellStyle name="_Other_VSE WFP_100726-1_VSA Roll-Up (LW) 2" xfId="0"/>
    <cellStyle name="_Other_VSE WFP_100726-1_VSA Roll-Up (LW) 3" xfId="0"/>
    <cellStyle name="_Other_VSE WFP_100726-1_VSA Roll-Up (LW) 4" xfId="0"/>
    <cellStyle name="_Other_VSE WFP_100726-1_VSA Roll-Up (LW) 4 2" xfId="0"/>
    <cellStyle name="_Other_VSE WFP_100726-1_VSA Roll-Up (LW)_By Region" xfId="0"/>
    <cellStyle name="_Other_VSE WFP_100726-1_VSA Roll-Up (LW)_CORP SG&amp;A" xfId="0"/>
    <cellStyle name="_Other_VSE WFP_100726-1_VSA Roll-Up (LW)_LCD" xfId="0"/>
    <cellStyle name="_Other_VSE WFP_100726-1_VSA Roll-Up (LW)_PJ" xfId="0"/>
    <cellStyle name="_Other_VSE WFP_100726-2-yc" xfId="0"/>
    <cellStyle name="_Other_VSE WFP_100726-2-yc 2" xfId="0"/>
    <cellStyle name="_Other_VSE WFP_100726-2-yc 3" xfId="0"/>
    <cellStyle name="_Other_VSE WFP_100726-2-yc 4" xfId="0"/>
    <cellStyle name="_Other_VSE WFP_100726-2-yc_By Region" xfId="0"/>
    <cellStyle name="_Other_VSE WFP_100726-2-yc_CORP SG&amp;A" xfId="0"/>
    <cellStyle name="_Other_VSE WFP_100726-2-yc_Digitizer" xfId="0"/>
    <cellStyle name="_Other_VSE WFP_100726-2-yc_GPS OTHER" xfId="0"/>
    <cellStyle name="_Other_VSE WFP_100726-2-yc_GPS OTHER 2" xfId="0"/>
    <cellStyle name="_Other_VSE WFP_100726-2-yc_GPS OTHER 3" xfId="0"/>
    <cellStyle name="_Other_VSE WFP_100726-2-yc_GPS OTHER 4" xfId="0"/>
    <cellStyle name="_Other_VSE WFP_100726-2-yc_GPS OTHER 4 2" xfId="0"/>
    <cellStyle name="_Other_VSE WFP_100726-2-yc_GPS OTHER_By Region" xfId="0"/>
    <cellStyle name="_Other_VSE WFP_100726-2-yc_GPS OTHER_CORP SG&amp;A" xfId="0"/>
    <cellStyle name="_Other_VSE WFP_100726-2-yc_GPS OTHER_LCD" xfId="0"/>
    <cellStyle name="_Other_VSE WFP_100726-2-yc_GPS OTHER_PJ" xfId="0"/>
    <cellStyle name="_Other_VSE WFP_100726-2-yc_LCD" xfId="0"/>
    <cellStyle name="_Other_VSE WFP_100726-2-yc_LCD 2" xfId="0"/>
    <cellStyle name="_Other_VSE WFP_100726-2-yc_LCD 3" xfId="0"/>
    <cellStyle name="_Other_VSE WFP_100726-2-yc_LCD 4" xfId="0"/>
    <cellStyle name="_Other_VSE WFP_100726-2-yc_LCD_By Region" xfId="0"/>
    <cellStyle name="_Other_VSE WFP_100726-2-yc_LCD_CORP SG&amp;A" xfId="0"/>
    <cellStyle name="_Other_VSE WFP_100726-2-yc_LCD_LCD" xfId="0"/>
    <cellStyle name="_Other_VSE WFP_100726-2-yc_LCD_PJ" xfId="0"/>
    <cellStyle name="_Other_VSE WFP_100726-2-yc_PC Products" xfId="0"/>
    <cellStyle name="_Other_VSE WFP_100726-2-yc_PC Products 2" xfId="0"/>
    <cellStyle name="_Other_VSE WFP_100726-2-yc_PC Products 3" xfId="0"/>
    <cellStyle name="_Other_VSE WFP_100726-2-yc_PC Products 4" xfId="0"/>
    <cellStyle name="_Other_VSE WFP_100726-2-yc_PC Products 4 2" xfId="0"/>
    <cellStyle name="_Other_VSE WFP_100726-2-yc_PC Products_By Region" xfId="0"/>
    <cellStyle name="_Other_VSE WFP_100726-2-yc_PC Products_CORP SG&amp;A" xfId="0"/>
    <cellStyle name="_Other_VSE WFP_100726-2-yc_PC Products_LCD" xfId="0"/>
    <cellStyle name="_Other_VSE WFP_100726-2-yc_PC Products_PJ" xfId="0"/>
    <cellStyle name="_Other_VSE WFP_100726-2-yc_VSA 111014" xfId="0"/>
    <cellStyle name="_Other_VSE WFP_100726-2-yc_VSA 111014 2" xfId="0"/>
    <cellStyle name="_Other_VSE WFP_100726-2-yc_VSA 111014 3" xfId="0"/>
    <cellStyle name="_Other_VSE WFP_100726-2-yc_VSA 111014 4" xfId="0"/>
    <cellStyle name="_Other_VSE WFP_100726-2-yc_VSA 111014 4 2" xfId="0"/>
    <cellStyle name="_Other_VSE WFP_100726-2-yc_VSA 111014_By Region" xfId="0"/>
    <cellStyle name="_Other_VSE WFP_100726-2-yc_VSA 111014_CORP SG&amp;A" xfId="0"/>
    <cellStyle name="_Other_VSE WFP_100726-2-yc_VSA 111014_LCD" xfId="0"/>
    <cellStyle name="_Other_VSE WFP_100726-2-yc_VSA 111014_PJ" xfId="0"/>
    <cellStyle name="_Other_VSE WFP_100726-2-yc_VSA Roll-Up (LW)" xfId="0"/>
    <cellStyle name="_Other_VSE WFP_100726-2-yc_VSA Roll-Up (LW) 2" xfId="0"/>
    <cellStyle name="_Other_VSE WFP_100726-2-yc_VSA Roll-Up (LW) 3" xfId="0"/>
    <cellStyle name="_Other_VSE WFP_100726-2-yc_VSA Roll-Up (LW) 4" xfId="0"/>
    <cellStyle name="_Other_VSE WFP_100726-2-yc_VSA Roll-Up (LW) 4 2" xfId="0"/>
    <cellStyle name="_Other_VSE WFP_100726-2-yc_VSA Roll-Up (LW)_By Region" xfId="0"/>
    <cellStyle name="_Other_VSE WFP_100726-2-yc_VSA Roll-Up (LW)_CORP SG&amp;A" xfId="0"/>
    <cellStyle name="_Other_VSE WFP_100726-2-yc_VSA Roll-Up (LW)_LCD" xfId="0"/>
    <cellStyle name="_Other_VSE WFP_100726-2-yc_VSA Roll-Up (LW)_PJ" xfId="0"/>
    <cellStyle name="_Other_VSE WFP_100726_By Region" xfId="0"/>
    <cellStyle name="_Other_VSE WFP_100726_CORP SG&amp;A" xfId="0"/>
    <cellStyle name="_Other_VSE WFP_100726_Digitizer" xfId="0"/>
    <cellStyle name="_Other_VSE WFP_100726_GPS OTHER" xfId="0"/>
    <cellStyle name="_Other_VSE WFP_100726_GPS OTHER 2" xfId="0"/>
    <cellStyle name="_Other_VSE WFP_100726_GPS OTHER 3" xfId="0"/>
    <cellStyle name="_Other_VSE WFP_100726_GPS OTHER 4" xfId="0"/>
    <cellStyle name="_Other_VSE WFP_100726_GPS OTHER 4 2" xfId="0"/>
    <cellStyle name="_Other_VSE WFP_100726_GPS OTHER_By Region" xfId="0"/>
    <cellStyle name="_Other_VSE WFP_100726_GPS OTHER_CORP SG&amp;A" xfId="0"/>
    <cellStyle name="_Other_VSE WFP_100726_GPS OTHER_LCD" xfId="0"/>
    <cellStyle name="_Other_VSE WFP_100726_GPS OTHER_PJ" xfId="0"/>
    <cellStyle name="_Other_VSE WFP_100726_LCD" xfId="0"/>
    <cellStyle name="_Other_VSE WFP_100726_LCD 2" xfId="0"/>
    <cellStyle name="_Other_VSE WFP_100726_LCD 3" xfId="0"/>
    <cellStyle name="_Other_VSE WFP_100726_LCD 4" xfId="0"/>
    <cellStyle name="_Other_VSE WFP_100726_LCD_By Region" xfId="0"/>
    <cellStyle name="_Other_VSE WFP_100726_LCD_CORP SG&amp;A" xfId="0"/>
    <cellStyle name="_Other_VSE WFP_100726_LCD_LCD" xfId="0"/>
    <cellStyle name="_Other_VSE WFP_100726_LCD_PJ" xfId="0"/>
    <cellStyle name="_Other_VSE WFP_100726_PC Products" xfId="0"/>
    <cellStyle name="_Other_VSE WFP_100726_PC Products 2" xfId="0"/>
    <cellStyle name="_Other_VSE WFP_100726_PC Products 3" xfId="0"/>
    <cellStyle name="_Other_VSE WFP_100726_PC Products 4" xfId="0"/>
    <cellStyle name="_Other_VSE WFP_100726_PC Products 4 2" xfId="0"/>
    <cellStyle name="_Other_VSE WFP_100726_PC Products_By Region" xfId="0"/>
    <cellStyle name="_Other_VSE WFP_100726_PC Products_CORP SG&amp;A" xfId="0"/>
    <cellStyle name="_Other_VSE WFP_100726_PC Products_LCD" xfId="0"/>
    <cellStyle name="_Other_VSE WFP_100726_PC Products_PJ" xfId="0"/>
    <cellStyle name="_Other_VSE WFP_100726_VSA 111014" xfId="0"/>
    <cellStyle name="_Other_VSE WFP_100726_VSA 111014 2" xfId="0"/>
    <cellStyle name="_Other_VSE WFP_100726_VSA 111014 3" xfId="0"/>
    <cellStyle name="_Other_VSE WFP_100726_VSA 111014 4" xfId="0"/>
    <cellStyle name="_Other_VSE WFP_100726_VSA 111014 4 2" xfId="0"/>
    <cellStyle name="_Other_VSE WFP_100726_VSA 111014_By Region" xfId="0"/>
    <cellStyle name="_Other_VSE WFP_100726_VSA 111014_CORP SG&amp;A" xfId="0"/>
    <cellStyle name="_Other_VSE WFP_100726_VSA 111014_LCD" xfId="0"/>
    <cellStyle name="_Other_VSE WFP_100726_VSA 111014_PJ" xfId="0"/>
    <cellStyle name="_Other_VSE WFP_100726_VSA Roll-Up (LW)" xfId="0"/>
    <cellStyle name="_Other_VSE WFP_100726_VSA Roll-Up (LW) 2" xfId="0"/>
    <cellStyle name="_Other_VSE WFP_100726_VSA Roll-Up (LW) 3" xfId="0"/>
    <cellStyle name="_Other_VSE WFP_100726_VSA Roll-Up (LW) 4" xfId="0"/>
    <cellStyle name="_Other_VSE WFP_100726_VSA Roll-Up (LW) 4 2" xfId="0"/>
    <cellStyle name="_Other_VSE WFP_100726_VSA Roll-Up (LW)_By Region" xfId="0"/>
    <cellStyle name="_Other_VSE WFP_100726_VSA Roll-Up (LW)_CORP SG&amp;A" xfId="0"/>
    <cellStyle name="_Other_VSE WFP_100726_VSA Roll-Up (LW)_LCD" xfId="0"/>
    <cellStyle name="_Other_VSE WFP_100726_VSA Roll-Up (LW)_PJ" xfId="0"/>
    <cellStyle name="_Other_VSE WFP_100827-1" xfId="0"/>
    <cellStyle name="_Other_VSE WFP_100827-1 2" xfId="0"/>
    <cellStyle name="_Other_VSE WFP_100827-1 3" xfId="0"/>
    <cellStyle name="_Other_VSE WFP_100827-1 4" xfId="0"/>
    <cellStyle name="_Other_VSE WFP_100827-1_By Region" xfId="0"/>
    <cellStyle name="_Other_VSE WFP_100827-1_CORP SG&amp;A" xfId="0"/>
    <cellStyle name="_Other_VSE WFP_100827-1_Digitizer" xfId="0"/>
    <cellStyle name="_Other_VSE WFP_100827-1_GPS OTHER" xfId="0"/>
    <cellStyle name="_Other_VSE WFP_100827-1_GPS OTHER 2" xfId="0"/>
    <cellStyle name="_Other_VSE WFP_100827-1_GPS OTHER 3" xfId="0"/>
    <cellStyle name="_Other_VSE WFP_100827-1_GPS OTHER 4" xfId="0"/>
    <cellStyle name="_Other_VSE WFP_100827-1_GPS OTHER 4 2" xfId="0"/>
    <cellStyle name="_Other_VSE WFP_100827-1_GPS OTHER_By Region" xfId="0"/>
    <cellStyle name="_Other_VSE WFP_100827-1_GPS OTHER_CORP SG&amp;A" xfId="0"/>
    <cellStyle name="_Other_VSE WFP_100827-1_GPS OTHER_LCD" xfId="0"/>
    <cellStyle name="_Other_VSE WFP_100827-1_GPS OTHER_PJ" xfId="0"/>
    <cellStyle name="_Other_VSE WFP_100827-1_LCD" xfId="0"/>
    <cellStyle name="_Other_VSE WFP_100827-1_LCD 2" xfId="0"/>
    <cellStyle name="_Other_VSE WFP_100827-1_LCD 3" xfId="0"/>
    <cellStyle name="_Other_VSE WFP_100827-1_LCD 4" xfId="0"/>
    <cellStyle name="_Other_VSE WFP_100827-1_LCD_By Region" xfId="0"/>
    <cellStyle name="_Other_VSE WFP_100827-1_LCD_CORP SG&amp;A" xfId="0"/>
    <cellStyle name="_Other_VSE WFP_100827-1_LCD_LCD" xfId="0"/>
    <cellStyle name="_Other_VSE WFP_100827-1_LCD_PJ" xfId="0"/>
    <cellStyle name="_Other_VSE WFP_100827-1_PC Products" xfId="0"/>
    <cellStyle name="_Other_VSE WFP_100827-1_PC Products 2" xfId="0"/>
    <cellStyle name="_Other_VSE WFP_100827-1_PC Products 3" xfId="0"/>
    <cellStyle name="_Other_VSE WFP_100827-1_PC Products 4" xfId="0"/>
    <cellStyle name="_Other_VSE WFP_100827-1_PC Products 4 2" xfId="0"/>
    <cellStyle name="_Other_VSE WFP_100827-1_PC Products_By Region" xfId="0"/>
    <cellStyle name="_Other_VSE WFP_100827-1_PC Products_CORP SG&amp;A" xfId="0"/>
    <cellStyle name="_Other_VSE WFP_100827-1_PC Products_LCD" xfId="0"/>
    <cellStyle name="_Other_VSE WFP_100827-1_PC Products_PJ" xfId="0"/>
    <cellStyle name="_Other_VSE WFP_100827-1_VSA 111014" xfId="0"/>
    <cellStyle name="_Other_VSE WFP_100827-1_VSA 111014 2" xfId="0"/>
    <cellStyle name="_Other_VSE WFP_100827-1_VSA 111014 3" xfId="0"/>
    <cellStyle name="_Other_VSE WFP_100827-1_VSA 111014 4" xfId="0"/>
    <cellStyle name="_Other_VSE WFP_100827-1_VSA 111014 4 2" xfId="0"/>
    <cellStyle name="_Other_VSE WFP_100827-1_VSA 111014_By Region" xfId="0"/>
    <cellStyle name="_Other_VSE WFP_100827-1_VSA 111014_CORP SG&amp;A" xfId="0"/>
    <cellStyle name="_Other_VSE WFP_100827-1_VSA 111014_LCD" xfId="0"/>
    <cellStyle name="_Other_VSE WFP_100827-1_VSA 111014_PJ" xfId="0"/>
    <cellStyle name="_Other_VSE WFP_100827-1_VSA Roll-Up (LW)" xfId="0"/>
    <cellStyle name="_Other_VSE WFP_100827-1_VSA Roll-Up (LW) 2" xfId="0"/>
    <cellStyle name="_Other_VSE WFP_100827-1_VSA Roll-Up (LW) 3" xfId="0"/>
    <cellStyle name="_Other_VSE WFP_100827-1_VSA Roll-Up (LW) 4" xfId="0"/>
    <cellStyle name="_Other_VSE WFP_100827-1_VSA Roll-Up (LW) 4 2" xfId="0"/>
    <cellStyle name="_Other_VSE WFP_100827-1_VSA Roll-Up (LW)_By Region" xfId="0"/>
    <cellStyle name="_Other_VSE WFP_100827-1_VSA Roll-Up (LW)_CORP SG&amp;A" xfId="0"/>
    <cellStyle name="_Other_VSE WFP_100827-1_VSA Roll-Up (LW)_LCD" xfId="0"/>
    <cellStyle name="_Other_VSE WFP_100827-1_VSA Roll-Up (LW)_PJ" xfId="0"/>
    <cellStyle name="_Other_VSE WFP_101001" xfId="0"/>
    <cellStyle name="_Other_VSE WFP_101001 2" xfId="0"/>
    <cellStyle name="_Other_VSE WFP_101001 3" xfId="0"/>
    <cellStyle name="_Other_VSE WFP_101001 4" xfId="0"/>
    <cellStyle name="_Other_VSE WFP_101001_By Region" xfId="0"/>
    <cellStyle name="_Other_VSE WFP_101001_CORP SG&amp;A" xfId="0"/>
    <cellStyle name="_Other_VSE WFP_101001_Digitizer" xfId="0"/>
    <cellStyle name="_Other_VSE WFP_101001_GPS OTHER" xfId="0"/>
    <cellStyle name="_Other_VSE WFP_101001_GPS OTHER 2" xfId="0"/>
    <cellStyle name="_Other_VSE WFP_101001_GPS OTHER 3" xfId="0"/>
    <cellStyle name="_Other_VSE WFP_101001_GPS OTHER 4" xfId="0"/>
    <cellStyle name="_Other_VSE WFP_101001_GPS OTHER 4 2" xfId="0"/>
    <cellStyle name="_Other_VSE WFP_101001_GPS OTHER_By Region" xfId="0"/>
    <cellStyle name="_Other_VSE WFP_101001_GPS OTHER_CORP SG&amp;A" xfId="0"/>
    <cellStyle name="_Other_VSE WFP_101001_GPS OTHER_LCD" xfId="0"/>
    <cellStyle name="_Other_VSE WFP_101001_GPS OTHER_PJ" xfId="0"/>
    <cellStyle name="_Other_VSE WFP_101001_LCD" xfId="0"/>
    <cellStyle name="_Other_VSE WFP_101001_LCD 2" xfId="0"/>
    <cellStyle name="_Other_VSE WFP_101001_LCD 3" xfId="0"/>
    <cellStyle name="_Other_VSE WFP_101001_LCD 4" xfId="0"/>
    <cellStyle name="_Other_VSE WFP_101001_LCD_By Region" xfId="0"/>
    <cellStyle name="_Other_VSE WFP_101001_LCD_CORP SG&amp;A" xfId="0"/>
    <cellStyle name="_Other_VSE WFP_101001_LCD_LCD" xfId="0"/>
    <cellStyle name="_Other_VSE WFP_101001_LCD_PJ" xfId="0"/>
    <cellStyle name="_Other_VSE WFP_101001_PC Products" xfId="0"/>
    <cellStyle name="_Other_VSE WFP_101001_PC Products 2" xfId="0"/>
    <cellStyle name="_Other_VSE WFP_101001_PC Products 3" xfId="0"/>
    <cellStyle name="_Other_VSE WFP_101001_PC Products 4" xfId="0"/>
    <cellStyle name="_Other_VSE WFP_101001_PC Products 4 2" xfId="0"/>
    <cellStyle name="_Other_VSE WFP_101001_PC Products_By Region" xfId="0"/>
    <cellStyle name="_Other_VSE WFP_101001_PC Products_CORP SG&amp;A" xfId="0"/>
    <cellStyle name="_Other_VSE WFP_101001_PC Products_LCD" xfId="0"/>
    <cellStyle name="_Other_VSE WFP_101001_PC Products_PJ" xfId="0"/>
    <cellStyle name="_Other_VSE WFP_101001_VSA 111014" xfId="0"/>
    <cellStyle name="_Other_VSE WFP_101001_VSA 111014 2" xfId="0"/>
    <cellStyle name="_Other_VSE WFP_101001_VSA 111014 3" xfId="0"/>
    <cellStyle name="_Other_VSE WFP_101001_VSA 111014 4" xfId="0"/>
    <cellStyle name="_Other_VSE WFP_101001_VSA 111014 4 2" xfId="0"/>
    <cellStyle name="_Other_VSE WFP_101001_VSA 111014_By Region" xfId="0"/>
    <cellStyle name="_Other_VSE WFP_101001_VSA 111014_CORP SG&amp;A" xfId="0"/>
    <cellStyle name="_Other_VSE WFP_101001_VSA 111014_LCD" xfId="0"/>
    <cellStyle name="_Other_VSE WFP_101001_VSA 111014_PJ" xfId="0"/>
    <cellStyle name="_Other_VSE WFP_101001_VSA Roll-Up (LW)" xfId="0"/>
    <cellStyle name="_Other_VSE WFP_101001_VSA Roll-Up (LW) 2" xfId="0"/>
    <cellStyle name="_Other_VSE WFP_101001_VSA Roll-Up (LW) 3" xfId="0"/>
    <cellStyle name="_Other_VSE WFP_101001_VSA Roll-Up (LW) 4" xfId="0"/>
    <cellStyle name="_Other_VSE WFP_101001_VSA Roll-Up (LW) 4 2" xfId="0"/>
    <cellStyle name="_Other_VSE WFP_101001_VSA Roll-Up (LW)_By Region" xfId="0"/>
    <cellStyle name="_Other_VSE WFP_101001_VSA Roll-Up (LW)_CORP SG&amp;A" xfId="0"/>
    <cellStyle name="_Other_VSE WFP_101001_VSA Roll-Up (LW)_LCD" xfId="0"/>
    <cellStyle name="_Other_VSE WFP_101001_VSA Roll-Up (LW)_PJ" xfId="0"/>
    <cellStyle name="_Other_VSE WFP_101029-with more ViewPad 7" xfId="0"/>
    <cellStyle name="_Other_VSE WFP_101029-with more ViewPad 7 2" xfId="0"/>
    <cellStyle name="_Other_VSE WFP_101029-with more ViewPad 7 3" xfId="0"/>
    <cellStyle name="_Other_VSE WFP_101029-with more ViewPad 7 4" xfId="0"/>
    <cellStyle name="_Other_VSE WFP_101029-with more ViewPad 7_By Region" xfId="0"/>
    <cellStyle name="_Other_VSE WFP_101029-with more ViewPad 7_CORP SG&amp;A" xfId="0"/>
    <cellStyle name="_Other_VSE WFP_101029-with more ViewPad 7_Digitizer" xfId="0"/>
    <cellStyle name="_Other_VSE WFP_101029-with more ViewPad 7_GPS OTHER" xfId="0"/>
    <cellStyle name="_Other_VSE WFP_101029-with more ViewPad 7_GPS OTHER 2" xfId="0"/>
    <cellStyle name="_Other_VSE WFP_101029-with more ViewPad 7_GPS OTHER 3" xfId="0"/>
    <cellStyle name="_Other_VSE WFP_101029-with more ViewPad 7_GPS OTHER 4" xfId="0"/>
    <cellStyle name="_Other_VSE WFP_101029-with more ViewPad 7_GPS OTHER 4 2" xfId="0"/>
    <cellStyle name="_Other_VSE WFP_101029-with more ViewPad 7_GPS OTHER_By Region" xfId="0"/>
    <cellStyle name="_Other_VSE WFP_101029-with more ViewPad 7_GPS OTHER_CORP SG&amp;A" xfId="0"/>
    <cellStyle name="_Other_VSE WFP_101029-with more ViewPad 7_GPS OTHER_LCD" xfId="0"/>
    <cellStyle name="_Other_VSE WFP_101029-with more ViewPad 7_GPS OTHER_PJ" xfId="0"/>
    <cellStyle name="_Other_VSE WFP_101029-with more ViewPad 7_LCD" xfId="0"/>
    <cellStyle name="_Other_VSE WFP_101029-with more ViewPad 7_LCD 2" xfId="0"/>
    <cellStyle name="_Other_VSE WFP_101029-with more ViewPad 7_LCD 3" xfId="0"/>
    <cellStyle name="_Other_VSE WFP_101029-with more ViewPad 7_LCD 4" xfId="0"/>
    <cellStyle name="_Other_VSE WFP_101029-with more ViewPad 7_LCD_By Region" xfId="0"/>
    <cellStyle name="_Other_VSE WFP_101029-with more ViewPad 7_LCD_CORP SG&amp;A" xfId="0"/>
    <cellStyle name="_Other_VSE WFP_101029-with more ViewPad 7_LCD_LCD" xfId="0"/>
    <cellStyle name="_Other_VSE WFP_101029-with more ViewPad 7_LCD_PJ" xfId="0"/>
    <cellStyle name="_Other_VSE WFP_101029-with more ViewPad 7_PC Products" xfId="0"/>
    <cellStyle name="_Other_VSE WFP_101029-with more ViewPad 7_PC Products 2" xfId="0"/>
    <cellStyle name="_Other_VSE WFP_101029-with more ViewPad 7_PC Products 3" xfId="0"/>
    <cellStyle name="_Other_VSE WFP_101029-with more ViewPad 7_PC Products 4" xfId="0"/>
    <cellStyle name="_Other_VSE WFP_101029-with more ViewPad 7_PC Products 4 2" xfId="0"/>
    <cellStyle name="_Other_VSE WFP_101029-with more ViewPad 7_PC Products_By Region" xfId="0"/>
    <cellStyle name="_Other_VSE WFP_101029-with more ViewPad 7_PC Products_CORP SG&amp;A" xfId="0"/>
    <cellStyle name="_Other_VSE WFP_101029-with more ViewPad 7_PC Products_LCD" xfId="0"/>
    <cellStyle name="_Other_VSE WFP_101029-with more ViewPad 7_PC Products_PJ" xfId="0"/>
    <cellStyle name="_Other_VSE WFP_101029-with more ViewPad 7_VSA 111014" xfId="0"/>
    <cellStyle name="_Other_VSE WFP_101029-with more ViewPad 7_VSA 111014 2" xfId="0"/>
    <cellStyle name="_Other_VSE WFP_101029-with more ViewPad 7_VSA 111014 3" xfId="0"/>
    <cellStyle name="_Other_VSE WFP_101029-with more ViewPad 7_VSA 111014 4" xfId="0"/>
    <cellStyle name="_Other_VSE WFP_101029-with more ViewPad 7_VSA 111014 4 2" xfId="0"/>
    <cellStyle name="_Other_VSE WFP_101029-with more ViewPad 7_VSA 111014_By Region" xfId="0"/>
    <cellStyle name="_Other_VSE WFP_101029-with more ViewPad 7_VSA 111014_CORP SG&amp;A" xfId="0"/>
    <cellStyle name="_Other_VSE WFP_101029-with more ViewPad 7_VSA 111014_LCD" xfId="0"/>
    <cellStyle name="_Other_VSE WFP_101029-with more ViewPad 7_VSA 111014_PJ" xfId="0"/>
    <cellStyle name="_Other_VSE WFP_101029-with more ViewPad 7_VSA Roll-Up (LW)" xfId="0"/>
    <cellStyle name="_Other_VSE WFP_101029-with more ViewPad 7_VSA Roll-Up (LW) 2" xfId="0"/>
    <cellStyle name="_Other_VSE WFP_101029-with more ViewPad 7_VSA Roll-Up (LW) 3" xfId="0"/>
    <cellStyle name="_Other_VSE WFP_101029-with more ViewPad 7_VSA Roll-Up (LW) 4" xfId="0"/>
    <cellStyle name="_Other_VSE WFP_101029-with more ViewPad 7_VSA Roll-Up (LW) 4 2" xfId="0"/>
    <cellStyle name="_Other_VSE WFP_101029-with more ViewPad 7_VSA Roll-Up (LW)_By Region" xfId="0"/>
    <cellStyle name="_Other_VSE WFP_101029-with more ViewPad 7_VSA Roll-Up (LW)_CORP SG&amp;A" xfId="0"/>
    <cellStyle name="_Other_VSE WFP_101029-with more ViewPad 7_VSA Roll-Up (LW)_LCD" xfId="0"/>
    <cellStyle name="_Other_VSE WFP_101029-with more ViewPad 7_VSA Roll-Up (LW)_PJ" xfId="0"/>
    <cellStyle name="_Others" xfId="0"/>
    <cellStyle name="_Others 2" xfId="0"/>
    <cellStyle name="_Others 3" xfId="0"/>
    <cellStyle name="_Others 4" xfId="0"/>
    <cellStyle name="_Others 5" xfId="0"/>
    <cellStyle name="_Others_By Region" xfId="0"/>
    <cellStyle name="_Others_CIS" xfId="0"/>
    <cellStyle name="_Others_CIS 2" xfId="0"/>
    <cellStyle name="_Others_CIS 3" xfId="0"/>
    <cellStyle name="_Others_CIS 4" xfId="0"/>
    <cellStyle name="_Others_CIS_By Region" xfId="0"/>
    <cellStyle name="_Others_CIS_CORP SG&amp;A" xfId="0"/>
    <cellStyle name="_Others_CIS_Digitizer" xfId="0"/>
    <cellStyle name="_Others_CIS_GPS OTHER" xfId="0"/>
    <cellStyle name="_Others_CIS_GPS OTHER 2" xfId="0"/>
    <cellStyle name="_Others_CIS_GPS OTHER 3" xfId="0"/>
    <cellStyle name="_Others_CIS_GPS OTHER 4" xfId="0"/>
    <cellStyle name="_Others_CIS_GPS OTHER 4 2" xfId="0"/>
    <cellStyle name="_Others_CIS_GPS OTHER_By Region" xfId="0"/>
    <cellStyle name="_Others_CIS_GPS OTHER_CORP SG&amp;A" xfId="0"/>
    <cellStyle name="_Others_CIS_GPS OTHER_LCD" xfId="0"/>
    <cellStyle name="_Others_CIS_GPS OTHER_PJ" xfId="0"/>
    <cellStyle name="_Others_CIS_LCD" xfId="0"/>
    <cellStyle name="_Others_CIS_LCD 2" xfId="0"/>
    <cellStyle name="_Others_CIS_LCD 3" xfId="0"/>
    <cellStyle name="_Others_CIS_LCD 4" xfId="0"/>
    <cellStyle name="_Others_CIS_LCD_By Region" xfId="0"/>
    <cellStyle name="_Others_CIS_LCD_CORP SG&amp;A" xfId="0"/>
    <cellStyle name="_Others_CIS_LCD_LCD" xfId="0"/>
    <cellStyle name="_Others_CIS_LCD_PJ" xfId="0"/>
    <cellStyle name="_Others_CIS_PC Products" xfId="0"/>
    <cellStyle name="_Others_CIS_PC Products 2" xfId="0"/>
    <cellStyle name="_Others_CIS_PC Products 3" xfId="0"/>
    <cellStyle name="_Others_CIS_PC Products 4" xfId="0"/>
    <cellStyle name="_Others_CIS_PC Products 4 2" xfId="0"/>
    <cellStyle name="_Others_CIS_PC Products_By Region" xfId="0"/>
    <cellStyle name="_Others_CIS_PC Products_CORP SG&amp;A" xfId="0"/>
    <cellStyle name="_Others_CIS_PC Products_LCD" xfId="0"/>
    <cellStyle name="_Others_CIS_PC Products_PJ" xfId="0"/>
    <cellStyle name="_Others_CIS_VSA 111014" xfId="0"/>
    <cellStyle name="_Others_CIS_VSA 111014 2" xfId="0"/>
    <cellStyle name="_Others_CIS_VSA 111014 3" xfId="0"/>
    <cellStyle name="_Others_CIS_VSA 111014 4" xfId="0"/>
    <cellStyle name="_Others_CIS_VSA 111014 4 2" xfId="0"/>
    <cellStyle name="_Others_CIS_VSA 111014_By Region" xfId="0"/>
    <cellStyle name="_Others_CIS_VSA 111014_CORP SG&amp;A" xfId="0"/>
    <cellStyle name="_Others_CIS_VSA 111014_LCD" xfId="0"/>
    <cellStyle name="_Others_CIS_VSA 111014_PJ" xfId="0"/>
    <cellStyle name="_Others_CIS_VSA Roll-Up (LW)" xfId="0"/>
    <cellStyle name="_Others_CIS_VSA Roll-Up (LW) 2" xfId="0"/>
    <cellStyle name="_Others_CIS_VSA Roll-Up (LW) 3" xfId="0"/>
    <cellStyle name="_Others_CIS_VSA Roll-Up (LW) 4" xfId="0"/>
    <cellStyle name="_Others_CIS_VSA Roll-Up (LW) 4 2" xfId="0"/>
    <cellStyle name="_Others_CIS_VSA Roll-Up (LW)_By Region" xfId="0"/>
    <cellStyle name="_Others_CIS_VSA Roll-Up (LW)_CORP SG&amp;A" xfId="0"/>
    <cellStyle name="_Others_CIS_VSA Roll-Up (LW)_LCD" xfId="0"/>
    <cellStyle name="_Others_CIS_VSA Roll-Up (LW)_PJ" xfId="0"/>
    <cellStyle name="_Others_CORP SG&amp;A" xfId="0"/>
    <cellStyle name="_Others_CRT" xfId="0"/>
    <cellStyle name="_Others_CRT 2" xfId="0"/>
    <cellStyle name="_Others_CRT 3" xfId="0"/>
    <cellStyle name="_Others_CRT 4" xfId="0"/>
    <cellStyle name="_Others_CRT_By Region" xfId="0"/>
    <cellStyle name="_Others_CRT_CORP SG&amp;A" xfId="0"/>
    <cellStyle name="_Others_CRT_Digitizer" xfId="0"/>
    <cellStyle name="_Others_CRT_GPS OTHER" xfId="0"/>
    <cellStyle name="_Others_CRT_GPS OTHER 2" xfId="0"/>
    <cellStyle name="_Others_CRT_GPS OTHER 3" xfId="0"/>
    <cellStyle name="_Others_CRT_GPS OTHER 4" xfId="0"/>
    <cellStyle name="_Others_CRT_GPS OTHER 4 2" xfId="0"/>
    <cellStyle name="_Others_CRT_GPS OTHER_By Region" xfId="0"/>
    <cellStyle name="_Others_CRT_GPS OTHER_CORP SG&amp;A" xfId="0"/>
    <cellStyle name="_Others_CRT_GPS OTHER_LCD" xfId="0"/>
    <cellStyle name="_Others_CRT_GPS OTHER_PJ" xfId="0"/>
    <cellStyle name="_Others_CRT_LCD" xfId="0"/>
    <cellStyle name="_Others_CRT_LCD 2" xfId="0"/>
    <cellStyle name="_Others_CRT_LCD 3" xfId="0"/>
    <cellStyle name="_Others_CRT_LCD 4" xfId="0"/>
    <cellStyle name="_Others_CRT_LCD_By Region" xfId="0"/>
    <cellStyle name="_Others_CRT_LCD_CORP SG&amp;A" xfId="0"/>
    <cellStyle name="_Others_CRT_LCD_LCD" xfId="0"/>
    <cellStyle name="_Others_CRT_LCD_PJ" xfId="0"/>
    <cellStyle name="_Others_CRT_PC Products" xfId="0"/>
    <cellStyle name="_Others_CRT_PC Products 2" xfId="0"/>
    <cellStyle name="_Others_CRT_PC Products 3" xfId="0"/>
    <cellStyle name="_Others_CRT_PC Products 4" xfId="0"/>
    <cellStyle name="_Others_CRT_PC Products 4 2" xfId="0"/>
    <cellStyle name="_Others_CRT_PC Products_By Region" xfId="0"/>
    <cellStyle name="_Others_CRT_PC Products_CORP SG&amp;A" xfId="0"/>
    <cellStyle name="_Others_CRT_PC Products_LCD" xfId="0"/>
    <cellStyle name="_Others_CRT_PC Products_PJ" xfId="0"/>
    <cellStyle name="_Others_CRT_VSA 111014" xfId="0"/>
    <cellStyle name="_Others_CRT_VSA 111014 2" xfId="0"/>
    <cellStyle name="_Others_CRT_VSA 111014 3" xfId="0"/>
    <cellStyle name="_Others_CRT_VSA 111014 4" xfId="0"/>
    <cellStyle name="_Others_CRT_VSA 111014 4 2" xfId="0"/>
    <cellStyle name="_Others_CRT_VSA 111014_By Region" xfId="0"/>
    <cellStyle name="_Others_CRT_VSA 111014_CORP SG&amp;A" xfId="0"/>
    <cellStyle name="_Others_CRT_VSA 111014_LCD" xfId="0"/>
    <cellStyle name="_Others_CRT_VSA 111014_PJ" xfId="0"/>
    <cellStyle name="_Others_CRT_VSA Roll-Up (LW)" xfId="0"/>
    <cellStyle name="_Others_CRT_VSA Roll-Up (LW) 2" xfId="0"/>
    <cellStyle name="_Others_CRT_VSA Roll-Up (LW) 3" xfId="0"/>
    <cellStyle name="_Others_CRT_VSA Roll-Up (LW) 4" xfId="0"/>
    <cellStyle name="_Others_CRT_VSA Roll-Up (LW) 4 2" xfId="0"/>
    <cellStyle name="_Others_CRT_VSA Roll-Up (LW)_By Region" xfId="0"/>
    <cellStyle name="_Others_CRT_VSA Roll-Up (LW)_CORP SG&amp;A" xfId="0"/>
    <cellStyle name="_Others_CRT_VSA Roll-Up (LW)_LCD" xfId="0"/>
    <cellStyle name="_Others_CRT_VSA Roll-Up (LW)_PJ" xfId="0"/>
    <cellStyle name="_Others_Diff" xfId="0"/>
    <cellStyle name="_Others_Diff 2" xfId="0"/>
    <cellStyle name="_Others_Diff 3" xfId="0"/>
    <cellStyle name="_Others_Diff 4" xfId="0"/>
    <cellStyle name="_Others_Diff_By Region" xfId="0"/>
    <cellStyle name="_Others_Diff_CORP SG&amp;A" xfId="0"/>
    <cellStyle name="_Others_Diff_Digitizer" xfId="0"/>
    <cellStyle name="_Others_Diff_GPS OTHER" xfId="0"/>
    <cellStyle name="_Others_Diff_GPS OTHER 2" xfId="0"/>
    <cellStyle name="_Others_Diff_GPS OTHER 3" xfId="0"/>
    <cellStyle name="_Others_Diff_GPS OTHER 4" xfId="0"/>
    <cellStyle name="_Others_Diff_GPS OTHER 4 2" xfId="0"/>
    <cellStyle name="_Others_Diff_GPS OTHER_By Region" xfId="0"/>
    <cellStyle name="_Others_Diff_GPS OTHER_CORP SG&amp;A" xfId="0"/>
    <cellStyle name="_Others_Diff_GPS OTHER_LCD" xfId="0"/>
    <cellStyle name="_Others_Diff_GPS OTHER_PJ" xfId="0"/>
    <cellStyle name="_Others_Diff_LCD" xfId="0"/>
    <cellStyle name="_Others_Diff_LCD 2" xfId="0"/>
    <cellStyle name="_Others_Diff_LCD 3" xfId="0"/>
    <cellStyle name="_Others_Diff_LCD 4" xfId="0"/>
    <cellStyle name="_Others_Diff_LCD_By Region" xfId="0"/>
    <cellStyle name="_Others_Diff_LCD_CORP SG&amp;A" xfId="0"/>
    <cellStyle name="_Others_Diff_LCD_LCD" xfId="0"/>
    <cellStyle name="_Others_Diff_LCD_PJ" xfId="0"/>
    <cellStyle name="_Others_Diff_PC Products" xfId="0"/>
    <cellStyle name="_Others_Diff_PC Products 2" xfId="0"/>
    <cellStyle name="_Others_Diff_PC Products 3" xfId="0"/>
    <cellStyle name="_Others_Diff_PC Products 4" xfId="0"/>
    <cellStyle name="_Others_Diff_PC Products 4 2" xfId="0"/>
    <cellStyle name="_Others_Diff_PC Products_By Region" xfId="0"/>
    <cellStyle name="_Others_Diff_PC Products_CORP SG&amp;A" xfId="0"/>
    <cellStyle name="_Others_Diff_PC Products_LCD" xfId="0"/>
    <cellStyle name="_Others_Diff_PC Products_PJ" xfId="0"/>
    <cellStyle name="_Others_Diff_VSA 111014" xfId="0"/>
    <cellStyle name="_Others_Diff_VSA 111014 2" xfId="0"/>
    <cellStyle name="_Others_Diff_VSA 111014 3" xfId="0"/>
    <cellStyle name="_Others_Diff_VSA 111014 4" xfId="0"/>
    <cellStyle name="_Others_Diff_VSA 111014 4 2" xfId="0"/>
    <cellStyle name="_Others_Diff_VSA 111014_By Region" xfId="0"/>
    <cellStyle name="_Others_Diff_VSA 111014_CORP SG&amp;A" xfId="0"/>
    <cellStyle name="_Others_Diff_VSA 111014_LCD" xfId="0"/>
    <cellStyle name="_Others_Diff_VSA 111014_PJ" xfId="0"/>
    <cellStyle name="_Others_Diff_VSA Roll-Up (LW)" xfId="0"/>
    <cellStyle name="_Others_Diff_VSA Roll-Up (LW) 2" xfId="0"/>
    <cellStyle name="_Others_Diff_VSA Roll-Up (LW) 3" xfId="0"/>
    <cellStyle name="_Others_Diff_VSA Roll-Up (LW) 4" xfId="0"/>
    <cellStyle name="_Others_Diff_VSA Roll-Up (LW) 4 2" xfId="0"/>
    <cellStyle name="_Others_Diff_VSA Roll-Up (LW)_By Region" xfId="0"/>
    <cellStyle name="_Others_Diff_VSA Roll-Up (LW)_CORP SG&amp;A" xfId="0"/>
    <cellStyle name="_Others_Diff_VSA Roll-Up (LW)_LCD" xfId="0"/>
    <cellStyle name="_Others_Diff_VSA Roll-Up (LW)_PJ" xfId="0"/>
    <cellStyle name="_Others_Digital Product" xfId="0"/>
    <cellStyle name="_Others_Digital Product 2" xfId="0"/>
    <cellStyle name="_Others_Digital Product 3" xfId="0"/>
    <cellStyle name="_Others_Digital Product 4" xfId="0"/>
    <cellStyle name="_Others_Digital Product_By Region" xfId="0"/>
    <cellStyle name="_Others_Digital Product_CORP SG&amp;A" xfId="0"/>
    <cellStyle name="_Others_Digital Product_Digitizer" xfId="0"/>
    <cellStyle name="_Others_Digital Product_GPS OTHER" xfId="0"/>
    <cellStyle name="_Others_Digital Product_GPS OTHER 2" xfId="0"/>
    <cellStyle name="_Others_Digital Product_GPS OTHER 3" xfId="0"/>
    <cellStyle name="_Others_Digital Product_GPS OTHER 4" xfId="0"/>
    <cellStyle name="_Others_Digital Product_GPS OTHER 4 2" xfId="0"/>
    <cellStyle name="_Others_Digital Product_GPS OTHER_By Region" xfId="0"/>
    <cellStyle name="_Others_Digital Product_GPS OTHER_CORP SG&amp;A" xfId="0"/>
    <cellStyle name="_Others_Digital Product_GPS OTHER_LCD" xfId="0"/>
    <cellStyle name="_Others_Digital Product_GPS OTHER_PJ" xfId="0"/>
    <cellStyle name="_Others_Digital Product_LCD" xfId="0"/>
    <cellStyle name="_Others_Digital Product_LCD 2" xfId="0"/>
    <cellStyle name="_Others_Digital Product_LCD 3" xfId="0"/>
    <cellStyle name="_Others_Digital Product_LCD 4" xfId="0"/>
    <cellStyle name="_Others_Digital Product_LCD_By Region" xfId="0"/>
    <cellStyle name="_Others_Digital Product_LCD_CORP SG&amp;A" xfId="0"/>
    <cellStyle name="_Others_Digital Product_LCD_LCD" xfId="0"/>
    <cellStyle name="_Others_Digital Product_LCD_PJ" xfId="0"/>
    <cellStyle name="_Others_Digital Product_PC Products" xfId="0"/>
    <cellStyle name="_Others_Digital Product_PC Products 2" xfId="0"/>
    <cellStyle name="_Others_Digital Product_PC Products 3" xfId="0"/>
    <cellStyle name="_Others_Digital Product_PC Products 4" xfId="0"/>
    <cellStyle name="_Others_Digital Product_PC Products 4 2" xfId="0"/>
    <cellStyle name="_Others_Digital Product_PC Products_By Region" xfId="0"/>
    <cellStyle name="_Others_Digital Product_PC Products_CORP SG&amp;A" xfId="0"/>
    <cellStyle name="_Others_Digital Product_PC Products_LCD" xfId="0"/>
    <cellStyle name="_Others_Digital Product_PC Products_PJ" xfId="0"/>
    <cellStyle name="_Others_Digital Product_VSA 111014" xfId="0"/>
    <cellStyle name="_Others_Digital Product_VSA 111014 2" xfId="0"/>
    <cellStyle name="_Others_Digital Product_VSA 111014 3" xfId="0"/>
    <cellStyle name="_Others_Digital Product_VSA 111014 4" xfId="0"/>
    <cellStyle name="_Others_Digital Product_VSA 111014 4 2" xfId="0"/>
    <cellStyle name="_Others_Digital Product_VSA 111014_By Region" xfId="0"/>
    <cellStyle name="_Others_Digital Product_VSA 111014_CORP SG&amp;A" xfId="0"/>
    <cellStyle name="_Others_Digital Product_VSA 111014_LCD" xfId="0"/>
    <cellStyle name="_Others_Digital Product_VSA 111014_PJ" xfId="0"/>
    <cellStyle name="_Others_Digital Product_VSA Roll-Up (LW)" xfId="0"/>
    <cellStyle name="_Others_Digital Product_VSA Roll-Up (LW) 2" xfId="0"/>
    <cellStyle name="_Others_Digital Product_VSA Roll-Up (LW) 3" xfId="0"/>
    <cellStyle name="_Others_Digital Product_VSA Roll-Up (LW) 4" xfId="0"/>
    <cellStyle name="_Others_Digital Product_VSA Roll-Up (LW) 4 2" xfId="0"/>
    <cellStyle name="_Others_Digital Product_VSA Roll-Up (LW)_By Region" xfId="0"/>
    <cellStyle name="_Others_Digital Product_VSA Roll-Up (LW)_CORP SG&amp;A" xfId="0"/>
    <cellStyle name="_Others_Digital Product_VSA Roll-Up (LW)_LCD" xfId="0"/>
    <cellStyle name="_Others_Digital Product_VSA Roll-Up (LW)_PJ" xfId="0"/>
    <cellStyle name="_Others_Digital Signage" xfId="0"/>
    <cellStyle name="_Others_Digital Signage 2" xfId="0"/>
    <cellStyle name="_Others_Digital Signage 3" xfId="0"/>
    <cellStyle name="_Others_Digital Signage 4" xfId="0"/>
    <cellStyle name="_Others_Digital Signage_By Region" xfId="0"/>
    <cellStyle name="_Others_Digital Signage_CORP SG&amp;A" xfId="0"/>
    <cellStyle name="_Others_Digital Signage_Digitizer" xfId="0"/>
    <cellStyle name="_Others_Digital Signage_GPS OTHER" xfId="0"/>
    <cellStyle name="_Others_Digital Signage_GPS OTHER 2" xfId="0"/>
    <cellStyle name="_Others_Digital Signage_GPS OTHER 3" xfId="0"/>
    <cellStyle name="_Others_Digital Signage_GPS OTHER 4" xfId="0"/>
    <cellStyle name="_Others_Digital Signage_GPS OTHER 4 2" xfId="0"/>
    <cellStyle name="_Others_Digital Signage_GPS OTHER_By Region" xfId="0"/>
    <cellStyle name="_Others_Digital Signage_GPS OTHER_CORP SG&amp;A" xfId="0"/>
    <cellStyle name="_Others_Digital Signage_GPS OTHER_LCD" xfId="0"/>
    <cellStyle name="_Others_Digital Signage_GPS OTHER_PJ" xfId="0"/>
    <cellStyle name="_Others_Digital Signage_LCD" xfId="0"/>
    <cellStyle name="_Others_Digital Signage_LCD 2" xfId="0"/>
    <cellStyle name="_Others_Digital Signage_LCD 3" xfId="0"/>
    <cellStyle name="_Others_Digital Signage_LCD 4" xfId="0"/>
    <cellStyle name="_Others_Digital Signage_LCD_By Region" xfId="0"/>
    <cellStyle name="_Others_Digital Signage_LCD_CORP SG&amp;A" xfId="0"/>
    <cellStyle name="_Others_Digital Signage_LCD_LCD" xfId="0"/>
    <cellStyle name="_Others_Digital Signage_LCD_PJ" xfId="0"/>
    <cellStyle name="_Others_Digital Signage_PC Products" xfId="0"/>
    <cellStyle name="_Others_Digital Signage_PC Products 2" xfId="0"/>
    <cellStyle name="_Others_Digital Signage_PC Products 3" xfId="0"/>
    <cellStyle name="_Others_Digital Signage_PC Products 4" xfId="0"/>
    <cellStyle name="_Others_Digital Signage_PC Products 4 2" xfId="0"/>
    <cellStyle name="_Others_Digital Signage_PC Products_By Region" xfId="0"/>
    <cellStyle name="_Others_Digital Signage_PC Products_CORP SG&amp;A" xfId="0"/>
    <cellStyle name="_Others_Digital Signage_PC Products_LCD" xfId="0"/>
    <cellStyle name="_Others_Digital Signage_PC Products_PJ" xfId="0"/>
    <cellStyle name="_Others_Digital Signage_VSA 111014" xfId="0"/>
    <cellStyle name="_Others_Digital Signage_VSA 111014 2" xfId="0"/>
    <cellStyle name="_Others_Digital Signage_VSA 111014 3" xfId="0"/>
    <cellStyle name="_Others_Digital Signage_VSA 111014 4" xfId="0"/>
    <cellStyle name="_Others_Digital Signage_VSA 111014 4 2" xfId="0"/>
    <cellStyle name="_Others_Digital Signage_VSA 111014_By Region" xfId="0"/>
    <cellStyle name="_Others_Digital Signage_VSA 111014_CORP SG&amp;A" xfId="0"/>
    <cellStyle name="_Others_Digital Signage_VSA 111014_LCD" xfId="0"/>
    <cellStyle name="_Others_Digital Signage_VSA 111014_PJ" xfId="0"/>
    <cellStyle name="_Others_Digital Signage_VSA Roll-Up (LW)" xfId="0"/>
    <cellStyle name="_Others_Digital Signage_VSA Roll-Up (LW) 2" xfId="0"/>
    <cellStyle name="_Others_Digital Signage_VSA Roll-Up (LW) 3" xfId="0"/>
    <cellStyle name="_Others_Digital Signage_VSA Roll-Up (LW) 4" xfId="0"/>
    <cellStyle name="_Others_Digital Signage_VSA Roll-Up (LW) 4 2" xfId="0"/>
    <cellStyle name="_Others_Digital Signage_VSA Roll-Up (LW)_By Region" xfId="0"/>
    <cellStyle name="_Others_Digital Signage_VSA Roll-Up (LW)_CORP SG&amp;A" xfId="0"/>
    <cellStyle name="_Others_Digital Signage_VSA Roll-Up (LW)_LCD" xfId="0"/>
    <cellStyle name="_Others_Digital Signage_VSA Roll-Up (LW)_PJ" xfId="0"/>
    <cellStyle name="_Others_Digitizer" xfId="0"/>
    <cellStyle name="_Others_DMA(VMP)" xfId="0"/>
    <cellStyle name="_Others_DMA(VMP) 2" xfId="0"/>
    <cellStyle name="_Others_DMA(VMP) 3" xfId="0"/>
    <cellStyle name="_Others_DMA(VMP) 4" xfId="0"/>
    <cellStyle name="_Others_DMA(VMP)_By Region" xfId="0"/>
    <cellStyle name="_Others_DMA(VMP)_CORP SG&amp;A" xfId="0"/>
    <cellStyle name="_Others_DMA(VMP)_Digitizer" xfId="0"/>
    <cellStyle name="_Others_DMA(VMP)_GPS OTHER" xfId="0"/>
    <cellStyle name="_Others_DMA(VMP)_GPS OTHER 2" xfId="0"/>
    <cellStyle name="_Others_DMA(VMP)_GPS OTHER 3" xfId="0"/>
    <cellStyle name="_Others_DMA(VMP)_GPS OTHER 4" xfId="0"/>
    <cellStyle name="_Others_DMA(VMP)_GPS OTHER 4 2" xfId="0"/>
    <cellStyle name="_Others_DMA(VMP)_GPS OTHER_By Region" xfId="0"/>
    <cellStyle name="_Others_DMA(VMP)_GPS OTHER_CORP SG&amp;A" xfId="0"/>
    <cellStyle name="_Others_DMA(VMP)_GPS OTHER_LCD" xfId="0"/>
    <cellStyle name="_Others_DMA(VMP)_GPS OTHER_PJ" xfId="0"/>
    <cellStyle name="_Others_DMA(VMP)_LCD" xfId="0"/>
    <cellStyle name="_Others_DMA(VMP)_LCD 2" xfId="0"/>
    <cellStyle name="_Others_DMA(VMP)_LCD 3" xfId="0"/>
    <cellStyle name="_Others_DMA(VMP)_LCD 4" xfId="0"/>
    <cellStyle name="_Others_DMA(VMP)_LCD_By Region" xfId="0"/>
    <cellStyle name="_Others_DMA(VMP)_LCD_CORP SG&amp;A" xfId="0"/>
    <cellStyle name="_Others_DMA(VMP)_LCD_LCD" xfId="0"/>
    <cellStyle name="_Others_DMA(VMP)_LCD_PJ" xfId="0"/>
    <cellStyle name="_Others_DMA(VMP)_PC Products" xfId="0"/>
    <cellStyle name="_Others_DMA(VMP)_PC Products 2" xfId="0"/>
    <cellStyle name="_Others_DMA(VMP)_PC Products 3" xfId="0"/>
    <cellStyle name="_Others_DMA(VMP)_PC Products 4" xfId="0"/>
    <cellStyle name="_Others_DMA(VMP)_PC Products 4 2" xfId="0"/>
    <cellStyle name="_Others_DMA(VMP)_PC Products_By Region" xfId="0"/>
    <cellStyle name="_Others_DMA(VMP)_PC Products_CORP SG&amp;A" xfId="0"/>
    <cellStyle name="_Others_DMA(VMP)_PC Products_LCD" xfId="0"/>
    <cellStyle name="_Others_DMA(VMP)_PC Products_PJ" xfId="0"/>
    <cellStyle name="_Others_DMA(VMP)_VSA 111014" xfId="0"/>
    <cellStyle name="_Others_DMA(VMP)_VSA 111014 2" xfId="0"/>
    <cellStyle name="_Others_DMA(VMP)_VSA 111014 3" xfId="0"/>
    <cellStyle name="_Others_DMA(VMP)_VSA 111014 4" xfId="0"/>
    <cellStyle name="_Others_DMA(VMP)_VSA 111014 4 2" xfId="0"/>
    <cellStyle name="_Others_DMA(VMP)_VSA 111014_By Region" xfId="0"/>
    <cellStyle name="_Others_DMA(VMP)_VSA 111014_CORP SG&amp;A" xfId="0"/>
    <cellStyle name="_Others_DMA(VMP)_VSA 111014_LCD" xfId="0"/>
    <cellStyle name="_Others_DMA(VMP)_VSA 111014_PJ" xfId="0"/>
    <cellStyle name="_Others_DMA(VMP)_VSA Roll-Up (LW)" xfId="0"/>
    <cellStyle name="_Others_DMA(VMP)_VSA Roll-Up (LW) 2" xfId="0"/>
    <cellStyle name="_Others_DMA(VMP)_VSA Roll-Up (LW) 3" xfId="0"/>
    <cellStyle name="_Others_DMA(VMP)_VSA Roll-Up (LW) 4" xfId="0"/>
    <cellStyle name="_Others_DMA(VMP)_VSA Roll-Up (LW) 4 2" xfId="0"/>
    <cellStyle name="_Others_DMA(VMP)_VSA Roll-Up (LW)_By Region" xfId="0"/>
    <cellStyle name="_Others_DMA(VMP)_VSA Roll-Up (LW)_CORP SG&amp;A" xfId="0"/>
    <cellStyle name="_Others_DMA(VMP)_VSA Roll-Up (LW)_LCD" xfId="0"/>
    <cellStyle name="_Others_DMA(VMP)_VSA Roll-Up (LW)_PJ" xfId="0"/>
    <cellStyle name="_Others_DPF" xfId="0"/>
    <cellStyle name="_Others_DPF 2" xfId="0"/>
    <cellStyle name="_Others_DPF 3" xfId="0"/>
    <cellStyle name="_Others_DPF 4" xfId="0"/>
    <cellStyle name="_Others_DPF_By Region" xfId="0"/>
    <cellStyle name="_Others_DPF_CORP SG&amp;A" xfId="0"/>
    <cellStyle name="_Others_DPF_Digitizer" xfId="0"/>
    <cellStyle name="_Others_DPF_GPS OTHER" xfId="0"/>
    <cellStyle name="_Others_DPF_GPS OTHER 2" xfId="0"/>
    <cellStyle name="_Others_DPF_GPS OTHER 3" xfId="0"/>
    <cellStyle name="_Others_DPF_GPS OTHER 4" xfId="0"/>
    <cellStyle name="_Others_DPF_GPS OTHER 4 2" xfId="0"/>
    <cellStyle name="_Others_DPF_GPS OTHER_By Region" xfId="0"/>
    <cellStyle name="_Others_DPF_GPS OTHER_CORP SG&amp;A" xfId="0"/>
    <cellStyle name="_Others_DPF_GPS OTHER_LCD" xfId="0"/>
    <cellStyle name="_Others_DPF_GPS OTHER_PJ" xfId="0"/>
    <cellStyle name="_Others_DPF_LCD" xfId="0"/>
    <cellStyle name="_Others_DPF_LCD 2" xfId="0"/>
    <cellStyle name="_Others_DPF_LCD 3" xfId="0"/>
    <cellStyle name="_Others_DPF_LCD 4" xfId="0"/>
    <cellStyle name="_Others_DPF_LCD_By Region" xfId="0"/>
    <cellStyle name="_Others_DPF_LCD_CORP SG&amp;A" xfId="0"/>
    <cellStyle name="_Others_DPF_LCD_LCD" xfId="0"/>
    <cellStyle name="_Others_DPF_LCD_PJ" xfId="0"/>
    <cellStyle name="_Others_DPF_PC Products" xfId="0"/>
    <cellStyle name="_Others_DPF_PC Products 2" xfId="0"/>
    <cellStyle name="_Others_DPF_PC Products 3" xfId="0"/>
    <cellStyle name="_Others_DPF_PC Products 4" xfId="0"/>
    <cellStyle name="_Others_DPF_PC Products 4 2" xfId="0"/>
    <cellStyle name="_Others_DPF_PC Products_By Region" xfId="0"/>
    <cellStyle name="_Others_DPF_PC Products_CORP SG&amp;A" xfId="0"/>
    <cellStyle name="_Others_DPF_PC Products_LCD" xfId="0"/>
    <cellStyle name="_Others_DPF_PC Products_PJ" xfId="0"/>
    <cellStyle name="_Others_DPF_VSA 111014" xfId="0"/>
    <cellStyle name="_Others_DPF_VSA 111014 2" xfId="0"/>
    <cellStyle name="_Others_DPF_VSA 111014 3" xfId="0"/>
    <cellStyle name="_Others_DPF_VSA 111014 4" xfId="0"/>
    <cellStyle name="_Others_DPF_VSA 111014 4 2" xfId="0"/>
    <cellStyle name="_Others_DPF_VSA 111014_By Region" xfId="0"/>
    <cellStyle name="_Others_DPF_VSA 111014_CORP SG&amp;A" xfId="0"/>
    <cellStyle name="_Others_DPF_VSA 111014_LCD" xfId="0"/>
    <cellStyle name="_Others_DPF_VSA 111014_PJ" xfId="0"/>
    <cellStyle name="_Others_DPF_VSA Roll-Up (LW)" xfId="0"/>
    <cellStyle name="_Others_DPF_VSA Roll-Up (LW) 2" xfId="0"/>
    <cellStyle name="_Others_DPF_VSA Roll-Up (LW) 3" xfId="0"/>
    <cellStyle name="_Others_DPF_VSA Roll-Up (LW) 4" xfId="0"/>
    <cellStyle name="_Others_DPF_VSA Roll-Up (LW) 4 2" xfId="0"/>
    <cellStyle name="_Others_DPF_VSA Roll-Up (LW)_By Region" xfId="0"/>
    <cellStyle name="_Others_DPF_VSA Roll-Up (LW)_CORP SG&amp;A" xfId="0"/>
    <cellStyle name="_Others_DPF_VSA Roll-Up (LW)_LCD" xfId="0"/>
    <cellStyle name="_Others_DPF_VSA Roll-Up (LW)_PJ" xfId="0"/>
    <cellStyle name="_Others_DS" xfId="0"/>
    <cellStyle name="_Others_DS 2" xfId="0"/>
    <cellStyle name="_Others_DS 3" xfId="0"/>
    <cellStyle name="_Others_DS 4" xfId="0"/>
    <cellStyle name="_Others_DS_By Region" xfId="0"/>
    <cellStyle name="_Others_DS_CORP SG&amp;A" xfId="0"/>
    <cellStyle name="_Others_DS_Digitizer" xfId="0"/>
    <cellStyle name="_Others_DS_GPS OTHER" xfId="0"/>
    <cellStyle name="_Others_DS_GPS OTHER 2" xfId="0"/>
    <cellStyle name="_Others_DS_GPS OTHER 3" xfId="0"/>
    <cellStyle name="_Others_DS_GPS OTHER 4" xfId="0"/>
    <cellStyle name="_Others_DS_GPS OTHER 4 2" xfId="0"/>
    <cellStyle name="_Others_DS_GPS OTHER_By Region" xfId="0"/>
    <cellStyle name="_Others_DS_GPS OTHER_CORP SG&amp;A" xfId="0"/>
    <cellStyle name="_Others_DS_GPS OTHER_LCD" xfId="0"/>
    <cellStyle name="_Others_DS_GPS OTHER_PJ" xfId="0"/>
    <cellStyle name="_Others_DS_LCD" xfId="0"/>
    <cellStyle name="_Others_DS_LCD 2" xfId="0"/>
    <cellStyle name="_Others_DS_LCD 3" xfId="0"/>
    <cellStyle name="_Others_DS_LCD 4" xfId="0"/>
    <cellStyle name="_Others_DS_LCD_By Region" xfId="0"/>
    <cellStyle name="_Others_DS_LCD_CORP SG&amp;A" xfId="0"/>
    <cellStyle name="_Others_DS_LCD_LCD" xfId="0"/>
    <cellStyle name="_Others_DS_LCD_PJ" xfId="0"/>
    <cellStyle name="_Others_DS_PC Products" xfId="0"/>
    <cellStyle name="_Others_DS_PC Products 2" xfId="0"/>
    <cellStyle name="_Others_DS_PC Products 3" xfId="0"/>
    <cellStyle name="_Others_DS_PC Products 4" xfId="0"/>
    <cellStyle name="_Others_DS_PC Products 4 2" xfId="0"/>
    <cellStyle name="_Others_DS_PC Products_By Region" xfId="0"/>
    <cellStyle name="_Others_DS_PC Products_CORP SG&amp;A" xfId="0"/>
    <cellStyle name="_Others_DS_PC Products_LCD" xfId="0"/>
    <cellStyle name="_Others_DS_PC Products_PJ" xfId="0"/>
    <cellStyle name="_Others_DS_VSA 111014" xfId="0"/>
    <cellStyle name="_Others_DS_VSA 111014 2" xfId="0"/>
    <cellStyle name="_Others_DS_VSA 111014 3" xfId="0"/>
    <cellStyle name="_Others_DS_VSA 111014 4" xfId="0"/>
    <cellStyle name="_Others_DS_VSA 111014 4 2" xfId="0"/>
    <cellStyle name="_Others_DS_VSA 111014_By Region" xfId="0"/>
    <cellStyle name="_Others_DS_VSA 111014_CORP SG&amp;A" xfId="0"/>
    <cellStyle name="_Others_DS_VSA 111014_LCD" xfId="0"/>
    <cellStyle name="_Others_DS_VSA 111014_PJ" xfId="0"/>
    <cellStyle name="_Others_DS_VSA Roll-Up (LW)" xfId="0"/>
    <cellStyle name="_Others_DS_VSA Roll-Up (LW) 2" xfId="0"/>
    <cellStyle name="_Others_DS_VSA Roll-Up (LW) 3" xfId="0"/>
    <cellStyle name="_Others_DS_VSA Roll-Up (LW) 4" xfId="0"/>
    <cellStyle name="_Others_DS_VSA Roll-Up (LW) 4 2" xfId="0"/>
    <cellStyle name="_Others_DS_VSA Roll-Up (LW)_By Region" xfId="0"/>
    <cellStyle name="_Others_DS_VSA Roll-Up (LW)_CORP SG&amp;A" xfId="0"/>
    <cellStyle name="_Others_DS_VSA Roll-Up (LW)_LCD" xfId="0"/>
    <cellStyle name="_Others_DS_VSA Roll-Up (LW)_PJ" xfId="0"/>
    <cellStyle name="_Others_DVD_TV" xfId="0"/>
    <cellStyle name="_Others_DVD_TV 2" xfId="0"/>
    <cellStyle name="_Others_DVD_TV 3" xfId="0"/>
    <cellStyle name="_Others_DVD_TV 4" xfId="0"/>
    <cellStyle name="_Others_DVD_TV_By Region" xfId="0"/>
    <cellStyle name="_Others_DVD_TV_CORP SG&amp;A" xfId="0"/>
    <cellStyle name="_Others_DVD_TV_Digitizer" xfId="0"/>
    <cellStyle name="_Others_DVD_TV_GPS OTHER" xfId="0"/>
    <cellStyle name="_Others_DVD_TV_GPS OTHER 2" xfId="0"/>
    <cellStyle name="_Others_DVD_TV_GPS OTHER 3" xfId="0"/>
    <cellStyle name="_Others_DVD_TV_GPS OTHER 4" xfId="0"/>
    <cellStyle name="_Others_DVD_TV_GPS OTHER 4 2" xfId="0"/>
    <cellStyle name="_Others_DVD_TV_GPS OTHER_By Region" xfId="0"/>
    <cellStyle name="_Others_DVD_TV_GPS OTHER_CORP SG&amp;A" xfId="0"/>
    <cellStyle name="_Others_DVD_TV_GPS OTHER_LCD" xfId="0"/>
    <cellStyle name="_Others_DVD_TV_GPS OTHER_PJ" xfId="0"/>
    <cellStyle name="_Others_DVD_TV_LCD" xfId="0"/>
    <cellStyle name="_Others_DVD_TV_LCD 2" xfId="0"/>
    <cellStyle name="_Others_DVD_TV_LCD 3" xfId="0"/>
    <cellStyle name="_Others_DVD_TV_LCD 4" xfId="0"/>
    <cellStyle name="_Others_DVD_TV_LCD_By Region" xfId="0"/>
    <cellStyle name="_Others_DVD_TV_LCD_CORP SG&amp;A" xfId="0"/>
    <cellStyle name="_Others_DVD_TV_LCD_LCD" xfId="0"/>
    <cellStyle name="_Others_DVD_TV_LCD_PJ" xfId="0"/>
    <cellStyle name="_Others_DVD_TV_PC Products" xfId="0"/>
    <cellStyle name="_Others_DVD_TV_PC Products 2" xfId="0"/>
    <cellStyle name="_Others_DVD_TV_PC Products 3" xfId="0"/>
    <cellStyle name="_Others_DVD_TV_PC Products 4" xfId="0"/>
    <cellStyle name="_Others_DVD_TV_PC Products 4 2" xfId="0"/>
    <cellStyle name="_Others_DVD_TV_PC Products_By Region" xfId="0"/>
    <cellStyle name="_Others_DVD_TV_PC Products_CORP SG&amp;A" xfId="0"/>
    <cellStyle name="_Others_DVD_TV_PC Products_LCD" xfId="0"/>
    <cellStyle name="_Others_DVD_TV_PC Products_PJ" xfId="0"/>
    <cellStyle name="_Others_DVD_TV_VSA 111014" xfId="0"/>
    <cellStyle name="_Others_DVD_TV_VSA 111014 2" xfId="0"/>
    <cellStyle name="_Others_DVD_TV_VSA 111014 3" xfId="0"/>
    <cellStyle name="_Others_DVD_TV_VSA 111014 4" xfId="0"/>
    <cellStyle name="_Others_DVD_TV_VSA 111014 4 2" xfId="0"/>
    <cellStyle name="_Others_DVD_TV_VSA 111014_By Region" xfId="0"/>
    <cellStyle name="_Others_DVD_TV_VSA 111014_CORP SG&amp;A" xfId="0"/>
    <cellStyle name="_Others_DVD_TV_VSA 111014_LCD" xfId="0"/>
    <cellStyle name="_Others_DVD_TV_VSA 111014_PJ" xfId="0"/>
    <cellStyle name="_Others_DVD_TV_VSA Roll-Up (LW)" xfId="0"/>
    <cellStyle name="_Others_DVD_TV_VSA Roll-Up (LW) 2" xfId="0"/>
    <cellStyle name="_Others_DVD_TV_VSA Roll-Up (LW) 3" xfId="0"/>
    <cellStyle name="_Others_DVD_TV_VSA Roll-Up (LW) 4" xfId="0"/>
    <cellStyle name="_Others_DVD_TV_VSA Roll-Up (LW) 4 2" xfId="0"/>
    <cellStyle name="_Others_DVD_TV_VSA Roll-Up (LW)_By Region" xfId="0"/>
    <cellStyle name="_Others_DVD_TV_VSA Roll-Up (LW)_CORP SG&amp;A" xfId="0"/>
    <cellStyle name="_Others_DVD_TV_VSA Roll-Up (LW)_LCD" xfId="0"/>
    <cellStyle name="_Others_DVD_TV_VSA Roll-Up (LW)_PJ" xfId="0"/>
    <cellStyle name="_Others_GPS OTHER" xfId="0"/>
    <cellStyle name="_Others_GPS OTHER 2" xfId="0"/>
    <cellStyle name="_Others_GPS OTHER 3" xfId="0"/>
    <cellStyle name="_Others_GPS OTHER 4" xfId="0"/>
    <cellStyle name="_Others_GPS OTHER 4 2" xfId="0"/>
    <cellStyle name="_Others_GPS OTHER_By Region" xfId="0"/>
    <cellStyle name="_Others_GPS OTHER_CORP SG&amp;A" xfId="0"/>
    <cellStyle name="_Others_GPS OTHER_LCD" xfId="0"/>
    <cellStyle name="_Others_GPS OTHER_PJ" xfId="0"/>
    <cellStyle name="_Others_LCD" xfId="0"/>
    <cellStyle name="_Others_LCD 2" xfId="0"/>
    <cellStyle name="_Others_LCD 3" xfId="0"/>
    <cellStyle name="_Others_LCD 4" xfId="0"/>
    <cellStyle name="_Others_LCD_1" xfId="0"/>
    <cellStyle name="_Others_LCD_1 2" xfId="0"/>
    <cellStyle name="_Others_LCD_1 3" xfId="0"/>
    <cellStyle name="_Others_LCD_1 4" xfId="0"/>
    <cellStyle name="_Others_LCD_1_By Region" xfId="0"/>
    <cellStyle name="_Others_LCD_1_CORP SG&amp;A" xfId="0"/>
    <cellStyle name="_Others_LCD_1_LCD" xfId="0"/>
    <cellStyle name="_Others_LCD_1_PJ" xfId="0"/>
    <cellStyle name="_Others_LCD_By Region" xfId="0"/>
    <cellStyle name="_Others_LCD_CORP SG&amp;A" xfId="0"/>
    <cellStyle name="_Others_LCD_Digitizer" xfId="0"/>
    <cellStyle name="_Others_LCD_GPS OTHER" xfId="0"/>
    <cellStyle name="_Others_LCD_GPS OTHER 2" xfId="0"/>
    <cellStyle name="_Others_LCD_GPS OTHER 3" xfId="0"/>
    <cellStyle name="_Others_LCD_GPS OTHER 4" xfId="0"/>
    <cellStyle name="_Others_LCD_GPS OTHER 4 2" xfId="0"/>
    <cellStyle name="_Others_LCD_GPS OTHER_By Region" xfId="0"/>
    <cellStyle name="_Others_LCD_GPS OTHER_CORP SG&amp;A" xfId="0"/>
    <cellStyle name="_Others_LCD_GPS OTHER_LCD" xfId="0"/>
    <cellStyle name="_Others_LCD_GPS OTHER_PJ" xfId="0"/>
    <cellStyle name="_Others_LCD_LCD" xfId="0"/>
    <cellStyle name="_Others_LCD_LCD 2" xfId="0"/>
    <cellStyle name="_Others_LCD_LCD 3" xfId="0"/>
    <cellStyle name="_Others_LCD_LCD 4" xfId="0"/>
    <cellStyle name="_Others_LCD_LCD_By Region" xfId="0"/>
    <cellStyle name="_Others_LCD_LCD_CORP SG&amp;A" xfId="0"/>
    <cellStyle name="_Others_LCD_LCD_LCD" xfId="0"/>
    <cellStyle name="_Others_LCD_LCD_PJ" xfId="0"/>
    <cellStyle name="_Others_LCD_PC Products" xfId="0"/>
    <cellStyle name="_Others_LCD_PC Products 2" xfId="0"/>
    <cellStyle name="_Others_LCD_PC Products 3" xfId="0"/>
    <cellStyle name="_Others_LCD_PC Products 4" xfId="0"/>
    <cellStyle name="_Others_LCD_PC Products 4 2" xfId="0"/>
    <cellStyle name="_Others_LCD_PC Products_By Region" xfId="0"/>
    <cellStyle name="_Others_LCD_PC Products_CORP SG&amp;A" xfId="0"/>
    <cellStyle name="_Others_LCD_PC Products_LCD" xfId="0"/>
    <cellStyle name="_Others_LCD_PC Products_PJ" xfId="0"/>
    <cellStyle name="_Others_LCD_VSA 111014" xfId="0"/>
    <cellStyle name="_Others_LCD_VSA 111014 2" xfId="0"/>
    <cellStyle name="_Others_LCD_VSA 111014 3" xfId="0"/>
    <cellStyle name="_Others_LCD_VSA 111014 4" xfId="0"/>
    <cellStyle name="_Others_LCD_VSA 111014 4 2" xfId="0"/>
    <cellStyle name="_Others_LCD_VSA 111014_By Region" xfId="0"/>
    <cellStyle name="_Others_LCD_VSA 111014_CORP SG&amp;A" xfId="0"/>
    <cellStyle name="_Others_LCD_VSA 111014_LCD" xfId="0"/>
    <cellStyle name="_Others_LCD_VSA 111014_PJ" xfId="0"/>
    <cellStyle name="_Others_LCD_VSA Roll-Up (LW)" xfId="0"/>
    <cellStyle name="_Others_LCD_VSA Roll-Up (LW) 2" xfId="0"/>
    <cellStyle name="_Others_LCD_VSA Roll-Up (LW) 3" xfId="0"/>
    <cellStyle name="_Others_LCD_VSA Roll-Up (LW) 4" xfId="0"/>
    <cellStyle name="_Others_LCD_VSA Roll-Up (LW) 4 2" xfId="0"/>
    <cellStyle name="_Others_LCD_VSA Roll-Up (LW)_By Region" xfId="0"/>
    <cellStyle name="_Others_LCD_VSA Roll-Up (LW)_CORP SG&amp;A" xfId="0"/>
    <cellStyle name="_Others_LCD_VSA Roll-Up (LW)_LCD" xfId="0"/>
    <cellStyle name="_Others_LCD_VSA Roll-Up (LW)_PJ" xfId="0"/>
    <cellStyle name="_Others_LCDTV" xfId="0"/>
    <cellStyle name="_Others_LCDTV 2" xfId="0"/>
    <cellStyle name="_Others_LCDTV 3" xfId="0"/>
    <cellStyle name="_Others_LCDTV 4" xfId="0"/>
    <cellStyle name="_Others_LCDTV_By Region" xfId="0"/>
    <cellStyle name="_Others_LCDTV_CORP SG&amp;A" xfId="0"/>
    <cellStyle name="_Others_LCDTV_Digitizer" xfId="0"/>
    <cellStyle name="_Others_LCDTV_GPS OTHER" xfId="0"/>
    <cellStyle name="_Others_LCDTV_GPS OTHER 2" xfId="0"/>
    <cellStyle name="_Others_LCDTV_GPS OTHER 3" xfId="0"/>
    <cellStyle name="_Others_LCDTV_GPS OTHER 4" xfId="0"/>
    <cellStyle name="_Others_LCDTV_GPS OTHER 4 2" xfId="0"/>
    <cellStyle name="_Others_LCDTV_GPS OTHER_By Region" xfId="0"/>
    <cellStyle name="_Others_LCDTV_GPS OTHER_CORP SG&amp;A" xfId="0"/>
    <cellStyle name="_Others_LCDTV_GPS OTHER_LCD" xfId="0"/>
    <cellStyle name="_Others_LCDTV_GPS OTHER_PJ" xfId="0"/>
    <cellStyle name="_Others_LCDTV_LCD" xfId="0"/>
    <cellStyle name="_Others_LCDTV_LCD 2" xfId="0"/>
    <cellStyle name="_Others_LCDTV_LCD 3" xfId="0"/>
    <cellStyle name="_Others_LCDTV_LCD 4" xfId="0"/>
    <cellStyle name="_Others_LCDTV_LCD_By Region" xfId="0"/>
    <cellStyle name="_Others_LCDTV_LCD_CORP SG&amp;A" xfId="0"/>
    <cellStyle name="_Others_LCDTV_LCD_LCD" xfId="0"/>
    <cellStyle name="_Others_LCDTV_LCD_PJ" xfId="0"/>
    <cellStyle name="_Others_LCDTV_PC Products" xfId="0"/>
    <cellStyle name="_Others_LCDTV_PC Products 2" xfId="0"/>
    <cellStyle name="_Others_LCDTV_PC Products 3" xfId="0"/>
    <cellStyle name="_Others_LCDTV_PC Products 4" xfId="0"/>
    <cellStyle name="_Others_LCDTV_PC Products 4 2" xfId="0"/>
    <cellStyle name="_Others_LCDTV_PC Products_By Region" xfId="0"/>
    <cellStyle name="_Others_LCDTV_PC Products_CORP SG&amp;A" xfId="0"/>
    <cellStyle name="_Others_LCDTV_PC Products_LCD" xfId="0"/>
    <cellStyle name="_Others_LCDTV_PC Products_PJ" xfId="0"/>
    <cellStyle name="_Others_LCDTV_VSA 111014" xfId="0"/>
    <cellStyle name="_Others_LCDTV_VSA 111014 2" xfId="0"/>
    <cellStyle name="_Others_LCDTV_VSA 111014 3" xfId="0"/>
    <cellStyle name="_Others_LCDTV_VSA 111014 4" xfId="0"/>
    <cellStyle name="_Others_LCDTV_VSA 111014 4 2" xfId="0"/>
    <cellStyle name="_Others_LCDTV_VSA 111014_By Region" xfId="0"/>
    <cellStyle name="_Others_LCDTV_VSA 111014_CORP SG&amp;A" xfId="0"/>
    <cellStyle name="_Others_LCDTV_VSA 111014_LCD" xfId="0"/>
    <cellStyle name="_Others_LCDTV_VSA 111014_PJ" xfId="0"/>
    <cellStyle name="_Others_LCDTV_VSA Roll-Up (LW)" xfId="0"/>
    <cellStyle name="_Others_LCDTV_VSA Roll-Up (LW) 2" xfId="0"/>
    <cellStyle name="_Others_LCDTV_VSA Roll-Up (LW) 3" xfId="0"/>
    <cellStyle name="_Others_LCDTV_VSA Roll-Up (LW) 4" xfId="0"/>
    <cellStyle name="_Others_LCDTV_VSA Roll-Up (LW) 4 2" xfId="0"/>
    <cellStyle name="_Others_LCDTV_VSA Roll-Up (LW)_By Region" xfId="0"/>
    <cellStyle name="_Others_LCDTV_VSA Roll-Up (LW)_CORP SG&amp;A" xfId="0"/>
    <cellStyle name="_Others_LCDTV_VSA Roll-Up (LW)_LCD" xfId="0"/>
    <cellStyle name="_Others_LCDTV_VSA Roll-Up (LW)_PJ" xfId="0"/>
    <cellStyle name="_Others_MNT" xfId="0"/>
    <cellStyle name="_Others_MNT 2" xfId="0"/>
    <cellStyle name="_Others_MNT 3" xfId="0"/>
    <cellStyle name="_Others_MNT 4" xfId="0"/>
    <cellStyle name="_Others_MNT_By Region" xfId="0"/>
    <cellStyle name="_Others_MNT_CORP SG&amp;A" xfId="0"/>
    <cellStyle name="_Others_MNT_Digitizer" xfId="0"/>
    <cellStyle name="_Others_MNT_GPS OTHER" xfId="0"/>
    <cellStyle name="_Others_MNT_GPS OTHER 2" xfId="0"/>
    <cellStyle name="_Others_MNT_GPS OTHER 3" xfId="0"/>
    <cellStyle name="_Others_MNT_GPS OTHER 4" xfId="0"/>
    <cellStyle name="_Others_MNT_GPS OTHER 4 2" xfId="0"/>
    <cellStyle name="_Others_MNT_GPS OTHER_By Region" xfId="0"/>
    <cellStyle name="_Others_MNT_GPS OTHER_CORP SG&amp;A" xfId="0"/>
    <cellStyle name="_Others_MNT_GPS OTHER_LCD" xfId="0"/>
    <cellStyle name="_Others_MNT_GPS OTHER_PJ" xfId="0"/>
    <cellStyle name="_Others_MNT_LCD" xfId="0"/>
    <cellStyle name="_Others_MNT_LCD 2" xfId="0"/>
    <cellStyle name="_Others_MNT_LCD 3" xfId="0"/>
    <cellStyle name="_Others_MNT_LCD 4" xfId="0"/>
    <cellStyle name="_Others_MNT_LCD_By Region" xfId="0"/>
    <cellStyle name="_Others_MNT_LCD_CORP SG&amp;A" xfId="0"/>
    <cellStyle name="_Others_MNT_LCD_LCD" xfId="0"/>
    <cellStyle name="_Others_MNT_LCD_PJ" xfId="0"/>
    <cellStyle name="_Others_MNT_PC Products" xfId="0"/>
    <cellStyle name="_Others_MNT_PC Products 2" xfId="0"/>
    <cellStyle name="_Others_MNT_PC Products 3" xfId="0"/>
    <cellStyle name="_Others_MNT_PC Products 4" xfId="0"/>
    <cellStyle name="_Others_MNT_PC Products 4 2" xfId="0"/>
    <cellStyle name="_Others_MNT_PC Products_By Region" xfId="0"/>
    <cellStyle name="_Others_MNT_PC Products_CORP SG&amp;A" xfId="0"/>
    <cellStyle name="_Others_MNT_PC Products_LCD" xfId="0"/>
    <cellStyle name="_Others_MNT_PC Products_PJ" xfId="0"/>
    <cellStyle name="_Others_MNT_VSA 111014" xfId="0"/>
    <cellStyle name="_Others_MNT_VSA 111014 2" xfId="0"/>
    <cellStyle name="_Others_MNT_VSA 111014 3" xfId="0"/>
    <cellStyle name="_Others_MNT_VSA 111014 4" xfId="0"/>
    <cellStyle name="_Others_MNT_VSA 111014 4 2" xfId="0"/>
    <cellStyle name="_Others_MNT_VSA 111014_By Region" xfId="0"/>
    <cellStyle name="_Others_MNT_VSA 111014_CORP SG&amp;A" xfId="0"/>
    <cellStyle name="_Others_MNT_VSA 111014_LCD" xfId="0"/>
    <cellStyle name="_Others_MNT_VSA 111014_PJ" xfId="0"/>
    <cellStyle name="_Others_MNT_VSA Roll-Up (LW)" xfId="0"/>
    <cellStyle name="_Others_MNT_VSA Roll-Up (LW) 2" xfId="0"/>
    <cellStyle name="_Others_MNT_VSA Roll-Up (LW) 3" xfId="0"/>
    <cellStyle name="_Others_MNT_VSA Roll-Up (LW) 4" xfId="0"/>
    <cellStyle name="_Others_MNT_VSA Roll-Up (LW) 4 2" xfId="0"/>
    <cellStyle name="_Others_MNT_VSA Roll-Up (LW)_By Region" xfId="0"/>
    <cellStyle name="_Others_MNT_VSA Roll-Up (LW)_CORP SG&amp;A" xfId="0"/>
    <cellStyle name="_Others_MNT_VSA Roll-Up (LW)_LCD" xfId="0"/>
    <cellStyle name="_Others_MNT_VSA Roll-Up (LW)_PJ" xfId="0"/>
    <cellStyle name="_Others_Other" xfId="0"/>
    <cellStyle name="_Others_Other 2" xfId="0"/>
    <cellStyle name="_Others_Other 3" xfId="0"/>
    <cellStyle name="_Others_Other 4" xfId="0"/>
    <cellStyle name="_Others_Other_By Region" xfId="0"/>
    <cellStyle name="_Others_Other_CORP SG&amp;A" xfId="0"/>
    <cellStyle name="_Others_Other_Digitizer" xfId="0"/>
    <cellStyle name="_Others_Other_GPS OTHER" xfId="0"/>
    <cellStyle name="_Others_Other_GPS OTHER 2" xfId="0"/>
    <cellStyle name="_Others_Other_GPS OTHER 3" xfId="0"/>
    <cellStyle name="_Others_Other_GPS OTHER 4" xfId="0"/>
    <cellStyle name="_Others_Other_GPS OTHER 4 2" xfId="0"/>
    <cellStyle name="_Others_Other_GPS OTHER_By Region" xfId="0"/>
    <cellStyle name="_Others_Other_GPS OTHER_CORP SG&amp;A" xfId="0"/>
    <cellStyle name="_Others_Other_GPS OTHER_LCD" xfId="0"/>
    <cellStyle name="_Others_Other_GPS OTHER_PJ" xfId="0"/>
    <cellStyle name="_Others_Other_LCD" xfId="0"/>
    <cellStyle name="_Others_Other_LCD 2" xfId="0"/>
    <cellStyle name="_Others_Other_LCD 3" xfId="0"/>
    <cellStyle name="_Others_Other_LCD 4" xfId="0"/>
    <cellStyle name="_Others_Other_LCD_By Region" xfId="0"/>
    <cellStyle name="_Others_Other_LCD_CORP SG&amp;A" xfId="0"/>
    <cellStyle name="_Others_Other_LCD_LCD" xfId="0"/>
    <cellStyle name="_Others_Other_LCD_PJ" xfId="0"/>
    <cellStyle name="_Others_Other_PC Products" xfId="0"/>
    <cellStyle name="_Others_Other_PC Products 2" xfId="0"/>
    <cellStyle name="_Others_Other_PC Products 3" xfId="0"/>
    <cellStyle name="_Others_Other_PC Products 4" xfId="0"/>
    <cellStyle name="_Others_Other_PC Products 4 2" xfId="0"/>
    <cellStyle name="_Others_Other_PC Products_By Region" xfId="0"/>
    <cellStyle name="_Others_Other_PC Products_CORP SG&amp;A" xfId="0"/>
    <cellStyle name="_Others_Other_PC Products_LCD" xfId="0"/>
    <cellStyle name="_Others_Other_PC Products_PJ" xfId="0"/>
    <cellStyle name="_Others_Other_VSA 111014" xfId="0"/>
    <cellStyle name="_Others_Other_VSA 111014 2" xfId="0"/>
    <cellStyle name="_Others_Other_VSA 111014 3" xfId="0"/>
    <cellStyle name="_Others_Other_VSA 111014 4" xfId="0"/>
    <cellStyle name="_Others_Other_VSA 111014 4 2" xfId="0"/>
    <cellStyle name="_Others_Other_VSA 111014_By Region" xfId="0"/>
    <cellStyle name="_Others_Other_VSA 111014_CORP SG&amp;A" xfId="0"/>
    <cellStyle name="_Others_Other_VSA 111014_LCD" xfId="0"/>
    <cellStyle name="_Others_Other_VSA 111014_PJ" xfId="0"/>
    <cellStyle name="_Others_Other_VSA Roll-Up (LW)" xfId="0"/>
    <cellStyle name="_Others_Other_VSA Roll-Up (LW) 2" xfId="0"/>
    <cellStyle name="_Others_Other_VSA Roll-Up (LW) 3" xfId="0"/>
    <cellStyle name="_Others_Other_VSA Roll-Up (LW) 4" xfId="0"/>
    <cellStyle name="_Others_Other_VSA Roll-Up (LW) 4 2" xfId="0"/>
    <cellStyle name="_Others_Other_VSA Roll-Up (LW)_By Region" xfId="0"/>
    <cellStyle name="_Others_Other_VSA Roll-Up (LW)_CORP SG&amp;A" xfId="0"/>
    <cellStyle name="_Others_Other_VSA Roll-Up (LW)_LCD" xfId="0"/>
    <cellStyle name="_Others_Other_VSA Roll-Up (LW)_PJ" xfId="0"/>
    <cellStyle name="_Others_PC" xfId="0"/>
    <cellStyle name="_Others_PC 2" xfId="0"/>
    <cellStyle name="_Others_PC 3" xfId="0"/>
    <cellStyle name="_Others_PC 4" xfId="0"/>
    <cellStyle name="_Others_PC Products" xfId="0"/>
    <cellStyle name="_Others_PC Products 2" xfId="0"/>
    <cellStyle name="_Others_PC Products 3" xfId="0"/>
    <cellStyle name="_Others_PC Products 4" xfId="0"/>
    <cellStyle name="_Others_PC Products 4 2" xfId="0"/>
    <cellStyle name="_Others_PC Products_By Region" xfId="0"/>
    <cellStyle name="_Others_PC Products_CORP SG&amp;A" xfId="0"/>
    <cellStyle name="_Others_PC Products_LCD" xfId="0"/>
    <cellStyle name="_Others_PC Products_PJ" xfId="0"/>
    <cellStyle name="_Others_PC_By Region" xfId="0"/>
    <cellStyle name="_Others_PC_CORP SG&amp;A" xfId="0"/>
    <cellStyle name="_Others_PC_Digitizer" xfId="0"/>
    <cellStyle name="_Others_PC_DT" xfId="0"/>
    <cellStyle name="_Others_PC_DT 2" xfId="0"/>
    <cellStyle name="_Others_PC_DT 3" xfId="0"/>
    <cellStyle name="_Others_PC_DT_By Region" xfId="0"/>
    <cellStyle name="_Others_PC_GPS OTHER" xfId="0"/>
    <cellStyle name="_Others_PC_GPS OTHER 2" xfId="0"/>
    <cellStyle name="_Others_PC_GPS OTHER 3" xfId="0"/>
    <cellStyle name="_Others_PC_GPS OTHER 4" xfId="0"/>
    <cellStyle name="_Others_PC_GPS OTHER 4 2" xfId="0"/>
    <cellStyle name="_Others_PC_GPS OTHER_By Region" xfId="0"/>
    <cellStyle name="_Others_PC_GPS OTHER_CORP SG&amp;A" xfId="0"/>
    <cellStyle name="_Others_PC_GPS OTHER_LCD" xfId="0"/>
    <cellStyle name="_Others_PC_GPS OTHER_PJ" xfId="0"/>
    <cellStyle name="_Others_PC_LCD" xfId="0"/>
    <cellStyle name="_Others_PC_LCD 2" xfId="0"/>
    <cellStyle name="_Others_PC_LCD 3" xfId="0"/>
    <cellStyle name="_Others_PC_LCD 4" xfId="0"/>
    <cellStyle name="_Others_PC_LCD_By Region" xfId="0"/>
    <cellStyle name="_Others_PC_LCD_CORP SG&amp;A" xfId="0"/>
    <cellStyle name="_Others_PC_LCD_LCD" xfId="0"/>
    <cellStyle name="_Others_PC_LCD_PJ" xfId="0"/>
    <cellStyle name="_Others_PC_PC Products" xfId="0"/>
    <cellStyle name="_Others_PC_PC Products 2" xfId="0"/>
    <cellStyle name="_Others_PC_PC Products 3" xfId="0"/>
    <cellStyle name="_Others_PC_PC Products 4" xfId="0"/>
    <cellStyle name="_Others_PC_PC Products 4 2" xfId="0"/>
    <cellStyle name="_Others_PC_PC Products_By Region" xfId="0"/>
    <cellStyle name="_Others_PC_PC Products_CORP SG&amp;A" xfId="0"/>
    <cellStyle name="_Others_PC_PC Products_LCD" xfId="0"/>
    <cellStyle name="_Others_PC_PC Products_PJ" xfId="0"/>
    <cellStyle name="_Others_PC_TV" xfId="0"/>
    <cellStyle name="_Others_PC_TV 2" xfId="0"/>
    <cellStyle name="_Others_PC_TV 3" xfId="0"/>
    <cellStyle name="_Others_PC_TV 4" xfId="0"/>
    <cellStyle name="_Others_PC_TV_By Region" xfId="0"/>
    <cellStyle name="_Others_PC_TV_CORP SG&amp;A" xfId="0"/>
    <cellStyle name="_Others_PC_TV_Digitizer" xfId="0"/>
    <cellStyle name="_Others_PC_TV_GPS OTHER" xfId="0"/>
    <cellStyle name="_Others_PC_TV_GPS OTHER 2" xfId="0"/>
    <cellStyle name="_Others_PC_TV_GPS OTHER 3" xfId="0"/>
    <cellStyle name="_Others_PC_TV_GPS OTHER 4" xfId="0"/>
    <cellStyle name="_Others_PC_TV_GPS OTHER 4 2" xfId="0"/>
    <cellStyle name="_Others_PC_TV_GPS OTHER_By Region" xfId="0"/>
    <cellStyle name="_Others_PC_TV_GPS OTHER_CORP SG&amp;A" xfId="0"/>
    <cellStyle name="_Others_PC_TV_GPS OTHER_LCD" xfId="0"/>
    <cellStyle name="_Others_PC_TV_GPS OTHER_PJ" xfId="0"/>
    <cellStyle name="_Others_PC_TV_LCD" xfId="0"/>
    <cellStyle name="_Others_PC_TV_LCD 2" xfId="0"/>
    <cellStyle name="_Others_PC_TV_LCD 3" xfId="0"/>
    <cellStyle name="_Others_PC_TV_LCD 4" xfId="0"/>
    <cellStyle name="_Others_PC_TV_LCD_By Region" xfId="0"/>
    <cellStyle name="_Others_PC_TV_LCD_CORP SG&amp;A" xfId="0"/>
    <cellStyle name="_Others_PC_TV_LCD_LCD" xfId="0"/>
    <cellStyle name="_Others_PC_TV_LCD_PJ" xfId="0"/>
    <cellStyle name="_Others_PC_TV_PC Products" xfId="0"/>
    <cellStyle name="_Others_PC_TV_PC Products 2" xfId="0"/>
    <cellStyle name="_Others_PC_TV_PC Products 3" xfId="0"/>
    <cellStyle name="_Others_PC_TV_PC Products 4" xfId="0"/>
    <cellStyle name="_Others_PC_TV_PC Products 4 2" xfId="0"/>
    <cellStyle name="_Others_PC_TV_PC Products_By Region" xfId="0"/>
    <cellStyle name="_Others_PC_TV_PC Products_CORP SG&amp;A" xfId="0"/>
    <cellStyle name="_Others_PC_TV_PC Products_LCD" xfId="0"/>
    <cellStyle name="_Others_PC_TV_PC Products_PJ" xfId="0"/>
    <cellStyle name="_Others_PC_TV_VSA 111014" xfId="0"/>
    <cellStyle name="_Others_PC_TV_VSA 111014 2" xfId="0"/>
    <cellStyle name="_Others_PC_TV_VSA 111014 3" xfId="0"/>
    <cellStyle name="_Others_PC_TV_VSA 111014 4" xfId="0"/>
    <cellStyle name="_Others_PC_TV_VSA 111014 4 2" xfId="0"/>
    <cellStyle name="_Others_PC_TV_VSA 111014_By Region" xfId="0"/>
    <cellStyle name="_Others_PC_TV_VSA 111014_CORP SG&amp;A" xfId="0"/>
    <cellStyle name="_Others_PC_TV_VSA 111014_LCD" xfId="0"/>
    <cellStyle name="_Others_PC_TV_VSA 111014_PJ" xfId="0"/>
    <cellStyle name="_Others_PC_TV_VSA Roll-Up (LW)" xfId="0"/>
    <cellStyle name="_Others_PC_TV_VSA Roll-Up (LW) 2" xfId="0"/>
    <cellStyle name="_Others_PC_TV_VSA Roll-Up (LW) 3" xfId="0"/>
    <cellStyle name="_Others_PC_TV_VSA Roll-Up (LW) 4" xfId="0"/>
    <cellStyle name="_Others_PC_TV_VSA Roll-Up (LW) 4 2" xfId="0"/>
    <cellStyle name="_Others_PC_TV_VSA Roll-Up (LW)_By Region" xfId="0"/>
    <cellStyle name="_Others_PC_TV_VSA Roll-Up (LW)_CORP SG&amp;A" xfId="0"/>
    <cellStyle name="_Others_PC_TV_VSA Roll-Up (LW)_LCD" xfId="0"/>
    <cellStyle name="_Others_PC_TV_VSA Roll-Up (LW)_PJ" xfId="0"/>
    <cellStyle name="_Others_PC_VSA 111014" xfId="0"/>
    <cellStyle name="_Others_PC_VSA 111014 2" xfId="0"/>
    <cellStyle name="_Others_PC_VSA 111014 3" xfId="0"/>
    <cellStyle name="_Others_PC_VSA 111014 4" xfId="0"/>
    <cellStyle name="_Others_PC_VSA 111014 4 2" xfId="0"/>
    <cellStyle name="_Others_PC_VSA 111014_By Region" xfId="0"/>
    <cellStyle name="_Others_PC_VSA 111014_CORP SG&amp;A" xfId="0"/>
    <cellStyle name="_Others_PC_VSA 111014_LCD" xfId="0"/>
    <cellStyle name="_Others_PC_VSA 111014_PJ" xfId="0"/>
    <cellStyle name="_Others_PC_VSA Roll-Up (LW)" xfId="0"/>
    <cellStyle name="_Others_PC_VSA Roll-Up (LW) 2" xfId="0"/>
    <cellStyle name="_Others_PC_VSA Roll-Up (LW) 3" xfId="0"/>
    <cellStyle name="_Others_PC_VSA Roll-Up (LW) 4" xfId="0"/>
    <cellStyle name="_Others_PC_VSA Roll-Up (LW) 4 2" xfId="0"/>
    <cellStyle name="_Others_PC_VSA Roll-Up (LW)_By Region" xfId="0"/>
    <cellStyle name="_Others_PC_VSA Roll-Up (LW)_CORP SG&amp;A" xfId="0"/>
    <cellStyle name="_Others_PC_VSA Roll-Up (LW)_LCD" xfId="0"/>
    <cellStyle name="_Others_PC_VSA Roll-Up (LW)_PJ" xfId="0"/>
    <cellStyle name="_Others_PJ" xfId="0"/>
    <cellStyle name="_Others_PJ 2" xfId="0"/>
    <cellStyle name="_Others_PJ 3" xfId="0"/>
    <cellStyle name="_Others_PJ 4" xfId="0"/>
    <cellStyle name="_Others_PJ_By Region" xfId="0"/>
    <cellStyle name="_Others_PJ_CORP SG&amp;A" xfId="0"/>
    <cellStyle name="_Others_PJ_Digitizer" xfId="0"/>
    <cellStyle name="_Others_PJ_GPS OTHER" xfId="0"/>
    <cellStyle name="_Others_PJ_GPS OTHER 2" xfId="0"/>
    <cellStyle name="_Others_PJ_GPS OTHER 3" xfId="0"/>
    <cellStyle name="_Others_PJ_GPS OTHER 4" xfId="0"/>
    <cellStyle name="_Others_PJ_GPS OTHER 4 2" xfId="0"/>
    <cellStyle name="_Others_PJ_GPS OTHER_By Region" xfId="0"/>
    <cellStyle name="_Others_PJ_GPS OTHER_CORP SG&amp;A" xfId="0"/>
    <cellStyle name="_Others_PJ_GPS OTHER_LCD" xfId="0"/>
    <cellStyle name="_Others_PJ_GPS OTHER_PJ" xfId="0"/>
    <cellStyle name="_Others_PJ_LCD" xfId="0"/>
    <cellStyle name="_Others_PJ_LCD 2" xfId="0"/>
    <cellStyle name="_Others_PJ_LCD 3" xfId="0"/>
    <cellStyle name="_Others_PJ_LCD 4" xfId="0"/>
    <cellStyle name="_Others_PJ_LCD_By Region" xfId="0"/>
    <cellStyle name="_Others_PJ_LCD_CORP SG&amp;A" xfId="0"/>
    <cellStyle name="_Others_PJ_LCD_LCD" xfId="0"/>
    <cellStyle name="_Others_PJ_LCD_PJ" xfId="0"/>
    <cellStyle name="_Others_PJ_PC Products" xfId="0"/>
    <cellStyle name="_Others_PJ_PC Products 2" xfId="0"/>
    <cellStyle name="_Others_PJ_PC Products 3" xfId="0"/>
    <cellStyle name="_Others_PJ_PC Products 4" xfId="0"/>
    <cellStyle name="_Others_PJ_PC Products 4 2" xfId="0"/>
    <cellStyle name="_Others_PJ_PC Products_By Region" xfId="0"/>
    <cellStyle name="_Others_PJ_PC Products_CORP SG&amp;A" xfId="0"/>
    <cellStyle name="_Others_PJ_PC Products_LCD" xfId="0"/>
    <cellStyle name="_Others_PJ_PC Products_PJ" xfId="0"/>
    <cellStyle name="_Others_PJ_VSA 111014" xfId="0"/>
    <cellStyle name="_Others_PJ_VSA 111014 2" xfId="0"/>
    <cellStyle name="_Others_PJ_VSA 111014 3" xfId="0"/>
    <cellStyle name="_Others_PJ_VSA 111014 4" xfId="0"/>
    <cellStyle name="_Others_PJ_VSA 111014 4 2" xfId="0"/>
    <cellStyle name="_Others_PJ_VSA 111014_By Region" xfId="0"/>
    <cellStyle name="_Others_PJ_VSA 111014_CORP SG&amp;A" xfId="0"/>
    <cellStyle name="_Others_PJ_VSA 111014_LCD" xfId="0"/>
    <cellStyle name="_Others_PJ_VSA 111014_PJ" xfId="0"/>
    <cellStyle name="_Others_PJ_VSA Roll-Up (LW)" xfId="0"/>
    <cellStyle name="_Others_PJ_VSA Roll-Up (LW) 2" xfId="0"/>
    <cellStyle name="_Others_PJ_VSA Roll-Up (LW) 3" xfId="0"/>
    <cellStyle name="_Others_PJ_VSA Roll-Up (LW) 4" xfId="0"/>
    <cellStyle name="_Others_PJ_VSA Roll-Up (LW) 4 2" xfId="0"/>
    <cellStyle name="_Others_PJ_VSA Roll-Up (LW)_By Region" xfId="0"/>
    <cellStyle name="_Others_PJ_VSA Roll-Up (LW)_CORP SG&amp;A" xfId="0"/>
    <cellStyle name="_Others_PJ_VSA Roll-Up (LW)_LCD" xfId="0"/>
    <cellStyle name="_Others_PJ_VSA Roll-Up (LW)_PJ" xfId="0"/>
    <cellStyle name="_Others_PMP(VPD)" xfId="0"/>
    <cellStyle name="_Others_PMP(VPD) 2" xfId="0"/>
    <cellStyle name="_Others_PMP(VPD) 3" xfId="0"/>
    <cellStyle name="_Others_PMP(VPD) 4" xfId="0"/>
    <cellStyle name="_Others_PMP(VPD)_By Region" xfId="0"/>
    <cellStyle name="_Others_PMP(VPD)_CORP SG&amp;A" xfId="0"/>
    <cellStyle name="_Others_PMP(VPD)_Digitizer" xfId="0"/>
    <cellStyle name="_Others_PMP(VPD)_GPS OTHER" xfId="0"/>
    <cellStyle name="_Others_PMP(VPD)_GPS OTHER 2" xfId="0"/>
    <cellStyle name="_Others_PMP(VPD)_GPS OTHER 3" xfId="0"/>
    <cellStyle name="_Others_PMP(VPD)_GPS OTHER 4" xfId="0"/>
    <cellStyle name="_Others_PMP(VPD)_GPS OTHER 4 2" xfId="0"/>
    <cellStyle name="_Others_PMP(VPD)_GPS OTHER_By Region" xfId="0"/>
    <cellStyle name="_Others_PMP(VPD)_GPS OTHER_CORP SG&amp;A" xfId="0"/>
    <cellStyle name="_Others_PMP(VPD)_GPS OTHER_LCD" xfId="0"/>
    <cellStyle name="_Others_PMP(VPD)_GPS OTHER_PJ" xfId="0"/>
    <cellStyle name="_Others_PMP(VPD)_LCD" xfId="0"/>
    <cellStyle name="_Others_PMP(VPD)_LCD 2" xfId="0"/>
    <cellStyle name="_Others_PMP(VPD)_LCD 3" xfId="0"/>
    <cellStyle name="_Others_PMP(VPD)_LCD 4" xfId="0"/>
    <cellStyle name="_Others_PMP(VPD)_LCD_By Region" xfId="0"/>
    <cellStyle name="_Others_PMP(VPD)_LCD_CORP SG&amp;A" xfId="0"/>
    <cellStyle name="_Others_PMP(VPD)_LCD_LCD" xfId="0"/>
    <cellStyle name="_Others_PMP(VPD)_LCD_PJ" xfId="0"/>
    <cellStyle name="_Others_PMP(VPD)_PC Products" xfId="0"/>
    <cellStyle name="_Others_PMP(VPD)_PC Products 2" xfId="0"/>
    <cellStyle name="_Others_PMP(VPD)_PC Products 3" xfId="0"/>
    <cellStyle name="_Others_PMP(VPD)_PC Products 4" xfId="0"/>
    <cellStyle name="_Others_PMP(VPD)_PC Products 4 2" xfId="0"/>
    <cellStyle name="_Others_PMP(VPD)_PC Products_By Region" xfId="0"/>
    <cellStyle name="_Others_PMP(VPD)_PC Products_CORP SG&amp;A" xfId="0"/>
    <cellStyle name="_Others_PMP(VPD)_PC Products_LCD" xfId="0"/>
    <cellStyle name="_Others_PMP(VPD)_PC Products_PJ" xfId="0"/>
    <cellStyle name="_Others_PMP(VPD)_VSA 111014" xfId="0"/>
    <cellStyle name="_Others_PMP(VPD)_VSA 111014 2" xfId="0"/>
    <cellStyle name="_Others_PMP(VPD)_VSA 111014 3" xfId="0"/>
    <cellStyle name="_Others_PMP(VPD)_VSA 111014 4" xfId="0"/>
    <cellStyle name="_Others_PMP(VPD)_VSA 111014 4 2" xfId="0"/>
    <cellStyle name="_Others_PMP(VPD)_VSA 111014_By Region" xfId="0"/>
    <cellStyle name="_Others_PMP(VPD)_VSA 111014_CORP SG&amp;A" xfId="0"/>
    <cellStyle name="_Others_PMP(VPD)_VSA 111014_LCD" xfId="0"/>
    <cellStyle name="_Others_PMP(VPD)_VSA 111014_PJ" xfId="0"/>
    <cellStyle name="_Others_PMP(VPD)_VSA Roll-Up (LW)" xfId="0"/>
    <cellStyle name="_Others_PMP(VPD)_VSA Roll-Up (LW) 2" xfId="0"/>
    <cellStyle name="_Others_PMP(VPD)_VSA Roll-Up (LW) 3" xfId="0"/>
    <cellStyle name="_Others_PMP(VPD)_VSA Roll-Up (LW) 4" xfId="0"/>
    <cellStyle name="_Others_PMP(VPD)_VSA Roll-Up (LW) 4 2" xfId="0"/>
    <cellStyle name="_Others_PMP(VPD)_VSA Roll-Up (LW)_By Region" xfId="0"/>
    <cellStyle name="_Others_PMP(VPD)_VSA Roll-Up (LW)_CORP SG&amp;A" xfId="0"/>
    <cellStyle name="_Others_PMP(VPD)_VSA Roll-Up (LW)_LCD" xfId="0"/>
    <cellStyle name="_Others_PMP(VPD)_VSA Roll-Up (LW)_PJ" xfId="0"/>
    <cellStyle name="_Others_Pocket TV" xfId="0"/>
    <cellStyle name="_Others_Pocket TV 2" xfId="0"/>
    <cellStyle name="_Others_Pocket TV 3" xfId="0"/>
    <cellStyle name="_Others_Pocket TV 4" xfId="0"/>
    <cellStyle name="_Others_Pocket TV_By Region" xfId="0"/>
    <cellStyle name="_Others_Pocket TV_CORP SG&amp;A" xfId="0"/>
    <cellStyle name="_Others_Pocket TV_Digitizer" xfId="0"/>
    <cellStyle name="_Others_Pocket TV_GPS OTHER" xfId="0"/>
    <cellStyle name="_Others_Pocket TV_GPS OTHER 2" xfId="0"/>
    <cellStyle name="_Others_Pocket TV_GPS OTHER 3" xfId="0"/>
    <cellStyle name="_Others_Pocket TV_GPS OTHER 4" xfId="0"/>
    <cellStyle name="_Others_Pocket TV_GPS OTHER 4 2" xfId="0"/>
    <cellStyle name="_Others_Pocket TV_GPS OTHER_By Region" xfId="0"/>
    <cellStyle name="_Others_Pocket TV_GPS OTHER_CORP SG&amp;A" xfId="0"/>
    <cellStyle name="_Others_Pocket TV_GPS OTHER_LCD" xfId="0"/>
    <cellStyle name="_Others_Pocket TV_GPS OTHER_PJ" xfId="0"/>
    <cellStyle name="_Others_Pocket TV_LCD" xfId="0"/>
    <cellStyle name="_Others_Pocket TV_LCD 2" xfId="0"/>
    <cellStyle name="_Others_Pocket TV_LCD 3" xfId="0"/>
    <cellStyle name="_Others_Pocket TV_LCD 4" xfId="0"/>
    <cellStyle name="_Others_Pocket TV_LCD_By Region" xfId="0"/>
    <cellStyle name="_Others_Pocket TV_LCD_CORP SG&amp;A" xfId="0"/>
    <cellStyle name="_Others_Pocket TV_LCD_LCD" xfId="0"/>
    <cellStyle name="_Others_Pocket TV_LCD_PJ" xfId="0"/>
    <cellStyle name="_Others_Pocket TV_PC Products" xfId="0"/>
    <cellStyle name="_Others_Pocket TV_PC Products 2" xfId="0"/>
    <cellStyle name="_Others_Pocket TV_PC Products 3" xfId="0"/>
    <cellStyle name="_Others_Pocket TV_PC Products 4" xfId="0"/>
    <cellStyle name="_Others_Pocket TV_PC Products 4 2" xfId="0"/>
    <cellStyle name="_Others_Pocket TV_PC Products_By Region" xfId="0"/>
    <cellStyle name="_Others_Pocket TV_PC Products_CORP SG&amp;A" xfId="0"/>
    <cellStyle name="_Others_Pocket TV_PC Products_LCD" xfId="0"/>
    <cellStyle name="_Others_Pocket TV_PC Products_PJ" xfId="0"/>
    <cellStyle name="_Others_Pocket TV_VSA 111014" xfId="0"/>
    <cellStyle name="_Others_Pocket TV_VSA 111014 2" xfId="0"/>
    <cellStyle name="_Others_Pocket TV_VSA 111014 3" xfId="0"/>
    <cellStyle name="_Others_Pocket TV_VSA 111014 4" xfId="0"/>
    <cellStyle name="_Others_Pocket TV_VSA 111014 4 2" xfId="0"/>
    <cellStyle name="_Others_Pocket TV_VSA 111014_By Region" xfId="0"/>
    <cellStyle name="_Others_Pocket TV_VSA 111014_CORP SG&amp;A" xfId="0"/>
    <cellStyle name="_Others_Pocket TV_VSA 111014_LCD" xfId="0"/>
    <cellStyle name="_Others_Pocket TV_VSA 111014_PJ" xfId="0"/>
    <cellStyle name="_Others_Pocket TV_VSA Roll-Up (LW)" xfId="0"/>
    <cellStyle name="_Others_Pocket TV_VSA Roll-Up (LW) 2" xfId="0"/>
    <cellStyle name="_Others_Pocket TV_VSA Roll-Up (LW) 3" xfId="0"/>
    <cellStyle name="_Others_Pocket TV_VSA Roll-Up (LW) 4" xfId="0"/>
    <cellStyle name="_Others_Pocket TV_VSA Roll-Up (LW) 4 2" xfId="0"/>
    <cellStyle name="_Others_Pocket TV_VSA Roll-Up (LW)_By Region" xfId="0"/>
    <cellStyle name="_Others_Pocket TV_VSA Roll-Up (LW)_CORP SG&amp;A" xfId="0"/>
    <cellStyle name="_Others_Pocket TV_VSA Roll-Up (LW)_LCD" xfId="0"/>
    <cellStyle name="_Others_Pocket TV_VSA Roll-Up (LW)_PJ" xfId="0"/>
    <cellStyle name="_Others_Pocket_TV" xfId="0"/>
    <cellStyle name="_Others_Pocket_TV 2" xfId="0"/>
    <cellStyle name="_Others_Pocket_TV 3" xfId="0"/>
    <cellStyle name="_Others_Pocket_TV 4" xfId="0"/>
    <cellStyle name="_Others_Pocket_TV_By Region" xfId="0"/>
    <cellStyle name="_Others_Pocket_TV_CORP SG&amp;A" xfId="0"/>
    <cellStyle name="_Others_Pocket_TV_Digitizer" xfId="0"/>
    <cellStyle name="_Others_Pocket_TV_GPS OTHER" xfId="0"/>
    <cellStyle name="_Others_Pocket_TV_GPS OTHER 2" xfId="0"/>
    <cellStyle name="_Others_Pocket_TV_GPS OTHER 3" xfId="0"/>
    <cellStyle name="_Others_Pocket_TV_GPS OTHER 4" xfId="0"/>
    <cellStyle name="_Others_Pocket_TV_GPS OTHER 4 2" xfId="0"/>
    <cellStyle name="_Others_Pocket_TV_GPS OTHER_By Region" xfId="0"/>
    <cellStyle name="_Others_Pocket_TV_GPS OTHER_CORP SG&amp;A" xfId="0"/>
    <cellStyle name="_Others_Pocket_TV_GPS OTHER_LCD" xfId="0"/>
    <cellStyle name="_Others_Pocket_TV_GPS OTHER_PJ" xfId="0"/>
    <cellStyle name="_Others_Pocket_TV_LCD" xfId="0"/>
    <cellStyle name="_Others_Pocket_TV_LCD 2" xfId="0"/>
    <cellStyle name="_Others_Pocket_TV_LCD 3" xfId="0"/>
    <cellStyle name="_Others_Pocket_TV_LCD 4" xfId="0"/>
    <cellStyle name="_Others_Pocket_TV_LCD_By Region" xfId="0"/>
    <cellStyle name="_Others_Pocket_TV_LCD_CORP SG&amp;A" xfId="0"/>
    <cellStyle name="_Others_Pocket_TV_LCD_LCD" xfId="0"/>
    <cellStyle name="_Others_Pocket_TV_LCD_PJ" xfId="0"/>
    <cellStyle name="_Others_Pocket_TV_PC Products" xfId="0"/>
    <cellStyle name="_Others_Pocket_TV_PC Products 2" xfId="0"/>
    <cellStyle name="_Others_Pocket_TV_PC Products 3" xfId="0"/>
    <cellStyle name="_Others_Pocket_TV_PC Products 4" xfId="0"/>
    <cellStyle name="_Others_Pocket_TV_PC Products 4 2" xfId="0"/>
    <cellStyle name="_Others_Pocket_TV_PC Products_By Region" xfId="0"/>
    <cellStyle name="_Others_Pocket_TV_PC Products_CORP SG&amp;A" xfId="0"/>
    <cellStyle name="_Others_Pocket_TV_PC Products_LCD" xfId="0"/>
    <cellStyle name="_Others_Pocket_TV_PC Products_PJ" xfId="0"/>
    <cellStyle name="_Others_Pocket_TV_VSA 111014" xfId="0"/>
    <cellStyle name="_Others_Pocket_TV_VSA 111014 2" xfId="0"/>
    <cellStyle name="_Others_Pocket_TV_VSA 111014 3" xfId="0"/>
    <cellStyle name="_Others_Pocket_TV_VSA 111014 4" xfId="0"/>
    <cellStyle name="_Others_Pocket_TV_VSA 111014 4 2" xfId="0"/>
    <cellStyle name="_Others_Pocket_TV_VSA 111014_By Region" xfId="0"/>
    <cellStyle name="_Others_Pocket_TV_VSA 111014_CORP SG&amp;A" xfId="0"/>
    <cellStyle name="_Others_Pocket_TV_VSA 111014_LCD" xfId="0"/>
    <cellStyle name="_Others_Pocket_TV_VSA 111014_PJ" xfId="0"/>
    <cellStyle name="_Others_Pocket_TV_VSA Roll-Up (LW)" xfId="0"/>
    <cellStyle name="_Others_Pocket_TV_VSA Roll-Up (LW) 2" xfId="0"/>
    <cellStyle name="_Others_Pocket_TV_VSA Roll-Up (LW) 3" xfId="0"/>
    <cellStyle name="_Others_Pocket_TV_VSA Roll-Up (LW) 4" xfId="0"/>
    <cellStyle name="_Others_Pocket_TV_VSA Roll-Up (LW) 4 2" xfId="0"/>
    <cellStyle name="_Others_Pocket_TV_VSA Roll-Up (LW)_By Region" xfId="0"/>
    <cellStyle name="_Others_Pocket_TV_VSA Roll-Up (LW)_CORP SG&amp;A" xfId="0"/>
    <cellStyle name="_Others_Pocket_TV_VSA Roll-Up (LW)_LCD" xfId="0"/>
    <cellStyle name="_Others_Pocket_TV_VSA Roll-Up (LW)_PJ" xfId="0"/>
    <cellStyle name="_Others_TV" xfId="0"/>
    <cellStyle name="_Others_TV 2" xfId="0"/>
    <cellStyle name="_Others_TV 3" xfId="0"/>
    <cellStyle name="_Others_TV 4" xfId="0"/>
    <cellStyle name="_Others_TV_By Region" xfId="0"/>
    <cellStyle name="_Others_TV_CORP SG&amp;A" xfId="0"/>
    <cellStyle name="_Others_TV_Digitizer" xfId="0"/>
    <cellStyle name="_Others_TV_GPS OTHER" xfId="0"/>
    <cellStyle name="_Others_TV_GPS OTHER 2" xfId="0"/>
    <cellStyle name="_Others_TV_GPS OTHER 3" xfId="0"/>
    <cellStyle name="_Others_TV_GPS OTHER 4" xfId="0"/>
    <cellStyle name="_Others_TV_GPS OTHER 4 2" xfId="0"/>
    <cellStyle name="_Others_TV_GPS OTHER_By Region" xfId="0"/>
    <cellStyle name="_Others_TV_GPS OTHER_CORP SG&amp;A" xfId="0"/>
    <cellStyle name="_Others_TV_GPS OTHER_LCD" xfId="0"/>
    <cellStyle name="_Others_TV_GPS OTHER_PJ" xfId="0"/>
    <cellStyle name="_Others_TV_LCD" xfId="0"/>
    <cellStyle name="_Others_TV_LCD 2" xfId="0"/>
    <cellStyle name="_Others_TV_LCD 3" xfId="0"/>
    <cellStyle name="_Others_TV_LCD 4" xfId="0"/>
    <cellStyle name="_Others_TV_LCD_By Region" xfId="0"/>
    <cellStyle name="_Others_TV_LCD_CORP SG&amp;A" xfId="0"/>
    <cellStyle name="_Others_TV_LCD_LCD" xfId="0"/>
    <cellStyle name="_Others_TV_LCD_PJ" xfId="0"/>
    <cellStyle name="_Others_TV_PC Products" xfId="0"/>
    <cellStyle name="_Others_TV_PC Products 2" xfId="0"/>
    <cellStyle name="_Others_TV_PC Products 3" xfId="0"/>
    <cellStyle name="_Others_TV_PC Products 4" xfId="0"/>
    <cellStyle name="_Others_TV_PC Products 4 2" xfId="0"/>
    <cellStyle name="_Others_TV_PC Products_By Region" xfId="0"/>
    <cellStyle name="_Others_TV_PC Products_CORP SG&amp;A" xfId="0"/>
    <cellStyle name="_Others_TV_PC Products_LCD" xfId="0"/>
    <cellStyle name="_Others_TV_PC Products_PJ" xfId="0"/>
    <cellStyle name="_Others_TV_VSA 111014" xfId="0"/>
    <cellStyle name="_Others_TV_VSA 111014 2" xfId="0"/>
    <cellStyle name="_Others_TV_VSA 111014 3" xfId="0"/>
    <cellStyle name="_Others_TV_VSA 111014 4" xfId="0"/>
    <cellStyle name="_Others_TV_VSA 111014 4 2" xfId="0"/>
    <cellStyle name="_Others_TV_VSA 111014_By Region" xfId="0"/>
    <cellStyle name="_Others_TV_VSA 111014_CORP SG&amp;A" xfId="0"/>
    <cellStyle name="_Others_TV_VSA 111014_LCD" xfId="0"/>
    <cellStyle name="_Others_TV_VSA 111014_PJ" xfId="0"/>
    <cellStyle name="_Others_TV_VSA Roll-Up (LW)" xfId="0"/>
    <cellStyle name="_Others_TV_VSA Roll-Up (LW) 2" xfId="0"/>
    <cellStyle name="_Others_TV_VSA Roll-Up (LW) 3" xfId="0"/>
    <cellStyle name="_Others_TV_VSA Roll-Up (LW) 4" xfId="0"/>
    <cellStyle name="_Others_TV_VSA Roll-Up (LW) 4 2" xfId="0"/>
    <cellStyle name="_Others_TV_VSA Roll-Up (LW)_By Region" xfId="0"/>
    <cellStyle name="_Others_TV_VSA Roll-Up (LW)_CORP SG&amp;A" xfId="0"/>
    <cellStyle name="_Others_TV_VSA Roll-Up (LW)_LCD" xfId="0"/>
    <cellStyle name="_Others_TV_VSA Roll-Up (LW)_PJ" xfId="0"/>
    <cellStyle name="_Others_VD" xfId="0"/>
    <cellStyle name="_Others_VD 2" xfId="0"/>
    <cellStyle name="_Others_VD 3" xfId="0"/>
    <cellStyle name="_Others_VD 4" xfId="0"/>
    <cellStyle name="_Others_VD_By Region" xfId="0"/>
    <cellStyle name="_Others_VD_CORP SG&amp;A" xfId="0"/>
    <cellStyle name="_Others_VD_Digitizer" xfId="0"/>
    <cellStyle name="_Others_VD_GPS OTHER" xfId="0"/>
    <cellStyle name="_Others_VD_GPS OTHER 2" xfId="0"/>
    <cellStyle name="_Others_VD_GPS OTHER 3" xfId="0"/>
    <cellStyle name="_Others_VD_GPS OTHER 4" xfId="0"/>
    <cellStyle name="_Others_VD_GPS OTHER 4 2" xfId="0"/>
    <cellStyle name="_Others_VD_GPS OTHER_By Region" xfId="0"/>
    <cellStyle name="_Others_VD_GPS OTHER_CORP SG&amp;A" xfId="0"/>
    <cellStyle name="_Others_VD_GPS OTHER_LCD" xfId="0"/>
    <cellStyle name="_Others_VD_GPS OTHER_PJ" xfId="0"/>
    <cellStyle name="_Others_VD_LCD" xfId="0"/>
    <cellStyle name="_Others_VD_LCD 2" xfId="0"/>
    <cellStyle name="_Others_VD_LCD 3" xfId="0"/>
    <cellStyle name="_Others_VD_LCD 4" xfId="0"/>
    <cellStyle name="_Others_VD_LCD_By Region" xfId="0"/>
    <cellStyle name="_Others_VD_LCD_CORP SG&amp;A" xfId="0"/>
    <cellStyle name="_Others_VD_LCD_LCD" xfId="0"/>
    <cellStyle name="_Others_VD_LCD_PJ" xfId="0"/>
    <cellStyle name="_Others_VD_PC Products" xfId="0"/>
    <cellStyle name="_Others_VD_PC Products 2" xfId="0"/>
    <cellStyle name="_Others_VD_PC Products 3" xfId="0"/>
    <cellStyle name="_Others_VD_PC Products 4" xfId="0"/>
    <cellStyle name="_Others_VD_PC Products 4 2" xfId="0"/>
    <cellStyle name="_Others_VD_PC Products_By Region" xfId="0"/>
    <cellStyle name="_Others_VD_PC Products_CORP SG&amp;A" xfId="0"/>
    <cellStyle name="_Others_VD_PC Products_LCD" xfId="0"/>
    <cellStyle name="_Others_VD_PC Products_PJ" xfId="0"/>
    <cellStyle name="_Others_VD_VSA 111014" xfId="0"/>
    <cellStyle name="_Others_VD_VSA 111014 2" xfId="0"/>
    <cellStyle name="_Others_VD_VSA 111014 3" xfId="0"/>
    <cellStyle name="_Others_VD_VSA 111014 4" xfId="0"/>
    <cellStyle name="_Others_VD_VSA 111014 4 2" xfId="0"/>
    <cellStyle name="_Others_VD_VSA 111014_By Region" xfId="0"/>
    <cellStyle name="_Others_VD_VSA 111014_CORP SG&amp;A" xfId="0"/>
    <cellStyle name="_Others_VD_VSA 111014_LCD" xfId="0"/>
    <cellStyle name="_Others_VD_VSA 111014_PJ" xfId="0"/>
    <cellStyle name="_Others_VD_VSA Roll-Up (LW)" xfId="0"/>
    <cellStyle name="_Others_VD_VSA Roll-Up (LW) 2" xfId="0"/>
    <cellStyle name="_Others_VD_VSA Roll-Up (LW) 3" xfId="0"/>
    <cellStyle name="_Others_VD_VSA Roll-Up (LW) 4" xfId="0"/>
    <cellStyle name="_Others_VD_VSA Roll-Up (LW) 4 2" xfId="0"/>
    <cellStyle name="_Others_VD_VSA Roll-Up (LW)_By Region" xfId="0"/>
    <cellStyle name="_Others_VD_VSA Roll-Up (LW)_CORP SG&amp;A" xfId="0"/>
    <cellStyle name="_Others_VD_VSA Roll-Up (LW)_LCD" xfId="0"/>
    <cellStyle name="_Others_VD_VSA Roll-Up (LW)_PJ" xfId="0"/>
    <cellStyle name="_Others_VSA 111014" xfId="0"/>
    <cellStyle name="_Others_VSA 111014 2" xfId="0"/>
    <cellStyle name="_Others_VSA 111014 3" xfId="0"/>
    <cellStyle name="_Others_VSA 111014 4" xfId="0"/>
    <cellStyle name="_Others_VSA 111014 4 2" xfId="0"/>
    <cellStyle name="_Others_VSA 111014_By Region" xfId="0"/>
    <cellStyle name="_Others_VSA 111014_CORP SG&amp;A" xfId="0"/>
    <cellStyle name="_Others_VSA 111014_LCD" xfId="0"/>
    <cellStyle name="_Others_VSA 111014_PJ" xfId="0"/>
    <cellStyle name="_Others_VSA Roll-Up (LW)" xfId="0"/>
    <cellStyle name="_Others_VSA Roll-Up (LW) 2" xfId="0"/>
    <cellStyle name="_Others_VSA Roll-Up (LW) 3" xfId="0"/>
    <cellStyle name="_Others_VSA Roll-Up (LW) 4" xfId="0"/>
    <cellStyle name="_Others_VSA Roll-Up (LW) 4 2" xfId="0"/>
    <cellStyle name="_Others_VSA Roll-Up (LW)_By Region" xfId="0"/>
    <cellStyle name="_Others_VSA Roll-Up (LW)_CORP SG&amp;A" xfId="0"/>
    <cellStyle name="_Others_VSA Roll-Up (LW)_LCD" xfId="0"/>
    <cellStyle name="_Others_VSA Roll-Up (LW)_PJ" xfId="0"/>
    <cellStyle name="_Others_VSE 2011 Budget" xfId="0"/>
    <cellStyle name="_Others_VSE 2011 Budget 2" xfId="0"/>
    <cellStyle name="_Others_VSE 2011 Budget 3" xfId="0"/>
    <cellStyle name="_Others_VSE 2011 Budget 4" xfId="0"/>
    <cellStyle name="_Others_VSE 2011 Budget_By Region" xfId="0"/>
    <cellStyle name="_Others_VSE 2011 Budget_CORP SG&amp;A" xfId="0"/>
    <cellStyle name="_Others_VSE 2011 Budget_Digitizer" xfId="0"/>
    <cellStyle name="_Others_VSE 2011 Budget_GPS OTHER" xfId="0"/>
    <cellStyle name="_Others_VSE 2011 Budget_GPS OTHER 2" xfId="0"/>
    <cellStyle name="_Others_VSE 2011 Budget_GPS OTHER 3" xfId="0"/>
    <cellStyle name="_Others_VSE 2011 Budget_GPS OTHER 4" xfId="0"/>
    <cellStyle name="_Others_VSE 2011 Budget_GPS OTHER 4 2" xfId="0"/>
    <cellStyle name="_Others_VSE 2011 Budget_GPS OTHER_By Region" xfId="0"/>
    <cellStyle name="_Others_VSE 2011 Budget_GPS OTHER_CORP SG&amp;A" xfId="0"/>
    <cellStyle name="_Others_VSE 2011 Budget_GPS OTHER_LCD" xfId="0"/>
    <cellStyle name="_Others_VSE 2011 Budget_GPS OTHER_PJ" xfId="0"/>
    <cellStyle name="_Others_VSE 2011 Budget_LCD" xfId="0"/>
    <cellStyle name="_Others_VSE 2011 Budget_LCD 2" xfId="0"/>
    <cellStyle name="_Others_VSE 2011 Budget_LCD 3" xfId="0"/>
    <cellStyle name="_Others_VSE 2011 Budget_LCD 4" xfId="0"/>
    <cellStyle name="_Others_VSE 2011 Budget_LCD_By Region" xfId="0"/>
    <cellStyle name="_Others_VSE 2011 Budget_LCD_CORP SG&amp;A" xfId="0"/>
    <cellStyle name="_Others_VSE 2011 Budget_LCD_LCD" xfId="0"/>
    <cellStyle name="_Others_VSE 2011 Budget_LCD_PJ" xfId="0"/>
    <cellStyle name="_Others_VSE 2011 Budget_PC Products" xfId="0"/>
    <cellStyle name="_Others_VSE 2011 Budget_PC Products 2" xfId="0"/>
    <cellStyle name="_Others_VSE 2011 Budget_PC Products 3" xfId="0"/>
    <cellStyle name="_Others_VSE 2011 Budget_PC Products 4" xfId="0"/>
    <cellStyle name="_Others_VSE 2011 Budget_PC Products 4 2" xfId="0"/>
    <cellStyle name="_Others_VSE 2011 Budget_PC Products_By Region" xfId="0"/>
    <cellStyle name="_Others_VSE 2011 Budget_PC Products_CORP SG&amp;A" xfId="0"/>
    <cellStyle name="_Others_VSE 2011 Budget_PC Products_LCD" xfId="0"/>
    <cellStyle name="_Others_VSE 2011 Budget_PC Products_PJ" xfId="0"/>
    <cellStyle name="_Others_VSE 2011 Budget_VSA 111014" xfId="0"/>
    <cellStyle name="_Others_VSE 2011 Budget_VSA 111014 2" xfId="0"/>
    <cellStyle name="_Others_VSE 2011 Budget_VSA 111014 3" xfId="0"/>
    <cellStyle name="_Others_VSE 2011 Budget_VSA 111014 4" xfId="0"/>
    <cellStyle name="_Others_VSE 2011 Budget_VSA 111014 4 2" xfId="0"/>
    <cellStyle name="_Others_VSE 2011 Budget_VSA 111014_By Region" xfId="0"/>
    <cellStyle name="_Others_VSE 2011 Budget_VSA 111014_CORP SG&amp;A" xfId="0"/>
    <cellStyle name="_Others_VSE 2011 Budget_VSA 111014_LCD" xfId="0"/>
    <cellStyle name="_Others_VSE 2011 Budget_VSA 111014_PJ" xfId="0"/>
    <cellStyle name="_Others_VSE 2011 Budget_VSA Roll-Up (LW)" xfId="0"/>
    <cellStyle name="_Others_VSE 2011 Budget_VSA Roll-Up (LW) 2" xfId="0"/>
    <cellStyle name="_Others_VSE 2011 Budget_VSA Roll-Up (LW) 3" xfId="0"/>
    <cellStyle name="_Others_VSE 2011 Budget_VSA Roll-Up (LW) 4" xfId="0"/>
    <cellStyle name="_Others_VSE 2011 Budget_VSA Roll-Up (LW) 4 2" xfId="0"/>
    <cellStyle name="_Others_VSE 2011 Budget_VSA Roll-Up (LW)_By Region" xfId="0"/>
    <cellStyle name="_Others_VSE 2011 Budget_VSA Roll-Up (LW)_CORP SG&amp;A" xfId="0"/>
    <cellStyle name="_Others_VSE 2011 Budget_VSA Roll-Up (LW)_LCD" xfId="0"/>
    <cellStyle name="_Others_VSE 2011 Budget_VSA Roll-Up (LW)_PJ" xfId="0"/>
    <cellStyle name="_Others_VSE 2H  WFP review (Spring Global meeting)-conservative Adam working v3" xfId="0"/>
    <cellStyle name="_Others_VSE 2H  WFP review (Spring Global meeting)-conservative Adam working v3 2" xfId="0"/>
    <cellStyle name="_Others_VSE 2H  WFP review (Spring Global meeting)-conservative Adam working v3 3" xfId="0"/>
    <cellStyle name="_Others_VSE 2H Rebalance 110712" xfId="0"/>
    <cellStyle name="_Others_VSE 2H Rebalance 110712 2" xfId="0"/>
    <cellStyle name="_Others_VSE 2H Rebalance 110712 3" xfId="0"/>
    <cellStyle name="_Others_VSE 2H Rebalance 110712 4" xfId="0"/>
    <cellStyle name="_Others_VSE 2H Rebalance 110712_By Region" xfId="0"/>
    <cellStyle name="_Others_VSE 2H Rebalance 110712_CORP SG&amp;A" xfId="0"/>
    <cellStyle name="_Others_VSE WFP 101203" xfId="0"/>
    <cellStyle name="_Others_VSE WFP 101203 2" xfId="0"/>
    <cellStyle name="_Others_VSE WFP 101203 3" xfId="0"/>
    <cellStyle name="_Others_VSE WFP 101203 4" xfId="0"/>
    <cellStyle name="_Others_VSE WFP 101203_By Region" xfId="0"/>
    <cellStyle name="_Others_VSE WFP 101203_CORP SG&amp;A" xfId="0"/>
    <cellStyle name="_Others_VSE WFP 110311" xfId="0"/>
    <cellStyle name="_Others_VSE WFP 110311 2" xfId="0"/>
    <cellStyle name="_Others_VSE WFP 110311 3" xfId="0"/>
    <cellStyle name="_Others_VSE WFP 110311 4" xfId="0"/>
    <cellStyle name="_Others_VSE WFP 110311_By Region" xfId="0"/>
    <cellStyle name="_Others_VSE WFP 110311_CORP SG&amp;A" xfId="0"/>
    <cellStyle name="_Others_VSE WFP 110415" xfId="0"/>
    <cellStyle name="_Others_VSE WFP 110415 2" xfId="0"/>
    <cellStyle name="_Others_VSE WFP 110415 3" xfId="0"/>
    <cellStyle name="_Others_VSE WFP 110415 4" xfId="0"/>
    <cellStyle name="_Others_VSE WFP 110415_By Region" xfId="0"/>
    <cellStyle name="_Others_VSE WFP 110415_CORP SG&amp;A" xfId="0"/>
    <cellStyle name="_Others_VSE WFP_100409" xfId="0"/>
    <cellStyle name="_Others_VSE WFP_100409 2" xfId="0"/>
    <cellStyle name="_Others_VSE WFP_100409 3" xfId="0"/>
    <cellStyle name="_Others_VSE WFP_100409 4" xfId="0"/>
    <cellStyle name="_Others_VSE WFP_100409_By Region" xfId="0"/>
    <cellStyle name="_Others_VSE WFP_100409_CORP SG&amp;A" xfId="0"/>
    <cellStyle name="_Others_VSE WFP_100409_Digitizer" xfId="0"/>
    <cellStyle name="_Others_VSE WFP_100409_GPS OTHER" xfId="0"/>
    <cellStyle name="_Others_VSE WFP_100409_GPS OTHER 2" xfId="0"/>
    <cellStyle name="_Others_VSE WFP_100409_GPS OTHER 3" xfId="0"/>
    <cellStyle name="_Others_VSE WFP_100409_GPS OTHER 4" xfId="0"/>
    <cellStyle name="_Others_VSE WFP_100409_GPS OTHER 4 2" xfId="0"/>
    <cellStyle name="_Others_VSE WFP_100409_GPS OTHER_By Region" xfId="0"/>
    <cellStyle name="_Others_VSE WFP_100409_GPS OTHER_CORP SG&amp;A" xfId="0"/>
    <cellStyle name="_Others_VSE WFP_100409_GPS OTHER_LCD" xfId="0"/>
    <cellStyle name="_Others_VSE WFP_100409_GPS OTHER_PJ" xfId="0"/>
    <cellStyle name="_Others_VSE WFP_100409_LCD" xfId="0"/>
    <cellStyle name="_Others_VSE WFP_100409_LCD 2" xfId="0"/>
    <cellStyle name="_Others_VSE WFP_100409_LCD 3" xfId="0"/>
    <cellStyle name="_Others_VSE WFP_100409_LCD 4" xfId="0"/>
    <cellStyle name="_Others_VSE WFP_100409_LCD_By Region" xfId="0"/>
    <cellStyle name="_Others_VSE WFP_100409_LCD_CORP SG&amp;A" xfId="0"/>
    <cellStyle name="_Others_VSE WFP_100409_LCD_LCD" xfId="0"/>
    <cellStyle name="_Others_VSE WFP_100409_LCD_PJ" xfId="0"/>
    <cellStyle name="_Others_VSE WFP_100409_PC Products" xfId="0"/>
    <cellStyle name="_Others_VSE WFP_100409_PC Products 2" xfId="0"/>
    <cellStyle name="_Others_VSE WFP_100409_PC Products 3" xfId="0"/>
    <cellStyle name="_Others_VSE WFP_100409_PC Products 4" xfId="0"/>
    <cellStyle name="_Others_VSE WFP_100409_PC Products 4 2" xfId="0"/>
    <cellStyle name="_Others_VSE WFP_100409_PC Products_By Region" xfId="0"/>
    <cellStyle name="_Others_VSE WFP_100409_PC Products_CORP SG&amp;A" xfId="0"/>
    <cellStyle name="_Others_VSE WFP_100409_PC Products_LCD" xfId="0"/>
    <cellStyle name="_Others_VSE WFP_100409_PC Products_PJ" xfId="0"/>
    <cellStyle name="_Others_VSE WFP_100409_VSA 111014" xfId="0"/>
    <cellStyle name="_Others_VSE WFP_100409_VSA 111014 2" xfId="0"/>
    <cellStyle name="_Others_VSE WFP_100409_VSA 111014 3" xfId="0"/>
    <cellStyle name="_Others_VSE WFP_100409_VSA 111014 4" xfId="0"/>
    <cellStyle name="_Others_VSE WFP_100409_VSA 111014 4 2" xfId="0"/>
    <cellStyle name="_Others_VSE WFP_100409_VSA 111014_By Region" xfId="0"/>
    <cellStyle name="_Others_VSE WFP_100409_VSA 111014_CORP SG&amp;A" xfId="0"/>
    <cellStyle name="_Others_VSE WFP_100409_VSA 111014_LCD" xfId="0"/>
    <cellStyle name="_Others_VSE WFP_100409_VSA 111014_PJ" xfId="0"/>
    <cellStyle name="_Others_VSE WFP_100409_VSA Roll-Up (LW)" xfId="0"/>
    <cellStyle name="_Others_VSE WFP_100409_VSA Roll-Up (LW) 2" xfId="0"/>
    <cellStyle name="_Others_VSE WFP_100409_VSA Roll-Up (LW) 3" xfId="0"/>
    <cellStyle name="_Others_VSE WFP_100409_VSA Roll-Up (LW) 4" xfId="0"/>
    <cellStyle name="_Others_VSE WFP_100409_VSA Roll-Up (LW) 4 2" xfId="0"/>
    <cellStyle name="_Others_VSE WFP_100409_VSA Roll-Up (LW)_By Region" xfId="0"/>
    <cellStyle name="_Others_VSE WFP_100409_VSA Roll-Up (LW)_CORP SG&amp;A" xfId="0"/>
    <cellStyle name="_Others_VSE WFP_100409_VSA Roll-Up (LW)_LCD" xfId="0"/>
    <cellStyle name="_Others_VSE WFP_100409_VSA Roll-Up (LW)_PJ" xfId="0"/>
    <cellStyle name="_Others_VSE WFP_100421 v2" xfId="0"/>
    <cellStyle name="_Others_VSE WFP_100421 v2 2" xfId="0"/>
    <cellStyle name="_Others_VSE WFP_100421 v2 3" xfId="0"/>
    <cellStyle name="_Others_VSE WFP_100421 v2 4" xfId="0"/>
    <cellStyle name="_Others_VSE WFP_100421 v2_By Region" xfId="0"/>
    <cellStyle name="_Others_VSE WFP_100421 v2_CORP SG&amp;A" xfId="0"/>
    <cellStyle name="_Others_VSE WFP_100421 v2_Digitizer" xfId="0"/>
    <cellStyle name="_Others_VSE WFP_100421 v2_GPS OTHER" xfId="0"/>
    <cellStyle name="_Others_VSE WFP_100421 v2_GPS OTHER 2" xfId="0"/>
    <cellStyle name="_Others_VSE WFP_100421 v2_GPS OTHER 3" xfId="0"/>
    <cellStyle name="_Others_VSE WFP_100421 v2_GPS OTHER 4" xfId="0"/>
    <cellStyle name="_Others_VSE WFP_100421 v2_GPS OTHER 4 2" xfId="0"/>
    <cellStyle name="_Others_VSE WFP_100421 v2_GPS OTHER_By Region" xfId="0"/>
    <cellStyle name="_Others_VSE WFP_100421 v2_GPS OTHER_CORP SG&amp;A" xfId="0"/>
    <cellStyle name="_Others_VSE WFP_100421 v2_GPS OTHER_LCD" xfId="0"/>
    <cellStyle name="_Others_VSE WFP_100421 v2_GPS OTHER_PJ" xfId="0"/>
    <cellStyle name="_Others_VSE WFP_100421 v2_LCD" xfId="0"/>
    <cellStyle name="_Others_VSE WFP_100421 v2_LCD 2" xfId="0"/>
    <cellStyle name="_Others_VSE WFP_100421 v2_LCD 3" xfId="0"/>
    <cellStyle name="_Others_VSE WFP_100421 v2_LCD 4" xfId="0"/>
    <cellStyle name="_Others_VSE WFP_100421 v2_LCD_By Region" xfId="0"/>
    <cellStyle name="_Others_VSE WFP_100421 v2_LCD_CORP SG&amp;A" xfId="0"/>
    <cellStyle name="_Others_VSE WFP_100421 v2_LCD_LCD" xfId="0"/>
    <cellStyle name="_Others_VSE WFP_100421 v2_LCD_PJ" xfId="0"/>
    <cellStyle name="_Others_VSE WFP_100421 v2_PC Products" xfId="0"/>
    <cellStyle name="_Others_VSE WFP_100421 v2_PC Products 2" xfId="0"/>
    <cellStyle name="_Others_VSE WFP_100421 v2_PC Products 3" xfId="0"/>
    <cellStyle name="_Others_VSE WFP_100421 v2_PC Products 4" xfId="0"/>
    <cellStyle name="_Others_VSE WFP_100421 v2_PC Products 4 2" xfId="0"/>
    <cellStyle name="_Others_VSE WFP_100421 v2_PC Products_By Region" xfId="0"/>
    <cellStyle name="_Others_VSE WFP_100421 v2_PC Products_CORP SG&amp;A" xfId="0"/>
    <cellStyle name="_Others_VSE WFP_100421 v2_PC Products_LCD" xfId="0"/>
    <cellStyle name="_Others_VSE WFP_100421 v2_PC Products_PJ" xfId="0"/>
    <cellStyle name="_Others_VSE WFP_100421 v2_VSA 111014" xfId="0"/>
    <cellStyle name="_Others_VSE WFP_100421 v2_VSA 111014 2" xfId="0"/>
    <cellStyle name="_Others_VSE WFP_100421 v2_VSA 111014 3" xfId="0"/>
    <cellStyle name="_Others_VSE WFP_100421 v2_VSA 111014 4" xfId="0"/>
    <cellStyle name="_Others_VSE WFP_100421 v2_VSA 111014 4 2" xfId="0"/>
    <cellStyle name="_Others_VSE WFP_100421 v2_VSA 111014_By Region" xfId="0"/>
    <cellStyle name="_Others_VSE WFP_100421 v2_VSA 111014_CORP SG&amp;A" xfId="0"/>
    <cellStyle name="_Others_VSE WFP_100421 v2_VSA 111014_LCD" xfId="0"/>
    <cellStyle name="_Others_VSE WFP_100421 v2_VSA 111014_PJ" xfId="0"/>
    <cellStyle name="_Others_VSE WFP_100421 v2_VSA Roll-Up (LW)" xfId="0"/>
    <cellStyle name="_Others_VSE WFP_100421 v2_VSA Roll-Up (LW) 2" xfId="0"/>
    <cellStyle name="_Others_VSE WFP_100421 v2_VSA Roll-Up (LW) 3" xfId="0"/>
    <cellStyle name="_Others_VSE WFP_100421 v2_VSA Roll-Up (LW) 4" xfId="0"/>
    <cellStyle name="_Others_VSE WFP_100421 v2_VSA Roll-Up (LW) 4 2" xfId="0"/>
    <cellStyle name="_Others_VSE WFP_100421 v2_VSA Roll-Up (LW)_By Region" xfId="0"/>
    <cellStyle name="_Others_VSE WFP_100421 v2_VSA Roll-Up (LW)_CORP SG&amp;A" xfId="0"/>
    <cellStyle name="_Others_VSE WFP_100421 v2_VSA Roll-Up (LW)_LCD" xfId="0"/>
    <cellStyle name="_Others_VSE WFP_100421 v2_VSA Roll-Up (LW)_PJ" xfId="0"/>
    <cellStyle name="_Others_VSE WFP_100507" xfId="0"/>
    <cellStyle name="_Others_VSE WFP_100507 2" xfId="0"/>
    <cellStyle name="_Others_VSE WFP_100507 3" xfId="0"/>
    <cellStyle name="_Others_VSE WFP_100507 4" xfId="0"/>
    <cellStyle name="_Others_VSE WFP_100507_By Region" xfId="0"/>
    <cellStyle name="_Others_VSE WFP_100507_CORP SG&amp;A" xfId="0"/>
    <cellStyle name="_Others_VSE WFP_100507_Digitizer" xfId="0"/>
    <cellStyle name="_Others_VSE WFP_100507_GPS OTHER" xfId="0"/>
    <cellStyle name="_Others_VSE WFP_100507_GPS OTHER 2" xfId="0"/>
    <cellStyle name="_Others_VSE WFP_100507_GPS OTHER 3" xfId="0"/>
    <cellStyle name="_Others_VSE WFP_100507_GPS OTHER 4" xfId="0"/>
    <cellStyle name="_Others_VSE WFP_100507_GPS OTHER 4 2" xfId="0"/>
    <cellStyle name="_Others_VSE WFP_100507_GPS OTHER_By Region" xfId="0"/>
    <cellStyle name="_Others_VSE WFP_100507_GPS OTHER_CORP SG&amp;A" xfId="0"/>
    <cellStyle name="_Others_VSE WFP_100507_GPS OTHER_LCD" xfId="0"/>
    <cellStyle name="_Others_VSE WFP_100507_GPS OTHER_PJ" xfId="0"/>
    <cellStyle name="_Others_VSE WFP_100507_LCD" xfId="0"/>
    <cellStyle name="_Others_VSE WFP_100507_LCD 2" xfId="0"/>
    <cellStyle name="_Others_VSE WFP_100507_LCD 3" xfId="0"/>
    <cellStyle name="_Others_VSE WFP_100507_LCD 4" xfId="0"/>
    <cellStyle name="_Others_VSE WFP_100507_LCD_By Region" xfId="0"/>
    <cellStyle name="_Others_VSE WFP_100507_LCD_CORP SG&amp;A" xfId="0"/>
    <cellStyle name="_Others_VSE WFP_100507_LCD_LCD" xfId="0"/>
    <cellStyle name="_Others_VSE WFP_100507_LCD_PJ" xfId="0"/>
    <cellStyle name="_Others_VSE WFP_100507_PC Products" xfId="0"/>
    <cellStyle name="_Others_VSE WFP_100507_PC Products 2" xfId="0"/>
    <cellStyle name="_Others_VSE WFP_100507_PC Products 3" xfId="0"/>
    <cellStyle name="_Others_VSE WFP_100507_PC Products 4" xfId="0"/>
    <cellStyle name="_Others_VSE WFP_100507_PC Products 4 2" xfId="0"/>
    <cellStyle name="_Others_VSE WFP_100507_PC Products_By Region" xfId="0"/>
    <cellStyle name="_Others_VSE WFP_100507_PC Products_CORP SG&amp;A" xfId="0"/>
    <cellStyle name="_Others_VSE WFP_100507_PC Products_LCD" xfId="0"/>
    <cellStyle name="_Others_VSE WFP_100507_PC Products_PJ" xfId="0"/>
    <cellStyle name="_Others_VSE WFP_100507_VSA 111014" xfId="0"/>
    <cellStyle name="_Others_VSE WFP_100507_VSA 111014 2" xfId="0"/>
    <cellStyle name="_Others_VSE WFP_100507_VSA 111014 3" xfId="0"/>
    <cellStyle name="_Others_VSE WFP_100507_VSA 111014 4" xfId="0"/>
    <cellStyle name="_Others_VSE WFP_100507_VSA 111014 4 2" xfId="0"/>
    <cellStyle name="_Others_VSE WFP_100507_VSA 111014_By Region" xfId="0"/>
    <cellStyle name="_Others_VSE WFP_100507_VSA 111014_CORP SG&amp;A" xfId="0"/>
    <cellStyle name="_Others_VSE WFP_100507_VSA 111014_LCD" xfId="0"/>
    <cellStyle name="_Others_VSE WFP_100507_VSA 111014_PJ" xfId="0"/>
    <cellStyle name="_Others_VSE WFP_100507_VSA Roll-Up (LW)" xfId="0"/>
    <cellStyle name="_Others_VSE WFP_100507_VSA Roll-Up (LW) 2" xfId="0"/>
    <cellStyle name="_Others_VSE WFP_100507_VSA Roll-Up (LW) 3" xfId="0"/>
    <cellStyle name="_Others_VSE WFP_100507_VSA Roll-Up (LW) 4" xfId="0"/>
    <cellStyle name="_Others_VSE WFP_100507_VSA Roll-Up (LW) 4 2" xfId="0"/>
    <cellStyle name="_Others_VSE WFP_100507_VSA Roll-Up (LW)_By Region" xfId="0"/>
    <cellStyle name="_Others_VSE WFP_100507_VSA Roll-Up (LW)_CORP SG&amp;A" xfId="0"/>
    <cellStyle name="_Others_VSE WFP_100507_VSA Roll-Up (LW)_LCD" xfId="0"/>
    <cellStyle name="_Others_VSE WFP_100507_VSA Roll-Up (LW)_PJ" xfId="0"/>
    <cellStyle name="_Others_VSE WFP_100608" xfId="0"/>
    <cellStyle name="_Others_VSE WFP_100608 2" xfId="0"/>
    <cellStyle name="_Others_VSE WFP_100608 3" xfId="0"/>
    <cellStyle name="_Others_VSE WFP_100608 4" xfId="0"/>
    <cellStyle name="_Others_VSE WFP_100608_By Region" xfId="0"/>
    <cellStyle name="_Others_VSE WFP_100608_CORP SG&amp;A" xfId="0"/>
    <cellStyle name="_Others_VSE WFP_100608_Digitizer" xfId="0"/>
    <cellStyle name="_Others_VSE WFP_100608_GPS OTHER" xfId="0"/>
    <cellStyle name="_Others_VSE WFP_100608_GPS OTHER 2" xfId="0"/>
    <cellStyle name="_Others_VSE WFP_100608_GPS OTHER 3" xfId="0"/>
    <cellStyle name="_Others_VSE WFP_100608_GPS OTHER 4" xfId="0"/>
    <cellStyle name="_Others_VSE WFP_100608_GPS OTHER 4 2" xfId="0"/>
    <cellStyle name="_Others_VSE WFP_100608_GPS OTHER_By Region" xfId="0"/>
    <cellStyle name="_Others_VSE WFP_100608_GPS OTHER_CORP SG&amp;A" xfId="0"/>
    <cellStyle name="_Others_VSE WFP_100608_GPS OTHER_LCD" xfId="0"/>
    <cellStyle name="_Others_VSE WFP_100608_GPS OTHER_PJ" xfId="0"/>
    <cellStyle name="_Others_VSE WFP_100608_LCD" xfId="0"/>
    <cellStyle name="_Others_VSE WFP_100608_LCD 2" xfId="0"/>
    <cellStyle name="_Others_VSE WFP_100608_LCD 3" xfId="0"/>
    <cellStyle name="_Others_VSE WFP_100608_LCD 4" xfId="0"/>
    <cellStyle name="_Others_VSE WFP_100608_LCD_By Region" xfId="0"/>
    <cellStyle name="_Others_VSE WFP_100608_LCD_CORP SG&amp;A" xfId="0"/>
    <cellStyle name="_Others_VSE WFP_100608_LCD_LCD" xfId="0"/>
    <cellStyle name="_Others_VSE WFP_100608_LCD_PJ" xfId="0"/>
    <cellStyle name="_Others_VSE WFP_100608_PC Products" xfId="0"/>
    <cellStyle name="_Others_VSE WFP_100608_PC Products 2" xfId="0"/>
    <cellStyle name="_Others_VSE WFP_100608_PC Products 3" xfId="0"/>
    <cellStyle name="_Others_VSE WFP_100608_PC Products 4" xfId="0"/>
    <cellStyle name="_Others_VSE WFP_100608_PC Products 4 2" xfId="0"/>
    <cellStyle name="_Others_VSE WFP_100608_PC Products_By Region" xfId="0"/>
    <cellStyle name="_Others_VSE WFP_100608_PC Products_CORP SG&amp;A" xfId="0"/>
    <cellStyle name="_Others_VSE WFP_100608_PC Products_LCD" xfId="0"/>
    <cellStyle name="_Others_VSE WFP_100608_PC Products_PJ" xfId="0"/>
    <cellStyle name="_Others_VSE WFP_100608_VSA 111014" xfId="0"/>
    <cellStyle name="_Others_VSE WFP_100608_VSA 111014 2" xfId="0"/>
    <cellStyle name="_Others_VSE WFP_100608_VSA 111014 3" xfId="0"/>
    <cellStyle name="_Others_VSE WFP_100608_VSA 111014 4" xfId="0"/>
    <cellStyle name="_Others_VSE WFP_100608_VSA 111014 4 2" xfId="0"/>
    <cellStyle name="_Others_VSE WFP_100608_VSA 111014_By Region" xfId="0"/>
    <cellStyle name="_Others_VSE WFP_100608_VSA 111014_CORP SG&amp;A" xfId="0"/>
    <cellStyle name="_Others_VSE WFP_100608_VSA 111014_LCD" xfId="0"/>
    <cellStyle name="_Others_VSE WFP_100608_VSA 111014_PJ" xfId="0"/>
    <cellStyle name="_Others_VSE WFP_100608_VSA Roll-Up (LW)" xfId="0"/>
    <cellStyle name="_Others_VSE WFP_100608_VSA Roll-Up (LW) 2" xfId="0"/>
    <cellStyle name="_Others_VSE WFP_100608_VSA Roll-Up (LW) 3" xfId="0"/>
    <cellStyle name="_Others_VSE WFP_100608_VSA Roll-Up (LW) 4" xfId="0"/>
    <cellStyle name="_Others_VSE WFP_100608_VSA Roll-Up (LW) 4 2" xfId="0"/>
    <cellStyle name="_Others_VSE WFP_100608_VSA Roll-Up (LW)_By Region" xfId="0"/>
    <cellStyle name="_Others_VSE WFP_100608_VSA Roll-Up (LW)_CORP SG&amp;A" xfId="0"/>
    <cellStyle name="_Others_VSE WFP_100608_VSA Roll-Up (LW)_LCD" xfId="0"/>
    <cellStyle name="_Others_VSE WFP_100608_VSA Roll-Up (LW)_PJ" xfId="0"/>
    <cellStyle name="_Others_VSE WFP_100625" xfId="0"/>
    <cellStyle name="_Others_VSE WFP_100625 2" xfId="0"/>
    <cellStyle name="_Others_VSE WFP_100625 3" xfId="0"/>
    <cellStyle name="_Others_VSE WFP_100625 4" xfId="0"/>
    <cellStyle name="_Others_VSE WFP_100625_By Region" xfId="0"/>
    <cellStyle name="_Others_VSE WFP_100625_CORP SG&amp;A" xfId="0"/>
    <cellStyle name="_Others_VSE WFP_100625_GPS OTHER" xfId="0"/>
    <cellStyle name="_Others_VSE WFP_100625_GPS OTHER 2" xfId="0"/>
    <cellStyle name="_Others_VSE WFP_100625_GPS OTHER 3" xfId="0"/>
    <cellStyle name="_Others_VSE WFP_100625_GPS OTHER 4" xfId="0"/>
    <cellStyle name="_Others_VSE WFP_100625_GPS OTHER 4 2" xfId="0"/>
    <cellStyle name="_Others_VSE WFP_100625_GPS OTHER_By Region" xfId="0"/>
    <cellStyle name="_Others_VSE WFP_100625_GPS OTHER_CORP SG&amp;A" xfId="0"/>
    <cellStyle name="_Others_VSE WFP_100625_GPS OTHER_LCD" xfId="0"/>
    <cellStyle name="_Others_VSE WFP_100625_GPS OTHER_PJ" xfId="0"/>
    <cellStyle name="_Others_VSE WFP_100625_LCD" xfId="0"/>
    <cellStyle name="_Others_VSE WFP_100625_LCD 2" xfId="0"/>
    <cellStyle name="_Others_VSE WFP_100625_LCD 3" xfId="0"/>
    <cellStyle name="_Others_VSE WFP_100625_LCD 4" xfId="0"/>
    <cellStyle name="_Others_VSE WFP_100625_LCD_By Region" xfId="0"/>
    <cellStyle name="_Others_VSE WFP_100625_LCD_CORP SG&amp;A" xfId="0"/>
    <cellStyle name="_Others_VSE WFP_100625_LCD_LCD" xfId="0"/>
    <cellStyle name="_Others_VSE WFP_100625_LCD_PJ" xfId="0"/>
    <cellStyle name="_Others_VSE WFP_100625_PC Products" xfId="0"/>
    <cellStyle name="_Others_VSE WFP_100625_PC Products 2" xfId="0"/>
    <cellStyle name="_Others_VSE WFP_100625_PC Products 3" xfId="0"/>
    <cellStyle name="_Others_VSE WFP_100625_PC Products 4" xfId="0"/>
    <cellStyle name="_Others_VSE WFP_100625_PC Products 4 2" xfId="0"/>
    <cellStyle name="_Others_VSE WFP_100625_PC Products_By Region" xfId="0"/>
    <cellStyle name="_Others_VSE WFP_100625_PC Products_CORP SG&amp;A" xfId="0"/>
    <cellStyle name="_Others_VSE WFP_100625_PC Products_LCD" xfId="0"/>
    <cellStyle name="_Others_VSE WFP_100625_PC Products_PJ" xfId="0"/>
    <cellStyle name="_Others_VSE WFP_100625_VSA 111014" xfId="0"/>
    <cellStyle name="_Others_VSE WFP_100625_VSA 111014 2" xfId="0"/>
    <cellStyle name="_Others_VSE WFP_100625_VSA 111014 3" xfId="0"/>
    <cellStyle name="_Others_VSE WFP_100625_VSA 111014 4" xfId="0"/>
    <cellStyle name="_Others_VSE WFP_100625_VSA 111014 4 2" xfId="0"/>
    <cellStyle name="_Others_VSE WFP_100625_VSA 111014_By Region" xfId="0"/>
    <cellStyle name="_Others_VSE WFP_100625_VSA 111014_CORP SG&amp;A" xfId="0"/>
    <cellStyle name="_Others_VSE WFP_100625_VSA 111014_LCD" xfId="0"/>
    <cellStyle name="_Others_VSE WFP_100625_VSA 111014_PJ" xfId="0"/>
    <cellStyle name="_Others_VSE WFP_100625_VSA Roll-Up (LW)" xfId="0"/>
    <cellStyle name="_Others_VSE WFP_100625_VSA Roll-Up (LW) 2" xfId="0"/>
    <cellStyle name="_Others_VSE WFP_100625_VSA Roll-Up (LW) 3" xfId="0"/>
    <cellStyle name="_Others_VSE WFP_100625_VSA Roll-Up (LW) 4" xfId="0"/>
    <cellStyle name="_Others_VSE WFP_100625_VSA Roll-Up (LW) 4 2" xfId="0"/>
    <cellStyle name="_Others_VSE WFP_100625_VSA Roll-Up (LW)_By Region" xfId="0"/>
    <cellStyle name="_Others_VSE WFP_100625_VSA Roll-Up (LW)_CORP SG&amp;A" xfId="0"/>
    <cellStyle name="_Others_VSE WFP_100625_VSA Roll-Up (LW)_LCD" xfId="0"/>
    <cellStyle name="_Others_VSE WFP_100625_VSA Roll-Up (LW)_PJ" xfId="0"/>
    <cellStyle name="_Others_VSE WFP_100708_3rd" xfId="0"/>
    <cellStyle name="_Others_VSE WFP_100708_3rd 2" xfId="0"/>
    <cellStyle name="_Others_VSE WFP_100708_3rd 3" xfId="0"/>
    <cellStyle name="_Others_VSE WFP_100708_3rd 4" xfId="0"/>
    <cellStyle name="_Others_VSE WFP_100708_3rd_By Region" xfId="0"/>
    <cellStyle name="_Others_VSE WFP_100708_3rd_CORP SG&amp;A" xfId="0"/>
    <cellStyle name="_Others_VSE WFP_100708_3rd_GPS OTHER" xfId="0"/>
    <cellStyle name="_Others_VSE WFP_100708_3rd_GPS OTHER 2" xfId="0"/>
    <cellStyle name="_Others_VSE WFP_100708_3rd_GPS OTHER 3" xfId="0"/>
    <cellStyle name="_Others_VSE WFP_100708_3rd_GPS OTHER 4" xfId="0"/>
    <cellStyle name="_Others_VSE WFP_100708_3rd_GPS OTHER 4 2" xfId="0"/>
    <cellStyle name="_Others_VSE WFP_100708_3rd_GPS OTHER_By Region" xfId="0"/>
    <cellStyle name="_Others_VSE WFP_100708_3rd_GPS OTHER_CORP SG&amp;A" xfId="0"/>
    <cellStyle name="_Others_VSE WFP_100708_3rd_GPS OTHER_LCD" xfId="0"/>
    <cellStyle name="_Others_VSE WFP_100708_3rd_GPS OTHER_PJ" xfId="0"/>
    <cellStyle name="_Others_VSE WFP_100708_3rd_LCD" xfId="0"/>
    <cellStyle name="_Others_VSE WFP_100708_3rd_LCD 2" xfId="0"/>
    <cellStyle name="_Others_VSE WFP_100708_3rd_LCD 3" xfId="0"/>
    <cellStyle name="_Others_VSE WFP_100708_3rd_LCD 4" xfId="0"/>
    <cellStyle name="_Others_VSE WFP_100708_3rd_LCD_By Region" xfId="0"/>
    <cellStyle name="_Others_VSE WFP_100708_3rd_LCD_CORP SG&amp;A" xfId="0"/>
    <cellStyle name="_Others_VSE WFP_100708_3rd_LCD_LCD" xfId="0"/>
    <cellStyle name="_Others_VSE WFP_100708_3rd_LCD_PJ" xfId="0"/>
    <cellStyle name="_Others_VSE WFP_100708_3rd_PC Products" xfId="0"/>
    <cellStyle name="_Others_VSE WFP_100708_3rd_PC Products 2" xfId="0"/>
    <cellStyle name="_Others_VSE WFP_100708_3rd_PC Products 3" xfId="0"/>
    <cellStyle name="_Others_VSE WFP_100708_3rd_PC Products 4" xfId="0"/>
    <cellStyle name="_Others_VSE WFP_100708_3rd_PC Products 4 2" xfId="0"/>
    <cellStyle name="_Others_VSE WFP_100708_3rd_PC Products_By Region" xfId="0"/>
    <cellStyle name="_Others_VSE WFP_100708_3rd_PC Products_CORP SG&amp;A" xfId="0"/>
    <cellStyle name="_Others_VSE WFP_100708_3rd_PC Products_LCD" xfId="0"/>
    <cellStyle name="_Others_VSE WFP_100708_3rd_PC Products_PJ" xfId="0"/>
    <cellStyle name="_Others_VSE WFP_100708_3rd_VSA 111014" xfId="0"/>
    <cellStyle name="_Others_VSE WFP_100708_3rd_VSA 111014 2" xfId="0"/>
    <cellStyle name="_Others_VSE WFP_100708_3rd_VSA 111014 3" xfId="0"/>
    <cellStyle name="_Others_VSE WFP_100708_3rd_VSA 111014 4" xfId="0"/>
    <cellStyle name="_Others_VSE WFP_100708_3rd_VSA 111014 4 2" xfId="0"/>
    <cellStyle name="_Others_VSE WFP_100708_3rd_VSA 111014_By Region" xfId="0"/>
    <cellStyle name="_Others_VSE WFP_100708_3rd_VSA 111014_CORP SG&amp;A" xfId="0"/>
    <cellStyle name="_Others_VSE WFP_100708_3rd_VSA 111014_LCD" xfId="0"/>
    <cellStyle name="_Others_VSE WFP_100708_3rd_VSA 111014_PJ" xfId="0"/>
    <cellStyle name="_Others_VSE WFP_100708_3rd_VSA Roll-Up (LW)" xfId="0"/>
    <cellStyle name="_Others_VSE WFP_100708_3rd_VSA Roll-Up (LW) 2" xfId="0"/>
    <cellStyle name="_Others_VSE WFP_100708_3rd_VSA Roll-Up (LW) 3" xfId="0"/>
    <cellStyle name="_Others_VSE WFP_100708_3rd_VSA Roll-Up (LW) 4" xfId="0"/>
    <cellStyle name="_Others_VSE WFP_100708_3rd_VSA Roll-Up (LW) 4 2" xfId="0"/>
    <cellStyle name="_Others_VSE WFP_100708_3rd_VSA Roll-Up (LW)_By Region" xfId="0"/>
    <cellStyle name="_Others_VSE WFP_100708_3rd_VSA Roll-Up (LW)_CORP SG&amp;A" xfId="0"/>
    <cellStyle name="_Others_VSE WFP_100708_3rd_VSA Roll-Up (LW)_LCD" xfId="0"/>
    <cellStyle name="_Others_VSE WFP_100708_3rd_VSA Roll-Up (LW)_PJ" xfId="0"/>
    <cellStyle name="_Others_VSE WFP_100726" xfId="0"/>
    <cellStyle name="_Others_VSE WFP_100726 2" xfId="0"/>
    <cellStyle name="_Others_VSE WFP_100726 3" xfId="0"/>
    <cellStyle name="_Others_VSE WFP_100726 4" xfId="0"/>
    <cellStyle name="_Others_VSE WFP_100726-1" xfId="0"/>
    <cellStyle name="_Others_VSE WFP_100726-1 2" xfId="0"/>
    <cellStyle name="_Others_VSE WFP_100726-1 3" xfId="0"/>
    <cellStyle name="_Others_VSE WFP_100726-1 4" xfId="0"/>
    <cellStyle name="_Others_VSE WFP_100726-1_By Region" xfId="0"/>
    <cellStyle name="_Others_VSE WFP_100726-1_CORP SG&amp;A" xfId="0"/>
    <cellStyle name="_Others_VSE WFP_100726-1_GPS OTHER" xfId="0"/>
    <cellStyle name="_Others_VSE WFP_100726-1_GPS OTHER 2" xfId="0"/>
    <cellStyle name="_Others_VSE WFP_100726-1_GPS OTHER 3" xfId="0"/>
    <cellStyle name="_Others_VSE WFP_100726-1_GPS OTHER 4" xfId="0"/>
    <cellStyle name="_Others_VSE WFP_100726-1_GPS OTHER 4 2" xfId="0"/>
    <cellStyle name="_Others_VSE WFP_100726-1_GPS OTHER_By Region" xfId="0"/>
    <cellStyle name="_Others_VSE WFP_100726-1_GPS OTHER_CORP SG&amp;A" xfId="0"/>
    <cellStyle name="_Others_VSE WFP_100726-1_GPS OTHER_LCD" xfId="0"/>
    <cellStyle name="_Others_VSE WFP_100726-1_GPS OTHER_PJ" xfId="0"/>
    <cellStyle name="_Others_VSE WFP_100726-1_LCD" xfId="0"/>
    <cellStyle name="_Others_VSE WFP_100726-1_LCD 2" xfId="0"/>
    <cellStyle name="_Others_VSE WFP_100726-1_LCD 3" xfId="0"/>
    <cellStyle name="_Others_VSE WFP_100726-1_LCD 4" xfId="0"/>
    <cellStyle name="_Others_VSE WFP_100726-1_LCD_By Region" xfId="0"/>
    <cellStyle name="_Others_VSE WFP_100726-1_LCD_CORP SG&amp;A" xfId="0"/>
    <cellStyle name="_Others_VSE WFP_100726-1_LCD_LCD" xfId="0"/>
    <cellStyle name="_Others_VSE WFP_100726-1_LCD_PJ" xfId="0"/>
    <cellStyle name="_Others_VSE WFP_100726-1_PC Products" xfId="0"/>
    <cellStyle name="_Others_VSE WFP_100726-1_PC Products 2" xfId="0"/>
    <cellStyle name="_Others_VSE WFP_100726-1_PC Products 3" xfId="0"/>
    <cellStyle name="_Others_VSE WFP_100726-1_PC Products 4" xfId="0"/>
    <cellStyle name="_Others_VSE WFP_100726-1_PC Products 4 2" xfId="0"/>
    <cellStyle name="_Others_VSE WFP_100726-1_PC Products_By Region" xfId="0"/>
    <cellStyle name="_Others_VSE WFP_100726-1_PC Products_CORP SG&amp;A" xfId="0"/>
    <cellStyle name="_Others_VSE WFP_100726-1_PC Products_LCD" xfId="0"/>
    <cellStyle name="_Others_VSE WFP_100726-1_PC Products_PJ" xfId="0"/>
    <cellStyle name="_Others_VSE WFP_100726-1_VSA 111014" xfId="0"/>
    <cellStyle name="_Others_VSE WFP_100726-1_VSA 111014 2" xfId="0"/>
    <cellStyle name="_Others_VSE WFP_100726-1_VSA 111014 3" xfId="0"/>
    <cellStyle name="_Others_VSE WFP_100726-1_VSA 111014 4" xfId="0"/>
    <cellStyle name="_Others_VSE WFP_100726-1_VSA 111014 4 2" xfId="0"/>
    <cellStyle name="_Others_VSE WFP_100726-1_VSA 111014_By Region" xfId="0"/>
    <cellStyle name="_Others_VSE WFP_100726-1_VSA 111014_CORP SG&amp;A" xfId="0"/>
    <cellStyle name="_Others_VSE WFP_100726-1_VSA 111014_LCD" xfId="0"/>
    <cellStyle name="_Others_VSE WFP_100726-1_VSA 111014_PJ" xfId="0"/>
    <cellStyle name="_Others_VSE WFP_100726-1_VSA Roll-Up (LW)" xfId="0"/>
    <cellStyle name="_Others_VSE WFP_100726-1_VSA Roll-Up (LW) 2" xfId="0"/>
    <cellStyle name="_Others_VSE WFP_100726-1_VSA Roll-Up (LW) 3" xfId="0"/>
    <cellStyle name="_Others_VSE WFP_100726-1_VSA Roll-Up (LW) 4" xfId="0"/>
    <cellStyle name="_Others_VSE WFP_100726-1_VSA Roll-Up (LW) 4 2" xfId="0"/>
    <cellStyle name="_Others_VSE WFP_100726-1_VSA Roll-Up (LW)_By Region" xfId="0"/>
    <cellStyle name="_Others_VSE WFP_100726-1_VSA Roll-Up (LW)_CORP SG&amp;A" xfId="0"/>
    <cellStyle name="_Others_VSE WFP_100726-1_VSA Roll-Up (LW)_LCD" xfId="0"/>
    <cellStyle name="_Others_VSE WFP_100726-1_VSA Roll-Up (LW)_PJ" xfId="0"/>
    <cellStyle name="_Others_VSE WFP_100726-2-yc" xfId="0"/>
    <cellStyle name="_Others_VSE WFP_100726-2-yc 2" xfId="0"/>
    <cellStyle name="_Others_VSE WFP_100726-2-yc 3" xfId="0"/>
    <cellStyle name="_Others_VSE WFP_100726-2-yc 4" xfId="0"/>
    <cellStyle name="_Others_VSE WFP_100726-2-yc_By Region" xfId="0"/>
    <cellStyle name="_Others_VSE WFP_100726-2-yc_CORP SG&amp;A" xfId="0"/>
    <cellStyle name="_Others_VSE WFP_100726-2-yc_GPS OTHER" xfId="0"/>
    <cellStyle name="_Others_VSE WFP_100726-2-yc_GPS OTHER 2" xfId="0"/>
    <cellStyle name="_Others_VSE WFP_100726-2-yc_GPS OTHER 3" xfId="0"/>
    <cellStyle name="_Others_VSE WFP_100726-2-yc_GPS OTHER 4" xfId="0"/>
    <cellStyle name="_Others_VSE WFP_100726-2-yc_GPS OTHER 4 2" xfId="0"/>
    <cellStyle name="_Others_VSE WFP_100726-2-yc_GPS OTHER_By Region" xfId="0"/>
    <cellStyle name="_Others_VSE WFP_100726-2-yc_GPS OTHER_CORP SG&amp;A" xfId="0"/>
    <cellStyle name="_Others_VSE WFP_100726-2-yc_GPS OTHER_LCD" xfId="0"/>
    <cellStyle name="_Others_VSE WFP_100726-2-yc_GPS OTHER_PJ" xfId="0"/>
    <cellStyle name="_Others_VSE WFP_100726-2-yc_LCD" xfId="0"/>
    <cellStyle name="_Others_VSE WFP_100726-2-yc_LCD 2" xfId="0"/>
    <cellStyle name="_Others_VSE WFP_100726-2-yc_LCD 3" xfId="0"/>
    <cellStyle name="_Others_VSE WFP_100726-2-yc_LCD 4" xfId="0"/>
    <cellStyle name="_Others_VSE WFP_100726-2-yc_LCD_By Region" xfId="0"/>
    <cellStyle name="_Others_VSE WFP_100726-2-yc_LCD_CORP SG&amp;A" xfId="0"/>
    <cellStyle name="_Others_VSE WFP_100726-2-yc_LCD_LCD" xfId="0"/>
    <cellStyle name="_Others_VSE WFP_100726-2-yc_LCD_PJ" xfId="0"/>
    <cellStyle name="_Others_VSE WFP_100726-2-yc_PC Products" xfId="0"/>
    <cellStyle name="_Others_VSE WFP_100726-2-yc_PC Products 2" xfId="0"/>
    <cellStyle name="_Others_VSE WFP_100726-2-yc_PC Products 3" xfId="0"/>
    <cellStyle name="_Others_VSE WFP_100726-2-yc_PC Products 4" xfId="0"/>
    <cellStyle name="_Others_VSE WFP_100726-2-yc_PC Products 4 2" xfId="0"/>
    <cellStyle name="_Others_VSE WFP_100726-2-yc_PC Products_By Region" xfId="0"/>
    <cellStyle name="_Others_VSE WFP_100726-2-yc_PC Products_CORP SG&amp;A" xfId="0"/>
    <cellStyle name="_Others_VSE WFP_100726-2-yc_PC Products_LCD" xfId="0"/>
    <cellStyle name="_Others_VSE WFP_100726-2-yc_PC Products_PJ" xfId="0"/>
    <cellStyle name="_Others_VSE WFP_100726-2-yc_VSA 111014" xfId="0"/>
    <cellStyle name="_Others_VSE WFP_100726-2-yc_VSA 111014 2" xfId="0"/>
    <cellStyle name="_Others_VSE WFP_100726-2-yc_VSA 111014 3" xfId="0"/>
    <cellStyle name="_Others_VSE WFP_100726-2-yc_VSA 111014 4" xfId="0"/>
    <cellStyle name="_Others_VSE WFP_100726-2-yc_VSA 111014 4 2" xfId="0"/>
    <cellStyle name="_Others_VSE WFP_100726-2-yc_VSA 111014_By Region" xfId="0"/>
    <cellStyle name="_Others_VSE WFP_100726-2-yc_VSA 111014_CORP SG&amp;A" xfId="0"/>
    <cellStyle name="_Others_VSE WFP_100726-2-yc_VSA 111014_LCD" xfId="0"/>
    <cellStyle name="_Others_VSE WFP_100726-2-yc_VSA 111014_PJ" xfId="0"/>
    <cellStyle name="_Others_VSE WFP_100726-2-yc_VSA Roll-Up (LW)" xfId="0"/>
    <cellStyle name="_Others_VSE WFP_100726-2-yc_VSA Roll-Up (LW) 2" xfId="0"/>
    <cellStyle name="_Others_VSE WFP_100726-2-yc_VSA Roll-Up (LW) 3" xfId="0"/>
    <cellStyle name="_Others_VSE WFP_100726-2-yc_VSA Roll-Up (LW) 4" xfId="0"/>
    <cellStyle name="_Others_VSE WFP_100726-2-yc_VSA Roll-Up (LW) 4 2" xfId="0"/>
    <cellStyle name="_Others_VSE WFP_100726-2-yc_VSA Roll-Up (LW)_By Region" xfId="0"/>
    <cellStyle name="_Others_VSE WFP_100726-2-yc_VSA Roll-Up (LW)_CORP SG&amp;A" xfId="0"/>
    <cellStyle name="_Others_VSE WFP_100726-2-yc_VSA Roll-Up (LW)_LCD" xfId="0"/>
    <cellStyle name="_Others_VSE WFP_100726-2-yc_VSA Roll-Up (LW)_PJ" xfId="0"/>
    <cellStyle name="_Others_VSE WFP_100726_By Region" xfId="0"/>
    <cellStyle name="_Others_VSE WFP_100726_CORP SG&amp;A" xfId="0"/>
    <cellStyle name="_Others_VSE WFP_100726_GPS OTHER" xfId="0"/>
    <cellStyle name="_Others_VSE WFP_100726_GPS OTHER 2" xfId="0"/>
    <cellStyle name="_Others_VSE WFP_100726_GPS OTHER 3" xfId="0"/>
    <cellStyle name="_Others_VSE WFP_100726_GPS OTHER 4" xfId="0"/>
    <cellStyle name="_Others_VSE WFP_100726_GPS OTHER 4 2" xfId="0"/>
    <cellStyle name="_Others_VSE WFP_100726_GPS OTHER_By Region" xfId="0"/>
    <cellStyle name="_Others_VSE WFP_100726_GPS OTHER_CORP SG&amp;A" xfId="0"/>
    <cellStyle name="_Others_VSE WFP_100726_GPS OTHER_LCD" xfId="0"/>
    <cellStyle name="_Others_VSE WFP_100726_GPS OTHER_PJ" xfId="0"/>
    <cellStyle name="_Others_VSE WFP_100726_LCD" xfId="0"/>
    <cellStyle name="_Others_VSE WFP_100726_LCD 2" xfId="0"/>
    <cellStyle name="_Others_VSE WFP_100726_LCD 3" xfId="0"/>
    <cellStyle name="_Others_VSE WFP_100726_LCD 4" xfId="0"/>
    <cellStyle name="_Others_VSE WFP_100726_LCD_By Region" xfId="0"/>
    <cellStyle name="_Others_VSE WFP_100726_LCD_CORP SG&amp;A" xfId="0"/>
    <cellStyle name="_Others_VSE WFP_100726_LCD_LCD" xfId="0"/>
    <cellStyle name="_Others_VSE WFP_100726_LCD_PJ" xfId="0"/>
    <cellStyle name="_Others_VSE WFP_100726_PC Products" xfId="0"/>
    <cellStyle name="_Others_VSE WFP_100726_PC Products 2" xfId="0"/>
    <cellStyle name="_Others_VSE WFP_100726_PC Products 3" xfId="0"/>
    <cellStyle name="_Others_VSE WFP_100726_PC Products 4" xfId="0"/>
    <cellStyle name="_Others_VSE WFP_100726_PC Products 4 2" xfId="0"/>
    <cellStyle name="_Others_VSE WFP_100726_PC Products_By Region" xfId="0"/>
    <cellStyle name="_Others_VSE WFP_100726_PC Products_CORP SG&amp;A" xfId="0"/>
    <cellStyle name="_Others_VSE WFP_100726_PC Products_LCD" xfId="0"/>
    <cellStyle name="_Others_VSE WFP_100726_PC Products_PJ" xfId="0"/>
    <cellStyle name="_Others_VSE WFP_100726_VSA 111014" xfId="0"/>
    <cellStyle name="_Others_VSE WFP_100726_VSA 111014 2" xfId="0"/>
    <cellStyle name="_Others_VSE WFP_100726_VSA 111014 3" xfId="0"/>
    <cellStyle name="_Others_VSE WFP_100726_VSA 111014 4" xfId="0"/>
    <cellStyle name="_Others_VSE WFP_100726_VSA 111014 4 2" xfId="0"/>
    <cellStyle name="_Others_VSE WFP_100726_VSA 111014_By Region" xfId="0"/>
    <cellStyle name="_Others_VSE WFP_100726_VSA 111014_CORP SG&amp;A" xfId="0"/>
    <cellStyle name="_Others_VSE WFP_100726_VSA 111014_LCD" xfId="0"/>
    <cellStyle name="_Others_VSE WFP_100726_VSA 111014_PJ" xfId="0"/>
    <cellStyle name="_Others_VSE WFP_100726_VSA Roll-Up (LW)" xfId="0"/>
    <cellStyle name="_Others_VSE WFP_100726_VSA Roll-Up (LW) 2" xfId="0"/>
    <cellStyle name="_Others_VSE WFP_100726_VSA Roll-Up (LW) 3" xfId="0"/>
    <cellStyle name="_Others_VSE WFP_100726_VSA Roll-Up (LW) 4" xfId="0"/>
    <cellStyle name="_Others_VSE WFP_100726_VSA Roll-Up (LW) 4 2" xfId="0"/>
    <cellStyle name="_Others_VSE WFP_100726_VSA Roll-Up (LW)_By Region" xfId="0"/>
    <cellStyle name="_Others_VSE WFP_100726_VSA Roll-Up (LW)_CORP SG&amp;A" xfId="0"/>
    <cellStyle name="_Others_VSE WFP_100726_VSA Roll-Up (LW)_LCD" xfId="0"/>
    <cellStyle name="_Others_VSE WFP_100726_VSA Roll-Up (LW)_PJ" xfId="0"/>
    <cellStyle name="_Others_VSE WFP_100827-1" xfId="0"/>
    <cellStyle name="_Others_VSE WFP_100827-1 2" xfId="0"/>
    <cellStyle name="_Others_VSE WFP_100827-1 3" xfId="0"/>
    <cellStyle name="_Others_VSE WFP_100827-1 4" xfId="0"/>
    <cellStyle name="_Others_VSE WFP_100827-1_By Region" xfId="0"/>
    <cellStyle name="_Others_VSE WFP_100827-1_CORP SG&amp;A" xfId="0"/>
    <cellStyle name="_Others_VSE WFP_100827-1_GPS OTHER" xfId="0"/>
    <cellStyle name="_Others_VSE WFP_100827-1_GPS OTHER 2" xfId="0"/>
    <cellStyle name="_Others_VSE WFP_100827-1_GPS OTHER 3" xfId="0"/>
    <cellStyle name="_Others_VSE WFP_100827-1_GPS OTHER 4" xfId="0"/>
    <cellStyle name="_Others_VSE WFP_100827-1_GPS OTHER 4 2" xfId="0"/>
    <cellStyle name="_Others_VSE WFP_100827-1_GPS OTHER_By Region" xfId="0"/>
    <cellStyle name="_Others_VSE WFP_100827-1_GPS OTHER_CORP SG&amp;A" xfId="0"/>
    <cellStyle name="_Others_VSE WFP_100827-1_GPS OTHER_LCD" xfId="0"/>
    <cellStyle name="_Others_VSE WFP_100827-1_GPS OTHER_PJ" xfId="0"/>
    <cellStyle name="_Others_VSE WFP_100827-1_LCD" xfId="0"/>
    <cellStyle name="_Others_VSE WFP_100827-1_LCD 2" xfId="0"/>
    <cellStyle name="_Others_VSE WFP_100827-1_LCD 3" xfId="0"/>
    <cellStyle name="_Others_VSE WFP_100827-1_LCD 4" xfId="0"/>
    <cellStyle name="_Others_VSE WFP_100827-1_LCD_By Region" xfId="0"/>
    <cellStyle name="_Others_VSE WFP_100827-1_LCD_CORP SG&amp;A" xfId="0"/>
    <cellStyle name="_Others_VSE WFP_100827-1_LCD_LCD" xfId="0"/>
    <cellStyle name="_Others_VSE WFP_100827-1_LCD_PJ" xfId="0"/>
    <cellStyle name="_Others_VSE WFP_100827-1_PC Products" xfId="0"/>
    <cellStyle name="_Others_VSE WFP_100827-1_PC Products 2" xfId="0"/>
    <cellStyle name="_Others_VSE WFP_100827-1_PC Products 3" xfId="0"/>
    <cellStyle name="_Others_VSE WFP_100827-1_PC Products 4" xfId="0"/>
    <cellStyle name="_Others_VSE WFP_100827-1_PC Products 4 2" xfId="0"/>
    <cellStyle name="_Others_VSE WFP_100827-1_PC Products_By Region" xfId="0"/>
    <cellStyle name="_Others_VSE WFP_100827-1_PC Products_CORP SG&amp;A" xfId="0"/>
    <cellStyle name="_Others_VSE WFP_100827-1_PC Products_LCD" xfId="0"/>
    <cellStyle name="_Others_VSE WFP_100827-1_PC Products_PJ" xfId="0"/>
    <cellStyle name="_Others_VSE WFP_100827-1_VSA 111014" xfId="0"/>
    <cellStyle name="_Others_VSE WFP_100827-1_VSA 111014 2" xfId="0"/>
    <cellStyle name="_Others_VSE WFP_100827-1_VSA 111014 3" xfId="0"/>
    <cellStyle name="_Others_VSE WFP_100827-1_VSA 111014 4" xfId="0"/>
    <cellStyle name="_Others_VSE WFP_100827-1_VSA 111014 4 2" xfId="0"/>
    <cellStyle name="_Others_VSE WFP_100827-1_VSA 111014_By Region" xfId="0"/>
    <cellStyle name="_Others_VSE WFP_100827-1_VSA 111014_CORP SG&amp;A" xfId="0"/>
    <cellStyle name="_Others_VSE WFP_100827-1_VSA 111014_LCD" xfId="0"/>
    <cellStyle name="_Others_VSE WFP_100827-1_VSA 111014_PJ" xfId="0"/>
    <cellStyle name="_Others_VSE WFP_100827-1_VSA Roll-Up (LW)" xfId="0"/>
    <cellStyle name="_Others_VSE WFP_100827-1_VSA Roll-Up (LW) 2" xfId="0"/>
    <cellStyle name="_Others_VSE WFP_100827-1_VSA Roll-Up (LW) 3" xfId="0"/>
    <cellStyle name="_Others_VSE WFP_100827-1_VSA Roll-Up (LW) 4" xfId="0"/>
    <cellStyle name="_Others_VSE WFP_100827-1_VSA Roll-Up (LW) 4 2" xfId="0"/>
    <cellStyle name="_Others_VSE WFP_100827-1_VSA Roll-Up (LW)_By Region" xfId="0"/>
    <cellStyle name="_Others_VSE WFP_100827-1_VSA Roll-Up (LW)_CORP SG&amp;A" xfId="0"/>
    <cellStyle name="_Others_VSE WFP_100827-1_VSA Roll-Up (LW)_LCD" xfId="0"/>
    <cellStyle name="_Others_VSE WFP_100827-1_VSA Roll-Up (LW)_PJ" xfId="0"/>
    <cellStyle name="_Others_VSE WFP_101001" xfId="0"/>
    <cellStyle name="_Others_VSE WFP_101001 2" xfId="0"/>
    <cellStyle name="_Others_VSE WFP_101001 3" xfId="0"/>
    <cellStyle name="_Others_VSE WFP_101001 4" xfId="0"/>
    <cellStyle name="_Others_VSE WFP_101001_By Region" xfId="0"/>
    <cellStyle name="_Others_VSE WFP_101001_CORP SG&amp;A" xfId="0"/>
    <cellStyle name="_Others_VSE WFP_101001_GPS OTHER" xfId="0"/>
    <cellStyle name="_Others_VSE WFP_101001_GPS OTHER 2" xfId="0"/>
    <cellStyle name="_Others_VSE WFP_101001_GPS OTHER 3" xfId="0"/>
    <cellStyle name="_Others_VSE WFP_101001_GPS OTHER 4" xfId="0"/>
    <cellStyle name="_Others_VSE WFP_101001_GPS OTHER 4 2" xfId="0"/>
    <cellStyle name="_Others_VSE WFP_101001_GPS OTHER_By Region" xfId="0"/>
    <cellStyle name="_Others_VSE WFP_101001_GPS OTHER_CORP SG&amp;A" xfId="0"/>
    <cellStyle name="_Others_VSE WFP_101001_GPS OTHER_LCD" xfId="0"/>
    <cellStyle name="_Others_VSE WFP_101001_GPS OTHER_PJ" xfId="0"/>
    <cellStyle name="_Others_VSE WFP_101001_LCD" xfId="0"/>
    <cellStyle name="_Others_VSE WFP_101001_LCD 2" xfId="0"/>
    <cellStyle name="_Others_VSE WFP_101001_LCD 3" xfId="0"/>
    <cellStyle name="_Others_VSE WFP_101001_LCD 4" xfId="0"/>
    <cellStyle name="_Others_VSE WFP_101001_LCD_By Region" xfId="0"/>
    <cellStyle name="_Others_VSE WFP_101001_LCD_CORP SG&amp;A" xfId="0"/>
    <cellStyle name="_Others_VSE WFP_101001_LCD_LCD" xfId="0"/>
    <cellStyle name="_Others_VSE WFP_101001_LCD_PJ" xfId="0"/>
    <cellStyle name="_Others_VSE WFP_101001_PC Products" xfId="0"/>
    <cellStyle name="_Others_VSE WFP_101001_PC Products 2" xfId="0"/>
    <cellStyle name="_Others_VSE WFP_101001_PC Products 3" xfId="0"/>
    <cellStyle name="_Others_VSE WFP_101001_PC Products 4" xfId="0"/>
    <cellStyle name="_Others_VSE WFP_101001_PC Products 4 2" xfId="0"/>
    <cellStyle name="_Others_VSE WFP_101001_PC Products_By Region" xfId="0"/>
    <cellStyle name="_Others_VSE WFP_101001_PC Products_CORP SG&amp;A" xfId="0"/>
    <cellStyle name="_Others_VSE WFP_101001_PC Products_LCD" xfId="0"/>
    <cellStyle name="_Others_VSE WFP_101001_PC Products_PJ" xfId="0"/>
    <cellStyle name="_Others_VSE WFP_101001_VSA 111014" xfId="0"/>
    <cellStyle name="_Others_VSE WFP_101001_VSA 111014 2" xfId="0"/>
    <cellStyle name="_Others_VSE WFP_101001_VSA 111014 3" xfId="0"/>
    <cellStyle name="_Others_VSE WFP_101001_VSA 111014 4" xfId="0"/>
    <cellStyle name="_Others_VSE WFP_101001_VSA 111014 4 2" xfId="0"/>
    <cellStyle name="_Others_VSE WFP_101001_VSA 111014_By Region" xfId="0"/>
    <cellStyle name="_Others_VSE WFP_101001_VSA 111014_CORP SG&amp;A" xfId="0"/>
    <cellStyle name="_Others_VSE WFP_101001_VSA 111014_LCD" xfId="0"/>
    <cellStyle name="_Others_VSE WFP_101001_VSA 111014_PJ" xfId="0"/>
    <cellStyle name="_Others_VSE WFP_101001_VSA Roll-Up (LW)" xfId="0"/>
    <cellStyle name="_Others_VSE WFP_101001_VSA Roll-Up (LW) 2" xfId="0"/>
    <cellStyle name="_Others_VSE WFP_101001_VSA Roll-Up (LW) 3" xfId="0"/>
    <cellStyle name="_Others_VSE WFP_101001_VSA Roll-Up (LW) 4" xfId="0"/>
    <cellStyle name="_Others_VSE WFP_101001_VSA Roll-Up (LW) 4 2" xfId="0"/>
    <cellStyle name="_Others_VSE WFP_101001_VSA Roll-Up (LW)_By Region" xfId="0"/>
    <cellStyle name="_Others_VSE WFP_101001_VSA Roll-Up (LW)_CORP SG&amp;A" xfId="0"/>
    <cellStyle name="_Others_VSE WFP_101001_VSA Roll-Up (LW)_LCD" xfId="0"/>
    <cellStyle name="_Others_VSE WFP_101001_VSA Roll-Up (LW)_PJ" xfId="0"/>
    <cellStyle name="_Others_VSE WFP_101029-with more ViewPad 7" xfId="0"/>
    <cellStyle name="_Others_VSE WFP_101029-with more ViewPad 7 2" xfId="0"/>
    <cellStyle name="_Others_VSE WFP_101029-with more ViewPad 7 3" xfId="0"/>
    <cellStyle name="_Others_VSE WFP_101029-with more ViewPad 7 4" xfId="0"/>
    <cellStyle name="_Others_VSE WFP_101029-with more ViewPad 7_By Region" xfId="0"/>
    <cellStyle name="_Others_VSE WFP_101029-with more ViewPad 7_CORP SG&amp;A" xfId="0"/>
    <cellStyle name="_Others_VSE WFP_101029-with more ViewPad 7_GPS OTHER" xfId="0"/>
    <cellStyle name="_Others_VSE WFP_101029-with more ViewPad 7_GPS OTHER 2" xfId="0"/>
    <cellStyle name="_Others_VSE WFP_101029-with more ViewPad 7_GPS OTHER 3" xfId="0"/>
    <cellStyle name="_Others_VSE WFP_101029-with more ViewPad 7_GPS OTHER 4" xfId="0"/>
    <cellStyle name="_Others_VSE WFP_101029-with more ViewPad 7_GPS OTHER 4 2" xfId="0"/>
    <cellStyle name="_Others_VSE WFP_101029-with more ViewPad 7_GPS OTHER_By Region" xfId="0"/>
    <cellStyle name="_Others_VSE WFP_101029-with more ViewPad 7_GPS OTHER_CORP SG&amp;A" xfId="0"/>
    <cellStyle name="_Others_VSE WFP_101029-with more ViewPad 7_GPS OTHER_LCD" xfId="0"/>
    <cellStyle name="_Others_VSE WFP_101029-with more ViewPad 7_GPS OTHER_PJ" xfId="0"/>
    <cellStyle name="_Others_VSE WFP_101029-with more ViewPad 7_LCD" xfId="0"/>
    <cellStyle name="_Others_VSE WFP_101029-with more ViewPad 7_LCD 2" xfId="0"/>
    <cellStyle name="_Others_VSE WFP_101029-with more ViewPad 7_LCD 3" xfId="0"/>
    <cellStyle name="_Others_VSE WFP_101029-with more ViewPad 7_LCD 4" xfId="0"/>
    <cellStyle name="_Others_VSE WFP_101029-with more ViewPad 7_LCD_By Region" xfId="0"/>
    <cellStyle name="_Others_VSE WFP_101029-with more ViewPad 7_LCD_CORP SG&amp;A" xfId="0"/>
    <cellStyle name="_Others_VSE WFP_101029-with more ViewPad 7_LCD_LCD" xfId="0"/>
    <cellStyle name="_Others_VSE WFP_101029-with more ViewPad 7_LCD_PJ" xfId="0"/>
    <cellStyle name="_Others_VSE WFP_101029-with more ViewPad 7_PC Products" xfId="0"/>
    <cellStyle name="_Others_VSE WFP_101029-with more ViewPad 7_PC Products 2" xfId="0"/>
    <cellStyle name="_Others_VSE WFP_101029-with more ViewPad 7_PC Products 3" xfId="0"/>
    <cellStyle name="_Others_VSE WFP_101029-with more ViewPad 7_PC Products 4" xfId="0"/>
    <cellStyle name="_Others_VSE WFP_101029-with more ViewPad 7_PC Products 4 2" xfId="0"/>
    <cellStyle name="_Others_VSE WFP_101029-with more ViewPad 7_PC Products_By Region" xfId="0"/>
    <cellStyle name="_Others_VSE WFP_101029-with more ViewPad 7_PC Products_CORP SG&amp;A" xfId="0"/>
    <cellStyle name="_Others_VSE WFP_101029-with more ViewPad 7_PC Products_LCD" xfId="0"/>
    <cellStyle name="_Others_VSE WFP_101029-with more ViewPad 7_PC Products_PJ" xfId="0"/>
    <cellStyle name="_Others_VSE WFP_101029-with more ViewPad 7_VSA 111014" xfId="0"/>
    <cellStyle name="_Others_VSE WFP_101029-with more ViewPad 7_VSA 111014 2" xfId="0"/>
    <cellStyle name="_Others_VSE WFP_101029-with more ViewPad 7_VSA 111014 3" xfId="0"/>
    <cellStyle name="_Others_VSE WFP_101029-with more ViewPad 7_VSA 111014 4" xfId="0"/>
    <cellStyle name="_Others_VSE WFP_101029-with more ViewPad 7_VSA 111014 4 2" xfId="0"/>
    <cellStyle name="_Others_VSE WFP_101029-with more ViewPad 7_VSA 111014_By Region" xfId="0"/>
    <cellStyle name="_Others_VSE WFP_101029-with more ViewPad 7_VSA 111014_CORP SG&amp;A" xfId="0"/>
    <cellStyle name="_Others_VSE WFP_101029-with more ViewPad 7_VSA 111014_LCD" xfId="0"/>
    <cellStyle name="_Others_VSE WFP_101029-with more ViewPad 7_VSA 111014_PJ" xfId="0"/>
    <cellStyle name="_Others_VSE WFP_101029-with more ViewPad 7_VSA Roll-Up (LW)" xfId="0"/>
    <cellStyle name="_Others_VSE WFP_101029-with more ViewPad 7_VSA Roll-Up (LW) 2" xfId="0"/>
    <cellStyle name="_Others_VSE WFP_101029-with more ViewPad 7_VSA Roll-Up (LW) 3" xfId="0"/>
    <cellStyle name="_Others_VSE WFP_101029-with more ViewPad 7_VSA Roll-Up (LW) 4" xfId="0"/>
    <cellStyle name="_Others_VSE WFP_101029-with more ViewPad 7_VSA Roll-Up (LW) 4 2" xfId="0"/>
    <cellStyle name="_Others_VSE WFP_101029-with more ViewPad 7_VSA Roll-Up (LW)_By Region" xfId="0"/>
    <cellStyle name="_Others_VSE WFP_101029-with more ViewPad 7_VSA Roll-Up (LW)_CORP SG&amp;A" xfId="0"/>
    <cellStyle name="_Others_VSE WFP_101029-with more ViewPad 7_VSA Roll-Up (LW)_LCD" xfId="0"/>
    <cellStyle name="_Others_VSE WFP_101029-with more ViewPad 7_VSA Roll-Up (LW)_PJ" xfId="0"/>
    <cellStyle name="_Panel Price Comparison LCD 12-31-07(Tom)" xfId="0"/>
    <cellStyle name="_Panel Price Comparison LCD 12-31-07(Tom)_2010 Existing SKU" xfId="0"/>
    <cellStyle name="_Panel Price Comparison LCD 20080403" xfId="0"/>
    <cellStyle name="_Panel Price Comparison LCD 20080403_2010 Existing SKU" xfId="0"/>
    <cellStyle name="_Panel Price Comparsion 10-04-06" xfId="0"/>
    <cellStyle name="_Panel Price Comparsion 10-04-06_2010 Existing SKU" xfId="0"/>
    <cellStyle name="_Payment 15-Oct-2010" xfId="0"/>
    <cellStyle name="_Payment 15-Oct-2010 2" xfId="0"/>
    <cellStyle name="_Payment 22-Oct-2010" xfId="0"/>
    <cellStyle name="_Payment 22-Oct-2010 2" xfId="0"/>
    <cellStyle name="_Payment 29-Oct-2010" xfId="0"/>
    <cellStyle name="_Payment 29-Oct-2010 2" xfId="0"/>
    <cellStyle name="_Payment list 08-Oct-10" xfId="0"/>
    <cellStyle name="_Payment list 08-Oct-10 2" xfId="0"/>
    <cellStyle name="_payment list 21-SEP (2)" xfId="0"/>
    <cellStyle name="_payment list 21-SEP (2) 2" xfId="0"/>
    <cellStyle name="_payment list 21-SEP (2) 2 2" xfId="0"/>
    <cellStyle name="_payment list 21-SEP (2) 2_cash balance" xfId="0"/>
    <cellStyle name="_payment list 21-SEP (2) 2_cash balance 2" xfId="0"/>
    <cellStyle name="_payment list 21-SEP (2) 3" xfId="0"/>
    <cellStyle name="_payment list 21-SEP (2) 3 2" xfId="0"/>
    <cellStyle name="_payment list 21-SEP (2) 3_cash balance" xfId="0"/>
    <cellStyle name="_payment list 21-SEP (2) 3_cash balance 2" xfId="0"/>
    <cellStyle name="_payment list 21-SEP (2) 4" xfId="0"/>
    <cellStyle name="_payment list 21-SEP (2) 4 2" xfId="0"/>
    <cellStyle name="_payment list 21-SEP (2) 4_cash balance" xfId="0"/>
    <cellStyle name="_payment list 21-SEP (2) 4_cash balance 2" xfId="0"/>
    <cellStyle name="_payment list 21-SEP (2) 5" xfId="0"/>
    <cellStyle name="_payment list 21-SEP (2) 5 2" xfId="0"/>
    <cellStyle name="_payment list 21-SEP (2) 6" xfId="0"/>
    <cellStyle name="_payment list 28-SEP" xfId="0"/>
    <cellStyle name="_payment list 28-SEP 2" xfId="0"/>
    <cellStyle name="_payment list 28-SEP 2 2" xfId="0"/>
    <cellStyle name="_payment list 28-SEP 2_cash balance" xfId="0"/>
    <cellStyle name="_payment list 28-SEP 2_cash balance 2" xfId="0"/>
    <cellStyle name="_payment list 28-SEP 3" xfId="0"/>
    <cellStyle name="_payment list 28-SEP 3 2" xfId="0"/>
    <cellStyle name="_payment list 28-SEP 3_cash balance" xfId="0"/>
    <cellStyle name="_payment list 28-SEP 3_cash balance 2" xfId="0"/>
    <cellStyle name="_payment list 28-SEP 4" xfId="0"/>
    <cellStyle name="_payment list 28-SEP 4 2" xfId="0"/>
    <cellStyle name="_payment list 28-SEP 4_cash balance" xfId="0"/>
    <cellStyle name="_payment list 28-SEP 4_cash balance 2" xfId="0"/>
    <cellStyle name="_payment list 28-SEP 5" xfId="0"/>
    <cellStyle name="_payment list 28-SEP 5 2" xfId="0"/>
    <cellStyle name="_payment list 28-SEP 6" xfId="0"/>
    <cellStyle name="_Payment List110211" xfId="0"/>
    <cellStyle name="_Payment List110211 2" xfId="0"/>
    <cellStyle name="_Payment to vendors 04-Feb-2011" xfId="0"/>
    <cellStyle name="_Payment to vendors 04-Feb-2011 2" xfId="0"/>
    <cellStyle name="_Payment to vendors 04-Mar-2011" xfId="0"/>
    <cellStyle name="_Payment to vendors 04-Mar-2011 2" xfId="0"/>
    <cellStyle name="_Payment to vendors 07-Jan-2011" xfId="0"/>
    <cellStyle name="_Payment to vendors 07-Jan-2011 2" xfId="0"/>
    <cellStyle name="_Payment to vendors 08-Apr-2011" xfId="0"/>
    <cellStyle name="_Payment to vendors 08-Apr-2011 2" xfId="0"/>
    <cellStyle name="_Payment to vendors 11-Mar-2011" xfId="0"/>
    <cellStyle name="_Payment to vendors 11-Mar-2011 2" xfId="0"/>
    <cellStyle name="_Payment to vendors 14-Jan-2011" xfId="0"/>
    <cellStyle name="_Payment to vendors 14-Jan-2011 2" xfId="0"/>
    <cellStyle name="_Payment to vendors 18-Feb-2011" xfId="0"/>
    <cellStyle name="_Payment to vendors 18-Feb-2011 2" xfId="0"/>
    <cellStyle name="_Payment to vendors 18-Mar-2011" xfId="0"/>
    <cellStyle name="_Payment to vendors 18-Mar-2011 2" xfId="0"/>
    <cellStyle name="_Payment to vendors 21-Jan-2011" xfId="0"/>
    <cellStyle name="_Payment to vendors 21-Jan-2011 2" xfId="0"/>
    <cellStyle name="_Payment to vendors 25-Feb-2011" xfId="0"/>
    <cellStyle name="_Payment to vendors 25-Feb-2011 2" xfId="0"/>
    <cellStyle name="_Payment to vendors 28-Jan-2011" xfId="0"/>
    <cellStyle name="_Payment to vendors 28-Jan-2011 2" xfId="0"/>
    <cellStyle name="_PC-AIO DCR" xfId="0"/>
    <cellStyle name="_PC-AIO DCR 2" xfId="0"/>
    <cellStyle name="_PC-AIO DCR_13-wk VSI_Revised" xfId="0"/>
    <cellStyle name="_PC-AIO DCR_13-wk VSI_Revised 2" xfId="0"/>
    <cellStyle name="_PC-AIO DCR_DCR" xfId="0"/>
    <cellStyle name="_PC-AIO DCR_DCR 2" xfId="0"/>
    <cellStyle name="_PC-AIO DCR_VSE DCR Planning Model and Trend Charts 20100118" xfId="0"/>
    <cellStyle name="_PC-AIO DCR_VSE DCR Planning Model and Trend Charts 20100118 2" xfId="0"/>
    <cellStyle name="_PC-AIO DCR_VSE DCR Planning Model and Trend Charts 20100315" xfId="0"/>
    <cellStyle name="_PC-AIO DCR_VSE DCR Planning Model and Trend Charts 20100315 2" xfId="0"/>
    <cellStyle name="_PC-AIO DCR_WMR VSI" xfId="0"/>
    <cellStyle name="_PC-AIO DCR_WMR VSI 2" xfId="0"/>
    <cellStyle name="_PC-DT DCR" xfId="0"/>
    <cellStyle name="_PC-DT DCR 2" xfId="0"/>
    <cellStyle name="_PC-DT DCR_VSE DCR Planning Model and Trend Charts 20100118" xfId="0"/>
    <cellStyle name="_PC-DT DCR_VSE DCR Planning Model and Trend Charts 20100118 2" xfId="0"/>
    <cellStyle name="_PC-DT DCR_VSE DCR Planning Model and Trend Charts 20100315" xfId="0"/>
    <cellStyle name="_PC-DT DCR_VSE DCR Planning Model and Trend Charts 20100315 2" xfId="0"/>
    <cellStyle name="_PC-NB DCR" xfId="0"/>
    <cellStyle name="_PC-NB DCR 2" xfId="0"/>
    <cellStyle name="_PC-NB DCR_13-wk VSI_Revised" xfId="0"/>
    <cellStyle name="_PC-NB DCR_13-wk VSI_Revised 2" xfId="0"/>
    <cellStyle name="_PC-NB DCR_DCR" xfId="0"/>
    <cellStyle name="_PC-NB DCR_DCR 2" xfId="0"/>
    <cellStyle name="_PC-NB DCR_VSE DCR Planning Model and Trend Charts 20100118" xfId="0"/>
    <cellStyle name="_PC-NB DCR_VSE DCR Planning Model and Trend Charts 20100118 2" xfId="0"/>
    <cellStyle name="_PC-NB DCR_VSE DCR Planning Model and Trend Charts 20100315" xfId="0"/>
    <cellStyle name="_PC-NB DCR_VSE DCR Planning Model and Trend Charts 20100315 2" xfId="0"/>
    <cellStyle name="_PC-NB DCR_WMR VSI" xfId="0"/>
    <cellStyle name="_PC-NB DCR_WMR VSI 2" xfId="0"/>
    <cellStyle name="_PC_AIO" xfId="0"/>
    <cellStyle name="_PC_AIO 2" xfId="0"/>
    <cellStyle name="_PC_AIO 3" xfId="0"/>
    <cellStyle name="_PC_AIO 4" xfId="0"/>
    <cellStyle name="_PC_AIO 5" xfId="0"/>
    <cellStyle name="_PC_AIO_By Region" xfId="0"/>
    <cellStyle name="_PC_AIO_CIS" xfId="0"/>
    <cellStyle name="_PC_AIO_CIS 2" xfId="0"/>
    <cellStyle name="_PC_AIO_CIS 3" xfId="0"/>
    <cellStyle name="_PC_AIO_CIS 4" xfId="0"/>
    <cellStyle name="_PC_AIO_CIS_By Region" xfId="0"/>
    <cellStyle name="_PC_AIO_CIS_CORP SG&amp;A" xfId="0"/>
    <cellStyle name="_PC_AIO_CIS_GPS OTHER" xfId="0"/>
    <cellStyle name="_PC_AIO_CIS_GPS OTHER 2" xfId="0"/>
    <cellStyle name="_PC_AIO_CIS_GPS OTHER 3" xfId="0"/>
    <cellStyle name="_PC_AIO_CIS_GPS OTHER 4" xfId="0"/>
    <cellStyle name="_PC_AIO_CIS_GPS OTHER 4 2" xfId="0"/>
    <cellStyle name="_PC_AIO_CIS_GPS OTHER_By Region" xfId="0"/>
    <cellStyle name="_PC_AIO_CIS_GPS OTHER_CORP SG&amp;A" xfId="0"/>
    <cellStyle name="_PC_AIO_CIS_GPS OTHER_LCD" xfId="0"/>
    <cellStyle name="_PC_AIO_CIS_GPS OTHER_PJ" xfId="0"/>
    <cellStyle name="_PC_AIO_CIS_LCD" xfId="0"/>
    <cellStyle name="_PC_AIO_CIS_LCD 2" xfId="0"/>
    <cellStyle name="_PC_AIO_CIS_LCD 3" xfId="0"/>
    <cellStyle name="_PC_AIO_CIS_LCD 4" xfId="0"/>
    <cellStyle name="_PC_AIO_CIS_LCD_By Region" xfId="0"/>
    <cellStyle name="_PC_AIO_CIS_LCD_CORP SG&amp;A" xfId="0"/>
    <cellStyle name="_PC_AIO_CIS_LCD_LCD" xfId="0"/>
    <cellStyle name="_PC_AIO_CIS_LCD_PJ" xfId="0"/>
    <cellStyle name="_PC_AIO_CIS_PC Products" xfId="0"/>
    <cellStyle name="_PC_AIO_CIS_PC Products 2" xfId="0"/>
    <cellStyle name="_PC_AIO_CIS_PC Products 3" xfId="0"/>
    <cellStyle name="_PC_AIO_CIS_PC Products 4" xfId="0"/>
    <cellStyle name="_PC_AIO_CIS_PC Products 4 2" xfId="0"/>
    <cellStyle name="_PC_AIO_CIS_PC Products_By Region" xfId="0"/>
    <cellStyle name="_PC_AIO_CIS_PC Products_CORP SG&amp;A" xfId="0"/>
    <cellStyle name="_PC_AIO_CIS_PC Products_LCD" xfId="0"/>
    <cellStyle name="_PC_AIO_CIS_PC Products_PJ" xfId="0"/>
    <cellStyle name="_PC_AIO_CIS_VSA 111014" xfId="0"/>
    <cellStyle name="_PC_AIO_CIS_VSA 111014 2" xfId="0"/>
    <cellStyle name="_PC_AIO_CIS_VSA 111014 3" xfId="0"/>
    <cellStyle name="_PC_AIO_CIS_VSA 111014 4" xfId="0"/>
    <cellStyle name="_PC_AIO_CIS_VSA 111014 4 2" xfId="0"/>
    <cellStyle name="_PC_AIO_CIS_VSA 111014_By Region" xfId="0"/>
    <cellStyle name="_PC_AIO_CIS_VSA 111014_CORP SG&amp;A" xfId="0"/>
    <cellStyle name="_PC_AIO_CIS_VSA 111014_LCD" xfId="0"/>
    <cellStyle name="_PC_AIO_CIS_VSA 111014_PJ" xfId="0"/>
    <cellStyle name="_PC_AIO_CIS_VSA Roll-Up (LW)" xfId="0"/>
    <cellStyle name="_PC_AIO_CIS_VSA Roll-Up (LW) 2" xfId="0"/>
    <cellStyle name="_PC_AIO_CIS_VSA Roll-Up (LW) 3" xfId="0"/>
    <cellStyle name="_PC_AIO_CIS_VSA Roll-Up (LW) 4" xfId="0"/>
    <cellStyle name="_PC_AIO_CIS_VSA Roll-Up (LW) 4 2" xfId="0"/>
    <cellStyle name="_PC_AIO_CIS_VSA Roll-Up (LW)_By Region" xfId="0"/>
    <cellStyle name="_PC_AIO_CIS_VSA Roll-Up (LW)_CORP SG&amp;A" xfId="0"/>
    <cellStyle name="_PC_AIO_CIS_VSA Roll-Up (LW)_LCD" xfId="0"/>
    <cellStyle name="_PC_AIO_CIS_VSA Roll-Up (LW)_PJ" xfId="0"/>
    <cellStyle name="_PC_AIO_CORP SG&amp;A" xfId="0"/>
    <cellStyle name="_PC_AIO_CRT" xfId="0"/>
    <cellStyle name="_PC_AIO_CRT 2" xfId="0"/>
    <cellStyle name="_PC_AIO_CRT 3" xfId="0"/>
    <cellStyle name="_PC_AIO_CRT 4" xfId="0"/>
    <cellStyle name="_PC_AIO_CRT_By Region" xfId="0"/>
    <cellStyle name="_PC_AIO_CRT_CORP SG&amp;A" xfId="0"/>
    <cellStyle name="_PC_AIO_CRT_GPS OTHER" xfId="0"/>
    <cellStyle name="_PC_AIO_CRT_GPS OTHER 2" xfId="0"/>
    <cellStyle name="_PC_AIO_CRT_GPS OTHER 3" xfId="0"/>
    <cellStyle name="_PC_AIO_CRT_GPS OTHER 4" xfId="0"/>
    <cellStyle name="_PC_AIO_CRT_GPS OTHER 4 2" xfId="0"/>
    <cellStyle name="_PC_AIO_CRT_GPS OTHER_By Region" xfId="0"/>
    <cellStyle name="_PC_AIO_CRT_GPS OTHER_CORP SG&amp;A" xfId="0"/>
    <cellStyle name="_PC_AIO_CRT_GPS OTHER_LCD" xfId="0"/>
    <cellStyle name="_PC_AIO_CRT_GPS OTHER_PJ" xfId="0"/>
    <cellStyle name="_PC_AIO_CRT_LCD" xfId="0"/>
    <cellStyle name="_PC_AIO_CRT_LCD 2" xfId="0"/>
    <cellStyle name="_PC_AIO_CRT_LCD 3" xfId="0"/>
    <cellStyle name="_PC_AIO_CRT_LCD 4" xfId="0"/>
    <cellStyle name="_PC_AIO_CRT_LCD_By Region" xfId="0"/>
    <cellStyle name="_PC_AIO_CRT_LCD_CORP SG&amp;A" xfId="0"/>
    <cellStyle name="_PC_AIO_CRT_LCD_LCD" xfId="0"/>
    <cellStyle name="_PC_AIO_CRT_LCD_PJ" xfId="0"/>
    <cellStyle name="_PC_AIO_CRT_PC Products" xfId="0"/>
    <cellStyle name="_PC_AIO_CRT_PC Products 2" xfId="0"/>
    <cellStyle name="_PC_AIO_CRT_PC Products 3" xfId="0"/>
    <cellStyle name="_PC_AIO_CRT_PC Products 4" xfId="0"/>
    <cellStyle name="_PC_AIO_CRT_PC Products 4 2" xfId="0"/>
    <cellStyle name="_PC_AIO_CRT_PC Products_By Region" xfId="0"/>
    <cellStyle name="_PC_AIO_CRT_PC Products_CORP SG&amp;A" xfId="0"/>
    <cellStyle name="_PC_AIO_CRT_PC Products_LCD" xfId="0"/>
    <cellStyle name="_PC_AIO_CRT_PC Products_PJ" xfId="0"/>
    <cellStyle name="_PC_AIO_CRT_VSA 111014" xfId="0"/>
    <cellStyle name="_PC_AIO_CRT_VSA 111014 2" xfId="0"/>
    <cellStyle name="_PC_AIO_CRT_VSA 111014 3" xfId="0"/>
    <cellStyle name="_PC_AIO_CRT_VSA 111014 4" xfId="0"/>
    <cellStyle name="_PC_AIO_CRT_VSA 111014 4 2" xfId="0"/>
    <cellStyle name="_PC_AIO_CRT_VSA 111014_By Region" xfId="0"/>
    <cellStyle name="_PC_AIO_CRT_VSA 111014_CORP SG&amp;A" xfId="0"/>
    <cellStyle name="_PC_AIO_CRT_VSA 111014_LCD" xfId="0"/>
    <cellStyle name="_PC_AIO_CRT_VSA 111014_PJ" xfId="0"/>
    <cellStyle name="_PC_AIO_CRT_VSA Roll-Up (LW)" xfId="0"/>
    <cellStyle name="_PC_AIO_CRT_VSA Roll-Up (LW) 2" xfId="0"/>
    <cellStyle name="_PC_AIO_CRT_VSA Roll-Up (LW) 3" xfId="0"/>
    <cellStyle name="_PC_AIO_CRT_VSA Roll-Up (LW) 4" xfId="0"/>
    <cellStyle name="_PC_AIO_CRT_VSA Roll-Up (LW) 4 2" xfId="0"/>
    <cellStyle name="_PC_AIO_CRT_VSA Roll-Up (LW)_By Region" xfId="0"/>
    <cellStyle name="_PC_AIO_CRT_VSA Roll-Up (LW)_CORP SG&amp;A" xfId="0"/>
    <cellStyle name="_PC_AIO_CRT_VSA Roll-Up (LW)_LCD" xfId="0"/>
    <cellStyle name="_PC_AIO_CRT_VSA Roll-Up (LW)_PJ" xfId="0"/>
    <cellStyle name="_PC_AIO_Diff" xfId="0"/>
    <cellStyle name="_PC_AIO_Diff 2" xfId="0"/>
    <cellStyle name="_PC_AIO_Diff 3" xfId="0"/>
    <cellStyle name="_PC_AIO_Diff 4" xfId="0"/>
    <cellStyle name="_PC_AIO_Diff_By Region" xfId="0"/>
    <cellStyle name="_PC_AIO_Diff_CORP SG&amp;A" xfId="0"/>
    <cellStyle name="_PC_AIO_Diff_GPS OTHER" xfId="0"/>
    <cellStyle name="_PC_AIO_Diff_GPS OTHER 2" xfId="0"/>
    <cellStyle name="_PC_AIO_Diff_GPS OTHER 3" xfId="0"/>
    <cellStyle name="_PC_AIO_Diff_GPS OTHER 4" xfId="0"/>
    <cellStyle name="_PC_AIO_Diff_GPS OTHER 4 2" xfId="0"/>
    <cellStyle name="_PC_AIO_Diff_GPS OTHER_By Region" xfId="0"/>
    <cellStyle name="_PC_AIO_Diff_GPS OTHER_CORP SG&amp;A" xfId="0"/>
    <cellStyle name="_PC_AIO_Diff_GPS OTHER_LCD" xfId="0"/>
    <cellStyle name="_PC_AIO_Diff_GPS OTHER_PJ" xfId="0"/>
    <cellStyle name="_PC_AIO_Diff_LCD" xfId="0"/>
    <cellStyle name="_PC_AIO_Diff_LCD 2" xfId="0"/>
    <cellStyle name="_PC_AIO_Diff_LCD 3" xfId="0"/>
    <cellStyle name="_PC_AIO_Diff_LCD 4" xfId="0"/>
    <cellStyle name="_PC_AIO_Diff_LCD_By Region" xfId="0"/>
    <cellStyle name="_PC_AIO_Diff_LCD_CORP SG&amp;A" xfId="0"/>
    <cellStyle name="_PC_AIO_Diff_LCD_LCD" xfId="0"/>
    <cellStyle name="_PC_AIO_Diff_LCD_PJ" xfId="0"/>
    <cellStyle name="_PC_AIO_Diff_PC Products" xfId="0"/>
    <cellStyle name="_PC_AIO_Diff_PC Products 2" xfId="0"/>
    <cellStyle name="_PC_AIO_Diff_PC Products 3" xfId="0"/>
    <cellStyle name="_PC_AIO_Diff_PC Products 4" xfId="0"/>
    <cellStyle name="_PC_AIO_Diff_PC Products 4 2" xfId="0"/>
    <cellStyle name="_PC_AIO_Diff_PC Products_By Region" xfId="0"/>
    <cellStyle name="_PC_AIO_Diff_PC Products_CORP SG&amp;A" xfId="0"/>
    <cellStyle name="_PC_AIO_Diff_PC Products_LCD" xfId="0"/>
    <cellStyle name="_PC_AIO_Diff_PC Products_PJ" xfId="0"/>
    <cellStyle name="_PC_AIO_Diff_VSA 111014" xfId="0"/>
    <cellStyle name="_PC_AIO_Diff_VSA 111014 2" xfId="0"/>
    <cellStyle name="_PC_AIO_Diff_VSA 111014 3" xfId="0"/>
    <cellStyle name="_PC_AIO_Diff_VSA 111014 4" xfId="0"/>
    <cellStyle name="_PC_AIO_Diff_VSA 111014 4 2" xfId="0"/>
    <cellStyle name="_PC_AIO_Diff_VSA 111014_By Region" xfId="0"/>
    <cellStyle name="_PC_AIO_Diff_VSA 111014_CORP SG&amp;A" xfId="0"/>
    <cellStyle name="_PC_AIO_Diff_VSA 111014_LCD" xfId="0"/>
    <cellStyle name="_PC_AIO_Diff_VSA 111014_PJ" xfId="0"/>
    <cellStyle name="_PC_AIO_Diff_VSA Roll-Up (LW)" xfId="0"/>
    <cellStyle name="_PC_AIO_Diff_VSA Roll-Up (LW) 2" xfId="0"/>
    <cellStyle name="_PC_AIO_Diff_VSA Roll-Up (LW) 3" xfId="0"/>
    <cellStyle name="_PC_AIO_Diff_VSA Roll-Up (LW) 4" xfId="0"/>
    <cellStyle name="_PC_AIO_Diff_VSA Roll-Up (LW) 4 2" xfId="0"/>
    <cellStyle name="_PC_AIO_Diff_VSA Roll-Up (LW)_By Region" xfId="0"/>
    <cellStyle name="_PC_AIO_Diff_VSA Roll-Up (LW)_CORP SG&amp;A" xfId="0"/>
    <cellStyle name="_PC_AIO_Diff_VSA Roll-Up (LW)_LCD" xfId="0"/>
    <cellStyle name="_PC_AIO_Diff_VSA Roll-Up (LW)_PJ" xfId="0"/>
    <cellStyle name="_PC_AIO_Digital Product" xfId="0"/>
    <cellStyle name="_PC_AIO_Digital Product 2" xfId="0"/>
    <cellStyle name="_PC_AIO_Digital Product 3" xfId="0"/>
    <cellStyle name="_PC_AIO_Digital Product 4" xfId="0"/>
    <cellStyle name="_PC_AIO_Digital Product_By Region" xfId="0"/>
    <cellStyle name="_PC_AIO_Digital Product_CORP SG&amp;A" xfId="0"/>
    <cellStyle name="_PC_AIO_Digital Product_GPS OTHER" xfId="0"/>
    <cellStyle name="_PC_AIO_Digital Product_GPS OTHER 2" xfId="0"/>
    <cellStyle name="_PC_AIO_Digital Product_GPS OTHER 3" xfId="0"/>
    <cellStyle name="_PC_AIO_Digital Product_GPS OTHER 4" xfId="0"/>
    <cellStyle name="_PC_AIO_Digital Product_GPS OTHER 4 2" xfId="0"/>
    <cellStyle name="_PC_AIO_Digital Product_GPS OTHER_By Region" xfId="0"/>
    <cellStyle name="_PC_AIO_Digital Product_GPS OTHER_CORP SG&amp;A" xfId="0"/>
    <cellStyle name="_PC_AIO_Digital Product_GPS OTHER_LCD" xfId="0"/>
    <cellStyle name="_PC_AIO_Digital Product_GPS OTHER_PJ" xfId="0"/>
    <cellStyle name="_PC_AIO_Digital Product_LCD" xfId="0"/>
    <cellStyle name="_PC_AIO_Digital Product_LCD 2" xfId="0"/>
    <cellStyle name="_PC_AIO_Digital Product_LCD 3" xfId="0"/>
    <cellStyle name="_PC_AIO_Digital Product_LCD 4" xfId="0"/>
    <cellStyle name="_PC_AIO_Digital Product_LCD_By Region" xfId="0"/>
    <cellStyle name="_PC_AIO_Digital Product_LCD_CORP SG&amp;A" xfId="0"/>
    <cellStyle name="_PC_AIO_Digital Product_LCD_LCD" xfId="0"/>
    <cellStyle name="_PC_AIO_Digital Product_LCD_PJ" xfId="0"/>
    <cellStyle name="_PC_AIO_Digital Product_PC Products" xfId="0"/>
    <cellStyle name="_PC_AIO_Digital Product_PC Products 2" xfId="0"/>
    <cellStyle name="_PC_AIO_Digital Product_PC Products 3" xfId="0"/>
    <cellStyle name="_PC_AIO_Digital Product_PC Products 4" xfId="0"/>
    <cellStyle name="_PC_AIO_Digital Product_PC Products 4 2" xfId="0"/>
    <cellStyle name="_PC_AIO_Digital Product_PC Products_By Region" xfId="0"/>
    <cellStyle name="_PC_AIO_Digital Product_PC Products_CORP SG&amp;A" xfId="0"/>
    <cellStyle name="_PC_AIO_Digital Product_PC Products_LCD" xfId="0"/>
    <cellStyle name="_PC_AIO_Digital Product_PC Products_PJ" xfId="0"/>
    <cellStyle name="_PC_AIO_Digital Product_VSA 111014" xfId="0"/>
    <cellStyle name="_PC_AIO_Digital Product_VSA 111014 2" xfId="0"/>
    <cellStyle name="_PC_AIO_Digital Product_VSA 111014 3" xfId="0"/>
    <cellStyle name="_PC_AIO_Digital Product_VSA 111014 4" xfId="0"/>
    <cellStyle name="_PC_AIO_Digital Product_VSA 111014 4 2" xfId="0"/>
    <cellStyle name="_PC_AIO_Digital Product_VSA 111014_By Region" xfId="0"/>
    <cellStyle name="_PC_AIO_Digital Product_VSA 111014_CORP SG&amp;A" xfId="0"/>
    <cellStyle name="_PC_AIO_Digital Product_VSA 111014_LCD" xfId="0"/>
    <cellStyle name="_PC_AIO_Digital Product_VSA 111014_PJ" xfId="0"/>
    <cellStyle name="_PC_AIO_Digital Product_VSA Roll-Up (LW)" xfId="0"/>
    <cellStyle name="_PC_AIO_Digital Product_VSA Roll-Up (LW) 2" xfId="0"/>
    <cellStyle name="_PC_AIO_Digital Product_VSA Roll-Up (LW) 3" xfId="0"/>
    <cellStyle name="_PC_AIO_Digital Product_VSA Roll-Up (LW) 4" xfId="0"/>
    <cellStyle name="_PC_AIO_Digital Product_VSA Roll-Up (LW) 4 2" xfId="0"/>
    <cellStyle name="_PC_AIO_Digital Product_VSA Roll-Up (LW)_By Region" xfId="0"/>
    <cellStyle name="_PC_AIO_Digital Product_VSA Roll-Up (LW)_CORP SG&amp;A" xfId="0"/>
    <cellStyle name="_PC_AIO_Digital Product_VSA Roll-Up (LW)_LCD" xfId="0"/>
    <cellStyle name="_PC_AIO_Digital Product_VSA Roll-Up (LW)_PJ" xfId="0"/>
    <cellStyle name="_PC_AIO_Digital Signage" xfId="0"/>
    <cellStyle name="_PC_AIO_Digital Signage 2" xfId="0"/>
    <cellStyle name="_PC_AIO_Digital Signage 3" xfId="0"/>
    <cellStyle name="_PC_AIO_Digital Signage 4" xfId="0"/>
    <cellStyle name="_PC_AIO_Digital Signage_By Region" xfId="0"/>
    <cellStyle name="_PC_AIO_Digital Signage_CORP SG&amp;A" xfId="0"/>
    <cellStyle name="_PC_AIO_Digital Signage_GPS OTHER" xfId="0"/>
    <cellStyle name="_PC_AIO_Digital Signage_GPS OTHER 2" xfId="0"/>
    <cellStyle name="_PC_AIO_Digital Signage_GPS OTHER 3" xfId="0"/>
    <cellStyle name="_PC_AIO_Digital Signage_GPS OTHER 4" xfId="0"/>
    <cellStyle name="_PC_AIO_Digital Signage_GPS OTHER 4 2" xfId="0"/>
    <cellStyle name="_PC_AIO_Digital Signage_GPS OTHER_By Region" xfId="0"/>
    <cellStyle name="_PC_AIO_Digital Signage_GPS OTHER_CORP SG&amp;A" xfId="0"/>
    <cellStyle name="_PC_AIO_Digital Signage_GPS OTHER_LCD" xfId="0"/>
    <cellStyle name="_PC_AIO_Digital Signage_GPS OTHER_PJ" xfId="0"/>
    <cellStyle name="_PC_AIO_Digital Signage_LCD" xfId="0"/>
    <cellStyle name="_PC_AIO_Digital Signage_LCD 2" xfId="0"/>
    <cellStyle name="_PC_AIO_Digital Signage_LCD 3" xfId="0"/>
    <cellStyle name="_PC_AIO_Digital Signage_LCD 4" xfId="0"/>
    <cellStyle name="_PC_AIO_Digital Signage_LCD_By Region" xfId="0"/>
    <cellStyle name="_PC_AIO_Digital Signage_LCD_CORP SG&amp;A" xfId="0"/>
    <cellStyle name="_PC_AIO_Digital Signage_LCD_LCD" xfId="0"/>
    <cellStyle name="_PC_AIO_Digital Signage_LCD_PJ" xfId="0"/>
    <cellStyle name="_PC_AIO_Digital Signage_PC Products" xfId="0"/>
    <cellStyle name="_PC_AIO_Digital Signage_PC Products 2" xfId="0"/>
    <cellStyle name="_PC_AIO_Digital Signage_PC Products 3" xfId="0"/>
    <cellStyle name="_PC_AIO_Digital Signage_PC Products 4" xfId="0"/>
    <cellStyle name="_PC_AIO_Digital Signage_PC Products 4 2" xfId="0"/>
    <cellStyle name="_PC_AIO_Digital Signage_PC Products_By Region" xfId="0"/>
    <cellStyle name="_PC_AIO_Digital Signage_PC Products_CORP SG&amp;A" xfId="0"/>
    <cellStyle name="_PC_AIO_Digital Signage_PC Products_LCD" xfId="0"/>
    <cellStyle name="_PC_AIO_Digital Signage_PC Products_PJ" xfId="0"/>
    <cellStyle name="_PC_AIO_Digital Signage_VSA 111014" xfId="0"/>
    <cellStyle name="_PC_AIO_Digital Signage_VSA 111014 2" xfId="0"/>
    <cellStyle name="_PC_AIO_Digital Signage_VSA 111014 3" xfId="0"/>
    <cellStyle name="_PC_AIO_Digital Signage_VSA 111014 4" xfId="0"/>
    <cellStyle name="_PC_AIO_Digital Signage_VSA 111014 4 2" xfId="0"/>
    <cellStyle name="_PC_AIO_Digital Signage_VSA 111014_By Region" xfId="0"/>
    <cellStyle name="_PC_AIO_Digital Signage_VSA 111014_CORP SG&amp;A" xfId="0"/>
    <cellStyle name="_PC_AIO_Digital Signage_VSA 111014_LCD" xfId="0"/>
    <cellStyle name="_PC_AIO_Digital Signage_VSA 111014_PJ" xfId="0"/>
    <cellStyle name="_PC_AIO_Digital Signage_VSA Roll-Up (LW)" xfId="0"/>
    <cellStyle name="_PC_AIO_Digital Signage_VSA Roll-Up (LW) 2" xfId="0"/>
    <cellStyle name="_PC_AIO_Digital Signage_VSA Roll-Up (LW) 3" xfId="0"/>
    <cellStyle name="_PC_AIO_Digital Signage_VSA Roll-Up (LW) 4" xfId="0"/>
    <cellStyle name="_PC_AIO_Digital Signage_VSA Roll-Up (LW) 4 2" xfId="0"/>
    <cellStyle name="_PC_AIO_Digital Signage_VSA Roll-Up (LW)_By Region" xfId="0"/>
    <cellStyle name="_PC_AIO_Digital Signage_VSA Roll-Up (LW)_CORP SG&amp;A" xfId="0"/>
    <cellStyle name="_PC_AIO_Digital Signage_VSA Roll-Up (LW)_LCD" xfId="0"/>
    <cellStyle name="_PC_AIO_Digital Signage_VSA Roll-Up (LW)_PJ" xfId="0"/>
    <cellStyle name="_PC_AIO_DMA(VMP)" xfId="0"/>
    <cellStyle name="_PC_AIO_DMA(VMP) 2" xfId="0"/>
    <cellStyle name="_PC_AIO_DMA(VMP) 3" xfId="0"/>
    <cellStyle name="_PC_AIO_DMA(VMP) 4" xfId="0"/>
    <cellStyle name="_PC_AIO_DMA(VMP)_By Region" xfId="0"/>
    <cellStyle name="_PC_AIO_DMA(VMP)_CORP SG&amp;A" xfId="0"/>
    <cellStyle name="_PC_AIO_DMA(VMP)_GPS OTHER" xfId="0"/>
    <cellStyle name="_PC_AIO_DMA(VMP)_GPS OTHER 2" xfId="0"/>
    <cellStyle name="_PC_AIO_DMA(VMP)_GPS OTHER 3" xfId="0"/>
    <cellStyle name="_PC_AIO_DMA(VMP)_GPS OTHER 4" xfId="0"/>
    <cellStyle name="_PC_AIO_DMA(VMP)_GPS OTHER 4 2" xfId="0"/>
    <cellStyle name="_PC_AIO_DMA(VMP)_GPS OTHER_By Region" xfId="0"/>
    <cellStyle name="_PC_AIO_DMA(VMP)_GPS OTHER_CORP SG&amp;A" xfId="0"/>
    <cellStyle name="_PC_AIO_DMA(VMP)_GPS OTHER_LCD" xfId="0"/>
    <cellStyle name="_PC_AIO_DMA(VMP)_GPS OTHER_PJ" xfId="0"/>
    <cellStyle name="_PC_AIO_DMA(VMP)_LCD" xfId="0"/>
    <cellStyle name="_PC_AIO_DMA(VMP)_LCD 2" xfId="0"/>
    <cellStyle name="_PC_AIO_DMA(VMP)_LCD 3" xfId="0"/>
    <cellStyle name="_PC_AIO_DMA(VMP)_LCD 4" xfId="0"/>
    <cellStyle name="_PC_AIO_DMA(VMP)_LCD_By Region" xfId="0"/>
    <cellStyle name="_PC_AIO_DMA(VMP)_LCD_CORP SG&amp;A" xfId="0"/>
    <cellStyle name="_PC_AIO_DMA(VMP)_LCD_LCD" xfId="0"/>
    <cellStyle name="_PC_AIO_DMA(VMP)_LCD_PJ" xfId="0"/>
    <cellStyle name="_PC_AIO_DMA(VMP)_PC Products" xfId="0"/>
    <cellStyle name="_PC_AIO_DMA(VMP)_PC Products 2" xfId="0"/>
    <cellStyle name="_PC_AIO_DMA(VMP)_PC Products 3" xfId="0"/>
    <cellStyle name="_PC_AIO_DMA(VMP)_PC Products 4" xfId="0"/>
    <cellStyle name="_PC_AIO_DMA(VMP)_PC Products 4 2" xfId="0"/>
    <cellStyle name="_PC_AIO_DMA(VMP)_PC Products_By Region" xfId="0"/>
    <cellStyle name="_PC_AIO_DMA(VMP)_PC Products_CORP SG&amp;A" xfId="0"/>
    <cellStyle name="_PC_AIO_DMA(VMP)_PC Products_LCD" xfId="0"/>
    <cellStyle name="_PC_AIO_DMA(VMP)_PC Products_PJ" xfId="0"/>
    <cellStyle name="_PC_AIO_DMA(VMP)_VSA 111014" xfId="0"/>
    <cellStyle name="_PC_AIO_DMA(VMP)_VSA 111014 2" xfId="0"/>
    <cellStyle name="_PC_AIO_DMA(VMP)_VSA 111014 3" xfId="0"/>
    <cellStyle name="_PC_AIO_DMA(VMP)_VSA 111014 4" xfId="0"/>
    <cellStyle name="_PC_AIO_DMA(VMP)_VSA 111014 4 2" xfId="0"/>
    <cellStyle name="_PC_AIO_DMA(VMP)_VSA 111014_By Region" xfId="0"/>
    <cellStyle name="_PC_AIO_DMA(VMP)_VSA 111014_CORP SG&amp;A" xfId="0"/>
    <cellStyle name="_PC_AIO_DMA(VMP)_VSA 111014_LCD" xfId="0"/>
    <cellStyle name="_PC_AIO_DMA(VMP)_VSA 111014_PJ" xfId="0"/>
    <cellStyle name="_PC_AIO_DMA(VMP)_VSA Roll-Up (LW)" xfId="0"/>
    <cellStyle name="_PC_AIO_DMA(VMP)_VSA Roll-Up (LW) 2" xfId="0"/>
    <cellStyle name="_PC_AIO_DMA(VMP)_VSA Roll-Up (LW) 3" xfId="0"/>
    <cellStyle name="_PC_AIO_DMA(VMP)_VSA Roll-Up (LW) 4" xfId="0"/>
    <cellStyle name="_PC_AIO_DMA(VMP)_VSA Roll-Up (LW) 4 2" xfId="0"/>
    <cellStyle name="_PC_AIO_DMA(VMP)_VSA Roll-Up (LW)_By Region" xfId="0"/>
    <cellStyle name="_PC_AIO_DMA(VMP)_VSA Roll-Up (LW)_CORP SG&amp;A" xfId="0"/>
    <cellStyle name="_PC_AIO_DMA(VMP)_VSA Roll-Up (LW)_LCD" xfId="0"/>
    <cellStyle name="_PC_AIO_DMA(VMP)_VSA Roll-Up (LW)_PJ" xfId="0"/>
    <cellStyle name="_PC_AIO_DPF" xfId="0"/>
    <cellStyle name="_PC_AIO_DPF 2" xfId="0"/>
    <cellStyle name="_PC_AIO_DPF 3" xfId="0"/>
    <cellStyle name="_PC_AIO_DPF 4" xfId="0"/>
    <cellStyle name="_PC_AIO_DPF_By Region" xfId="0"/>
    <cellStyle name="_PC_AIO_DPF_CORP SG&amp;A" xfId="0"/>
    <cellStyle name="_PC_AIO_DPF_GPS OTHER" xfId="0"/>
    <cellStyle name="_PC_AIO_DPF_GPS OTHER 2" xfId="0"/>
    <cellStyle name="_PC_AIO_DPF_GPS OTHER 3" xfId="0"/>
    <cellStyle name="_PC_AIO_DPF_GPS OTHER 4" xfId="0"/>
    <cellStyle name="_PC_AIO_DPF_GPS OTHER 4 2" xfId="0"/>
    <cellStyle name="_PC_AIO_DPF_GPS OTHER_By Region" xfId="0"/>
    <cellStyle name="_PC_AIO_DPF_GPS OTHER_CORP SG&amp;A" xfId="0"/>
    <cellStyle name="_PC_AIO_DPF_GPS OTHER_LCD" xfId="0"/>
    <cellStyle name="_PC_AIO_DPF_GPS OTHER_PJ" xfId="0"/>
    <cellStyle name="_PC_AIO_DPF_LCD" xfId="0"/>
    <cellStyle name="_PC_AIO_DPF_LCD 2" xfId="0"/>
    <cellStyle name="_PC_AIO_DPF_LCD 3" xfId="0"/>
    <cellStyle name="_PC_AIO_DPF_LCD 4" xfId="0"/>
    <cellStyle name="_PC_AIO_DPF_LCD_By Region" xfId="0"/>
    <cellStyle name="_PC_AIO_DPF_LCD_CORP SG&amp;A" xfId="0"/>
    <cellStyle name="_PC_AIO_DPF_LCD_LCD" xfId="0"/>
    <cellStyle name="_PC_AIO_DPF_LCD_PJ" xfId="0"/>
    <cellStyle name="_PC_AIO_DPF_PC Products" xfId="0"/>
    <cellStyle name="_PC_AIO_DPF_PC Products 2" xfId="0"/>
    <cellStyle name="_PC_AIO_DPF_PC Products 3" xfId="0"/>
    <cellStyle name="_PC_AIO_DPF_PC Products 4" xfId="0"/>
    <cellStyle name="_PC_AIO_DPF_PC Products 4 2" xfId="0"/>
    <cellStyle name="_PC_AIO_DPF_PC Products_By Region" xfId="0"/>
    <cellStyle name="_PC_AIO_DPF_PC Products_CORP SG&amp;A" xfId="0"/>
    <cellStyle name="_PC_AIO_DPF_PC Products_LCD" xfId="0"/>
    <cellStyle name="_PC_AIO_DPF_PC Products_PJ" xfId="0"/>
    <cellStyle name="_PC_AIO_DPF_VSA 111014" xfId="0"/>
    <cellStyle name="_PC_AIO_DPF_VSA 111014 2" xfId="0"/>
    <cellStyle name="_PC_AIO_DPF_VSA 111014 3" xfId="0"/>
    <cellStyle name="_PC_AIO_DPF_VSA 111014 4" xfId="0"/>
    <cellStyle name="_PC_AIO_DPF_VSA 111014 4 2" xfId="0"/>
    <cellStyle name="_PC_AIO_DPF_VSA 111014_By Region" xfId="0"/>
    <cellStyle name="_PC_AIO_DPF_VSA 111014_CORP SG&amp;A" xfId="0"/>
    <cellStyle name="_PC_AIO_DPF_VSA 111014_LCD" xfId="0"/>
    <cellStyle name="_PC_AIO_DPF_VSA 111014_PJ" xfId="0"/>
    <cellStyle name="_PC_AIO_DPF_VSA Roll-Up (LW)" xfId="0"/>
    <cellStyle name="_PC_AIO_DPF_VSA Roll-Up (LW) 2" xfId="0"/>
    <cellStyle name="_PC_AIO_DPF_VSA Roll-Up (LW) 3" xfId="0"/>
    <cellStyle name="_PC_AIO_DPF_VSA Roll-Up (LW) 4" xfId="0"/>
    <cellStyle name="_PC_AIO_DPF_VSA Roll-Up (LW) 4 2" xfId="0"/>
    <cellStyle name="_PC_AIO_DPF_VSA Roll-Up (LW)_By Region" xfId="0"/>
    <cellStyle name="_PC_AIO_DPF_VSA Roll-Up (LW)_CORP SG&amp;A" xfId="0"/>
    <cellStyle name="_PC_AIO_DPF_VSA Roll-Up (LW)_LCD" xfId="0"/>
    <cellStyle name="_PC_AIO_DPF_VSA Roll-Up (LW)_PJ" xfId="0"/>
    <cellStyle name="_PC_AIO_DS" xfId="0"/>
    <cellStyle name="_PC_AIO_DS 2" xfId="0"/>
    <cellStyle name="_PC_AIO_DS 3" xfId="0"/>
    <cellStyle name="_PC_AIO_DS 4" xfId="0"/>
    <cellStyle name="_PC_AIO_DS_By Region" xfId="0"/>
    <cellStyle name="_PC_AIO_DS_CORP SG&amp;A" xfId="0"/>
    <cellStyle name="_PC_AIO_DS_GPS OTHER" xfId="0"/>
    <cellStyle name="_PC_AIO_DS_GPS OTHER 2" xfId="0"/>
    <cellStyle name="_PC_AIO_DS_GPS OTHER 3" xfId="0"/>
    <cellStyle name="_PC_AIO_DS_GPS OTHER 4" xfId="0"/>
    <cellStyle name="_PC_AIO_DS_GPS OTHER 4 2" xfId="0"/>
    <cellStyle name="_PC_AIO_DS_GPS OTHER_By Region" xfId="0"/>
    <cellStyle name="_PC_AIO_DS_GPS OTHER_CORP SG&amp;A" xfId="0"/>
    <cellStyle name="_PC_AIO_DS_GPS OTHER_LCD" xfId="0"/>
    <cellStyle name="_PC_AIO_DS_GPS OTHER_PJ" xfId="0"/>
    <cellStyle name="_PC_AIO_DS_LCD" xfId="0"/>
    <cellStyle name="_PC_AIO_DS_LCD 2" xfId="0"/>
    <cellStyle name="_PC_AIO_DS_LCD 3" xfId="0"/>
    <cellStyle name="_PC_AIO_DS_LCD 4" xfId="0"/>
    <cellStyle name="_PC_AIO_DS_LCD_By Region" xfId="0"/>
    <cellStyle name="_PC_AIO_DS_LCD_CORP SG&amp;A" xfId="0"/>
    <cellStyle name="_PC_AIO_DS_LCD_LCD" xfId="0"/>
    <cellStyle name="_PC_AIO_DS_LCD_PJ" xfId="0"/>
    <cellStyle name="_PC_AIO_DS_PC Products" xfId="0"/>
    <cellStyle name="_PC_AIO_DS_PC Products 2" xfId="0"/>
    <cellStyle name="_PC_AIO_DS_PC Products 3" xfId="0"/>
    <cellStyle name="_PC_AIO_DS_PC Products 4" xfId="0"/>
    <cellStyle name="_PC_AIO_DS_PC Products 4 2" xfId="0"/>
    <cellStyle name="_PC_AIO_DS_PC Products_By Region" xfId="0"/>
    <cellStyle name="_PC_AIO_DS_PC Products_CORP SG&amp;A" xfId="0"/>
    <cellStyle name="_PC_AIO_DS_PC Products_LCD" xfId="0"/>
    <cellStyle name="_PC_AIO_DS_PC Products_PJ" xfId="0"/>
    <cellStyle name="_PC_AIO_DS_VSA 111014" xfId="0"/>
    <cellStyle name="_PC_AIO_DS_VSA 111014 2" xfId="0"/>
    <cellStyle name="_PC_AIO_DS_VSA 111014 3" xfId="0"/>
    <cellStyle name="_PC_AIO_DS_VSA 111014 4" xfId="0"/>
    <cellStyle name="_PC_AIO_DS_VSA 111014 4 2" xfId="0"/>
    <cellStyle name="_PC_AIO_DS_VSA 111014_By Region" xfId="0"/>
    <cellStyle name="_PC_AIO_DS_VSA 111014_CORP SG&amp;A" xfId="0"/>
    <cellStyle name="_PC_AIO_DS_VSA 111014_LCD" xfId="0"/>
    <cellStyle name="_PC_AIO_DS_VSA 111014_PJ" xfId="0"/>
    <cellStyle name="_PC_AIO_DS_VSA Roll-Up (LW)" xfId="0"/>
    <cellStyle name="_PC_AIO_DS_VSA Roll-Up (LW) 2" xfId="0"/>
    <cellStyle name="_PC_AIO_DS_VSA Roll-Up (LW) 3" xfId="0"/>
    <cellStyle name="_PC_AIO_DS_VSA Roll-Up (LW) 4" xfId="0"/>
    <cellStyle name="_PC_AIO_DS_VSA Roll-Up (LW) 4 2" xfId="0"/>
    <cellStyle name="_PC_AIO_DS_VSA Roll-Up (LW)_By Region" xfId="0"/>
    <cellStyle name="_PC_AIO_DS_VSA Roll-Up (LW)_CORP SG&amp;A" xfId="0"/>
    <cellStyle name="_PC_AIO_DS_VSA Roll-Up (LW)_LCD" xfId="0"/>
    <cellStyle name="_PC_AIO_DS_VSA Roll-Up (LW)_PJ" xfId="0"/>
    <cellStyle name="_PC_AIO_DVD_TV" xfId="0"/>
    <cellStyle name="_PC_AIO_DVD_TV 2" xfId="0"/>
    <cellStyle name="_PC_AIO_DVD_TV 3" xfId="0"/>
    <cellStyle name="_PC_AIO_DVD_TV 4" xfId="0"/>
    <cellStyle name="_PC_AIO_DVD_TV_By Region" xfId="0"/>
    <cellStyle name="_PC_AIO_DVD_TV_CORP SG&amp;A" xfId="0"/>
    <cellStyle name="_PC_AIO_DVD_TV_GPS OTHER" xfId="0"/>
    <cellStyle name="_PC_AIO_DVD_TV_GPS OTHER 2" xfId="0"/>
    <cellStyle name="_PC_AIO_DVD_TV_GPS OTHER 3" xfId="0"/>
    <cellStyle name="_PC_AIO_DVD_TV_GPS OTHER 4" xfId="0"/>
    <cellStyle name="_PC_AIO_DVD_TV_GPS OTHER 4 2" xfId="0"/>
    <cellStyle name="_PC_AIO_DVD_TV_GPS OTHER_By Region" xfId="0"/>
    <cellStyle name="_PC_AIO_DVD_TV_GPS OTHER_CORP SG&amp;A" xfId="0"/>
    <cellStyle name="_PC_AIO_DVD_TV_GPS OTHER_LCD" xfId="0"/>
    <cellStyle name="_PC_AIO_DVD_TV_GPS OTHER_PJ" xfId="0"/>
    <cellStyle name="_PC_AIO_DVD_TV_LCD" xfId="0"/>
    <cellStyle name="_PC_AIO_DVD_TV_LCD 2" xfId="0"/>
    <cellStyle name="_PC_AIO_DVD_TV_LCD 3" xfId="0"/>
    <cellStyle name="_PC_AIO_DVD_TV_LCD 4" xfId="0"/>
    <cellStyle name="_PC_AIO_DVD_TV_LCD_By Region" xfId="0"/>
    <cellStyle name="_PC_AIO_DVD_TV_LCD_CORP SG&amp;A" xfId="0"/>
    <cellStyle name="_PC_AIO_DVD_TV_LCD_LCD" xfId="0"/>
    <cellStyle name="_PC_AIO_DVD_TV_LCD_PJ" xfId="0"/>
    <cellStyle name="_PC_AIO_DVD_TV_PC Products" xfId="0"/>
    <cellStyle name="_PC_AIO_DVD_TV_PC Products 2" xfId="0"/>
    <cellStyle name="_PC_AIO_DVD_TV_PC Products 3" xfId="0"/>
    <cellStyle name="_PC_AIO_DVD_TV_PC Products 4" xfId="0"/>
    <cellStyle name="_PC_AIO_DVD_TV_PC Products 4 2" xfId="0"/>
    <cellStyle name="_PC_AIO_DVD_TV_PC Products_By Region" xfId="0"/>
    <cellStyle name="_PC_AIO_DVD_TV_PC Products_CORP SG&amp;A" xfId="0"/>
    <cellStyle name="_PC_AIO_DVD_TV_PC Products_LCD" xfId="0"/>
    <cellStyle name="_PC_AIO_DVD_TV_PC Products_PJ" xfId="0"/>
    <cellStyle name="_PC_AIO_DVD_TV_VSA 111014" xfId="0"/>
    <cellStyle name="_PC_AIO_DVD_TV_VSA 111014 2" xfId="0"/>
    <cellStyle name="_PC_AIO_DVD_TV_VSA 111014 3" xfId="0"/>
    <cellStyle name="_PC_AIO_DVD_TV_VSA 111014 4" xfId="0"/>
    <cellStyle name="_PC_AIO_DVD_TV_VSA 111014 4 2" xfId="0"/>
    <cellStyle name="_PC_AIO_DVD_TV_VSA 111014_By Region" xfId="0"/>
    <cellStyle name="_PC_AIO_DVD_TV_VSA 111014_CORP SG&amp;A" xfId="0"/>
    <cellStyle name="_PC_AIO_DVD_TV_VSA 111014_LCD" xfId="0"/>
    <cellStyle name="_PC_AIO_DVD_TV_VSA 111014_PJ" xfId="0"/>
    <cellStyle name="_PC_AIO_DVD_TV_VSA Roll-Up (LW)" xfId="0"/>
    <cellStyle name="_PC_AIO_DVD_TV_VSA Roll-Up (LW) 2" xfId="0"/>
    <cellStyle name="_PC_AIO_DVD_TV_VSA Roll-Up (LW) 3" xfId="0"/>
    <cellStyle name="_PC_AIO_DVD_TV_VSA Roll-Up (LW) 4" xfId="0"/>
    <cellStyle name="_PC_AIO_DVD_TV_VSA Roll-Up (LW) 4 2" xfId="0"/>
    <cellStyle name="_PC_AIO_DVD_TV_VSA Roll-Up (LW)_By Region" xfId="0"/>
    <cellStyle name="_PC_AIO_DVD_TV_VSA Roll-Up (LW)_CORP SG&amp;A" xfId="0"/>
    <cellStyle name="_PC_AIO_DVD_TV_VSA Roll-Up (LW)_LCD" xfId="0"/>
    <cellStyle name="_PC_AIO_DVD_TV_VSA Roll-Up (LW)_PJ" xfId="0"/>
    <cellStyle name="_PC_AIO_GPS OTHER" xfId="0"/>
    <cellStyle name="_PC_AIO_GPS OTHER 2" xfId="0"/>
    <cellStyle name="_PC_AIO_GPS OTHER 3" xfId="0"/>
    <cellStyle name="_PC_AIO_GPS OTHER 4" xfId="0"/>
    <cellStyle name="_PC_AIO_GPS OTHER 4 2" xfId="0"/>
    <cellStyle name="_PC_AIO_GPS OTHER_By Region" xfId="0"/>
    <cellStyle name="_PC_AIO_GPS OTHER_CORP SG&amp;A" xfId="0"/>
    <cellStyle name="_PC_AIO_GPS OTHER_LCD" xfId="0"/>
    <cellStyle name="_PC_AIO_GPS OTHER_PJ" xfId="0"/>
    <cellStyle name="_PC_AIO_LCD" xfId="0"/>
    <cellStyle name="_PC_AIO_LCD 2" xfId="0"/>
    <cellStyle name="_PC_AIO_LCD 3" xfId="0"/>
    <cellStyle name="_PC_AIO_LCD 4" xfId="0"/>
    <cellStyle name="_PC_AIO_LCD_1" xfId="0"/>
    <cellStyle name="_PC_AIO_LCD_1 2" xfId="0"/>
    <cellStyle name="_PC_AIO_LCD_1 3" xfId="0"/>
    <cellStyle name="_PC_AIO_LCD_1 4" xfId="0"/>
    <cellStyle name="_PC_AIO_LCD_1_By Region" xfId="0"/>
    <cellStyle name="_PC_AIO_LCD_1_CORP SG&amp;A" xfId="0"/>
    <cellStyle name="_PC_AIO_LCD_1_LCD" xfId="0"/>
    <cellStyle name="_PC_AIO_LCD_1_PJ" xfId="0"/>
    <cellStyle name="_PC_AIO_LCD_By Region" xfId="0"/>
    <cellStyle name="_PC_AIO_LCD_CORP SG&amp;A" xfId="0"/>
    <cellStyle name="_PC_AIO_LCD_GPS OTHER" xfId="0"/>
    <cellStyle name="_PC_AIO_LCD_GPS OTHER 2" xfId="0"/>
    <cellStyle name="_PC_AIO_LCD_GPS OTHER 3" xfId="0"/>
    <cellStyle name="_PC_AIO_LCD_GPS OTHER 4" xfId="0"/>
    <cellStyle name="_PC_AIO_LCD_GPS OTHER 4 2" xfId="0"/>
    <cellStyle name="_PC_AIO_LCD_GPS OTHER_By Region" xfId="0"/>
    <cellStyle name="_PC_AIO_LCD_GPS OTHER_CORP SG&amp;A" xfId="0"/>
    <cellStyle name="_PC_AIO_LCD_GPS OTHER_LCD" xfId="0"/>
    <cellStyle name="_PC_AIO_LCD_GPS OTHER_PJ" xfId="0"/>
    <cellStyle name="_PC_AIO_LCD_LCD" xfId="0"/>
    <cellStyle name="_PC_AIO_LCD_LCD 2" xfId="0"/>
    <cellStyle name="_PC_AIO_LCD_LCD 3" xfId="0"/>
    <cellStyle name="_PC_AIO_LCD_LCD 4" xfId="0"/>
    <cellStyle name="_PC_AIO_LCD_LCD_By Region" xfId="0"/>
    <cellStyle name="_PC_AIO_LCD_LCD_CORP SG&amp;A" xfId="0"/>
    <cellStyle name="_PC_AIO_LCD_LCD_LCD" xfId="0"/>
    <cellStyle name="_PC_AIO_LCD_LCD_PJ" xfId="0"/>
    <cellStyle name="_PC_AIO_LCD_PC Products" xfId="0"/>
    <cellStyle name="_PC_AIO_LCD_PC Products 2" xfId="0"/>
    <cellStyle name="_PC_AIO_LCD_PC Products 3" xfId="0"/>
    <cellStyle name="_PC_AIO_LCD_PC Products 4" xfId="0"/>
    <cellStyle name="_PC_AIO_LCD_PC Products 4 2" xfId="0"/>
    <cellStyle name="_PC_AIO_LCD_PC Products_By Region" xfId="0"/>
    <cellStyle name="_PC_AIO_LCD_PC Products_CORP SG&amp;A" xfId="0"/>
    <cellStyle name="_PC_AIO_LCD_PC Products_LCD" xfId="0"/>
    <cellStyle name="_PC_AIO_LCD_PC Products_PJ" xfId="0"/>
    <cellStyle name="_PC_AIO_LCD_VSA 111014" xfId="0"/>
    <cellStyle name="_PC_AIO_LCD_VSA 111014 2" xfId="0"/>
    <cellStyle name="_PC_AIO_LCD_VSA 111014 3" xfId="0"/>
    <cellStyle name="_PC_AIO_LCD_VSA 111014 4" xfId="0"/>
    <cellStyle name="_PC_AIO_LCD_VSA 111014 4 2" xfId="0"/>
    <cellStyle name="_PC_AIO_LCD_VSA 111014_By Region" xfId="0"/>
    <cellStyle name="_PC_AIO_LCD_VSA 111014_CORP SG&amp;A" xfId="0"/>
    <cellStyle name="_PC_AIO_LCD_VSA 111014_LCD" xfId="0"/>
    <cellStyle name="_PC_AIO_LCD_VSA 111014_PJ" xfId="0"/>
    <cellStyle name="_PC_AIO_LCD_VSA Roll-Up (LW)" xfId="0"/>
    <cellStyle name="_PC_AIO_LCD_VSA Roll-Up (LW) 2" xfId="0"/>
    <cellStyle name="_PC_AIO_LCD_VSA Roll-Up (LW) 3" xfId="0"/>
    <cellStyle name="_PC_AIO_LCD_VSA Roll-Up (LW) 4" xfId="0"/>
    <cellStyle name="_PC_AIO_LCD_VSA Roll-Up (LW) 4 2" xfId="0"/>
    <cellStyle name="_PC_AIO_LCD_VSA Roll-Up (LW)_By Region" xfId="0"/>
    <cellStyle name="_PC_AIO_LCD_VSA Roll-Up (LW)_CORP SG&amp;A" xfId="0"/>
    <cellStyle name="_PC_AIO_LCD_VSA Roll-Up (LW)_LCD" xfId="0"/>
    <cellStyle name="_PC_AIO_LCD_VSA Roll-Up (LW)_PJ" xfId="0"/>
    <cellStyle name="_PC_AIO_LCDTV" xfId="0"/>
    <cellStyle name="_PC_AIO_LCDTV 2" xfId="0"/>
    <cellStyle name="_PC_AIO_LCDTV 3" xfId="0"/>
    <cellStyle name="_PC_AIO_LCDTV 4" xfId="0"/>
    <cellStyle name="_PC_AIO_LCDTV_By Region" xfId="0"/>
    <cellStyle name="_PC_AIO_LCDTV_CORP SG&amp;A" xfId="0"/>
    <cellStyle name="_PC_AIO_LCDTV_GPS OTHER" xfId="0"/>
    <cellStyle name="_PC_AIO_LCDTV_GPS OTHER 2" xfId="0"/>
    <cellStyle name="_PC_AIO_LCDTV_GPS OTHER 3" xfId="0"/>
    <cellStyle name="_PC_AIO_LCDTV_GPS OTHER 4" xfId="0"/>
    <cellStyle name="_PC_AIO_LCDTV_GPS OTHER 4 2" xfId="0"/>
    <cellStyle name="_PC_AIO_LCDTV_GPS OTHER_By Region" xfId="0"/>
    <cellStyle name="_PC_AIO_LCDTV_GPS OTHER_CORP SG&amp;A" xfId="0"/>
    <cellStyle name="_PC_AIO_LCDTV_GPS OTHER_LCD" xfId="0"/>
    <cellStyle name="_PC_AIO_LCDTV_GPS OTHER_PJ" xfId="0"/>
    <cellStyle name="_PC_AIO_LCDTV_LCD" xfId="0"/>
    <cellStyle name="_PC_AIO_LCDTV_LCD 2" xfId="0"/>
    <cellStyle name="_PC_AIO_LCDTV_LCD 3" xfId="0"/>
    <cellStyle name="_PC_AIO_LCDTV_LCD 4" xfId="0"/>
    <cellStyle name="_PC_AIO_LCDTV_LCD_By Region" xfId="0"/>
    <cellStyle name="_PC_AIO_LCDTV_LCD_CORP SG&amp;A" xfId="0"/>
    <cellStyle name="_PC_AIO_LCDTV_LCD_LCD" xfId="0"/>
    <cellStyle name="_PC_AIO_LCDTV_LCD_PJ" xfId="0"/>
    <cellStyle name="_PC_AIO_LCDTV_PC Products" xfId="0"/>
    <cellStyle name="_PC_AIO_LCDTV_PC Products 2" xfId="0"/>
    <cellStyle name="_PC_AIO_LCDTV_PC Products 3" xfId="0"/>
    <cellStyle name="_PC_AIO_LCDTV_PC Products 4" xfId="0"/>
    <cellStyle name="_PC_AIO_LCDTV_PC Products 4 2" xfId="0"/>
    <cellStyle name="_PC_AIO_LCDTV_PC Products_By Region" xfId="0"/>
    <cellStyle name="_PC_AIO_LCDTV_PC Products_CORP SG&amp;A" xfId="0"/>
    <cellStyle name="_PC_AIO_LCDTV_PC Products_LCD" xfId="0"/>
    <cellStyle name="_PC_AIO_LCDTV_PC Products_PJ" xfId="0"/>
    <cellStyle name="_PC_AIO_LCDTV_VSA 111014" xfId="0"/>
    <cellStyle name="_PC_AIO_LCDTV_VSA 111014 2" xfId="0"/>
    <cellStyle name="_PC_AIO_LCDTV_VSA 111014 3" xfId="0"/>
    <cellStyle name="_PC_AIO_LCDTV_VSA 111014 4" xfId="0"/>
    <cellStyle name="_PC_AIO_LCDTV_VSA 111014 4 2" xfId="0"/>
    <cellStyle name="_PC_AIO_LCDTV_VSA 111014_By Region" xfId="0"/>
    <cellStyle name="_PC_AIO_LCDTV_VSA 111014_CORP SG&amp;A" xfId="0"/>
    <cellStyle name="_PC_AIO_LCDTV_VSA 111014_LCD" xfId="0"/>
    <cellStyle name="_PC_AIO_LCDTV_VSA 111014_PJ" xfId="0"/>
    <cellStyle name="_PC_AIO_LCDTV_VSA Roll-Up (LW)" xfId="0"/>
    <cellStyle name="_PC_AIO_LCDTV_VSA Roll-Up (LW) 2" xfId="0"/>
    <cellStyle name="_PC_AIO_LCDTV_VSA Roll-Up (LW) 3" xfId="0"/>
    <cellStyle name="_PC_AIO_LCDTV_VSA Roll-Up (LW) 4" xfId="0"/>
    <cellStyle name="_PC_AIO_LCDTV_VSA Roll-Up (LW) 4 2" xfId="0"/>
    <cellStyle name="_PC_AIO_LCDTV_VSA Roll-Up (LW)_By Region" xfId="0"/>
    <cellStyle name="_PC_AIO_LCDTV_VSA Roll-Up (LW)_CORP SG&amp;A" xfId="0"/>
    <cellStyle name="_PC_AIO_LCDTV_VSA Roll-Up (LW)_LCD" xfId="0"/>
    <cellStyle name="_PC_AIO_LCDTV_VSA Roll-Up (LW)_PJ" xfId="0"/>
    <cellStyle name="_PC_AIO_MNT" xfId="0"/>
    <cellStyle name="_PC_AIO_MNT 2" xfId="0"/>
    <cellStyle name="_PC_AIO_MNT 3" xfId="0"/>
    <cellStyle name="_PC_AIO_MNT 4" xfId="0"/>
    <cellStyle name="_PC_AIO_MNT_By Region" xfId="0"/>
    <cellStyle name="_PC_AIO_MNT_CORP SG&amp;A" xfId="0"/>
    <cellStyle name="_PC_AIO_MNT_GPS OTHER" xfId="0"/>
    <cellStyle name="_PC_AIO_MNT_GPS OTHER 2" xfId="0"/>
    <cellStyle name="_PC_AIO_MNT_GPS OTHER 3" xfId="0"/>
    <cellStyle name="_PC_AIO_MNT_GPS OTHER 4" xfId="0"/>
    <cellStyle name="_PC_AIO_MNT_GPS OTHER 4 2" xfId="0"/>
    <cellStyle name="_PC_AIO_MNT_GPS OTHER_By Region" xfId="0"/>
    <cellStyle name="_PC_AIO_MNT_GPS OTHER_CORP SG&amp;A" xfId="0"/>
    <cellStyle name="_PC_AIO_MNT_GPS OTHER_LCD" xfId="0"/>
    <cellStyle name="_PC_AIO_MNT_GPS OTHER_PJ" xfId="0"/>
    <cellStyle name="_PC_AIO_MNT_LCD" xfId="0"/>
    <cellStyle name="_PC_AIO_MNT_LCD 2" xfId="0"/>
    <cellStyle name="_PC_AIO_MNT_LCD 3" xfId="0"/>
    <cellStyle name="_PC_AIO_MNT_LCD 4" xfId="0"/>
    <cellStyle name="_PC_AIO_MNT_LCD_By Region" xfId="0"/>
    <cellStyle name="_PC_AIO_MNT_LCD_CORP SG&amp;A" xfId="0"/>
    <cellStyle name="_PC_AIO_MNT_LCD_LCD" xfId="0"/>
    <cellStyle name="_PC_AIO_MNT_LCD_PJ" xfId="0"/>
    <cellStyle name="_PC_AIO_MNT_PC Products" xfId="0"/>
    <cellStyle name="_PC_AIO_MNT_PC Products 2" xfId="0"/>
    <cellStyle name="_PC_AIO_MNT_PC Products 3" xfId="0"/>
    <cellStyle name="_PC_AIO_MNT_PC Products 4" xfId="0"/>
    <cellStyle name="_PC_AIO_MNT_PC Products 4 2" xfId="0"/>
    <cellStyle name="_PC_AIO_MNT_PC Products_By Region" xfId="0"/>
    <cellStyle name="_PC_AIO_MNT_PC Products_CORP SG&amp;A" xfId="0"/>
    <cellStyle name="_PC_AIO_MNT_PC Products_LCD" xfId="0"/>
    <cellStyle name="_PC_AIO_MNT_PC Products_PJ" xfId="0"/>
    <cellStyle name="_PC_AIO_MNT_VSA 111014" xfId="0"/>
    <cellStyle name="_PC_AIO_MNT_VSA 111014 2" xfId="0"/>
    <cellStyle name="_PC_AIO_MNT_VSA 111014 3" xfId="0"/>
    <cellStyle name="_PC_AIO_MNT_VSA 111014 4" xfId="0"/>
    <cellStyle name="_PC_AIO_MNT_VSA 111014 4 2" xfId="0"/>
    <cellStyle name="_PC_AIO_MNT_VSA 111014_By Region" xfId="0"/>
    <cellStyle name="_PC_AIO_MNT_VSA 111014_CORP SG&amp;A" xfId="0"/>
    <cellStyle name="_PC_AIO_MNT_VSA 111014_LCD" xfId="0"/>
    <cellStyle name="_PC_AIO_MNT_VSA 111014_PJ" xfId="0"/>
    <cellStyle name="_PC_AIO_MNT_VSA Roll-Up (LW)" xfId="0"/>
    <cellStyle name="_PC_AIO_MNT_VSA Roll-Up (LW) 2" xfId="0"/>
    <cellStyle name="_PC_AIO_MNT_VSA Roll-Up (LW) 3" xfId="0"/>
    <cellStyle name="_PC_AIO_MNT_VSA Roll-Up (LW) 4" xfId="0"/>
    <cellStyle name="_PC_AIO_MNT_VSA Roll-Up (LW) 4 2" xfId="0"/>
    <cellStyle name="_PC_AIO_MNT_VSA Roll-Up (LW)_By Region" xfId="0"/>
    <cellStyle name="_PC_AIO_MNT_VSA Roll-Up (LW)_CORP SG&amp;A" xfId="0"/>
    <cellStyle name="_PC_AIO_MNT_VSA Roll-Up (LW)_LCD" xfId="0"/>
    <cellStyle name="_PC_AIO_MNT_VSA Roll-Up (LW)_PJ" xfId="0"/>
    <cellStyle name="_PC_AIO_Other" xfId="0"/>
    <cellStyle name="_PC_AIO_Other 2" xfId="0"/>
    <cellStyle name="_PC_AIO_Other 3" xfId="0"/>
    <cellStyle name="_PC_AIO_Other 4" xfId="0"/>
    <cellStyle name="_PC_AIO_Other_By Region" xfId="0"/>
    <cellStyle name="_PC_AIO_Other_CORP SG&amp;A" xfId="0"/>
    <cellStyle name="_PC_AIO_Other_GPS OTHER" xfId="0"/>
    <cellStyle name="_PC_AIO_Other_GPS OTHER 2" xfId="0"/>
    <cellStyle name="_PC_AIO_Other_GPS OTHER 3" xfId="0"/>
    <cellStyle name="_PC_AIO_Other_GPS OTHER 4" xfId="0"/>
    <cellStyle name="_PC_AIO_Other_GPS OTHER 4 2" xfId="0"/>
    <cellStyle name="_PC_AIO_Other_GPS OTHER_By Region" xfId="0"/>
    <cellStyle name="_PC_AIO_Other_GPS OTHER_CORP SG&amp;A" xfId="0"/>
    <cellStyle name="_PC_AIO_Other_GPS OTHER_LCD" xfId="0"/>
    <cellStyle name="_PC_AIO_Other_GPS OTHER_PJ" xfId="0"/>
    <cellStyle name="_PC_AIO_Other_LCD" xfId="0"/>
    <cellStyle name="_PC_AIO_Other_LCD 2" xfId="0"/>
    <cellStyle name="_PC_AIO_Other_LCD 3" xfId="0"/>
    <cellStyle name="_PC_AIO_Other_LCD 4" xfId="0"/>
    <cellStyle name="_PC_AIO_Other_LCD_By Region" xfId="0"/>
    <cellStyle name="_PC_AIO_Other_LCD_CORP SG&amp;A" xfId="0"/>
    <cellStyle name="_PC_AIO_Other_LCD_LCD" xfId="0"/>
    <cellStyle name="_PC_AIO_Other_LCD_PJ" xfId="0"/>
    <cellStyle name="_PC_AIO_Other_PC Products" xfId="0"/>
    <cellStyle name="_PC_AIO_Other_PC Products 2" xfId="0"/>
    <cellStyle name="_PC_AIO_Other_PC Products 3" xfId="0"/>
    <cellStyle name="_PC_AIO_Other_PC Products 4" xfId="0"/>
    <cellStyle name="_PC_AIO_Other_PC Products 4 2" xfId="0"/>
    <cellStyle name="_PC_AIO_Other_PC Products_By Region" xfId="0"/>
    <cellStyle name="_PC_AIO_Other_PC Products_CORP SG&amp;A" xfId="0"/>
    <cellStyle name="_PC_AIO_Other_PC Products_LCD" xfId="0"/>
    <cellStyle name="_PC_AIO_Other_PC Products_PJ" xfId="0"/>
    <cellStyle name="_PC_AIO_Other_VSA 111014" xfId="0"/>
    <cellStyle name="_PC_AIO_Other_VSA 111014 2" xfId="0"/>
    <cellStyle name="_PC_AIO_Other_VSA 111014 3" xfId="0"/>
    <cellStyle name="_PC_AIO_Other_VSA 111014 4" xfId="0"/>
    <cellStyle name="_PC_AIO_Other_VSA 111014 4 2" xfId="0"/>
    <cellStyle name="_PC_AIO_Other_VSA 111014_By Region" xfId="0"/>
    <cellStyle name="_PC_AIO_Other_VSA 111014_CORP SG&amp;A" xfId="0"/>
    <cellStyle name="_PC_AIO_Other_VSA 111014_LCD" xfId="0"/>
    <cellStyle name="_PC_AIO_Other_VSA 111014_PJ" xfId="0"/>
    <cellStyle name="_PC_AIO_Other_VSA Roll-Up (LW)" xfId="0"/>
    <cellStyle name="_PC_AIO_Other_VSA Roll-Up (LW) 2" xfId="0"/>
    <cellStyle name="_PC_AIO_Other_VSA Roll-Up (LW) 3" xfId="0"/>
    <cellStyle name="_PC_AIO_Other_VSA Roll-Up (LW) 4" xfId="0"/>
    <cellStyle name="_PC_AIO_Other_VSA Roll-Up (LW) 4 2" xfId="0"/>
    <cellStyle name="_PC_AIO_Other_VSA Roll-Up (LW)_By Region" xfId="0"/>
    <cellStyle name="_PC_AIO_Other_VSA Roll-Up (LW)_CORP SG&amp;A" xfId="0"/>
    <cellStyle name="_PC_AIO_Other_VSA Roll-Up (LW)_LCD" xfId="0"/>
    <cellStyle name="_PC_AIO_Other_VSA Roll-Up (LW)_PJ" xfId="0"/>
    <cellStyle name="_PC_AIO_PC" xfId="0"/>
    <cellStyle name="_PC_AIO_PC 2" xfId="0"/>
    <cellStyle name="_PC_AIO_PC 3" xfId="0"/>
    <cellStyle name="_PC_AIO_PC 4" xfId="0"/>
    <cellStyle name="_PC_AIO_PC Products" xfId="0"/>
    <cellStyle name="_PC_AIO_PC Products 2" xfId="0"/>
    <cellStyle name="_PC_AIO_PC Products 3" xfId="0"/>
    <cellStyle name="_PC_AIO_PC Products 4" xfId="0"/>
    <cellStyle name="_PC_AIO_PC Products 4 2" xfId="0"/>
    <cellStyle name="_PC_AIO_PC Products_By Region" xfId="0"/>
    <cellStyle name="_PC_AIO_PC Products_CORP SG&amp;A" xfId="0"/>
    <cellStyle name="_PC_AIO_PC Products_LCD" xfId="0"/>
    <cellStyle name="_PC_AIO_PC Products_PJ" xfId="0"/>
    <cellStyle name="_PC_AIO_PC_By Region" xfId="0"/>
    <cellStyle name="_PC_AIO_PC_CORP SG&amp;A" xfId="0"/>
    <cellStyle name="_PC_AIO_PC_DT" xfId="0"/>
    <cellStyle name="_PC_AIO_PC_DT 2" xfId="0"/>
    <cellStyle name="_PC_AIO_PC_DT 3" xfId="0"/>
    <cellStyle name="_PC_AIO_PC_DT_By Region" xfId="0"/>
    <cellStyle name="_PC_AIO_PC_GPS OTHER" xfId="0"/>
    <cellStyle name="_PC_AIO_PC_GPS OTHER 2" xfId="0"/>
    <cellStyle name="_PC_AIO_PC_GPS OTHER 3" xfId="0"/>
    <cellStyle name="_PC_AIO_PC_GPS OTHER 4" xfId="0"/>
    <cellStyle name="_PC_AIO_PC_GPS OTHER 4 2" xfId="0"/>
    <cellStyle name="_PC_AIO_PC_GPS OTHER_By Region" xfId="0"/>
    <cellStyle name="_PC_AIO_PC_GPS OTHER_CORP SG&amp;A" xfId="0"/>
    <cellStyle name="_PC_AIO_PC_GPS OTHER_LCD" xfId="0"/>
    <cellStyle name="_PC_AIO_PC_GPS OTHER_PJ" xfId="0"/>
    <cellStyle name="_PC_AIO_PC_LCD" xfId="0"/>
    <cellStyle name="_PC_AIO_PC_LCD 2" xfId="0"/>
    <cellStyle name="_PC_AIO_PC_LCD 3" xfId="0"/>
    <cellStyle name="_PC_AIO_PC_LCD 4" xfId="0"/>
    <cellStyle name="_PC_AIO_PC_LCD_By Region" xfId="0"/>
    <cellStyle name="_PC_AIO_PC_LCD_CORP SG&amp;A" xfId="0"/>
    <cellStyle name="_PC_AIO_PC_LCD_LCD" xfId="0"/>
    <cellStyle name="_PC_AIO_PC_LCD_PJ" xfId="0"/>
    <cellStyle name="_PC_AIO_PC_PC Products" xfId="0"/>
    <cellStyle name="_PC_AIO_PC_PC Products 2" xfId="0"/>
    <cellStyle name="_PC_AIO_PC_PC Products 3" xfId="0"/>
    <cellStyle name="_PC_AIO_PC_PC Products 4" xfId="0"/>
    <cellStyle name="_PC_AIO_PC_PC Products 4 2" xfId="0"/>
    <cellStyle name="_PC_AIO_PC_PC Products_By Region" xfId="0"/>
    <cellStyle name="_PC_AIO_PC_PC Products_CORP SG&amp;A" xfId="0"/>
    <cellStyle name="_PC_AIO_PC_PC Products_LCD" xfId="0"/>
    <cellStyle name="_PC_AIO_PC_PC Products_PJ" xfId="0"/>
    <cellStyle name="_PC_AIO_PC_TV" xfId="0"/>
    <cellStyle name="_PC_AIO_PC_TV 2" xfId="0"/>
    <cellStyle name="_PC_AIO_PC_TV 3" xfId="0"/>
    <cellStyle name="_PC_AIO_PC_TV 4" xfId="0"/>
    <cellStyle name="_PC_AIO_PC_TV_By Region" xfId="0"/>
    <cellStyle name="_PC_AIO_PC_TV_CORP SG&amp;A" xfId="0"/>
    <cellStyle name="_PC_AIO_PC_TV_GPS OTHER" xfId="0"/>
    <cellStyle name="_PC_AIO_PC_TV_GPS OTHER 2" xfId="0"/>
    <cellStyle name="_PC_AIO_PC_TV_GPS OTHER 3" xfId="0"/>
    <cellStyle name="_PC_AIO_PC_TV_GPS OTHER 4" xfId="0"/>
    <cellStyle name="_PC_AIO_PC_TV_GPS OTHER 4 2" xfId="0"/>
    <cellStyle name="_PC_AIO_PC_TV_GPS OTHER_By Region" xfId="0"/>
    <cellStyle name="_PC_AIO_PC_TV_GPS OTHER_CORP SG&amp;A" xfId="0"/>
    <cellStyle name="_PC_AIO_PC_TV_GPS OTHER_LCD" xfId="0"/>
    <cellStyle name="_PC_AIO_PC_TV_GPS OTHER_PJ" xfId="0"/>
    <cellStyle name="_PC_AIO_PC_TV_LCD" xfId="0"/>
    <cellStyle name="_PC_AIO_PC_TV_LCD 2" xfId="0"/>
    <cellStyle name="_PC_AIO_PC_TV_LCD 3" xfId="0"/>
    <cellStyle name="_PC_AIO_PC_TV_LCD 4" xfId="0"/>
    <cellStyle name="_PC_AIO_PC_TV_LCD_By Region" xfId="0"/>
    <cellStyle name="_PC_AIO_PC_TV_LCD_CORP SG&amp;A" xfId="0"/>
    <cellStyle name="_PC_AIO_PC_TV_LCD_LCD" xfId="0"/>
    <cellStyle name="_PC_AIO_PC_TV_LCD_PJ" xfId="0"/>
    <cellStyle name="_PC_AIO_PC_TV_PC Products" xfId="0"/>
    <cellStyle name="_PC_AIO_PC_TV_PC Products 2" xfId="0"/>
    <cellStyle name="_PC_AIO_PC_TV_PC Products 3" xfId="0"/>
    <cellStyle name="_PC_AIO_PC_TV_PC Products 4" xfId="0"/>
    <cellStyle name="_PC_AIO_PC_TV_PC Products 4 2" xfId="0"/>
    <cellStyle name="_PC_AIO_PC_TV_PC Products_By Region" xfId="0"/>
    <cellStyle name="_PC_AIO_PC_TV_PC Products_CORP SG&amp;A" xfId="0"/>
    <cellStyle name="_PC_AIO_PC_TV_PC Products_LCD" xfId="0"/>
    <cellStyle name="_PC_AIO_PC_TV_PC Products_PJ" xfId="0"/>
    <cellStyle name="_PC_AIO_PC_TV_VSA 111014" xfId="0"/>
    <cellStyle name="_PC_AIO_PC_TV_VSA 111014 2" xfId="0"/>
    <cellStyle name="_PC_AIO_PC_TV_VSA 111014 3" xfId="0"/>
    <cellStyle name="_PC_AIO_PC_TV_VSA 111014 4" xfId="0"/>
    <cellStyle name="_PC_AIO_PC_TV_VSA 111014 4 2" xfId="0"/>
    <cellStyle name="_PC_AIO_PC_TV_VSA 111014_By Region" xfId="0"/>
    <cellStyle name="_PC_AIO_PC_TV_VSA 111014_CORP SG&amp;A" xfId="0"/>
    <cellStyle name="_PC_AIO_PC_TV_VSA 111014_LCD" xfId="0"/>
    <cellStyle name="_PC_AIO_PC_TV_VSA 111014_PJ" xfId="0"/>
    <cellStyle name="_PC_AIO_PC_TV_VSA Roll-Up (LW)" xfId="0"/>
    <cellStyle name="_PC_AIO_PC_TV_VSA Roll-Up (LW) 2" xfId="0"/>
    <cellStyle name="_PC_AIO_PC_TV_VSA Roll-Up (LW) 3" xfId="0"/>
    <cellStyle name="_PC_AIO_PC_TV_VSA Roll-Up (LW) 4" xfId="0"/>
    <cellStyle name="_PC_AIO_PC_TV_VSA Roll-Up (LW) 4 2" xfId="0"/>
    <cellStyle name="_PC_AIO_PC_TV_VSA Roll-Up (LW)_By Region" xfId="0"/>
    <cellStyle name="_PC_AIO_PC_TV_VSA Roll-Up (LW)_CORP SG&amp;A" xfId="0"/>
    <cellStyle name="_PC_AIO_PC_TV_VSA Roll-Up (LW)_LCD" xfId="0"/>
    <cellStyle name="_PC_AIO_PC_TV_VSA Roll-Up (LW)_PJ" xfId="0"/>
    <cellStyle name="_PC_AIO_PC_VSA 111014" xfId="0"/>
    <cellStyle name="_PC_AIO_PC_VSA 111014 2" xfId="0"/>
    <cellStyle name="_PC_AIO_PC_VSA 111014 3" xfId="0"/>
    <cellStyle name="_PC_AIO_PC_VSA 111014 4" xfId="0"/>
    <cellStyle name="_PC_AIO_PC_VSA 111014 4 2" xfId="0"/>
    <cellStyle name="_PC_AIO_PC_VSA 111014_By Region" xfId="0"/>
    <cellStyle name="_PC_AIO_PC_VSA 111014_CORP SG&amp;A" xfId="0"/>
    <cellStyle name="_PC_AIO_PC_VSA 111014_LCD" xfId="0"/>
    <cellStyle name="_PC_AIO_PC_VSA 111014_PJ" xfId="0"/>
    <cellStyle name="_PC_AIO_PC_VSA Roll-Up (LW)" xfId="0"/>
    <cellStyle name="_PC_AIO_PC_VSA Roll-Up (LW) 2" xfId="0"/>
    <cellStyle name="_PC_AIO_PC_VSA Roll-Up (LW) 3" xfId="0"/>
    <cellStyle name="_PC_AIO_PC_VSA Roll-Up (LW) 4" xfId="0"/>
    <cellStyle name="_PC_AIO_PC_VSA Roll-Up (LW) 4 2" xfId="0"/>
    <cellStyle name="_PC_AIO_PC_VSA Roll-Up (LW)_By Region" xfId="0"/>
    <cellStyle name="_PC_AIO_PC_VSA Roll-Up (LW)_CORP SG&amp;A" xfId="0"/>
    <cellStyle name="_PC_AIO_PC_VSA Roll-Up (LW)_LCD" xfId="0"/>
    <cellStyle name="_PC_AIO_PC_VSA Roll-Up (LW)_PJ" xfId="0"/>
    <cellStyle name="_PC_AIO_PJ" xfId="0"/>
    <cellStyle name="_PC_AIO_PJ 2" xfId="0"/>
    <cellStyle name="_PC_AIO_PJ 3" xfId="0"/>
    <cellStyle name="_PC_AIO_PJ 4" xfId="0"/>
    <cellStyle name="_PC_AIO_PJ_By Region" xfId="0"/>
    <cellStyle name="_PC_AIO_PJ_CORP SG&amp;A" xfId="0"/>
    <cellStyle name="_PC_AIO_PJ_GPS OTHER" xfId="0"/>
    <cellStyle name="_PC_AIO_PJ_GPS OTHER 2" xfId="0"/>
    <cellStyle name="_PC_AIO_PJ_GPS OTHER 3" xfId="0"/>
    <cellStyle name="_PC_AIO_PJ_GPS OTHER 4" xfId="0"/>
    <cellStyle name="_PC_AIO_PJ_GPS OTHER 4 2" xfId="0"/>
    <cellStyle name="_PC_AIO_PJ_GPS OTHER_By Region" xfId="0"/>
    <cellStyle name="_PC_AIO_PJ_GPS OTHER_CORP SG&amp;A" xfId="0"/>
    <cellStyle name="_PC_AIO_PJ_GPS OTHER_LCD" xfId="0"/>
    <cellStyle name="_PC_AIO_PJ_GPS OTHER_PJ" xfId="0"/>
    <cellStyle name="_PC_AIO_PJ_LCD" xfId="0"/>
    <cellStyle name="_PC_AIO_PJ_LCD 2" xfId="0"/>
    <cellStyle name="_PC_AIO_PJ_LCD 3" xfId="0"/>
    <cellStyle name="_PC_AIO_PJ_LCD 4" xfId="0"/>
    <cellStyle name="_PC_AIO_PJ_LCD_By Region" xfId="0"/>
    <cellStyle name="_PC_AIO_PJ_LCD_CORP SG&amp;A" xfId="0"/>
    <cellStyle name="_PC_AIO_PJ_LCD_LCD" xfId="0"/>
    <cellStyle name="_PC_AIO_PJ_LCD_PJ" xfId="0"/>
    <cellStyle name="_PC_AIO_PJ_PC Products" xfId="0"/>
    <cellStyle name="_PC_AIO_PJ_PC Products 2" xfId="0"/>
    <cellStyle name="_PC_AIO_PJ_PC Products 3" xfId="0"/>
    <cellStyle name="_PC_AIO_PJ_PC Products 4" xfId="0"/>
    <cellStyle name="_PC_AIO_PJ_PC Products 4 2" xfId="0"/>
    <cellStyle name="_PC_AIO_PJ_PC Products_By Region" xfId="0"/>
    <cellStyle name="_PC_AIO_PJ_PC Products_CORP SG&amp;A" xfId="0"/>
    <cellStyle name="_PC_AIO_PJ_PC Products_LCD" xfId="0"/>
    <cellStyle name="_PC_AIO_PJ_PC Products_PJ" xfId="0"/>
    <cellStyle name="_PC_AIO_PJ_VSA 111014" xfId="0"/>
    <cellStyle name="_PC_AIO_PJ_VSA 111014 2" xfId="0"/>
    <cellStyle name="_PC_AIO_PJ_VSA 111014 3" xfId="0"/>
    <cellStyle name="_PC_AIO_PJ_VSA 111014 4" xfId="0"/>
    <cellStyle name="_PC_AIO_PJ_VSA 111014 4 2" xfId="0"/>
    <cellStyle name="_PC_AIO_PJ_VSA 111014_By Region" xfId="0"/>
    <cellStyle name="_PC_AIO_PJ_VSA 111014_CORP SG&amp;A" xfId="0"/>
    <cellStyle name="_PC_AIO_PJ_VSA 111014_LCD" xfId="0"/>
    <cellStyle name="_PC_AIO_PJ_VSA 111014_PJ" xfId="0"/>
    <cellStyle name="_PC_AIO_PJ_VSA Roll-Up (LW)" xfId="0"/>
    <cellStyle name="_PC_AIO_PJ_VSA Roll-Up (LW) 2" xfId="0"/>
    <cellStyle name="_PC_AIO_PJ_VSA Roll-Up (LW) 3" xfId="0"/>
    <cellStyle name="_PC_AIO_PJ_VSA Roll-Up (LW) 4" xfId="0"/>
    <cellStyle name="_PC_AIO_PJ_VSA Roll-Up (LW) 4 2" xfId="0"/>
    <cellStyle name="_PC_AIO_PJ_VSA Roll-Up (LW)_By Region" xfId="0"/>
    <cellStyle name="_PC_AIO_PJ_VSA Roll-Up (LW)_CORP SG&amp;A" xfId="0"/>
    <cellStyle name="_PC_AIO_PJ_VSA Roll-Up (LW)_LCD" xfId="0"/>
    <cellStyle name="_PC_AIO_PJ_VSA Roll-Up (LW)_PJ" xfId="0"/>
    <cellStyle name="_PC_AIO_PMP(VPD)" xfId="0"/>
    <cellStyle name="_PC_AIO_PMP(VPD) 2" xfId="0"/>
    <cellStyle name="_PC_AIO_PMP(VPD) 3" xfId="0"/>
    <cellStyle name="_PC_AIO_PMP(VPD) 4" xfId="0"/>
    <cellStyle name="_PC_AIO_PMP(VPD)_By Region" xfId="0"/>
    <cellStyle name="_PC_AIO_PMP(VPD)_CORP SG&amp;A" xfId="0"/>
    <cellStyle name="_PC_AIO_PMP(VPD)_GPS OTHER" xfId="0"/>
    <cellStyle name="_PC_AIO_PMP(VPD)_GPS OTHER 2" xfId="0"/>
    <cellStyle name="_PC_AIO_PMP(VPD)_GPS OTHER 3" xfId="0"/>
    <cellStyle name="_PC_AIO_PMP(VPD)_GPS OTHER 4" xfId="0"/>
    <cellStyle name="_PC_AIO_PMP(VPD)_GPS OTHER 4 2" xfId="0"/>
    <cellStyle name="_PC_AIO_PMP(VPD)_GPS OTHER_By Region" xfId="0"/>
    <cellStyle name="_PC_AIO_PMP(VPD)_GPS OTHER_CORP SG&amp;A" xfId="0"/>
    <cellStyle name="_PC_AIO_PMP(VPD)_GPS OTHER_LCD" xfId="0"/>
    <cellStyle name="_PC_AIO_PMP(VPD)_GPS OTHER_PJ" xfId="0"/>
    <cellStyle name="_PC_AIO_PMP(VPD)_LCD" xfId="0"/>
    <cellStyle name="_PC_AIO_PMP(VPD)_LCD 2" xfId="0"/>
    <cellStyle name="_PC_AIO_PMP(VPD)_LCD 3" xfId="0"/>
    <cellStyle name="_PC_AIO_PMP(VPD)_LCD 4" xfId="0"/>
    <cellStyle name="_PC_AIO_PMP(VPD)_LCD_By Region" xfId="0"/>
    <cellStyle name="_PC_AIO_PMP(VPD)_LCD_CORP SG&amp;A" xfId="0"/>
    <cellStyle name="_PC_AIO_PMP(VPD)_LCD_LCD" xfId="0"/>
    <cellStyle name="_PC_AIO_PMP(VPD)_LCD_PJ" xfId="0"/>
    <cellStyle name="_PC_AIO_PMP(VPD)_PC Products" xfId="0"/>
    <cellStyle name="_PC_AIO_PMP(VPD)_PC Products 2" xfId="0"/>
    <cellStyle name="_PC_AIO_PMP(VPD)_PC Products 3" xfId="0"/>
    <cellStyle name="_PC_AIO_PMP(VPD)_PC Products 4" xfId="0"/>
    <cellStyle name="_PC_AIO_PMP(VPD)_PC Products 4 2" xfId="0"/>
    <cellStyle name="_PC_AIO_PMP(VPD)_PC Products_By Region" xfId="0"/>
    <cellStyle name="_PC_AIO_PMP(VPD)_PC Products_CORP SG&amp;A" xfId="0"/>
    <cellStyle name="_PC_AIO_PMP(VPD)_PC Products_LCD" xfId="0"/>
    <cellStyle name="_PC_AIO_PMP(VPD)_PC Products_PJ" xfId="0"/>
    <cellStyle name="_PC_AIO_PMP(VPD)_VSA 111014" xfId="0"/>
    <cellStyle name="_PC_AIO_PMP(VPD)_VSA 111014 2" xfId="0"/>
    <cellStyle name="_PC_AIO_PMP(VPD)_VSA 111014 3" xfId="0"/>
    <cellStyle name="_PC_AIO_PMP(VPD)_VSA 111014 4" xfId="0"/>
    <cellStyle name="_PC_AIO_PMP(VPD)_VSA 111014 4 2" xfId="0"/>
    <cellStyle name="_PC_AIO_PMP(VPD)_VSA 111014_By Region" xfId="0"/>
    <cellStyle name="_PC_AIO_PMP(VPD)_VSA 111014_CORP SG&amp;A" xfId="0"/>
    <cellStyle name="_PC_AIO_PMP(VPD)_VSA 111014_LCD" xfId="0"/>
    <cellStyle name="_PC_AIO_PMP(VPD)_VSA 111014_PJ" xfId="0"/>
    <cellStyle name="_PC_AIO_PMP(VPD)_VSA Roll-Up (LW)" xfId="0"/>
    <cellStyle name="_PC_AIO_PMP(VPD)_VSA Roll-Up (LW) 2" xfId="0"/>
    <cellStyle name="_PC_AIO_PMP(VPD)_VSA Roll-Up (LW) 3" xfId="0"/>
    <cellStyle name="_PC_AIO_PMP(VPD)_VSA Roll-Up (LW) 4" xfId="0"/>
    <cellStyle name="_PC_AIO_PMP(VPD)_VSA Roll-Up (LW) 4 2" xfId="0"/>
    <cellStyle name="_PC_AIO_PMP(VPD)_VSA Roll-Up (LW)_By Region" xfId="0"/>
    <cellStyle name="_PC_AIO_PMP(VPD)_VSA Roll-Up (LW)_CORP SG&amp;A" xfId="0"/>
    <cellStyle name="_PC_AIO_PMP(VPD)_VSA Roll-Up (LW)_LCD" xfId="0"/>
    <cellStyle name="_PC_AIO_PMP(VPD)_VSA Roll-Up (LW)_PJ" xfId="0"/>
    <cellStyle name="_PC_AIO_Pocket TV" xfId="0"/>
    <cellStyle name="_PC_AIO_Pocket TV 2" xfId="0"/>
    <cellStyle name="_PC_AIO_Pocket TV 3" xfId="0"/>
    <cellStyle name="_PC_AIO_Pocket TV 4" xfId="0"/>
    <cellStyle name="_PC_AIO_Pocket TV_By Region" xfId="0"/>
    <cellStyle name="_PC_AIO_Pocket TV_CORP SG&amp;A" xfId="0"/>
    <cellStyle name="_PC_AIO_Pocket TV_GPS OTHER" xfId="0"/>
    <cellStyle name="_PC_AIO_Pocket TV_GPS OTHER 2" xfId="0"/>
    <cellStyle name="_PC_AIO_Pocket TV_GPS OTHER 3" xfId="0"/>
    <cellStyle name="_PC_AIO_Pocket TV_GPS OTHER 4" xfId="0"/>
    <cellStyle name="_PC_AIO_Pocket TV_GPS OTHER 4 2" xfId="0"/>
    <cellStyle name="_PC_AIO_Pocket TV_GPS OTHER_By Region" xfId="0"/>
    <cellStyle name="_PC_AIO_Pocket TV_GPS OTHER_CORP SG&amp;A" xfId="0"/>
    <cellStyle name="_PC_AIO_Pocket TV_GPS OTHER_LCD" xfId="0"/>
    <cellStyle name="_PC_AIO_Pocket TV_GPS OTHER_PJ" xfId="0"/>
    <cellStyle name="_PC_AIO_Pocket TV_LCD" xfId="0"/>
    <cellStyle name="_PC_AIO_Pocket TV_LCD 2" xfId="0"/>
    <cellStyle name="_PC_AIO_Pocket TV_LCD 3" xfId="0"/>
    <cellStyle name="_PC_AIO_Pocket TV_LCD 4" xfId="0"/>
    <cellStyle name="_PC_AIO_Pocket TV_LCD_By Region" xfId="0"/>
    <cellStyle name="_PC_AIO_Pocket TV_LCD_CORP SG&amp;A" xfId="0"/>
    <cellStyle name="_PC_AIO_Pocket TV_LCD_LCD" xfId="0"/>
    <cellStyle name="_PC_AIO_Pocket TV_LCD_PJ" xfId="0"/>
    <cellStyle name="_PC_AIO_Pocket TV_PC Products" xfId="0"/>
    <cellStyle name="_PC_AIO_Pocket TV_PC Products 2" xfId="0"/>
    <cellStyle name="_PC_AIO_Pocket TV_PC Products 3" xfId="0"/>
    <cellStyle name="_PC_AIO_Pocket TV_PC Products 4" xfId="0"/>
    <cellStyle name="_PC_AIO_Pocket TV_PC Products 4 2" xfId="0"/>
    <cellStyle name="_PC_AIO_Pocket TV_PC Products_By Region" xfId="0"/>
    <cellStyle name="_PC_AIO_Pocket TV_PC Products_CORP SG&amp;A" xfId="0"/>
    <cellStyle name="_PC_AIO_Pocket TV_PC Products_LCD" xfId="0"/>
    <cellStyle name="_PC_AIO_Pocket TV_PC Products_PJ" xfId="0"/>
    <cellStyle name="_PC_AIO_Pocket TV_VSA 111014" xfId="0"/>
    <cellStyle name="_PC_AIO_Pocket TV_VSA 111014 2" xfId="0"/>
    <cellStyle name="_PC_AIO_Pocket TV_VSA 111014 3" xfId="0"/>
    <cellStyle name="_PC_AIO_Pocket TV_VSA 111014 4" xfId="0"/>
    <cellStyle name="_PC_AIO_Pocket TV_VSA 111014 4 2" xfId="0"/>
    <cellStyle name="_PC_AIO_Pocket TV_VSA 111014_By Region" xfId="0"/>
    <cellStyle name="_PC_AIO_Pocket TV_VSA 111014_CORP SG&amp;A" xfId="0"/>
    <cellStyle name="_PC_AIO_Pocket TV_VSA 111014_LCD" xfId="0"/>
    <cellStyle name="_PC_AIO_Pocket TV_VSA 111014_PJ" xfId="0"/>
    <cellStyle name="_PC_AIO_Pocket TV_VSA Roll-Up (LW)" xfId="0"/>
    <cellStyle name="_PC_AIO_Pocket TV_VSA Roll-Up (LW) 2" xfId="0"/>
    <cellStyle name="_PC_AIO_Pocket TV_VSA Roll-Up (LW) 3" xfId="0"/>
    <cellStyle name="_PC_AIO_Pocket TV_VSA Roll-Up (LW) 4" xfId="0"/>
    <cellStyle name="_PC_AIO_Pocket TV_VSA Roll-Up (LW) 4 2" xfId="0"/>
    <cellStyle name="_PC_AIO_Pocket TV_VSA Roll-Up (LW)_By Region" xfId="0"/>
    <cellStyle name="_PC_AIO_Pocket TV_VSA Roll-Up (LW)_CORP SG&amp;A" xfId="0"/>
    <cellStyle name="_PC_AIO_Pocket TV_VSA Roll-Up (LW)_LCD" xfId="0"/>
    <cellStyle name="_PC_AIO_Pocket TV_VSA Roll-Up (LW)_PJ" xfId="0"/>
    <cellStyle name="_PC_AIO_Pocket_TV" xfId="0"/>
    <cellStyle name="_PC_AIO_Pocket_TV 2" xfId="0"/>
    <cellStyle name="_PC_AIO_Pocket_TV 3" xfId="0"/>
    <cellStyle name="_PC_AIO_Pocket_TV 4" xfId="0"/>
    <cellStyle name="_PC_AIO_Pocket_TV_By Region" xfId="0"/>
    <cellStyle name="_PC_AIO_Pocket_TV_CORP SG&amp;A" xfId="0"/>
    <cellStyle name="_PC_AIO_Pocket_TV_GPS OTHER" xfId="0"/>
    <cellStyle name="_PC_AIO_Pocket_TV_GPS OTHER 2" xfId="0"/>
    <cellStyle name="_PC_AIO_Pocket_TV_GPS OTHER 3" xfId="0"/>
    <cellStyle name="_PC_AIO_Pocket_TV_GPS OTHER 4" xfId="0"/>
    <cellStyle name="_PC_AIO_Pocket_TV_GPS OTHER 4 2" xfId="0"/>
    <cellStyle name="_PC_AIO_Pocket_TV_GPS OTHER_By Region" xfId="0"/>
    <cellStyle name="_PC_AIO_Pocket_TV_GPS OTHER_CORP SG&amp;A" xfId="0"/>
    <cellStyle name="_PC_AIO_Pocket_TV_GPS OTHER_LCD" xfId="0"/>
    <cellStyle name="_PC_AIO_Pocket_TV_GPS OTHER_PJ" xfId="0"/>
    <cellStyle name="_PC_AIO_Pocket_TV_LCD" xfId="0"/>
    <cellStyle name="_PC_AIO_Pocket_TV_LCD 2" xfId="0"/>
    <cellStyle name="_PC_AIO_Pocket_TV_LCD 3" xfId="0"/>
    <cellStyle name="_PC_AIO_Pocket_TV_LCD 4" xfId="0"/>
    <cellStyle name="_PC_AIO_Pocket_TV_LCD_By Region" xfId="0"/>
    <cellStyle name="_PC_AIO_Pocket_TV_LCD_CORP SG&amp;A" xfId="0"/>
    <cellStyle name="_PC_AIO_Pocket_TV_LCD_LCD" xfId="0"/>
    <cellStyle name="_PC_AIO_Pocket_TV_LCD_PJ" xfId="0"/>
    <cellStyle name="_PC_AIO_Pocket_TV_PC Products" xfId="0"/>
    <cellStyle name="_PC_AIO_Pocket_TV_PC Products 2" xfId="0"/>
    <cellStyle name="_PC_AIO_Pocket_TV_PC Products 3" xfId="0"/>
    <cellStyle name="_PC_AIO_Pocket_TV_PC Products 4" xfId="0"/>
    <cellStyle name="_PC_AIO_Pocket_TV_PC Products 4 2" xfId="0"/>
    <cellStyle name="_PC_AIO_Pocket_TV_PC Products_By Region" xfId="0"/>
    <cellStyle name="_PC_AIO_Pocket_TV_PC Products_CORP SG&amp;A" xfId="0"/>
    <cellStyle name="_PC_AIO_Pocket_TV_PC Products_LCD" xfId="0"/>
    <cellStyle name="_PC_AIO_Pocket_TV_PC Products_PJ" xfId="0"/>
    <cellStyle name="_PC_AIO_Pocket_TV_VSA 111014" xfId="0"/>
    <cellStyle name="_PC_AIO_Pocket_TV_VSA 111014 2" xfId="0"/>
    <cellStyle name="_PC_AIO_Pocket_TV_VSA 111014 3" xfId="0"/>
    <cellStyle name="_PC_AIO_Pocket_TV_VSA 111014 4" xfId="0"/>
    <cellStyle name="_PC_AIO_Pocket_TV_VSA 111014 4 2" xfId="0"/>
    <cellStyle name="_PC_AIO_Pocket_TV_VSA 111014_By Region" xfId="0"/>
    <cellStyle name="_PC_AIO_Pocket_TV_VSA 111014_CORP SG&amp;A" xfId="0"/>
    <cellStyle name="_PC_AIO_Pocket_TV_VSA 111014_LCD" xfId="0"/>
    <cellStyle name="_PC_AIO_Pocket_TV_VSA 111014_PJ" xfId="0"/>
    <cellStyle name="_PC_AIO_Pocket_TV_VSA Roll-Up (LW)" xfId="0"/>
    <cellStyle name="_PC_AIO_Pocket_TV_VSA Roll-Up (LW) 2" xfId="0"/>
    <cellStyle name="_PC_AIO_Pocket_TV_VSA Roll-Up (LW) 3" xfId="0"/>
    <cellStyle name="_PC_AIO_Pocket_TV_VSA Roll-Up (LW) 4" xfId="0"/>
    <cellStyle name="_PC_AIO_Pocket_TV_VSA Roll-Up (LW) 4 2" xfId="0"/>
    <cellStyle name="_PC_AIO_Pocket_TV_VSA Roll-Up (LW)_By Region" xfId="0"/>
    <cellStyle name="_PC_AIO_Pocket_TV_VSA Roll-Up (LW)_CORP SG&amp;A" xfId="0"/>
    <cellStyle name="_PC_AIO_Pocket_TV_VSA Roll-Up (LW)_LCD" xfId="0"/>
    <cellStyle name="_PC_AIO_Pocket_TV_VSA Roll-Up (LW)_PJ" xfId="0"/>
    <cellStyle name="_PC_AIO_TV" xfId="0"/>
    <cellStyle name="_PC_AIO_TV 2" xfId="0"/>
    <cellStyle name="_PC_AIO_TV 3" xfId="0"/>
    <cellStyle name="_PC_AIO_TV 4" xfId="0"/>
    <cellStyle name="_PC_AIO_TV_By Region" xfId="0"/>
    <cellStyle name="_PC_AIO_TV_CORP SG&amp;A" xfId="0"/>
    <cellStyle name="_PC_AIO_TV_GPS OTHER" xfId="0"/>
    <cellStyle name="_PC_AIO_TV_GPS OTHER 2" xfId="0"/>
    <cellStyle name="_PC_AIO_TV_GPS OTHER 3" xfId="0"/>
    <cellStyle name="_PC_AIO_TV_GPS OTHER 4" xfId="0"/>
    <cellStyle name="_PC_AIO_TV_GPS OTHER 4 2" xfId="0"/>
    <cellStyle name="_PC_AIO_TV_GPS OTHER_By Region" xfId="0"/>
    <cellStyle name="_PC_AIO_TV_GPS OTHER_CORP SG&amp;A" xfId="0"/>
    <cellStyle name="_PC_AIO_TV_GPS OTHER_LCD" xfId="0"/>
    <cellStyle name="_PC_AIO_TV_GPS OTHER_PJ" xfId="0"/>
    <cellStyle name="_PC_AIO_TV_LCD" xfId="0"/>
    <cellStyle name="_PC_AIO_TV_LCD 2" xfId="0"/>
    <cellStyle name="_PC_AIO_TV_LCD 3" xfId="0"/>
    <cellStyle name="_PC_AIO_TV_LCD 4" xfId="0"/>
    <cellStyle name="_PC_AIO_TV_LCD_By Region" xfId="0"/>
    <cellStyle name="_PC_AIO_TV_LCD_CORP SG&amp;A" xfId="0"/>
    <cellStyle name="_PC_AIO_TV_LCD_LCD" xfId="0"/>
    <cellStyle name="_PC_AIO_TV_LCD_PJ" xfId="0"/>
    <cellStyle name="_PC_AIO_TV_PC Products" xfId="0"/>
    <cellStyle name="_PC_AIO_TV_PC Products 2" xfId="0"/>
    <cellStyle name="_PC_AIO_TV_PC Products 3" xfId="0"/>
    <cellStyle name="_PC_AIO_TV_PC Products 4" xfId="0"/>
    <cellStyle name="_PC_AIO_TV_PC Products 4 2" xfId="0"/>
    <cellStyle name="_PC_AIO_TV_PC Products_By Region" xfId="0"/>
    <cellStyle name="_PC_AIO_TV_PC Products_CORP SG&amp;A" xfId="0"/>
    <cellStyle name="_PC_AIO_TV_PC Products_LCD" xfId="0"/>
    <cellStyle name="_PC_AIO_TV_PC Products_PJ" xfId="0"/>
    <cellStyle name="_PC_AIO_TV_VSA 111014" xfId="0"/>
    <cellStyle name="_PC_AIO_TV_VSA 111014 2" xfId="0"/>
    <cellStyle name="_PC_AIO_TV_VSA 111014 3" xfId="0"/>
    <cellStyle name="_PC_AIO_TV_VSA 111014 4" xfId="0"/>
    <cellStyle name="_PC_AIO_TV_VSA 111014 4 2" xfId="0"/>
    <cellStyle name="_PC_AIO_TV_VSA 111014_By Region" xfId="0"/>
    <cellStyle name="_PC_AIO_TV_VSA 111014_CORP SG&amp;A" xfId="0"/>
    <cellStyle name="_PC_AIO_TV_VSA 111014_LCD" xfId="0"/>
    <cellStyle name="_PC_AIO_TV_VSA 111014_PJ" xfId="0"/>
    <cellStyle name="_PC_AIO_TV_VSA Roll-Up (LW)" xfId="0"/>
    <cellStyle name="_PC_AIO_TV_VSA Roll-Up (LW) 2" xfId="0"/>
    <cellStyle name="_PC_AIO_TV_VSA Roll-Up (LW) 3" xfId="0"/>
    <cellStyle name="_PC_AIO_TV_VSA Roll-Up (LW) 4" xfId="0"/>
    <cellStyle name="_PC_AIO_TV_VSA Roll-Up (LW) 4 2" xfId="0"/>
    <cellStyle name="_PC_AIO_TV_VSA Roll-Up (LW)_By Region" xfId="0"/>
    <cellStyle name="_PC_AIO_TV_VSA Roll-Up (LW)_CORP SG&amp;A" xfId="0"/>
    <cellStyle name="_PC_AIO_TV_VSA Roll-Up (LW)_LCD" xfId="0"/>
    <cellStyle name="_PC_AIO_TV_VSA Roll-Up (LW)_PJ" xfId="0"/>
    <cellStyle name="_PC_AIO_VD" xfId="0"/>
    <cellStyle name="_PC_AIO_VD 2" xfId="0"/>
    <cellStyle name="_PC_AIO_VD 3" xfId="0"/>
    <cellStyle name="_PC_AIO_VD 4" xfId="0"/>
    <cellStyle name="_PC_AIO_VD_By Region" xfId="0"/>
    <cellStyle name="_PC_AIO_VD_CORP SG&amp;A" xfId="0"/>
    <cellStyle name="_PC_AIO_VD_GPS OTHER" xfId="0"/>
    <cellStyle name="_PC_AIO_VD_GPS OTHER 2" xfId="0"/>
    <cellStyle name="_PC_AIO_VD_GPS OTHER 3" xfId="0"/>
    <cellStyle name="_PC_AIO_VD_GPS OTHER 4" xfId="0"/>
    <cellStyle name="_PC_AIO_VD_GPS OTHER 4 2" xfId="0"/>
    <cellStyle name="_PC_AIO_VD_GPS OTHER_By Region" xfId="0"/>
    <cellStyle name="_PC_AIO_VD_GPS OTHER_CORP SG&amp;A" xfId="0"/>
    <cellStyle name="_PC_AIO_VD_GPS OTHER_LCD" xfId="0"/>
    <cellStyle name="_PC_AIO_VD_GPS OTHER_PJ" xfId="0"/>
    <cellStyle name="_PC_AIO_VD_LCD" xfId="0"/>
    <cellStyle name="_PC_AIO_VD_LCD 2" xfId="0"/>
    <cellStyle name="_PC_AIO_VD_LCD 3" xfId="0"/>
    <cellStyle name="_PC_AIO_VD_LCD 4" xfId="0"/>
    <cellStyle name="_PC_AIO_VD_LCD_By Region" xfId="0"/>
    <cellStyle name="_PC_AIO_VD_LCD_CORP SG&amp;A" xfId="0"/>
    <cellStyle name="_PC_AIO_VD_LCD_LCD" xfId="0"/>
    <cellStyle name="_PC_AIO_VD_LCD_PJ" xfId="0"/>
    <cellStyle name="_PC_AIO_VD_PC Products" xfId="0"/>
    <cellStyle name="_PC_AIO_VD_PC Products 2" xfId="0"/>
    <cellStyle name="_PC_AIO_VD_PC Products 3" xfId="0"/>
    <cellStyle name="_PC_AIO_VD_PC Products 4" xfId="0"/>
    <cellStyle name="_PC_AIO_VD_PC Products 4 2" xfId="0"/>
    <cellStyle name="_PC_AIO_VD_PC Products_By Region" xfId="0"/>
    <cellStyle name="_PC_AIO_VD_PC Products_CORP SG&amp;A" xfId="0"/>
    <cellStyle name="_PC_AIO_VD_PC Products_LCD" xfId="0"/>
    <cellStyle name="_PC_AIO_VD_PC Products_PJ" xfId="0"/>
    <cellStyle name="_PC_AIO_VD_VSA 111014" xfId="0"/>
    <cellStyle name="_PC_AIO_VD_VSA 111014 2" xfId="0"/>
    <cellStyle name="_PC_AIO_VD_VSA 111014 3" xfId="0"/>
    <cellStyle name="_PC_AIO_VD_VSA 111014 4" xfId="0"/>
    <cellStyle name="_PC_AIO_VD_VSA 111014 4 2" xfId="0"/>
    <cellStyle name="_PC_AIO_VD_VSA 111014_By Region" xfId="0"/>
    <cellStyle name="_PC_AIO_VD_VSA 111014_CORP SG&amp;A" xfId="0"/>
    <cellStyle name="_PC_AIO_VD_VSA 111014_LCD" xfId="0"/>
    <cellStyle name="_PC_AIO_VD_VSA 111014_PJ" xfId="0"/>
    <cellStyle name="_PC_AIO_VD_VSA Roll-Up (LW)" xfId="0"/>
    <cellStyle name="_PC_AIO_VD_VSA Roll-Up (LW) 2" xfId="0"/>
    <cellStyle name="_PC_AIO_VD_VSA Roll-Up (LW) 3" xfId="0"/>
    <cellStyle name="_PC_AIO_VD_VSA Roll-Up (LW) 4" xfId="0"/>
    <cellStyle name="_PC_AIO_VD_VSA Roll-Up (LW) 4 2" xfId="0"/>
    <cellStyle name="_PC_AIO_VD_VSA Roll-Up (LW)_By Region" xfId="0"/>
    <cellStyle name="_PC_AIO_VD_VSA Roll-Up (LW)_CORP SG&amp;A" xfId="0"/>
    <cellStyle name="_PC_AIO_VD_VSA Roll-Up (LW)_LCD" xfId="0"/>
    <cellStyle name="_PC_AIO_VD_VSA Roll-Up (LW)_PJ" xfId="0"/>
    <cellStyle name="_PC_AIO_VSA 111014" xfId="0"/>
    <cellStyle name="_PC_AIO_VSA 111014 2" xfId="0"/>
    <cellStyle name="_PC_AIO_VSA 111014 3" xfId="0"/>
    <cellStyle name="_PC_AIO_VSA 111014 4" xfId="0"/>
    <cellStyle name="_PC_AIO_VSA 111014 4 2" xfId="0"/>
    <cellStyle name="_PC_AIO_VSA 111014_By Region" xfId="0"/>
    <cellStyle name="_PC_AIO_VSA 111014_CORP SG&amp;A" xfId="0"/>
    <cellStyle name="_PC_AIO_VSA 111014_LCD" xfId="0"/>
    <cellStyle name="_PC_AIO_VSA 111014_PJ" xfId="0"/>
    <cellStyle name="_PC_AIO_VSA Roll-Up (LW)" xfId="0"/>
    <cellStyle name="_PC_AIO_VSA Roll-Up (LW) 2" xfId="0"/>
    <cellStyle name="_PC_AIO_VSA Roll-Up (LW) 3" xfId="0"/>
    <cellStyle name="_PC_AIO_VSA Roll-Up (LW) 4" xfId="0"/>
    <cellStyle name="_PC_AIO_VSA Roll-Up (LW) 4 2" xfId="0"/>
    <cellStyle name="_PC_AIO_VSA Roll-Up (LW)_By Region" xfId="0"/>
    <cellStyle name="_PC_AIO_VSA Roll-Up (LW)_CORP SG&amp;A" xfId="0"/>
    <cellStyle name="_PC_AIO_VSA Roll-Up (LW)_LCD" xfId="0"/>
    <cellStyle name="_PC_AIO_VSA Roll-Up (LW)_PJ" xfId="0"/>
    <cellStyle name="_PC_AIO_VSE 2011 Budget" xfId="0"/>
    <cellStyle name="_PC_AIO_VSE 2011 Budget 2" xfId="0"/>
    <cellStyle name="_PC_AIO_VSE 2011 Budget 3" xfId="0"/>
    <cellStyle name="_PC_AIO_VSE 2011 Budget 4" xfId="0"/>
    <cellStyle name="_PC_AIO_VSE 2011 Budget_By Region" xfId="0"/>
    <cellStyle name="_PC_AIO_VSE 2011 Budget_CORP SG&amp;A" xfId="0"/>
    <cellStyle name="_PC_AIO_VSE 2011 Budget_GPS OTHER" xfId="0"/>
    <cellStyle name="_PC_AIO_VSE 2011 Budget_GPS OTHER 2" xfId="0"/>
    <cellStyle name="_PC_AIO_VSE 2011 Budget_GPS OTHER 3" xfId="0"/>
    <cellStyle name="_PC_AIO_VSE 2011 Budget_GPS OTHER 4" xfId="0"/>
    <cellStyle name="_PC_AIO_VSE 2011 Budget_GPS OTHER 4 2" xfId="0"/>
    <cellStyle name="_PC_AIO_VSE 2011 Budget_GPS OTHER_By Region" xfId="0"/>
    <cellStyle name="_PC_AIO_VSE 2011 Budget_GPS OTHER_CORP SG&amp;A" xfId="0"/>
    <cellStyle name="_PC_AIO_VSE 2011 Budget_GPS OTHER_LCD" xfId="0"/>
    <cellStyle name="_PC_AIO_VSE 2011 Budget_GPS OTHER_PJ" xfId="0"/>
    <cellStyle name="_PC_AIO_VSE 2011 Budget_LCD" xfId="0"/>
    <cellStyle name="_PC_AIO_VSE 2011 Budget_LCD 2" xfId="0"/>
    <cellStyle name="_PC_AIO_VSE 2011 Budget_LCD 3" xfId="0"/>
    <cellStyle name="_PC_AIO_VSE 2011 Budget_LCD 4" xfId="0"/>
    <cellStyle name="_PC_AIO_VSE 2011 Budget_LCD_By Region" xfId="0"/>
    <cellStyle name="_PC_AIO_VSE 2011 Budget_LCD_CORP SG&amp;A" xfId="0"/>
    <cellStyle name="_PC_AIO_VSE 2011 Budget_LCD_LCD" xfId="0"/>
    <cellStyle name="_PC_AIO_VSE 2011 Budget_LCD_PJ" xfId="0"/>
    <cellStyle name="_PC_AIO_VSE 2011 Budget_PC Products" xfId="0"/>
    <cellStyle name="_PC_AIO_VSE 2011 Budget_PC Products 2" xfId="0"/>
    <cellStyle name="_PC_AIO_VSE 2011 Budget_PC Products 3" xfId="0"/>
    <cellStyle name="_PC_AIO_VSE 2011 Budget_PC Products 4" xfId="0"/>
    <cellStyle name="_PC_AIO_VSE 2011 Budget_PC Products 4 2" xfId="0"/>
    <cellStyle name="_PC_AIO_VSE 2011 Budget_PC Products_By Region" xfId="0"/>
    <cellStyle name="_PC_AIO_VSE 2011 Budget_PC Products_CORP SG&amp;A" xfId="0"/>
    <cellStyle name="_PC_AIO_VSE 2011 Budget_PC Products_LCD" xfId="0"/>
    <cellStyle name="_PC_AIO_VSE 2011 Budget_PC Products_PJ" xfId="0"/>
    <cellStyle name="_PC_AIO_VSE 2011 Budget_VSA 111014" xfId="0"/>
    <cellStyle name="_PC_AIO_VSE 2011 Budget_VSA 111014 2" xfId="0"/>
    <cellStyle name="_PC_AIO_VSE 2011 Budget_VSA 111014 3" xfId="0"/>
    <cellStyle name="_PC_AIO_VSE 2011 Budget_VSA 111014 4" xfId="0"/>
    <cellStyle name="_PC_AIO_VSE 2011 Budget_VSA 111014 4 2" xfId="0"/>
    <cellStyle name="_PC_AIO_VSE 2011 Budget_VSA 111014_By Region" xfId="0"/>
    <cellStyle name="_PC_AIO_VSE 2011 Budget_VSA 111014_CORP SG&amp;A" xfId="0"/>
    <cellStyle name="_PC_AIO_VSE 2011 Budget_VSA 111014_LCD" xfId="0"/>
    <cellStyle name="_PC_AIO_VSE 2011 Budget_VSA 111014_PJ" xfId="0"/>
    <cellStyle name="_PC_AIO_VSE 2011 Budget_VSA Roll-Up (LW)" xfId="0"/>
    <cellStyle name="_PC_AIO_VSE 2011 Budget_VSA Roll-Up (LW) 2" xfId="0"/>
    <cellStyle name="_PC_AIO_VSE 2011 Budget_VSA Roll-Up (LW) 3" xfId="0"/>
    <cellStyle name="_PC_AIO_VSE 2011 Budget_VSA Roll-Up (LW) 4" xfId="0"/>
    <cellStyle name="_PC_AIO_VSE 2011 Budget_VSA Roll-Up (LW) 4 2" xfId="0"/>
    <cellStyle name="_PC_AIO_VSE 2011 Budget_VSA Roll-Up (LW)_By Region" xfId="0"/>
    <cellStyle name="_PC_AIO_VSE 2011 Budget_VSA Roll-Up (LW)_CORP SG&amp;A" xfId="0"/>
    <cellStyle name="_PC_AIO_VSE 2011 Budget_VSA Roll-Up (LW)_LCD" xfId="0"/>
    <cellStyle name="_PC_AIO_VSE 2011 Budget_VSA Roll-Up (LW)_PJ" xfId="0"/>
    <cellStyle name="_PC_AIO_VSE 2H  WFP review (Spring Global meeting)-conservative Adam working v3" xfId="0"/>
    <cellStyle name="_PC_AIO_VSE 2H  WFP review (Spring Global meeting)-conservative Adam working v3 2" xfId="0"/>
    <cellStyle name="_PC_AIO_VSE 2H  WFP review (Spring Global meeting)-conservative Adam working v3 3" xfId="0"/>
    <cellStyle name="_PC_AIO_VSE 2H Rebalance 110712" xfId="0"/>
    <cellStyle name="_PC_AIO_VSE 2H Rebalance 110712 2" xfId="0"/>
    <cellStyle name="_PC_AIO_VSE 2H Rebalance 110712 3" xfId="0"/>
    <cellStyle name="_PC_AIO_VSE 2H Rebalance 110712 4" xfId="0"/>
    <cellStyle name="_PC_AIO_VSE 2H Rebalance 110712_By Region" xfId="0"/>
    <cellStyle name="_PC_AIO_VSE 2H Rebalance 110712_CORP SG&amp;A" xfId="0"/>
    <cellStyle name="_PC_AIO_VSE WFP 101203" xfId="0"/>
    <cellStyle name="_PC_AIO_VSE WFP 101203 2" xfId="0"/>
    <cellStyle name="_PC_AIO_VSE WFP 101203 3" xfId="0"/>
    <cellStyle name="_PC_AIO_VSE WFP 101203 4" xfId="0"/>
    <cellStyle name="_PC_AIO_VSE WFP 101203_By Region" xfId="0"/>
    <cellStyle name="_PC_AIO_VSE WFP 101203_CORP SG&amp;A" xfId="0"/>
    <cellStyle name="_PC_AIO_VSE WFP 110311" xfId="0"/>
    <cellStyle name="_PC_AIO_VSE WFP 110311 2" xfId="0"/>
    <cellStyle name="_PC_AIO_VSE WFP 110311 3" xfId="0"/>
    <cellStyle name="_PC_AIO_VSE WFP 110311 4" xfId="0"/>
    <cellStyle name="_PC_AIO_VSE WFP 110311_By Region" xfId="0"/>
    <cellStyle name="_PC_AIO_VSE WFP 110311_CORP SG&amp;A" xfId="0"/>
    <cellStyle name="_PC_AIO_VSE WFP 110415" xfId="0"/>
    <cellStyle name="_PC_AIO_VSE WFP 110415 2" xfId="0"/>
    <cellStyle name="_PC_AIO_VSE WFP 110415 3" xfId="0"/>
    <cellStyle name="_PC_AIO_VSE WFP 110415 4" xfId="0"/>
    <cellStyle name="_PC_AIO_VSE WFP 110415_By Region" xfId="0"/>
    <cellStyle name="_PC_AIO_VSE WFP 110415_CORP SG&amp;A" xfId="0"/>
    <cellStyle name="_PC_AIO_VSE WFP_100409" xfId="0"/>
    <cellStyle name="_PC_AIO_VSE WFP_100409 2" xfId="0"/>
    <cellStyle name="_PC_AIO_VSE WFP_100409 3" xfId="0"/>
    <cellStyle name="_PC_AIO_VSE WFP_100409 4" xfId="0"/>
    <cellStyle name="_PC_AIO_VSE WFP_100409_By Region" xfId="0"/>
    <cellStyle name="_PC_AIO_VSE WFP_100409_CORP SG&amp;A" xfId="0"/>
    <cellStyle name="_PC_AIO_VSE WFP_100409_GPS OTHER" xfId="0"/>
    <cellStyle name="_PC_AIO_VSE WFP_100409_GPS OTHER 2" xfId="0"/>
    <cellStyle name="_PC_AIO_VSE WFP_100409_GPS OTHER 3" xfId="0"/>
    <cellStyle name="_PC_AIO_VSE WFP_100409_GPS OTHER 4" xfId="0"/>
    <cellStyle name="_PC_AIO_VSE WFP_100409_GPS OTHER 4 2" xfId="0"/>
    <cellStyle name="_PC_AIO_VSE WFP_100409_GPS OTHER_By Region" xfId="0"/>
    <cellStyle name="_PC_AIO_VSE WFP_100409_GPS OTHER_CORP SG&amp;A" xfId="0"/>
    <cellStyle name="_PC_AIO_VSE WFP_100409_GPS OTHER_LCD" xfId="0"/>
    <cellStyle name="_PC_AIO_VSE WFP_100409_GPS OTHER_PJ" xfId="0"/>
    <cellStyle name="_PC_AIO_VSE WFP_100409_LCD" xfId="0"/>
    <cellStyle name="_PC_AIO_VSE WFP_100409_LCD 2" xfId="0"/>
    <cellStyle name="_PC_AIO_VSE WFP_100409_LCD 3" xfId="0"/>
    <cellStyle name="_PC_AIO_VSE WFP_100409_LCD 4" xfId="0"/>
    <cellStyle name="_PC_AIO_VSE WFP_100409_LCD_By Region" xfId="0"/>
    <cellStyle name="_PC_AIO_VSE WFP_100409_LCD_CORP SG&amp;A" xfId="0"/>
    <cellStyle name="_PC_AIO_VSE WFP_100409_LCD_LCD" xfId="0"/>
    <cellStyle name="_PC_AIO_VSE WFP_100409_LCD_PJ" xfId="0"/>
    <cellStyle name="_PC_AIO_VSE WFP_100409_PC Products" xfId="0"/>
    <cellStyle name="_PC_AIO_VSE WFP_100409_PC Products 2" xfId="0"/>
    <cellStyle name="_PC_AIO_VSE WFP_100409_PC Products 3" xfId="0"/>
    <cellStyle name="_PC_AIO_VSE WFP_100409_PC Products 4" xfId="0"/>
    <cellStyle name="_PC_AIO_VSE WFP_100409_PC Products 4 2" xfId="0"/>
    <cellStyle name="_PC_AIO_VSE WFP_100409_PC Products_By Region" xfId="0"/>
    <cellStyle name="_PC_AIO_VSE WFP_100409_PC Products_CORP SG&amp;A" xfId="0"/>
    <cellStyle name="_PC_AIO_VSE WFP_100409_PC Products_LCD" xfId="0"/>
    <cellStyle name="_PC_AIO_VSE WFP_100409_PC Products_PJ" xfId="0"/>
    <cellStyle name="_PC_AIO_VSE WFP_100409_VSA 111014" xfId="0"/>
    <cellStyle name="_PC_AIO_VSE WFP_100409_VSA 111014 2" xfId="0"/>
    <cellStyle name="_PC_AIO_VSE WFP_100409_VSA 111014 3" xfId="0"/>
    <cellStyle name="_PC_AIO_VSE WFP_100409_VSA 111014 4" xfId="0"/>
    <cellStyle name="_PC_AIO_VSE WFP_100409_VSA 111014 4 2" xfId="0"/>
    <cellStyle name="_PC_AIO_VSE WFP_100409_VSA 111014_By Region" xfId="0"/>
    <cellStyle name="_PC_AIO_VSE WFP_100409_VSA 111014_CORP SG&amp;A" xfId="0"/>
    <cellStyle name="_PC_AIO_VSE WFP_100409_VSA 111014_LCD" xfId="0"/>
    <cellStyle name="_PC_AIO_VSE WFP_100409_VSA 111014_PJ" xfId="0"/>
    <cellStyle name="_PC_AIO_VSE WFP_100409_VSA Roll-Up (LW)" xfId="0"/>
    <cellStyle name="_PC_AIO_VSE WFP_100409_VSA Roll-Up (LW) 2" xfId="0"/>
    <cellStyle name="_PC_AIO_VSE WFP_100409_VSA Roll-Up (LW) 3" xfId="0"/>
    <cellStyle name="_PC_AIO_VSE WFP_100409_VSA Roll-Up (LW) 4" xfId="0"/>
    <cellStyle name="_PC_AIO_VSE WFP_100409_VSA Roll-Up (LW) 4 2" xfId="0"/>
    <cellStyle name="_PC_AIO_VSE WFP_100409_VSA Roll-Up (LW)_By Region" xfId="0"/>
    <cellStyle name="_PC_AIO_VSE WFP_100409_VSA Roll-Up (LW)_CORP SG&amp;A" xfId="0"/>
    <cellStyle name="_PC_AIO_VSE WFP_100409_VSA Roll-Up (LW)_LCD" xfId="0"/>
    <cellStyle name="_PC_AIO_VSE WFP_100409_VSA Roll-Up (LW)_PJ" xfId="0"/>
    <cellStyle name="_PC_AIO_VSE WFP_100421 v2" xfId="0"/>
    <cellStyle name="_PC_AIO_VSE WFP_100421 v2 2" xfId="0"/>
    <cellStyle name="_PC_AIO_VSE WFP_100421 v2 3" xfId="0"/>
    <cellStyle name="_PC_AIO_VSE WFP_100421 v2 4" xfId="0"/>
    <cellStyle name="_PC_AIO_VSE WFP_100421 v2_By Region" xfId="0"/>
    <cellStyle name="_PC_AIO_VSE WFP_100421 v2_CORP SG&amp;A" xfId="0"/>
    <cellStyle name="_PC_AIO_VSE WFP_100421 v2_GPS OTHER" xfId="0"/>
    <cellStyle name="_PC_AIO_VSE WFP_100421 v2_GPS OTHER 2" xfId="0"/>
    <cellStyle name="_PC_AIO_VSE WFP_100421 v2_GPS OTHER 3" xfId="0"/>
    <cellStyle name="_PC_AIO_VSE WFP_100421 v2_GPS OTHER 4" xfId="0"/>
    <cellStyle name="_PC_AIO_VSE WFP_100421 v2_GPS OTHER 4 2" xfId="0"/>
    <cellStyle name="_PC_AIO_VSE WFP_100421 v2_GPS OTHER_By Region" xfId="0"/>
    <cellStyle name="_PC_AIO_VSE WFP_100421 v2_GPS OTHER_CORP SG&amp;A" xfId="0"/>
    <cellStyle name="_PC_AIO_VSE WFP_100421 v2_GPS OTHER_LCD" xfId="0"/>
    <cellStyle name="_PC_AIO_VSE WFP_100421 v2_GPS OTHER_PJ" xfId="0"/>
    <cellStyle name="_PC_AIO_VSE WFP_100421 v2_LCD" xfId="0"/>
    <cellStyle name="_PC_AIO_VSE WFP_100421 v2_LCD 2" xfId="0"/>
    <cellStyle name="_PC_AIO_VSE WFP_100421 v2_LCD 3" xfId="0"/>
    <cellStyle name="_PC_AIO_VSE WFP_100421 v2_LCD 4" xfId="0"/>
    <cellStyle name="_PC_AIO_VSE WFP_100421 v2_LCD_By Region" xfId="0"/>
    <cellStyle name="_PC_AIO_VSE WFP_100421 v2_LCD_CORP SG&amp;A" xfId="0"/>
    <cellStyle name="_PC_AIO_VSE WFP_100421 v2_LCD_LCD" xfId="0"/>
    <cellStyle name="_PC_AIO_VSE WFP_100421 v2_LCD_PJ" xfId="0"/>
    <cellStyle name="_PC_AIO_VSE WFP_100421 v2_PC Products" xfId="0"/>
    <cellStyle name="_PC_AIO_VSE WFP_100421 v2_PC Products 2" xfId="0"/>
    <cellStyle name="_PC_AIO_VSE WFP_100421 v2_PC Products 3" xfId="0"/>
    <cellStyle name="_PC_AIO_VSE WFP_100421 v2_PC Products 4" xfId="0"/>
    <cellStyle name="_PC_AIO_VSE WFP_100421 v2_PC Products 4 2" xfId="0"/>
    <cellStyle name="_PC_AIO_VSE WFP_100421 v2_PC Products_By Region" xfId="0"/>
    <cellStyle name="_PC_AIO_VSE WFP_100421 v2_PC Products_CORP SG&amp;A" xfId="0"/>
    <cellStyle name="_PC_AIO_VSE WFP_100421 v2_PC Products_LCD" xfId="0"/>
    <cellStyle name="_PC_AIO_VSE WFP_100421 v2_PC Products_PJ" xfId="0"/>
    <cellStyle name="_PC_AIO_VSE WFP_100421 v2_VSA 111014" xfId="0"/>
    <cellStyle name="_PC_AIO_VSE WFP_100421 v2_VSA 111014 2" xfId="0"/>
    <cellStyle name="_PC_AIO_VSE WFP_100421 v2_VSA 111014 3" xfId="0"/>
    <cellStyle name="_PC_AIO_VSE WFP_100421 v2_VSA 111014 4" xfId="0"/>
    <cellStyle name="_PC_AIO_VSE WFP_100421 v2_VSA 111014 4 2" xfId="0"/>
    <cellStyle name="_PC_AIO_VSE WFP_100421 v2_VSA 111014_By Region" xfId="0"/>
    <cellStyle name="_PC_AIO_VSE WFP_100421 v2_VSA 111014_CORP SG&amp;A" xfId="0"/>
    <cellStyle name="_PC_AIO_VSE WFP_100421 v2_VSA 111014_LCD" xfId="0"/>
    <cellStyle name="_PC_AIO_VSE WFP_100421 v2_VSA 111014_PJ" xfId="0"/>
    <cellStyle name="_PC_AIO_VSE WFP_100421 v2_VSA Roll-Up (LW)" xfId="0"/>
    <cellStyle name="_PC_AIO_VSE WFP_100421 v2_VSA Roll-Up (LW) 2" xfId="0"/>
    <cellStyle name="_PC_AIO_VSE WFP_100421 v2_VSA Roll-Up (LW) 3" xfId="0"/>
    <cellStyle name="_PC_AIO_VSE WFP_100421 v2_VSA Roll-Up (LW) 4" xfId="0"/>
    <cellStyle name="_PC_AIO_VSE WFP_100421 v2_VSA Roll-Up (LW) 4 2" xfId="0"/>
    <cellStyle name="_PC_AIO_VSE WFP_100421 v2_VSA Roll-Up (LW)_By Region" xfId="0"/>
    <cellStyle name="_PC_AIO_VSE WFP_100421 v2_VSA Roll-Up (LW)_CORP SG&amp;A" xfId="0"/>
    <cellStyle name="_PC_AIO_VSE WFP_100421 v2_VSA Roll-Up (LW)_LCD" xfId="0"/>
    <cellStyle name="_PC_AIO_VSE WFP_100421 v2_VSA Roll-Up (LW)_PJ" xfId="0"/>
    <cellStyle name="_PC_AIO_VSE WFP_100507" xfId="0"/>
    <cellStyle name="_PC_AIO_VSE WFP_100507 2" xfId="0"/>
    <cellStyle name="_PC_AIO_VSE WFP_100507 3" xfId="0"/>
    <cellStyle name="_PC_AIO_VSE WFP_100507 4" xfId="0"/>
    <cellStyle name="_PC_AIO_VSE WFP_100507_By Region" xfId="0"/>
    <cellStyle name="_PC_AIO_VSE WFP_100507_CORP SG&amp;A" xfId="0"/>
    <cellStyle name="_PC_AIO_VSE WFP_100507_GPS OTHER" xfId="0"/>
    <cellStyle name="_PC_AIO_VSE WFP_100507_GPS OTHER 2" xfId="0"/>
    <cellStyle name="_PC_AIO_VSE WFP_100507_GPS OTHER 3" xfId="0"/>
    <cellStyle name="_PC_AIO_VSE WFP_100507_GPS OTHER 4" xfId="0"/>
    <cellStyle name="_PC_AIO_VSE WFP_100507_GPS OTHER 4 2" xfId="0"/>
    <cellStyle name="_PC_AIO_VSE WFP_100507_GPS OTHER_By Region" xfId="0"/>
    <cellStyle name="_PC_AIO_VSE WFP_100507_GPS OTHER_CORP SG&amp;A" xfId="0"/>
    <cellStyle name="_PC_AIO_VSE WFP_100507_GPS OTHER_LCD" xfId="0"/>
    <cellStyle name="_PC_AIO_VSE WFP_100507_GPS OTHER_PJ" xfId="0"/>
    <cellStyle name="_PC_AIO_VSE WFP_100507_LCD" xfId="0"/>
    <cellStyle name="_PC_AIO_VSE WFP_100507_LCD 2" xfId="0"/>
    <cellStyle name="_PC_AIO_VSE WFP_100507_LCD 3" xfId="0"/>
    <cellStyle name="_PC_AIO_VSE WFP_100507_LCD 4" xfId="0"/>
    <cellStyle name="_PC_AIO_VSE WFP_100507_LCD_By Region" xfId="0"/>
    <cellStyle name="_PC_AIO_VSE WFP_100507_LCD_CORP SG&amp;A" xfId="0"/>
    <cellStyle name="_PC_AIO_VSE WFP_100507_LCD_LCD" xfId="0"/>
    <cellStyle name="_PC_AIO_VSE WFP_100507_LCD_PJ" xfId="0"/>
    <cellStyle name="_PC_AIO_VSE WFP_100507_PC Products" xfId="0"/>
    <cellStyle name="_PC_AIO_VSE WFP_100507_PC Products 2" xfId="0"/>
    <cellStyle name="_PC_AIO_VSE WFP_100507_PC Products 3" xfId="0"/>
    <cellStyle name="_PC_AIO_VSE WFP_100507_PC Products 4" xfId="0"/>
    <cellStyle name="_PC_AIO_VSE WFP_100507_PC Products 4 2" xfId="0"/>
    <cellStyle name="_PC_AIO_VSE WFP_100507_PC Products_By Region" xfId="0"/>
    <cellStyle name="_PC_AIO_VSE WFP_100507_PC Products_CORP SG&amp;A" xfId="0"/>
    <cellStyle name="_PC_AIO_VSE WFP_100507_PC Products_LCD" xfId="0"/>
    <cellStyle name="_PC_AIO_VSE WFP_100507_PC Products_PJ" xfId="0"/>
    <cellStyle name="_PC_AIO_VSE WFP_100507_VSA 111014" xfId="0"/>
    <cellStyle name="_PC_AIO_VSE WFP_100507_VSA 111014 2" xfId="0"/>
    <cellStyle name="_PC_AIO_VSE WFP_100507_VSA 111014 3" xfId="0"/>
    <cellStyle name="_PC_AIO_VSE WFP_100507_VSA 111014 4" xfId="0"/>
    <cellStyle name="_PC_AIO_VSE WFP_100507_VSA 111014 4 2" xfId="0"/>
    <cellStyle name="_PC_AIO_VSE WFP_100507_VSA 111014_By Region" xfId="0"/>
    <cellStyle name="_PC_AIO_VSE WFP_100507_VSA 111014_CORP SG&amp;A" xfId="0"/>
    <cellStyle name="_PC_AIO_VSE WFP_100507_VSA 111014_LCD" xfId="0"/>
    <cellStyle name="_PC_AIO_VSE WFP_100507_VSA 111014_PJ" xfId="0"/>
    <cellStyle name="_PC_AIO_VSE WFP_100507_VSA Roll-Up (LW)" xfId="0"/>
    <cellStyle name="_PC_AIO_VSE WFP_100507_VSA Roll-Up (LW) 2" xfId="0"/>
    <cellStyle name="_PC_AIO_VSE WFP_100507_VSA Roll-Up (LW) 3" xfId="0"/>
    <cellStyle name="_PC_AIO_VSE WFP_100507_VSA Roll-Up (LW) 4" xfId="0"/>
    <cellStyle name="_PC_AIO_VSE WFP_100507_VSA Roll-Up (LW) 4 2" xfId="0"/>
    <cellStyle name="_PC_AIO_VSE WFP_100507_VSA Roll-Up (LW)_By Region" xfId="0"/>
    <cellStyle name="_PC_AIO_VSE WFP_100507_VSA Roll-Up (LW)_CORP SG&amp;A" xfId="0"/>
    <cellStyle name="_PC_AIO_VSE WFP_100507_VSA Roll-Up (LW)_LCD" xfId="0"/>
    <cellStyle name="_PC_AIO_VSE WFP_100507_VSA Roll-Up (LW)_PJ" xfId="0"/>
    <cellStyle name="_PC_AIO_VSE WFP_100608" xfId="0"/>
    <cellStyle name="_PC_AIO_VSE WFP_100608 2" xfId="0"/>
    <cellStyle name="_PC_AIO_VSE WFP_100608 3" xfId="0"/>
    <cellStyle name="_PC_AIO_VSE WFP_100608 4" xfId="0"/>
    <cellStyle name="_PC_AIO_VSE WFP_100608_By Region" xfId="0"/>
    <cellStyle name="_PC_AIO_VSE WFP_100608_CORP SG&amp;A" xfId="0"/>
    <cellStyle name="_PC_AIO_VSE WFP_100608_GPS OTHER" xfId="0"/>
    <cellStyle name="_PC_AIO_VSE WFP_100608_GPS OTHER 2" xfId="0"/>
    <cellStyle name="_PC_AIO_VSE WFP_100608_GPS OTHER 3" xfId="0"/>
    <cellStyle name="_PC_AIO_VSE WFP_100608_GPS OTHER 4" xfId="0"/>
    <cellStyle name="_PC_AIO_VSE WFP_100608_GPS OTHER 4 2" xfId="0"/>
    <cellStyle name="_PC_AIO_VSE WFP_100608_GPS OTHER_By Region" xfId="0"/>
    <cellStyle name="_PC_AIO_VSE WFP_100608_GPS OTHER_CORP SG&amp;A" xfId="0"/>
    <cellStyle name="_PC_AIO_VSE WFP_100608_GPS OTHER_LCD" xfId="0"/>
    <cellStyle name="_PC_AIO_VSE WFP_100608_GPS OTHER_PJ" xfId="0"/>
    <cellStyle name="_PC_AIO_VSE WFP_100608_LCD" xfId="0"/>
    <cellStyle name="_PC_AIO_VSE WFP_100608_LCD 2" xfId="0"/>
    <cellStyle name="_PC_AIO_VSE WFP_100608_LCD 3" xfId="0"/>
    <cellStyle name="_PC_AIO_VSE WFP_100608_LCD 4" xfId="0"/>
    <cellStyle name="_PC_AIO_VSE WFP_100608_LCD_By Region" xfId="0"/>
    <cellStyle name="_PC_AIO_VSE WFP_100608_LCD_CORP SG&amp;A" xfId="0"/>
    <cellStyle name="_PC_AIO_VSE WFP_100608_LCD_LCD" xfId="0"/>
    <cellStyle name="_PC_AIO_VSE WFP_100608_LCD_PJ" xfId="0"/>
    <cellStyle name="_PC_AIO_VSE WFP_100608_PC Products" xfId="0"/>
    <cellStyle name="_PC_AIO_VSE WFP_100608_PC Products 2" xfId="0"/>
    <cellStyle name="_PC_AIO_VSE WFP_100608_PC Products 3" xfId="0"/>
    <cellStyle name="_PC_AIO_VSE WFP_100608_PC Products 4" xfId="0"/>
    <cellStyle name="_PC_AIO_VSE WFP_100608_PC Products 4 2" xfId="0"/>
    <cellStyle name="_PC_AIO_VSE WFP_100608_PC Products_By Region" xfId="0"/>
    <cellStyle name="_PC_AIO_VSE WFP_100608_PC Products_CORP SG&amp;A" xfId="0"/>
    <cellStyle name="_PC_AIO_VSE WFP_100608_PC Products_LCD" xfId="0"/>
    <cellStyle name="_PC_AIO_VSE WFP_100608_PC Products_PJ" xfId="0"/>
    <cellStyle name="_PC_AIO_VSE WFP_100608_VSA 111014" xfId="0"/>
    <cellStyle name="_PC_AIO_VSE WFP_100608_VSA 111014 2" xfId="0"/>
    <cellStyle name="_PC_AIO_VSE WFP_100608_VSA 111014 3" xfId="0"/>
    <cellStyle name="_PC_AIO_VSE WFP_100608_VSA 111014 4" xfId="0"/>
    <cellStyle name="_PC_AIO_VSE WFP_100608_VSA 111014 4 2" xfId="0"/>
    <cellStyle name="_PC_AIO_VSE WFP_100608_VSA 111014_By Region" xfId="0"/>
    <cellStyle name="_PC_AIO_VSE WFP_100608_VSA 111014_CORP SG&amp;A" xfId="0"/>
    <cellStyle name="_PC_AIO_VSE WFP_100608_VSA 111014_LCD" xfId="0"/>
    <cellStyle name="_PC_AIO_VSE WFP_100608_VSA 111014_PJ" xfId="0"/>
    <cellStyle name="_PC_AIO_VSE WFP_100608_VSA Roll-Up (LW)" xfId="0"/>
    <cellStyle name="_PC_AIO_VSE WFP_100608_VSA Roll-Up (LW) 2" xfId="0"/>
    <cellStyle name="_PC_AIO_VSE WFP_100608_VSA Roll-Up (LW) 3" xfId="0"/>
    <cellStyle name="_PC_AIO_VSE WFP_100608_VSA Roll-Up (LW) 4" xfId="0"/>
    <cellStyle name="_PC_AIO_VSE WFP_100608_VSA Roll-Up (LW) 4 2" xfId="0"/>
    <cellStyle name="_PC_AIO_VSE WFP_100608_VSA Roll-Up (LW)_By Region" xfId="0"/>
    <cellStyle name="_PC_AIO_VSE WFP_100608_VSA Roll-Up (LW)_CORP SG&amp;A" xfId="0"/>
    <cellStyle name="_PC_AIO_VSE WFP_100608_VSA Roll-Up (LW)_LCD" xfId="0"/>
    <cellStyle name="_PC_AIO_VSE WFP_100608_VSA Roll-Up (LW)_PJ" xfId="0"/>
    <cellStyle name="_PC_AIO_VSE WFP_100625" xfId="0"/>
    <cellStyle name="_PC_AIO_VSE WFP_100625 2" xfId="0"/>
    <cellStyle name="_PC_AIO_VSE WFP_100625 3" xfId="0"/>
    <cellStyle name="_PC_AIO_VSE WFP_100625 4" xfId="0"/>
    <cellStyle name="_PC_AIO_VSE WFP_100625_By Region" xfId="0"/>
    <cellStyle name="_PC_AIO_VSE WFP_100625_CORP SG&amp;A" xfId="0"/>
    <cellStyle name="_PC_AIO_VSE WFP_100625_GPS OTHER" xfId="0"/>
    <cellStyle name="_PC_AIO_VSE WFP_100625_GPS OTHER 2" xfId="0"/>
    <cellStyle name="_PC_AIO_VSE WFP_100625_GPS OTHER 3" xfId="0"/>
    <cellStyle name="_PC_AIO_VSE WFP_100625_GPS OTHER 4" xfId="0"/>
    <cellStyle name="_PC_AIO_VSE WFP_100625_GPS OTHER 4 2" xfId="0"/>
    <cellStyle name="_PC_AIO_VSE WFP_100625_GPS OTHER_By Region" xfId="0"/>
    <cellStyle name="_PC_AIO_VSE WFP_100625_GPS OTHER_CORP SG&amp;A" xfId="0"/>
    <cellStyle name="_PC_AIO_VSE WFP_100625_GPS OTHER_LCD" xfId="0"/>
    <cellStyle name="_PC_AIO_VSE WFP_100625_GPS OTHER_PJ" xfId="0"/>
    <cellStyle name="_PC_AIO_VSE WFP_100625_LCD" xfId="0"/>
    <cellStyle name="_PC_AIO_VSE WFP_100625_LCD 2" xfId="0"/>
    <cellStyle name="_PC_AIO_VSE WFP_100625_LCD 3" xfId="0"/>
    <cellStyle name="_PC_AIO_VSE WFP_100625_LCD 4" xfId="0"/>
    <cellStyle name="_PC_AIO_VSE WFP_100625_LCD_By Region" xfId="0"/>
    <cellStyle name="_PC_AIO_VSE WFP_100625_LCD_CORP SG&amp;A" xfId="0"/>
    <cellStyle name="_PC_AIO_VSE WFP_100625_LCD_LCD" xfId="0"/>
    <cellStyle name="_PC_AIO_VSE WFP_100625_LCD_PJ" xfId="0"/>
    <cellStyle name="_PC_AIO_VSE WFP_100625_PC Products" xfId="0"/>
    <cellStyle name="_PC_AIO_VSE WFP_100625_PC Products 2" xfId="0"/>
    <cellStyle name="_PC_AIO_VSE WFP_100625_PC Products 3" xfId="0"/>
    <cellStyle name="_PC_AIO_VSE WFP_100625_PC Products 4" xfId="0"/>
    <cellStyle name="_PC_AIO_VSE WFP_100625_PC Products 4 2" xfId="0"/>
    <cellStyle name="_PC_AIO_VSE WFP_100625_PC Products_By Region" xfId="0"/>
    <cellStyle name="_PC_AIO_VSE WFP_100625_PC Products_CORP SG&amp;A" xfId="0"/>
    <cellStyle name="_PC_AIO_VSE WFP_100625_PC Products_LCD" xfId="0"/>
    <cellStyle name="_PC_AIO_VSE WFP_100625_PC Products_PJ" xfId="0"/>
    <cellStyle name="_PC_AIO_VSE WFP_100625_VSA 111014" xfId="0"/>
    <cellStyle name="_PC_AIO_VSE WFP_100625_VSA 111014 2" xfId="0"/>
    <cellStyle name="_PC_AIO_VSE WFP_100625_VSA 111014 3" xfId="0"/>
    <cellStyle name="_PC_AIO_VSE WFP_100625_VSA 111014 4" xfId="0"/>
    <cellStyle name="_PC_AIO_VSE WFP_100625_VSA 111014 4 2" xfId="0"/>
    <cellStyle name="_PC_AIO_VSE WFP_100625_VSA 111014_By Region" xfId="0"/>
    <cellStyle name="_PC_AIO_VSE WFP_100625_VSA 111014_CORP SG&amp;A" xfId="0"/>
    <cellStyle name="_PC_AIO_VSE WFP_100625_VSA 111014_LCD" xfId="0"/>
    <cellStyle name="_PC_AIO_VSE WFP_100625_VSA 111014_PJ" xfId="0"/>
    <cellStyle name="_PC_AIO_VSE WFP_100625_VSA Roll-Up (LW)" xfId="0"/>
    <cellStyle name="_PC_AIO_VSE WFP_100625_VSA Roll-Up (LW) 2" xfId="0"/>
    <cellStyle name="_PC_AIO_VSE WFP_100625_VSA Roll-Up (LW) 3" xfId="0"/>
    <cellStyle name="_PC_AIO_VSE WFP_100625_VSA Roll-Up (LW) 4" xfId="0"/>
    <cellStyle name="_PC_AIO_VSE WFP_100625_VSA Roll-Up (LW) 4 2" xfId="0"/>
    <cellStyle name="_PC_AIO_VSE WFP_100625_VSA Roll-Up (LW)_By Region" xfId="0"/>
    <cellStyle name="_PC_AIO_VSE WFP_100625_VSA Roll-Up (LW)_CORP SG&amp;A" xfId="0"/>
    <cellStyle name="_PC_AIO_VSE WFP_100625_VSA Roll-Up (LW)_LCD" xfId="0"/>
    <cellStyle name="_PC_AIO_VSE WFP_100625_VSA Roll-Up (LW)_PJ" xfId="0"/>
    <cellStyle name="_PC_AIO_VSE WFP_100708_3rd" xfId="0"/>
    <cellStyle name="_PC_AIO_VSE WFP_100708_3rd 2" xfId="0"/>
    <cellStyle name="_PC_AIO_VSE WFP_100708_3rd 3" xfId="0"/>
    <cellStyle name="_PC_AIO_VSE WFP_100708_3rd 4" xfId="0"/>
    <cellStyle name="_PC_AIO_VSE WFP_100708_3rd_By Region" xfId="0"/>
    <cellStyle name="_PC_AIO_VSE WFP_100708_3rd_CORP SG&amp;A" xfId="0"/>
    <cellStyle name="_PC_AIO_VSE WFP_100708_3rd_GPS OTHER" xfId="0"/>
    <cellStyle name="_PC_AIO_VSE WFP_100708_3rd_GPS OTHER 2" xfId="0"/>
    <cellStyle name="_PC_AIO_VSE WFP_100708_3rd_GPS OTHER 3" xfId="0"/>
    <cellStyle name="_PC_AIO_VSE WFP_100708_3rd_GPS OTHER 4" xfId="0"/>
    <cellStyle name="_PC_AIO_VSE WFP_100708_3rd_GPS OTHER 4 2" xfId="0"/>
    <cellStyle name="_PC_AIO_VSE WFP_100708_3rd_GPS OTHER_By Region" xfId="0"/>
    <cellStyle name="_PC_AIO_VSE WFP_100708_3rd_GPS OTHER_CORP SG&amp;A" xfId="0"/>
    <cellStyle name="_PC_AIO_VSE WFP_100708_3rd_GPS OTHER_LCD" xfId="0"/>
    <cellStyle name="_PC_AIO_VSE WFP_100708_3rd_GPS OTHER_PJ" xfId="0"/>
    <cellStyle name="_PC_AIO_VSE WFP_100708_3rd_LCD" xfId="0"/>
    <cellStyle name="_PC_AIO_VSE WFP_100708_3rd_LCD 2" xfId="0"/>
    <cellStyle name="_PC_AIO_VSE WFP_100708_3rd_LCD 3" xfId="0"/>
    <cellStyle name="_PC_AIO_VSE WFP_100708_3rd_LCD 4" xfId="0"/>
    <cellStyle name="_PC_AIO_VSE WFP_100708_3rd_LCD_By Region" xfId="0"/>
    <cellStyle name="_PC_AIO_VSE WFP_100708_3rd_LCD_CORP SG&amp;A" xfId="0"/>
    <cellStyle name="_PC_AIO_VSE WFP_100708_3rd_LCD_LCD" xfId="0"/>
    <cellStyle name="_PC_AIO_VSE WFP_100708_3rd_LCD_PJ" xfId="0"/>
    <cellStyle name="_PC_AIO_VSE WFP_100708_3rd_PC Products" xfId="0"/>
    <cellStyle name="_PC_AIO_VSE WFP_100708_3rd_PC Products 2" xfId="0"/>
    <cellStyle name="_PC_AIO_VSE WFP_100708_3rd_PC Products 3" xfId="0"/>
    <cellStyle name="_PC_AIO_VSE WFP_100708_3rd_PC Products 4" xfId="0"/>
    <cellStyle name="_PC_AIO_VSE WFP_100708_3rd_PC Products 4 2" xfId="0"/>
    <cellStyle name="_PC_AIO_VSE WFP_100708_3rd_PC Products_By Region" xfId="0"/>
    <cellStyle name="_PC_AIO_VSE WFP_100708_3rd_PC Products_CORP SG&amp;A" xfId="0"/>
    <cellStyle name="_PC_AIO_VSE WFP_100708_3rd_PC Products_LCD" xfId="0"/>
    <cellStyle name="_PC_AIO_VSE WFP_100708_3rd_PC Products_PJ" xfId="0"/>
    <cellStyle name="_PC_AIO_VSE WFP_100708_3rd_VSA 111014" xfId="0"/>
    <cellStyle name="_PC_AIO_VSE WFP_100708_3rd_VSA 111014 2" xfId="0"/>
    <cellStyle name="_PC_AIO_VSE WFP_100708_3rd_VSA 111014 3" xfId="0"/>
    <cellStyle name="_PC_AIO_VSE WFP_100708_3rd_VSA 111014 4" xfId="0"/>
    <cellStyle name="_PC_AIO_VSE WFP_100708_3rd_VSA 111014 4 2" xfId="0"/>
    <cellStyle name="_PC_AIO_VSE WFP_100708_3rd_VSA 111014_By Region" xfId="0"/>
    <cellStyle name="_PC_AIO_VSE WFP_100708_3rd_VSA 111014_CORP SG&amp;A" xfId="0"/>
    <cellStyle name="_PC_AIO_VSE WFP_100708_3rd_VSA 111014_LCD" xfId="0"/>
    <cellStyle name="_PC_AIO_VSE WFP_100708_3rd_VSA 111014_PJ" xfId="0"/>
    <cellStyle name="_PC_AIO_VSE WFP_100708_3rd_VSA Roll-Up (LW)" xfId="0"/>
    <cellStyle name="_PC_AIO_VSE WFP_100708_3rd_VSA Roll-Up (LW) 2" xfId="0"/>
    <cellStyle name="_PC_AIO_VSE WFP_100708_3rd_VSA Roll-Up (LW) 3" xfId="0"/>
    <cellStyle name="_PC_AIO_VSE WFP_100708_3rd_VSA Roll-Up (LW) 4" xfId="0"/>
    <cellStyle name="_PC_AIO_VSE WFP_100708_3rd_VSA Roll-Up (LW) 4 2" xfId="0"/>
    <cellStyle name="_PC_AIO_VSE WFP_100708_3rd_VSA Roll-Up (LW)_By Region" xfId="0"/>
    <cellStyle name="_PC_AIO_VSE WFP_100708_3rd_VSA Roll-Up (LW)_CORP SG&amp;A" xfId="0"/>
    <cellStyle name="_PC_AIO_VSE WFP_100708_3rd_VSA Roll-Up (LW)_LCD" xfId="0"/>
    <cellStyle name="_PC_AIO_VSE WFP_100708_3rd_VSA Roll-Up (LW)_PJ" xfId="0"/>
    <cellStyle name="_PC_AIO_VSE WFP_100726" xfId="0"/>
    <cellStyle name="_PC_AIO_VSE WFP_100726 2" xfId="0"/>
    <cellStyle name="_PC_AIO_VSE WFP_100726 3" xfId="0"/>
    <cellStyle name="_PC_AIO_VSE WFP_100726 4" xfId="0"/>
    <cellStyle name="_PC_AIO_VSE WFP_100726-1" xfId="0"/>
    <cellStyle name="_PC_AIO_VSE WFP_100726-1 2" xfId="0"/>
    <cellStyle name="_PC_AIO_VSE WFP_100726-1 3" xfId="0"/>
    <cellStyle name="_PC_AIO_VSE WFP_100726-1 4" xfId="0"/>
    <cellStyle name="_PC_AIO_VSE WFP_100726-1_By Region" xfId="0"/>
    <cellStyle name="_PC_AIO_VSE WFP_100726-1_CORP SG&amp;A" xfId="0"/>
    <cellStyle name="_PC_AIO_VSE WFP_100726-1_GPS OTHER" xfId="0"/>
    <cellStyle name="_PC_AIO_VSE WFP_100726-1_GPS OTHER 2" xfId="0"/>
    <cellStyle name="_PC_AIO_VSE WFP_100726-1_GPS OTHER 3" xfId="0"/>
    <cellStyle name="_PC_AIO_VSE WFP_100726-1_GPS OTHER 4" xfId="0"/>
    <cellStyle name="_PC_AIO_VSE WFP_100726-1_GPS OTHER 4 2" xfId="0"/>
    <cellStyle name="_PC_AIO_VSE WFP_100726-1_GPS OTHER_By Region" xfId="0"/>
    <cellStyle name="_PC_AIO_VSE WFP_100726-1_GPS OTHER_CORP SG&amp;A" xfId="0"/>
    <cellStyle name="_PC_AIO_VSE WFP_100726-1_GPS OTHER_LCD" xfId="0"/>
    <cellStyle name="_PC_AIO_VSE WFP_100726-1_GPS OTHER_PJ" xfId="0"/>
    <cellStyle name="_PC_AIO_VSE WFP_100726-1_LCD" xfId="0"/>
    <cellStyle name="_PC_AIO_VSE WFP_100726-1_LCD 2" xfId="0"/>
    <cellStyle name="_PC_AIO_VSE WFP_100726-1_LCD 3" xfId="0"/>
    <cellStyle name="_PC_AIO_VSE WFP_100726-1_LCD 4" xfId="0"/>
    <cellStyle name="_PC_AIO_VSE WFP_100726-1_LCD_By Region" xfId="0"/>
    <cellStyle name="_PC_AIO_VSE WFP_100726-1_LCD_CORP SG&amp;A" xfId="0"/>
    <cellStyle name="_PC_AIO_VSE WFP_100726-1_LCD_LCD" xfId="0"/>
    <cellStyle name="_PC_AIO_VSE WFP_100726-1_LCD_PJ" xfId="0"/>
    <cellStyle name="_PC_AIO_VSE WFP_100726-1_PC Products" xfId="0"/>
    <cellStyle name="_PC_AIO_VSE WFP_100726-1_PC Products 2" xfId="0"/>
    <cellStyle name="_PC_AIO_VSE WFP_100726-1_PC Products 3" xfId="0"/>
    <cellStyle name="_PC_AIO_VSE WFP_100726-1_PC Products 4" xfId="0"/>
    <cellStyle name="_PC_AIO_VSE WFP_100726-1_PC Products 4 2" xfId="0"/>
    <cellStyle name="_PC_AIO_VSE WFP_100726-1_PC Products_By Region" xfId="0"/>
    <cellStyle name="_PC_AIO_VSE WFP_100726-1_PC Products_CORP SG&amp;A" xfId="0"/>
    <cellStyle name="_PC_AIO_VSE WFP_100726-1_PC Products_LCD" xfId="0"/>
    <cellStyle name="_PC_AIO_VSE WFP_100726-1_PC Products_PJ" xfId="0"/>
    <cellStyle name="_PC_AIO_VSE WFP_100726-1_VSA 111014" xfId="0"/>
    <cellStyle name="_PC_AIO_VSE WFP_100726-1_VSA 111014 2" xfId="0"/>
    <cellStyle name="_PC_AIO_VSE WFP_100726-1_VSA 111014 3" xfId="0"/>
    <cellStyle name="_PC_AIO_VSE WFP_100726-1_VSA 111014 4" xfId="0"/>
    <cellStyle name="_PC_AIO_VSE WFP_100726-1_VSA 111014 4 2" xfId="0"/>
    <cellStyle name="_PC_AIO_VSE WFP_100726-1_VSA 111014_By Region" xfId="0"/>
    <cellStyle name="_PC_AIO_VSE WFP_100726-1_VSA 111014_CORP SG&amp;A" xfId="0"/>
    <cellStyle name="_PC_AIO_VSE WFP_100726-1_VSA 111014_LCD" xfId="0"/>
    <cellStyle name="_PC_AIO_VSE WFP_100726-1_VSA 111014_PJ" xfId="0"/>
    <cellStyle name="_PC_AIO_VSE WFP_100726-1_VSA Roll-Up (LW)" xfId="0"/>
    <cellStyle name="_PC_AIO_VSE WFP_100726-1_VSA Roll-Up (LW) 2" xfId="0"/>
    <cellStyle name="_PC_AIO_VSE WFP_100726-1_VSA Roll-Up (LW) 3" xfId="0"/>
    <cellStyle name="_PC_AIO_VSE WFP_100726-1_VSA Roll-Up (LW) 4" xfId="0"/>
    <cellStyle name="_PC_AIO_VSE WFP_100726-1_VSA Roll-Up (LW) 4 2" xfId="0"/>
    <cellStyle name="_PC_AIO_VSE WFP_100726-1_VSA Roll-Up (LW)_By Region" xfId="0"/>
    <cellStyle name="_PC_AIO_VSE WFP_100726-1_VSA Roll-Up (LW)_CORP SG&amp;A" xfId="0"/>
    <cellStyle name="_PC_AIO_VSE WFP_100726-1_VSA Roll-Up (LW)_LCD" xfId="0"/>
    <cellStyle name="_PC_AIO_VSE WFP_100726-1_VSA Roll-Up (LW)_PJ" xfId="0"/>
    <cellStyle name="_PC_AIO_VSE WFP_100726-2-yc" xfId="0"/>
    <cellStyle name="_PC_AIO_VSE WFP_100726-2-yc 2" xfId="0"/>
    <cellStyle name="_PC_AIO_VSE WFP_100726-2-yc 3" xfId="0"/>
    <cellStyle name="_PC_AIO_VSE WFP_100726-2-yc 4" xfId="0"/>
    <cellStyle name="_PC_AIO_VSE WFP_100726-2-yc_By Region" xfId="0"/>
    <cellStyle name="_PC_AIO_VSE WFP_100726-2-yc_CORP SG&amp;A" xfId="0"/>
    <cellStyle name="_PC_AIO_VSE WFP_100726-2-yc_GPS OTHER" xfId="0"/>
    <cellStyle name="_PC_AIO_VSE WFP_100726-2-yc_GPS OTHER 2" xfId="0"/>
    <cellStyle name="_PC_AIO_VSE WFP_100726-2-yc_GPS OTHER 3" xfId="0"/>
    <cellStyle name="_PC_AIO_VSE WFP_100726-2-yc_GPS OTHER 4" xfId="0"/>
    <cellStyle name="_PC_AIO_VSE WFP_100726-2-yc_GPS OTHER 4 2" xfId="0"/>
    <cellStyle name="_PC_AIO_VSE WFP_100726-2-yc_GPS OTHER_By Region" xfId="0"/>
    <cellStyle name="_PC_AIO_VSE WFP_100726-2-yc_GPS OTHER_CORP SG&amp;A" xfId="0"/>
    <cellStyle name="_PC_AIO_VSE WFP_100726-2-yc_GPS OTHER_LCD" xfId="0"/>
    <cellStyle name="_PC_AIO_VSE WFP_100726-2-yc_GPS OTHER_PJ" xfId="0"/>
    <cellStyle name="_PC_AIO_VSE WFP_100726-2-yc_LCD" xfId="0"/>
    <cellStyle name="_PC_AIO_VSE WFP_100726-2-yc_LCD 2" xfId="0"/>
    <cellStyle name="_PC_AIO_VSE WFP_100726-2-yc_LCD 3" xfId="0"/>
    <cellStyle name="_PC_AIO_VSE WFP_100726-2-yc_LCD 4" xfId="0"/>
    <cellStyle name="_PC_AIO_VSE WFP_100726-2-yc_LCD_By Region" xfId="0"/>
    <cellStyle name="_PC_AIO_VSE WFP_100726-2-yc_LCD_CORP SG&amp;A" xfId="0"/>
    <cellStyle name="_PC_AIO_VSE WFP_100726-2-yc_LCD_LCD" xfId="0"/>
    <cellStyle name="_PC_AIO_VSE WFP_100726-2-yc_LCD_PJ" xfId="0"/>
    <cellStyle name="_PC_AIO_VSE WFP_100726-2-yc_PC Products" xfId="0"/>
    <cellStyle name="_PC_AIO_VSE WFP_100726-2-yc_PC Products 2" xfId="0"/>
    <cellStyle name="_PC_AIO_VSE WFP_100726-2-yc_PC Products 3" xfId="0"/>
    <cellStyle name="_PC_AIO_VSE WFP_100726-2-yc_PC Products 4" xfId="0"/>
    <cellStyle name="_PC_AIO_VSE WFP_100726-2-yc_PC Products 4 2" xfId="0"/>
    <cellStyle name="_PC_AIO_VSE WFP_100726-2-yc_PC Products_By Region" xfId="0"/>
    <cellStyle name="_PC_AIO_VSE WFP_100726-2-yc_PC Products_CORP SG&amp;A" xfId="0"/>
    <cellStyle name="_PC_AIO_VSE WFP_100726-2-yc_PC Products_LCD" xfId="0"/>
    <cellStyle name="_PC_AIO_VSE WFP_100726-2-yc_PC Products_PJ" xfId="0"/>
    <cellStyle name="_PC_AIO_VSE WFP_100726-2-yc_VSA 111014" xfId="0"/>
    <cellStyle name="_PC_AIO_VSE WFP_100726-2-yc_VSA 111014 2" xfId="0"/>
    <cellStyle name="_PC_AIO_VSE WFP_100726-2-yc_VSA 111014 3" xfId="0"/>
    <cellStyle name="_PC_AIO_VSE WFP_100726-2-yc_VSA 111014 4" xfId="0"/>
    <cellStyle name="_PC_AIO_VSE WFP_100726-2-yc_VSA 111014 4 2" xfId="0"/>
    <cellStyle name="_PC_AIO_VSE WFP_100726-2-yc_VSA 111014_By Region" xfId="0"/>
    <cellStyle name="_PC_AIO_VSE WFP_100726-2-yc_VSA 111014_CORP SG&amp;A" xfId="0"/>
    <cellStyle name="_PC_AIO_VSE WFP_100726-2-yc_VSA 111014_LCD" xfId="0"/>
    <cellStyle name="_PC_AIO_VSE WFP_100726-2-yc_VSA 111014_PJ" xfId="0"/>
    <cellStyle name="_PC_AIO_VSE WFP_100726-2-yc_VSA Roll-Up (LW)" xfId="0"/>
    <cellStyle name="_PC_AIO_VSE WFP_100726-2-yc_VSA Roll-Up (LW) 2" xfId="0"/>
    <cellStyle name="_PC_AIO_VSE WFP_100726-2-yc_VSA Roll-Up (LW) 3" xfId="0"/>
    <cellStyle name="_PC_AIO_VSE WFP_100726-2-yc_VSA Roll-Up (LW) 4" xfId="0"/>
    <cellStyle name="_PC_AIO_VSE WFP_100726-2-yc_VSA Roll-Up (LW) 4 2" xfId="0"/>
    <cellStyle name="_PC_AIO_VSE WFP_100726-2-yc_VSA Roll-Up (LW)_By Region" xfId="0"/>
    <cellStyle name="_PC_AIO_VSE WFP_100726-2-yc_VSA Roll-Up (LW)_CORP SG&amp;A" xfId="0"/>
    <cellStyle name="_PC_AIO_VSE WFP_100726-2-yc_VSA Roll-Up (LW)_LCD" xfId="0"/>
    <cellStyle name="_PC_AIO_VSE WFP_100726-2-yc_VSA Roll-Up (LW)_PJ" xfId="0"/>
    <cellStyle name="_PC_AIO_VSE WFP_100726_By Region" xfId="0"/>
    <cellStyle name="_PC_AIO_VSE WFP_100726_CORP SG&amp;A" xfId="0"/>
    <cellStyle name="_PC_AIO_VSE WFP_100726_GPS OTHER" xfId="0"/>
    <cellStyle name="_PC_AIO_VSE WFP_100726_GPS OTHER 2" xfId="0"/>
    <cellStyle name="_PC_AIO_VSE WFP_100726_GPS OTHER 3" xfId="0"/>
    <cellStyle name="_PC_AIO_VSE WFP_100726_GPS OTHER 4" xfId="0"/>
    <cellStyle name="_PC_AIO_VSE WFP_100726_GPS OTHER 4 2" xfId="0"/>
    <cellStyle name="_PC_AIO_VSE WFP_100726_GPS OTHER_By Region" xfId="0"/>
    <cellStyle name="_PC_AIO_VSE WFP_100726_GPS OTHER_CORP SG&amp;A" xfId="0"/>
    <cellStyle name="_PC_AIO_VSE WFP_100726_GPS OTHER_LCD" xfId="0"/>
    <cellStyle name="_PC_AIO_VSE WFP_100726_GPS OTHER_PJ" xfId="0"/>
    <cellStyle name="_PC_AIO_VSE WFP_100726_LCD" xfId="0"/>
    <cellStyle name="_PC_AIO_VSE WFP_100726_LCD 2" xfId="0"/>
    <cellStyle name="_PC_AIO_VSE WFP_100726_LCD 3" xfId="0"/>
    <cellStyle name="_PC_AIO_VSE WFP_100726_LCD 4" xfId="0"/>
    <cellStyle name="_PC_AIO_VSE WFP_100726_LCD_By Region" xfId="0"/>
    <cellStyle name="_PC_AIO_VSE WFP_100726_LCD_CORP SG&amp;A" xfId="0"/>
    <cellStyle name="_PC_AIO_VSE WFP_100726_LCD_LCD" xfId="0"/>
    <cellStyle name="_PC_AIO_VSE WFP_100726_LCD_PJ" xfId="0"/>
    <cellStyle name="_PC_AIO_VSE WFP_100726_PC Products" xfId="0"/>
    <cellStyle name="_PC_AIO_VSE WFP_100726_PC Products 2" xfId="0"/>
    <cellStyle name="_PC_AIO_VSE WFP_100726_PC Products 3" xfId="0"/>
    <cellStyle name="_PC_AIO_VSE WFP_100726_PC Products 4" xfId="0"/>
    <cellStyle name="_PC_AIO_VSE WFP_100726_PC Products 4 2" xfId="0"/>
    <cellStyle name="_PC_AIO_VSE WFP_100726_PC Products_By Region" xfId="0"/>
    <cellStyle name="_PC_AIO_VSE WFP_100726_PC Products_CORP SG&amp;A" xfId="0"/>
    <cellStyle name="_PC_AIO_VSE WFP_100726_PC Products_LCD" xfId="0"/>
    <cellStyle name="_PC_AIO_VSE WFP_100726_PC Products_PJ" xfId="0"/>
    <cellStyle name="_PC_AIO_VSE WFP_100726_VSA 111014" xfId="0"/>
    <cellStyle name="_PC_AIO_VSE WFP_100726_VSA 111014 2" xfId="0"/>
    <cellStyle name="_PC_AIO_VSE WFP_100726_VSA 111014 3" xfId="0"/>
    <cellStyle name="_PC_AIO_VSE WFP_100726_VSA 111014 4" xfId="0"/>
    <cellStyle name="_PC_AIO_VSE WFP_100726_VSA 111014 4 2" xfId="0"/>
    <cellStyle name="_PC_AIO_VSE WFP_100726_VSA 111014_By Region" xfId="0"/>
    <cellStyle name="_PC_AIO_VSE WFP_100726_VSA 111014_CORP SG&amp;A" xfId="0"/>
    <cellStyle name="_PC_AIO_VSE WFP_100726_VSA 111014_LCD" xfId="0"/>
    <cellStyle name="_PC_AIO_VSE WFP_100726_VSA 111014_PJ" xfId="0"/>
    <cellStyle name="_PC_AIO_VSE WFP_100726_VSA Roll-Up (LW)" xfId="0"/>
    <cellStyle name="_PC_AIO_VSE WFP_100726_VSA Roll-Up (LW) 2" xfId="0"/>
    <cellStyle name="_PC_AIO_VSE WFP_100726_VSA Roll-Up (LW) 3" xfId="0"/>
    <cellStyle name="_PC_AIO_VSE WFP_100726_VSA Roll-Up (LW) 4" xfId="0"/>
    <cellStyle name="_PC_AIO_VSE WFP_100726_VSA Roll-Up (LW) 4 2" xfId="0"/>
    <cellStyle name="_PC_AIO_VSE WFP_100726_VSA Roll-Up (LW)_By Region" xfId="0"/>
    <cellStyle name="_PC_AIO_VSE WFP_100726_VSA Roll-Up (LW)_CORP SG&amp;A" xfId="0"/>
    <cellStyle name="_PC_AIO_VSE WFP_100726_VSA Roll-Up (LW)_LCD" xfId="0"/>
    <cellStyle name="_PC_AIO_VSE WFP_100726_VSA Roll-Up (LW)_PJ" xfId="0"/>
    <cellStyle name="_PC_AIO_VSE WFP_100827-1" xfId="0"/>
    <cellStyle name="_PC_AIO_VSE WFP_100827-1 2" xfId="0"/>
    <cellStyle name="_PC_AIO_VSE WFP_100827-1 3" xfId="0"/>
    <cellStyle name="_PC_AIO_VSE WFP_100827-1 4" xfId="0"/>
    <cellStyle name="_PC_AIO_VSE WFP_100827-1_By Region" xfId="0"/>
    <cellStyle name="_PC_AIO_VSE WFP_100827-1_CORP SG&amp;A" xfId="0"/>
    <cellStyle name="_PC_AIO_VSE WFP_100827-1_GPS OTHER" xfId="0"/>
    <cellStyle name="_PC_AIO_VSE WFP_100827-1_GPS OTHER 2" xfId="0"/>
    <cellStyle name="_PC_AIO_VSE WFP_100827-1_GPS OTHER 3" xfId="0"/>
    <cellStyle name="_PC_AIO_VSE WFP_100827-1_GPS OTHER 4" xfId="0"/>
    <cellStyle name="_PC_AIO_VSE WFP_100827-1_GPS OTHER 4 2" xfId="0"/>
    <cellStyle name="_PC_AIO_VSE WFP_100827-1_GPS OTHER_By Region" xfId="0"/>
    <cellStyle name="_PC_AIO_VSE WFP_100827-1_GPS OTHER_CORP SG&amp;A" xfId="0"/>
    <cellStyle name="_PC_AIO_VSE WFP_100827-1_GPS OTHER_LCD" xfId="0"/>
    <cellStyle name="_PC_AIO_VSE WFP_100827-1_GPS OTHER_PJ" xfId="0"/>
    <cellStyle name="_PC_AIO_VSE WFP_100827-1_LCD" xfId="0"/>
    <cellStyle name="_PC_AIO_VSE WFP_100827-1_LCD 2" xfId="0"/>
    <cellStyle name="_PC_AIO_VSE WFP_100827-1_LCD 3" xfId="0"/>
    <cellStyle name="_PC_AIO_VSE WFP_100827-1_LCD 4" xfId="0"/>
    <cellStyle name="_PC_AIO_VSE WFP_100827-1_LCD_By Region" xfId="0"/>
    <cellStyle name="_PC_AIO_VSE WFP_100827-1_LCD_CORP SG&amp;A" xfId="0"/>
    <cellStyle name="_PC_AIO_VSE WFP_100827-1_LCD_LCD" xfId="0"/>
    <cellStyle name="_PC_AIO_VSE WFP_100827-1_LCD_PJ" xfId="0"/>
    <cellStyle name="_PC_AIO_VSE WFP_100827-1_PC Products" xfId="0"/>
    <cellStyle name="_PC_AIO_VSE WFP_100827-1_PC Products 2" xfId="0"/>
    <cellStyle name="_PC_AIO_VSE WFP_100827-1_PC Products 3" xfId="0"/>
    <cellStyle name="_PC_AIO_VSE WFP_100827-1_PC Products 4" xfId="0"/>
    <cellStyle name="_PC_AIO_VSE WFP_100827-1_PC Products 4 2" xfId="0"/>
    <cellStyle name="_PC_AIO_VSE WFP_100827-1_PC Products_By Region" xfId="0"/>
    <cellStyle name="_PC_AIO_VSE WFP_100827-1_PC Products_CORP SG&amp;A" xfId="0"/>
    <cellStyle name="_PC_AIO_VSE WFP_100827-1_PC Products_LCD" xfId="0"/>
    <cellStyle name="_PC_AIO_VSE WFP_100827-1_PC Products_PJ" xfId="0"/>
    <cellStyle name="_PC_AIO_VSE WFP_100827-1_VSA 111014" xfId="0"/>
    <cellStyle name="_PC_AIO_VSE WFP_100827-1_VSA 111014 2" xfId="0"/>
    <cellStyle name="_PC_AIO_VSE WFP_100827-1_VSA 111014 3" xfId="0"/>
    <cellStyle name="_PC_AIO_VSE WFP_100827-1_VSA 111014 4" xfId="0"/>
    <cellStyle name="_PC_AIO_VSE WFP_100827-1_VSA 111014 4 2" xfId="0"/>
    <cellStyle name="_PC_AIO_VSE WFP_100827-1_VSA 111014_By Region" xfId="0"/>
    <cellStyle name="_PC_AIO_VSE WFP_100827-1_VSA 111014_CORP SG&amp;A" xfId="0"/>
    <cellStyle name="_PC_AIO_VSE WFP_100827-1_VSA 111014_LCD" xfId="0"/>
    <cellStyle name="_PC_AIO_VSE WFP_100827-1_VSA 111014_PJ" xfId="0"/>
    <cellStyle name="_PC_AIO_VSE WFP_100827-1_VSA Roll-Up (LW)" xfId="0"/>
    <cellStyle name="_PC_AIO_VSE WFP_100827-1_VSA Roll-Up (LW) 2" xfId="0"/>
    <cellStyle name="_PC_AIO_VSE WFP_100827-1_VSA Roll-Up (LW) 3" xfId="0"/>
    <cellStyle name="_PC_AIO_VSE WFP_100827-1_VSA Roll-Up (LW) 4" xfId="0"/>
    <cellStyle name="_PC_AIO_VSE WFP_100827-1_VSA Roll-Up (LW) 4 2" xfId="0"/>
    <cellStyle name="_PC_AIO_VSE WFP_100827-1_VSA Roll-Up (LW)_By Region" xfId="0"/>
    <cellStyle name="_PC_AIO_VSE WFP_100827-1_VSA Roll-Up (LW)_CORP SG&amp;A" xfId="0"/>
    <cellStyle name="_PC_AIO_VSE WFP_100827-1_VSA Roll-Up (LW)_LCD" xfId="0"/>
    <cellStyle name="_PC_AIO_VSE WFP_100827-1_VSA Roll-Up (LW)_PJ" xfId="0"/>
    <cellStyle name="_PC_AIO_VSE WFP_101001" xfId="0"/>
    <cellStyle name="_PC_AIO_VSE WFP_101001 2" xfId="0"/>
    <cellStyle name="_PC_AIO_VSE WFP_101001 3" xfId="0"/>
    <cellStyle name="_PC_AIO_VSE WFP_101001 4" xfId="0"/>
    <cellStyle name="_PC_AIO_VSE WFP_101001_By Region" xfId="0"/>
    <cellStyle name="_PC_AIO_VSE WFP_101001_CORP SG&amp;A" xfId="0"/>
    <cellStyle name="_PC_AIO_VSE WFP_101001_GPS OTHER" xfId="0"/>
    <cellStyle name="_PC_AIO_VSE WFP_101001_GPS OTHER 2" xfId="0"/>
    <cellStyle name="_PC_AIO_VSE WFP_101001_GPS OTHER 3" xfId="0"/>
    <cellStyle name="_PC_AIO_VSE WFP_101001_GPS OTHER 4" xfId="0"/>
    <cellStyle name="_PC_AIO_VSE WFP_101001_GPS OTHER 4 2" xfId="0"/>
    <cellStyle name="_PC_AIO_VSE WFP_101001_GPS OTHER_By Region" xfId="0"/>
    <cellStyle name="_PC_AIO_VSE WFP_101001_GPS OTHER_CORP SG&amp;A" xfId="0"/>
    <cellStyle name="_PC_AIO_VSE WFP_101001_GPS OTHER_LCD" xfId="0"/>
    <cellStyle name="_PC_AIO_VSE WFP_101001_GPS OTHER_PJ" xfId="0"/>
    <cellStyle name="_PC_AIO_VSE WFP_101001_LCD" xfId="0"/>
    <cellStyle name="_PC_AIO_VSE WFP_101001_LCD 2" xfId="0"/>
    <cellStyle name="_PC_AIO_VSE WFP_101001_LCD 3" xfId="0"/>
    <cellStyle name="_PC_AIO_VSE WFP_101001_LCD 4" xfId="0"/>
    <cellStyle name="_PC_AIO_VSE WFP_101001_LCD_By Region" xfId="0"/>
    <cellStyle name="_PC_AIO_VSE WFP_101001_LCD_CORP SG&amp;A" xfId="0"/>
    <cellStyle name="_PC_AIO_VSE WFP_101001_LCD_LCD" xfId="0"/>
    <cellStyle name="_PC_AIO_VSE WFP_101001_LCD_PJ" xfId="0"/>
    <cellStyle name="_PC_AIO_VSE WFP_101001_PC Products" xfId="0"/>
    <cellStyle name="_PC_AIO_VSE WFP_101001_PC Products 2" xfId="0"/>
    <cellStyle name="_PC_AIO_VSE WFP_101001_PC Products 3" xfId="0"/>
    <cellStyle name="_PC_AIO_VSE WFP_101001_PC Products 4" xfId="0"/>
    <cellStyle name="_PC_AIO_VSE WFP_101001_PC Products 4 2" xfId="0"/>
    <cellStyle name="_PC_AIO_VSE WFP_101001_PC Products_By Region" xfId="0"/>
    <cellStyle name="_PC_AIO_VSE WFP_101001_PC Products_CORP SG&amp;A" xfId="0"/>
    <cellStyle name="_PC_AIO_VSE WFP_101001_PC Products_LCD" xfId="0"/>
    <cellStyle name="_PC_AIO_VSE WFP_101001_PC Products_PJ" xfId="0"/>
    <cellStyle name="_PC_AIO_VSE WFP_101001_VSA 111014" xfId="0"/>
    <cellStyle name="_PC_AIO_VSE WFP_101001_VSA 111014 2" xfId="0"/>
    <cellStyle name="_PC_AIO_VSE WFP_101001_VSA 111014 3" xfId="0"/>
    <cellStyle name="_PC_AIO_VSE WFP_101001_VSA 111014 4" xfId="0"/>
    <cellStyle name="_PC_AIO_VSE WFP_101001_VSA 111014 4 2" xfId="0"/>
    <cellStyle name="_PC_AIO_VSE WFP_101001_VSA 111014_By Region" xfId="0"/>
    <cellStyle name="_PC_AIO_VSE WFP_101001_VSA 111014_CORP SG&amp;A" xfId="0"/>
    <cellStyle name="_PC_AIO_VSE WFP_101001_VSA 111014_LCD" xfId="0"/>
    <cellStyle name="_PC_AIO_VSE WFP_101001_VSA 111014_PJ" xfId="0"/>
    <cellStyle name="_PC_AIO_VSE WFP_101001_VSA Roll-Up (LW)" xfId="0"/>
    <cellStyle name="_PC_AIO_VSE WFP_101001_VSA Roll-Up (LW) 2" xfId="0"/>
    <cellStyle name="_PC_AIO_VSE WFP_101001_VSA Roll-Up (LW) 3" xfId="0"/>
    <cellStyle name="_PC_AIO_VSE WFP_101001_VSA Roll-Up (LW) 4" xfId="0"/>
    <cellStyle name="_PC_AIO_VSE WFP_101001_VSA Roll-Up (LW) 4 2" xfId="0"/>
    <cellStyle name="_PC_AIO_VSE WFP_101001_VSA Roll-Up (LW)_By Region" xfId="0"/>
    <cellStyle name="_PC_AIO_VSE WFP_101001_VSA Roll-Up (LW)_CORP SG&amp;A" xfId="0"/>
    <cellStyle name="_PC_AIO_VSE WFP_101001_VSA Roll-Up (LW)_LCD" xfId="0"/>
    <cellStyle name="_PC_AIO_VSE WFP_101001_VSA Roll-Up (LW)_PJ" xfId="0"/>
    <cellStyle name="_PC_AIO_VSE WFP_101029-with more ViewPad 7" xfId="0"/>
    <cellStyle name="_PC_AIO_VSE WFP_101029-with more ViewPad 7 2" xfId="0"/>
    <cellStyle name="_PC_AIO_VSE WFP_101029-with more ViewPad 7 3" xfId="0"/>
    <cellStyle name="_PC_AIO_VSE WFP_101029-with more ViewPad 7 4" xfId="0"/>
    <cellStyle name="_PC_AIO_VSE WFP_101029-with more ViewPad 7_By Region" xfId="0"/>
    <cellStyle name="_PC_AIO_VSE WFP_101029-with more ViewPad 7_CORP SG&amp;A" xfId="0"/>
    <cellStyle name="_PC_AIO_VSE WFP_101029-with more ViewPad 7_GPS OTHER" xfId="0"/>
    <cellStyle name="_PC_AIO_VSE WFP_101029-with more ViewPad 7_GPS OTHER 2" xfId="0"/>
    <cellStyle name="_PC_AIO_VSE WFP_101029-with more ViewPad 7_GPS OTHER 3" xfId="0"/>
    <cellStyle name="_PC_AIO_VSE WFP_101029-with more ViewPad 7_GPS OTHER 4" xfId="0"/>
    <cellStyle name="_PC_AIO_VSE WFP_101029-with more ViewPad 7_GPS OTHER 4 2" xfId="0"/>
    <cellStyle name="_PC_AIO_VSE WFP_101029-with more ViewPad 7_GPS OTHER_By Region" xfId="0"/>
    <cellStyle name="_PC_AIO_VSE WFP_101029-with more ViewPad 7_GPS OTHER_CORP SG&amp;A" xfId="0"/>
    <cellStyle name="_PC_AIO_VSE WFP_101029-with more ViewPad 7_GPS OTHER_LCD" xfId="0"/>
    <cellStyle name="_PC_AIO_VSE WFP_101029-with more ViewPad 7_GPS OTHER_PJ" xfId="0"/>
    <cellStyle name="_PC_AIO_VSE WFP_101029-with more ViewPad 7_LCD" xfId="0"/>
    <cellStyle name="_PC_AIO_VSE WFP_101029-with more ViewPad 7_LCD 2" xfId="0"/>
    <cellStyle name="_PC_AIO_VSE WFP_101029-with more ViewPad 7_LCD 3" xfId="0"/>
    <cellStyle name="_PC_AIO_VSE WFP_101029-with more ViewPad 7_LCD 4" xfId="0"/>
    <cellStyle name="_PC_AIO_VSE WFP_101029-with more ViewPad 7_LCD_By Region" xfId="0"/>
    <cellStyle name="_PC_AIO_VSE WFP_101029-with more ViewPad 7_LCD_CORP SG&amp;A" xfId="0"/>
    <cellStyle name="_PC_AIO_VSE WFP_101029-with more ViewPad 7_LCD_LCD" xfId="0"/>
    <cellStyle name="_PC_AIO_VSE WFP_101029-with more ViewPad 7_LCD_PJ" xfId="0"/>
    <cellStyle name="_PC_AIO_VSE WFP_101029-with more ViewPad 7_PC Products" xfId="0"/>
    <cellStyle name="_PC_AIO_VSE WFP_101029-with more ViewPad 7_PC Products 2" xfId="0"/>
    <cellStyle name="_PC_AIO_VSE WFP_101029-with more ViewPad 7_PC Products 3" xfId="0"/>
    <cellStyle name="_PC_AIO_VSE WFP_101029-with more ViewPad 7_PC Products 4" xfId="0"/>
    <cellStyle name="_PC_AIO_VSE WFP_101029-with more ViewPad 7_PC Products 4 2" xfId="0"/>
    <cellStyle name="_PC_AIO_VSE WFP_101029-with more ViewPad 7_PC Products_By Region" xfId="0"/>
    <cellStyle name="_PC_AIO_VSE WFP_101029-with more ViewPad 7_PC Products_CORP SG&amp;A" xfId="0"/>
    <cellStyle name="_PC_AIO_VSE WFP_101029-with more ViewPad 7_PC Products_LCD" xfId="0"/>
    <cellStyle name="_PC_AIO_VSE WFP_101029-with more ViewPad 7_PC Products_PJ" xfId="0"/>
    <cellStyle name="_PC_AIO_VSE WFP_101029-with more ViewPad 7_VSA 111014" xfId="0"/>
    <cellStyle name="_PC_AIO_VSE WFP_101029-with more ViewPad 7_VSA 111014 2" xfId="0"/>
    <cellStyle name="_PC_AIO_VSE WFP_101029-with more ViewPad 7_VSA 111014 3" xfId="0"/>
    <cellStyle name="_PC_AIO_VSE WFP_101029-with more ViewPad 7_VSA 111014 4" xfId="0"/>
    <cellStyle name="_PC_AIO_VSE WFP_101029-with more ViewPad 7_VSA 111014 4 2" xfId="0"/>
    <cellStyle name="_PC_AIO_VSE WFP_101029-with more ViewPad 7_VSA 111014_By Region" xfId="0"/>
    <cellStyle name="_PC_AIO_VSE WFP_101029-with more ViewPad 7_VSA 111014_CORP SG&amp;A" xfId="0"/>
    <cellStyle name="_PC_AIO_VSE WFP_101029-with more ViewPad 7_VSA 111014_LCD" xfId="0"/>
    <cellStyle name="_PC_AIO_VSE WFP_101029-with more ViewPad 7_VSA 111014_PJ" xfId="0"/>
    <cellStyle name="_PC_AIO_VSE WFP_101029-with more ViewPad 7_VSA Roll-Up (LW)" xfId="0"/>
    <cellStyle name="_PC_AIO_VSE WFP_101029-with more ViewPad 7_VSA Roll-Up (LW) 2" xfId="0"/>
    <cellStyle name="_PC_AIO_VSE WFP_101029-with more ViewPad 7_VSA Roll-Up (LW) 3" xfId="0"/>
    <cellStyle name="_PC_AIO_VSE WFP_101029-with more ViewPad 7_VSA Roll-Up (LW) 4" xfId="0"/>
    <cellStyle name="_PC_AIO_VSE WFP_101029-with more ViewPad 7_VSA Roll-Up (LW) 4 2" xfId="0"/>
    <cellStyle name="_PC_AIO_VSE WFP_101029-with more ViewPad 7_VSA Roll-Up (LW)_By Region" xfId="0"/>
    <cellStyle name="_PC_AIO_VSE WFP_101029-with more ViewPad 7_VSA Roll-Up (LW)_CORP SG&amp;A" xfId="0"/>
    <cellStyle name="_PC_AIO_VSE WFP_101029-with more ViewPad 7_VSA Roll-Up (LW)_LCD" xfId="0"/>
    <cellStyle name="_PC_AIO_VSE WFP_101029-with more ViewPad 7_VSA Roll-Up (LW)_PJ" xfId="0"/>
    <cellStyle name="_PC_NB" xfId="0"/>
    <cellStyle name="_PC_NB 2" xfId="0"/>
    <cellStyle name="_PC_NB 3" xfId="0"/>
    <cellStyle name="_PC_NB 4" xfId="0"/>
    <cellStyle name="_PC_NB 5" xfId="0"/>
    <cellStyle name="_PC_NB_By Region" xfId="0"/>
    <cellStyle name="_PC_NB_CIS" xfId="0"/>
    <cellStyle name="_PC_NB_CIS 2" xfId="0"/>
    <cellStyle name="_PC_NB_CIS 3" xfId="0"/>
    <cellStyle name="_PC_NB_CIS 4" xfId="0"/>
    <cellStyle name="_PC_NB_CIS_By Region" xfId="0"/>
    <cellStyle name="_PC_NB_CIS_CORP SG&amp;A" xfId="0"/>
    <cellStyle name="_PC_NB_CIS_GPS OTHER" xfId="0"/>
    <cellStyle name="_PC_NB_CIS_GPS OTHER 2" xfId="0"/>
    <cellStyle name="_PC_NB_CIS_GPS OTHER 3" xfId="0"/>
    <cellStyle name="_PC_NB_CIS_GPS OTHER 4" xfId="0"/>
    <cellStyle name="_PC_NB_CIS_GPS OTHER 4 2" xfId="0"/>
    <cellStyle name="_PC_NB_CIS_GPS OTHER_By Region" xfId="0"/>
    <cellStyle name="_PC_NB_CIS_GPS OTHER_CORP SG&amp;A" xfId="0"/>
    <cellStyle name="_PC_NB_CIS_GPS OTHER_LCD" xfId="0"/>
    <cellStyle name="_PC_NB_CIS_GPS OTHER_PJ" xfId="0"/>
    <cellStyle name="_PC_NB_CIS_LCD" xfId="0"/>
    <cellStyle name="_PC_NB_CIS_LCD 2" xfId="0"/>
    <cellStyle name="_PC_NB_CIS_LCD 3" xfId="0"/>
    <cellStyle name="_PC_NB_CIS_LCD 4" xfId="0"/>
    <cellStyle name="_PC_NB_CIS_LCD_By Region" xfId="0"/>
    <cellStyle name="_PC_NB_CIS_LCD_CORP SG&amp;A" xfId="0"/>
    <cellStyle name="_PC_NB_CIS_LCD_LCD" xfId="0"/>
    <cellStyle name="_PC_NB_CIS_LCD_PJ" xfId="0"/>
    <cellStyle name="_PC_NB_CIS_PC Products" xfId="0"/>
    <cellStyle name="_PC_NB_CIS_PC Products 2" xfId="0"/>
    <cellStyle name="_PC_NB_CIS_PC Products 3" xfId="0"/>
    <cellStyle name="_PC_NB_CIS_PC Products 4" xfId="0"/>
    <cellStyle name="_PC_NB_CIS_PC Products 4 2" xfId="0"/>
    <cellStyle name="_PC_NB_CIS_PC Products_By Region" xfId="0"/>
    <cellStyle name="_PC_NB_CIS_PC Products_CORP SG&amp;A" xfId="0"/>
    <cellStyle name="_PC_NB_CIS_PC Products_LCD" xfId="0"/>
    <cellStyle name="_PC_NB_CIS_PC Products_PJ" xfId="0"/>
    <cellStyle name="_PC_NB_CIS_VSA 111014" xfId="0"/>
    <cellStyle name="_PC_NB_CIS_VSA 111014 2" xfId="0"/>
    <cellStyle name="_PC_NB_CIS_VSA 111014 3" xfId="0"/>
    <cellStyle name="_PC_NB_CIS_VSA 111014 4" xfId="0"/>
    <cellStyle name="_PC_NB_CIS_VSA 111014 4 2" xfId="0"/>
    <cellStyle name="_PC_NB_CIS_VSA 111014_By Region" xfId="0"/>
    <cellStyle name="_PC_NB_CIS_VSA 111014_CORP SG&amp;A" xfId="0"/>
    <cellStyle name="_PC_NB_CIS_VSA 111014_LCD" xfId="0"/>
    <cellStyle name="_PC_NB_CIS_VSA 111014_PJ" xfId="0"/>
    <cellStyle name="_PC_NB_CIS_VSA Roll-Up (LW)" xfId="0"/>
    <cellStyle name="_PC_NB_CIS_VSA Roll-Up (LW) 2" xfId="0"/>
    <cellStyle name="_PC_NB_CIS_VSA Roll-Up (LW) 3" xfId="0"/>
    <cellStyle name="_PC_NB_CIS_VSA Roll-Up (LW) 4" xfId="0"/>
    <cellStyle name="_PC_NB_CIS_VSA Roll-Up (LW) 4 2" xfId="0"/>
    <cellStyle name="_PC_NB_CIS_VSA Roll-Up (LW)_By Region" xfId="0"/>
    <cellStyle name="_PC_NB_CIS_VSA Roll-Up (LW)_CORP SG&amp;A" xfId="0"/>
    <cellStyle name="_PC_NB_CIS_VSA Roll-Up (LW)_LCD" xfId="0"/>
    <cellStyle name="_PC_NB_CIS_VSA Roll-Up (LW)_PJ" xfId="0"/>
    <cellStyle name="_PC_NB_CORP SG&amp;A" xfId="0"/>
    <cellStyle name="_PC_NB_CRT" xfId="0"/>
    <cellStyle name="_PC_NB_CRT 2" xfId="0"/>
    <cellStyle name="_PC_NB_CRT 3" xfId="0"/>
    <cellStyle name="_PC_NB_CRT 4" xfId="0"/>
    <cellStyle name="_PC_NB_CRT_By Region" xfId="0"/>
    <cellStyle name="_PC_NB_CRT_CORP SG&amp;A" xfId="0"/>
    <cellStyle name="_PC_NB_CRT_GPS OTHER" xfId="0"/>
    <cellStyle name="_PC_NB_CRT_GPS OTHER 2" xfId="0"/>
    <cellStyle name="_PC_NB_CRT_GPS OTHER 3" xfId="0"/>
    <cellStyle name="_PC_NB_CRT_GPS OTHER 4" xfId="0"/>
    <cellStyle name="_PC_NB_CRT_GPS OTHER 4 2" xfId="0"/>
    <cellStyle name="_PC_NB_CRT_GPS OTHER_By Region" xfId="0"/>
    <cellStyle name="_PC_NB_CRT_GPS OTHER_CORP SG&amp;A" xfId="0"/>
    <cellStyle name="_PC_NB_CRT_GPS OTHER_LCD" xfId="0"/>
    <cellStyle name="_PC_NB_CRT_GPS OTHER_PJ" xfId="0"/>
    <cellStyle name="_PC_NB_CRT_LCD" xfId="0"/>
    <cellStyle name="_PC_NB_CRT_LCD 2" xfId="0"/>
    <cellStyle name="_PC_NB_CRT_LCD 3" xfId="0"/>
    <cellStyle name="_PC_NB_CRT_LCD 4" xfId="0"/>
    <cellStyle name="_PC_NB_CRT_LCD_By Region" xfId="0"/>
    <cellStyle name="_PC_NB_CRT_LCD_CORP SG&amp;A" xfId="0"/>
    <cellStyle name="_PC_NB_CRT_LCD_LCD" xfId="0"/>
    <cellStyle name="_PC_NB_CRT_LCD_PJ" xfId="0"/>
    <cellStyle name="_PC_NB_CRT_PC Products" xfId="0"/>
    <cellStyle name="_PC_NB_CRT_PC Products 2" xfId="0"/>
    <cellStyle name="_PC_NB_CRT_PC Products 3" xfId="0"/>
    <cellStyle name="_PC_NB_CRT_PC Products 4" xfId="0"/>
    <cellStyle name="_PC_NB_CRT_PC Products 4 2" xfId="0"/>
    <cellStyle name="_PC_NB_CRT_PC Products_By Region" xfId="0"/>
    <cellStyle name="_PC_NB_CRT_PC Products_CORP SG&amp;A" xfId="0"/>
    <cellStyle name="_PC_NB_CRT_PC Products_LCD" xfId="0"/>
    <cellStyle name="_PC_NB_CRT_PC Products_PJ" xfId="0"/>
    <cellStyle name="_PC_NB_CRT_VSA 111014" xfId="0"/>
    <cellStyle name="_PC_NB_CRT_VSA 111014 2" xfId="0"/>
    <cellStyle name="_PC_NB_CRT_VSA 111014 3" xfId="0"/>
    <cellStyle name="_PC_NB_CRT_VSA 111014 4" xfId="0"/>
    <cellStyle name="_PC_NB_CRT_VSA 111014 4 2" xfId="0"/>
    <cellStyle name="_PC_NB_CRT_VSA 111014_By Region" xfId="0"/>
    <cellStyle name="_PC_NB_CRT_VSA 111014_CORP SG&amp;A" xfId="0"/>
    <cellStyle name="_PC_NB_CRT_VSA 111014_LCD" xfId="0"/>
    <cellStyle name="_PC_NB_CRT_VSA 111014_PJ" xfId="0"/>
    <cellStyle name="_PC_NB_CRT_VSA Roll-Up (LW)" xfId="0"/>
    <cellStyle name="_PC_NB_CRT_VSA Roll-Up (LW) 2" xfId="0"/>
    <cellStyle name="_PC_NB_CRT_VSA Roll-Up (LW) 3" xfId="0"/>
    <cellStyle name="_PC_NB_CRT_VSA Roll-Up (LW) 4" xfId="0"/>
    <cellStyle name="_PC_NB_CRT_VSA Roll-Up (LW) 4 2" xfId="0"/>
    <cellStyle name="_PC_NB_CRT_VSA Roll-Up (LW)_By Region" xfId="0"/>
    <cellStyle name="_PC_NB_CRT_VSA Roll-Up (LW)_CORP SG&amp;A" xfId="0"/>
    <cellStyle name="_PC_NB_CRT_VSA Roll-Up (LW)_LCD" xfId="0"/>
    <cellStyle name="_PC_NB_CRT_VSA Roll-Up (LW)_PJ" xfId="0"/>
    <cellStyle name="_PC_NB_Diff" xfId="0"/>
    <cellStyle name="_PC_NB_Diff 2" xfId="0"/>
    <cellStyle name="_PC_NB_Diff 3" xfId="0"/>
    <cellStyle name="_PC_NB_Diff 4" xfId="0"/>
    <cellStyle name="_PC_NB_Diff_By Region" xfId="0"/>
    <cellStyle name="_PC_NB_Diff_CORP SG&amp;A" xfId="0"/>
    <cellStyle name="_PC_NB_Diff_GPS OTHER" xfId="0"/>
    <cellStyle name="_PC_NB_Diff_GPS OTHER 2" xfId="0"/>
    <cellStyle name="_PC_NB_Diff_GPS OTHER 3" xfId="0"/>
    <cellStyle name="_PC_NB_Diff_GPS OTHER 4" xfId="0"/>
    <cellStyle name="_PC_NB_Diff_GPS OTHER 4 2" xfId="0"/>
    <cellStyle name="_PC_NB_Diff_GPS OTHER_By Region" xfId="0"/>
    <cellStyle name="_PC_NB_Diff_GPS OTHER_CORP SG&amp;A" xfId="0"/>
    <cellStyle name="_PC_NB_Diff_GPS OTHER_LCD" xfId="0"/>
    <cellStyle name="_PC_NB_Diff_GPS OTHER_PJ" xfId="0"/>
    <cellStyle name="_PC_NB_Diff_LCD" xfId="0"/>
    <cellStyle name="_PC_NB_Diff_LCD 2" xfId="0"/>
    <cellStyle name="_PC_NB_Diff_LCD 3" xfId="0"/>
    <cellStyle name="_PC_NB_Diff_LCD 4" xfId="0"/>
    <cellStyle name="_PC_NB_Diff_LCD_By Region" xfId="0"/>
    <cellStyle name="_PC_NB_Diff_LCD_CORP SG&amp;A" xfId="0"/>
    <cellStyle name="_PC_NB_Diff_LCD_LCD" xfId="0"/>
    <cellStyle name="_PC_NB_Diff_LCD_PJ" xfId="0"/>
    <cellStyle name="_PC_NB_Diff_PC Products" xfId="0"/>
    <cellStyle name="_PC_NB_Diff_PC Products 2" xfId="0"/>
    <cellStyle name="_PC_NB_Diff_PC Products 3" xfId="0"/>
    <cellStyle name="_PC_NB_Diff_PC Products 4" xfId="0"/>
    <cellStyle name="_PC_NB_Diff_PC Products 4 2" xfId="0"/>
    <cellStyle name="_PC_NB_Diff_PC Products_By Region" xfId="0"/>
    <cellStyle name="_PC_NB_Diff_PC Products_CORP SG&amp;A" xfId="0"/>
    <cellStyle name="_PC_NB_Diff_PC Products_LCD" xfId="0"/>
    <cellStyle name="_PC_NB_Diff_PC Products_PJ" xfId="0"/>
    <cellStyle name="_PC_NB_Diff_VSA 111014" xfId="0"/>
    <cellStyle name="_PC_NB_Diff_VSA 111014 2" xfId="0"/>
    <cellStyle name="_PC_NB_Diff_VSA 111014 3" xfId="0"/>
    <cellStyle name="_PC_NB_Diff_VSA 111014 4" xfId="0"/>
    <cellStyle name="_PC_NB_Diff_VSA 111014 4 2" xfId="0"/>
    <cellStyle name="_PC_NB_Diff_VSA 111014_By Region" xfId="0"/>
    <cellStyle name="_PC_NB_Diff_VSA 111014_CORP SG&amp;A" xfId="0"/>
    <cellStyle name="_PC_NB_Diff_VSA 111014_LCD" xfId="0"/>
    <cellStyle name="_PC_NB_Diff_VSA 111014_PJ" xfId="0"/>
    <cellStyle name="_PC_NB_Diff_VSA Roll-Up (LW)" xfId="0"/>
    <cellStyle name="_PC_NB_Diff_VSA Roll-Up (LW) 2" xfId="0"/>
    <cellStyle name="_PC_NB_Diff_VSA Roll-Up (LW) 3" xfId="0"/>
    <cellStyle name="_PC_NB_Diff_VSA Roll-Up (LW) 4" xfId="0"/>
    <cellStyle name="_PC_NB_Diff_VSA Roll-Up (LW) 4 2" xfId="0"/>
    <cellStyle name="_PC_NB_Diff_VSA Roll-Up (LW)_By Region" xfId="0"/>
    <cellStyle name="_PC_NB_Diff_VSA Roll-Up (LW)_CORP SG&amp;A" xfId="0"/>
    <cellStyle name="_PC_NB_Diff_VSA Roll-Up (LW)_LCD" xfId="0"/>
    <cellStyle name="_PC_NB_Diff_VSA Roll-Up (LW)_PJ" xfId="0"/>
    <cellStyle name="_PC_NB_Digital Product" xfId="0"/>
    <cellStyle name="_PC_NB_Digital Product 2" xfId="0"/>
    <cellStyle name="_PC_NB_Digital Product 3" xfId="0"/>
    <cellStyle name="_PC_NB_Digital Product 4" xfId="0"/>
    <cellStyle name="_PC_NB_Digital Product_By Region" xfId="0"/>
    <cellStyle name="_PC_NB_Digital Product_CORP SG&amp;A" xfId="0"/>
    <cellStyle name="_PC_NB_Digital Product_GPS OTHER" xfId="0"/>
    <cellStyle name="_PC_NB_Digital Product_GPS OTHER 2" xfId="0"/>
    <cellStyle name="_PC_NB_Digital Product_GPS OTHER 3" xfId="0"/>
    <cellStyle name="_PC_NB_Digital Product_GPS OTHER 4" xfId="0"/>
    <cellStyle name="_PC_NB_Digital Product_GPS OTHER 4 2" xfId="0"/>
    <cellStyle name="_PC_NB_Digital Product_GPS OTHER_By Region" xfId="0"/>
    <cellStyle name="_PC_NB_Digital Product_GPS OTHER_CORP SG&amp;A" xfId="0"/>
    <cellStyle name="_PC_NB_Digital Product_GPS OTHER_LCD" xfId="0"/>
    <cellStyle name="_PC_NB_Digital Product_GPS OTHER_PJ" xfId="0"/>
    <cellStyle name="_PC_NB_Digital Product_LCD" xfId="0"/>
    <cellStyle name="_PC_NB_Digital Product_LCD 2" xfId="0"/>
    <cellStyle name="_PC_NB_Digital Product_LCD 3" xfId="0"/>
    <cellStyle name="_PC_NB_Digital Product_LCD 4" xfId="0"/>
    <cellStyle name="_PC_NB_Digital Product_LCD_By Region" xfId="0"/>
    <cellStyle name="_PC_NB_Digital Product_LCD_CORP SG&amp;A" xfId="0"/>
    <cellStyle name="_PC_NB_Digital Product_LCD_LCD" xfId="0"/>
    <cellStyle name="_PC_NB_Digital Product_LCD_PJ" xfId="0"/>
    <cellStyle name="_PC_NB_Digital Product_PC Products" xfId="0"/>
    <cellStyle name="_PC_NB_Digital Product_PC Products 2" xfId="0"/>
    <cellStyle name="_PC_NB_Digital Product_PC Products 3" xfId="0"/>
    <cellStyle name="_PC_NB_Digital Product_PC Products 4" xfId="0"/>
    <cellStyle name="_PC_NB_Digital Product_PC Products 4 2" xfId="0"/>
    <cellStyle name="_PC_NB_Digital Product_PC Products_By Region" xfId="0"/>
    <cellStyle name="_PC_NB_Digital Product_PC Products_CORP SG&amp;A" xfId="0"/>
    <cellStyle name="_PC_NB_Digital Product_PC Products_LCD" xfId="0"/>
    <cellStyle name="_PC_NB_Digital Product_PC Products_PJ" xfId="0"/>
    <cellStyle name="_PC_NB_Digital Product_VSA 111014" xfId="0"/>
    <cellStyle name="_PC_NB_Digital Product_VSA 111014 2" xfId="0"/>
    <cellStyle name="_PC_NB_Digital Product_VSA 111014 3" xfId="0"/>
    <cellStyle name="_PC_NB_Digital Product_VSA 111014 4" xfId="0"/>
    <cellStyle name="_PC_NB_Digital Product_VSA 111014 4 2" xfId="0"/>
    <cellStyle name="_PC_NB_Digital Product_VSA 111014_By Region" xfId="0"/>
    <cellStyle name="_PC_NB_Digital Product_VSA 111014_CORP SG&amp;A" xfId="0"/>
    <cellStyle name="_PC_NB_Digital Product_VSA 111014_LCD" xfId="0"/>
    <cellStyle name="_PC_NB_Digital Product_VSA 111014_PJ" xfId="0"/>
    <cellStyle name="_PC_NB_Digital Product_VSA Roll-Up (LW)" xfId="0"/>
    <cellStyle name="_PC_NB_Digital Product_VSA Roll-Up (LW) 2" xfId="0"/>
    <cellStyle name="_PC_NB_Digital Product_VSA Roll-Up (LW) 3" xfId="0"/>
    <cellStyle name="_PC_NB_Digital Product_VSA Roll-Up (LW) 4" xfId="0"/>
    <cellStyle name="_PC_NB_Digital Product_VSA Roll-Up (LW) 4 2" xfId="0"/>
    <cellStyle name="_PC_NB_Digital Product_VSA Roll-Up (LW)_By Region" xfId="0"/>
    <cellStyle name="_PC_NB_Digital Product_VSA Roll-Up (LW)_CORP SG&amp;A" xfId="0"/>
    <cellStyle name="_PC_NB_Digital Product_VSA Roll-Up (LW)_LCD" xfId="0"/>
    <cellStyle name="_PC_NB_Digital Product_VSA Roll-Up (LW)_PJ" xfId="0"/>
    <cellStyle name="_PC_NB_Digital Signage" xfId="0"/>
    <cellStyle name="_PC_NB_Digital Signage 2" xfId="0"/>
    <cellStyle name="_PC_NB_Digital Signage 3" xfId="0"/>
    <cellStyle name="_PC_NB_Digital Signage 4" xfId="0"/>
    <cellStyle name="_PC_NB_Digital Signage_By Region" xfId="0"/>
    <cellStyle name="_PC_NB_Digital Signage_CORP SG&amp;A" xfId="0"/>
    <cellStyle name="_PC_NB_Digital Signage_GPS OTHER" xfId="0"/>
    <cellStyle name="_PC_NB_Digital Signage_GPS OTHER 2" xfId="0"/>
    <cellStyle name="_PC_NB_Digital Signage_GPS OTHER 3" xfId="0"/>
    <cellStyle name="_PC_NB_Digital Signage_GPS OTHER 4" xfId="0"/>
    <cellStyle name="_PC_NB_Digital Signage_GPS OTHER 4 2" xfId="0"/>
    <cellStyle name="_PC_NB_Digital Signage_GPS OTHER_By Region" xfId="0"/>
    <cellStyle name="_PC_NB_Digital Signage_GPS OTHER_CORP SG&amp;A" xfId="0"/>
    <cellStyle name="_PC_NB_Digital Signage_GPS OTHER_LCD" xfId="0"/>
    <cellStyle name="_PC_NB_Digital Signage_GPS OTHER_PJ" xfId="0"/>
    <cellStyle name="_PC_NB_Digital Signage_LCD" xfId="0"/>
    <cellStyle name="_PC_NB_Digital Signage_LCD 2" xfId="0"/>
    <cellStyle name="_PC_NB_Digital Signage_LCD 3" xfId="0"/>
    <cellStyle name="_PC_NB_Digital Signage_LCD 4" xfId="0"/>
    <cellStyle name="_PC_NB_Digital Signage_LCD_By Region" xfId="0"/>
    <cellStyle name="_PC_NB_Digital Signage_LCD_CORP SG&amp;A" xfId="0"/>
    <cellStyle name="_PC_NB_Digital Signage_LCD_LCD" xfId="0"/>
    <cellStyle name="_PC_NB_Digital Signage_LCD_PJ" xfId="0"/>
    <cellStyle name="_PC_NB_Digital Signage_PC Products" xfId="0"/>
    <cellStyle name="_PC_NB_Digital Signage_PC Products 2" xfId="0"/>
    <cellStyle name="_PC_NB_Digital Signage_PC Products 3" xfId="0"/>
    <cellStyle name="_PC_NB_Digital Signage_PC Products 4" xfId="0"/>
    <cellStyle name="_PC_NB_Digital Signage_PC Products 4 2" xfId="0"/>
    <cellStyle name="_PC_NB_Digital Signage_PC Products_By Region" xfId="0"/>
    <cellStyle name="_PC_NB_Digital Signage_PC Products_CORP SG&amp;A" xfId="0"/>
    <cellStyle name="_PC_NB_Digital Signage_PC Products_LCD" xfId="0"/>
    <cellStyle name="_PC_NB_Digital Signage_PC Products_PJ" xfId="0"/>
    <cellStyle name="_PC_NB_Digital Signage_VSA 111014" xfId="0"/>
    <cellStyle name="_PC_NB_Digital Signage_VSA 111014 2" xfId="0"/>
    <cellStyle name="_PC_NB_Digital Signage_VSA 111014 3" xfId="0"/>
    <cellStyle name="_PC_NB_Digital Signage_VSA 111014 4" xfId="0"/>
    <cellStyle name="_PC_NB_Digital Signage_VSA 111014 4 2" xfId="0"/>
    <cellStyle name="_PC_NB_Digital Signage_VSA 111014_By Region" xfId="0"/>
    <cellStyle name="_PC_NB_Digital Signage_VSA 111014_CORP SG&amp;A" xfId="0"/>
    <cellStyle name="_PC_NB_Digital Signage_VSA 111014_LCD" xfId="0"/>
    <cellStyle name="_PC_NB_Digital Signage_VSA 111014_PJ" xfId="0"/>
    <cellStyle name="_PC_NB_Digital Signage_VSA Roll-Up (LW)" xfId="0"/>
    <cellStyle name="_PC_NB_Digital Signage_VSA Roll-Up (LW) 2" xfId="0"/>
    <cellStyle name="_PC_NB_Digital Signage_VSA Roll-Up (LW) 3" xfId="0"/>
    <cellStyle name="_PC_NB_Digital Signage_VSA Roll-Up (LW) 4" xfId="0"/>
    <cellStyle name="_PC_NB_Digital Signage_VSA Roll-Up (LW) 4 2" xfId="0"/>
    <cellStyle name="_PC_NB_Digital Signage_VSA Roll-Up (LW)_By Region" xfId="0"/>
    <cellStyle name="_PC_NB_Digital Signage_VSA Roll-Up (LW)_CORP SG&amp;A" xfId="0"/>
    <cellStyle name="_PC_NB_Digital Signage_VSA Roll-Up (LW)_LCD" xfId="0"/>
    <cellStyle name="_PC_NB_Digital Signage_VSA Roll-Up (LW)_PJ" xfId="0"/>
    <cellStyle name="_PC_NB_DMA(VMP)" xfId="0"/>
    <cellStyle name="_PC_NB_DMA(VMP) 2" xfId="0"/>
    <cellStyle name="_PC_NB_DMA(VMP) 3" xfId="0"/>
    <cellStyle name="_PC_NB_DMA(VMP) 4" xfId="0"/>
    <cellStyle name="_PC_NB_DMA(VMP)_By Region" xfId="0"/>
    <cellStyle name="_PC_NB_DMA(VMP)_CORP SG&amp;A" xfId="0"/>
    <cellStyle name="_PC_NB_DMA(VMP)_GPS OTHER" xfId="0"/>
    <cellStyle name="_PC_NB_DMA(VMP)_GPS OTHER 2" xfId="0"/>
    <cellStyle name="_PC_NB_DMA(VMP)_GPS OTHER 3" xfId="0"/>
    <cellStyle name="_PC_NB_DMA(VMP)_GPS OTHER 4" xfId="0"/>
    <cellStyle name="_PC_NB_DMA(VMP)_GPS OTHER 4 2" xfId="0"/>
    <cellStyle name="_PC_NB_DMA(VMP)_GPS OTHER_By Region" xfId="0"/>
    <cellStyle name="_PC_NB_DMA(VMP)_GPS OTHER_CORP SG&amp;A" xfId="0"/>
    <cellStyle name="_PC_NB_DMA(VMP)_GPS OTHER_LCD" xfId="0"/>
    <cellStyle name="_PC_NB_DMA(VMP)_GPS OTHER_PJ" xfId="0"/>
    <cellStyle name="_PC_NB_DMA(VMP)_LCD" xfId="0"/>
    <cellStyle name="_PC_NB_DMA(VMP)_LCD 2" xfId="0"/>
    <cellStyle name="_PC_NB_DMA(VMP)_LCD 3" xfId="0"/>
    <cellStyle name="_PC_NB_DMA(VMP)_LCD 4" xfId="0"/>
    <cellStyle name="_PC_NB_DMA(VMP)_LCD_By Region" xfId="0"/>
    <cellStyle name="_PC_NB_DMA(VMP)_LCD_CORP SG&amp;A" xfId="0"/>
    <cellStyle name="_PC_NB_DMA(VMP)_LCD_LCD" xfId="0"/>
    <cellStyle name="_PC_NB_DMA(VMP)_LCD_PJ" xfId="0"/>
    <cellStyle name="_PC_NB_DMA(VMP)_PC Products" xfId="0"/>
    <cellStyle name="_PC_NB_DMA(VMP)_PC Products 2" xfId="0"/>
    <cellStyle name="_PC_NB_DMA(VMP)_PC Products 3" xfId="0"/>
    <cellStyle name="_PC_NB_DMA(VMP)_PC Products 4" xfId="0"/>
    <cellStyle name="_PC_NB_DMA(VMP)_PC Products 4 2" xfId="0"/>
    <cellStyle name="_PC_NB_DMA(VMP)_PC Products_By Region" xfId="0"/>
    <cellStyle name="_PC_NB_DMA(VMP)_PC Products_CORP SG&amp;A" xfId="0"/>
    <cellStyle name="_PC_NB_DMA(VMP)_PC Products_LCD" xfId="0"/>
    <cellStyle name="_PC_NB_DMA(VMP)_PC Products_PJ" xfId="0"/>
    <cellStyle name="_PC_NB_DMA(VMP)_VSA 111014" xfId="0"/>
    <cellStyle name="_PC_NB_DMA(VMP)_VSA 111014 2" xfId="0"/>
    <cellStyle name="_PC_NB_DMA(VMP)_VSA 111014 3" xfId="0"/>
    <cellStyle name="_PC_NB_DMA(VMP)_VSA 111014 4" xfId="0"/>
    <cellStyle name="_PC_NB_DMA(VMP)_VSA 111014 4 2" xfId="0"/>
    <cellStyle name="_PC_NB_DMA(VMP)_VSA 111014_By Region" xfId="0"/>
    <cellStyle name="_PC_NB_DMA(VMP)_VSA 111014_CORP SG&amp;A" xfId="0"/>
    <cellStyle name="_PC_NB_DMA(VMP)_VSA 111014_LCD" xfId="0"/>
    <cellStyle name="_PC_NB_DMA(VMP)_VSA 111014_PJ" xfId="0"/>
    <cellStyle name="_PC_NB_DMA(VMP)_VSA Roll-Up (LW)" xfId="0"/>
    <cellStyle name="_PC_NB_DMA(VMP)_VSA Roll-Up (LW) 2" xfId="0"/>
    <cellStyle name="_PC_NB_DMA(VMP)_VSA Roll-Up (LW) 3" xfId="0"/>
    <cellStyle name="_PC_NB_DMA(VMP)_VSA Roll-Up (LW) 4" xfId="0"/>
    <cellStyle name="_PC_NB_DMA(VMP)_VSA Roll-Up (LW) 4 2" xfId="0"/>
    <cellStyle name="_PC_NB_DMA(VMP)_VSA Roll-Up (LW)_By Region" xfId="0"/>
    <cellStyle name="_PC_NB_DMA(VMP)_VSA Roll-Up (LW)_CORP SG&amp;A" xfId="0"/>
    <cellStyle name="_PC_NB_DMA(VMP)_VSA Roll-Up (LW)_LCD" xfId="0"/>
    <cellStyle name="_PC_NB_DMA(VMP)_VSA Roll-Up (LW)_PJ" xfId="0"/>
    <cellStyle name="_PC_NB_DPF" xfId="0"/>
    <cellStyle name="_PC_NB_DPF 2" xfId="0"/>
    <cellStyle name="_PC_NB_DPF 3" xfId="0"/>
    <cellStyle name="_PC_NB_DPF 4" xfId="0"/>
    <cellStyle name="_PC_NB_DPF_By Region" xfId="0"/>
    <cellStyle name="_PC_NB_DPF_CORP SG&amp;A" xfId="0"/>
    <cellStyle name="_PC_NB_DPF_GPS OTHER" xfId="0"/>
    <cellStyle name="_PC_NB_DPF_GPS OTHER 2" xfId="0"/>
    <cellStyle name="_PC_NB_DPF_GPS OTHER 3" xfId="0"/>
    <cellStyle name="_PC_NB_DPF_GPS OTHER 4" xfId="0"/>
    <cellStyle name="_PC_NB_DPF_GPS OTHER 4 2" xfId="0"/>
    <cellStyle name="_PC_NB_DPF_GPS OTHER_By Region" xfId="0"/>
    <cellStyle name="_PC_NB_DPF_GPS OTHER_CORP SG&amp;A" xfId="0"/>
    <cellStyle name="_PC_NB_DPF_GPS OTHER_LCD" xfId="0"/>
    <cellStyle name="_PC_NB_DPF_GPS OTHER_PJ" xfId="0"/>
    <cellStyle name="_PC_NB_DPF_LCD" xfId="0"/>
    <cellStyle name="_PC_NB_DPF_LCD 2" xfId="0"/>
    <cellStyle name="_PC_NB_DPF_LCD 3" xfId="0"/>
    <cellStyle name="_PC_NB_DPF_LCD 4" xfId="0"/>
    <cellStyle name="_PC_NB_DPF_LCD_By Region" xfId="0"/>
    <cellStyle name="_PC_NB_DPF_LCD_CORP SG&amp;A" xfId="0"/>
    <cellStyle name="_PC_NB_DPF_LCD_LCD" xfId="0"/>
    <cellStyle name="_PC_NB_DPF_LCD_PJ" xfId="0"/>
    <cellStyle name="_PC_NB_DPF_PC Products" xfId="0"/>
    <cellStyle name="_PC_NB_DPF_PC Products 2" xfId="0"/>
    <cellStyle name="_PC_NB_DPF_PC Products 3" xfId="0"/>
    <cellStyle name="_PC_NB_DPF_PC Products 4" xfId="0"/>
    <cellStyle name="_PC_NB_DPF_PC Products 4 2" xfId="0"/>
    <cellStyle name="_PC_NB_DPF_PC Products_By Region" xfId="0"/>
    <cellStyle name="_PC_NB_DPF_PC Products_CORP SG&amp;A" xfId="0"/>
    <cellStyle name="_PC_NB_DPF_PC Products_LCD" xfId="0"/>
    <cellStyle name="_PC_NB_DPF_PC Products_PJ" xfId="0"/>
    <cellStyle name="_PC_NB_DPF_VSA 111014" xfId="0"/>
    <cellStyle name="_PC_NB_DPF_VSA 111014 2" xfId="0"/>
    <cellStyle name="_PC_NB_DPF_VSA 111014 3" xfId="0"/>
    <cellStyle name="_PC_NB_DPF_VSA 111014 4" xfId="0"/>
    <cellStyle name="_PC_NB_DPF_VSA 111014 4 2" xfId="0"/>
    <cellStyle name="_PC_NB_DPF_VSA 111014_By Region" xfId="0"/>
    <cellStyle name="_PC_NB_DPF_VSA 111014_CORP SG&amp;A" xfId="0"/>
    <cellStyle name="_PC_NB_DPF_VSA 111014_LCD" xfId="0"/>
    <cellStyle name="_PC_NB_DPF_VSA 111014_PJ" xfId="0"/>
    <cellStyle name="_PC_NB_DPF_VSA Roll-Up (LW)" xfId="0"/>
    <cellStyle name="_PC_NB_DPF_VSA Roll-Up (LW) 2" xfId="0"/>
    <cellStyle name="_PC_NB_DPF_VSA Roll-Up (LW) 3" xfId="0"/>
    <cellStyle name="_PC_NB_DPF_VSA Roll-Up (LW) 4" xfId="0"/>
    <cellStyle name="_PC_NB_DPF_VSA Roll-Up (LW) 4 2" xfId="0"/>
    <cellStyle name="_PC_NB_DPF_VSA Roll-Up (LW)_By Region" xfId="0"/>
    <cellStyle name="_PC_NB_DPF_VSA Roll-Up (LW)_CORP SG&amp;A" xfId="0"/>
    <cellStyle name="_PC_NB_DPF_VSA Roll-Up (LW)_LCD" xfId="0"/>
    <cellStyle name="_PC_NB_DPF_VSA Roll-Up (LW)_PJ" xfId="0"/>
    <cellStyle name="_PC_NB_DS" xfId="0"/>
    <cellStyle name="_PC_NB_DS 2" xfId="0"/>
    <cellStyle name="_PC_NB_DS 3" xfId="0"/>
    <cellStyle name="_PC_NB_DS 4" xfId="0"/>
    <cellStyle name="_PC_NB_DS_By Region" xfId="0"/>
    <cellStyle name="_PC_NB_DS_CORP SG&amp;A" xfId="0"/>
    <cellStyle name="_PC_NB_DS_GPS OTHER" xfId="0"/>
    <cellStyle name="_PC_NB_DS_GPS OTHER 2" xfId="0"/>
    <cellStyle name="_PC_NB_DS_GPS OTHER 3" xfId="0"/>
    <cellStyle name="_PC_NB_DS_GPS OTHER 4" xfId="0"/>
    <cellStyle name="_PC_NB_DS_GPS OTHER 4 2" xfId="0"/>
    <cellStyle name="_PC_NB_DS_GPS OTHER_By Region" xfId="0"/>
    <cellStyle name="_PC_NB_DS_GPS OTHER_CORP SG&amp;A" xfId="0"/>
    <cellStyle name="_PC_NB_DS_GPS OTHER_LCD" xfId="0"/>
    <cellStyle name="_PC_NB_DS_GPS OTHER_PJ" xfId="0"/>
    <cellStyle name="_PC_NB_DS_LCD" xfId="0"/>
    <cellStyle name="_PC_NB_DS_LCD 2" xfId="0"/>
    <cellStyle name="_PC_NB_DS_LCD 3" xfId="0"/>
    <cellStyle name="_PC_NB_DS_LCD 4" xfId="0"/>
    <cellStyle name="_PC_NB_DS_LCD_By Region" xfId="0"/>
    <cellStyle name="_PC_NB_DS_LCD_CORP SG&amp;A" xfId="0"/>
    <cellStyle name="_PC_NB_DS_LCD_LCD" xfId="0"/>
    <cellStyle name="_PC_NB_DS_LCD_PJ" xfId="0"/>
    <cellStyle name="_PC_NB_DS_PC Products" xfId="0"/>
    <cellStyle name="_PC_NB_DS_PC Products 2" xfId="0"/>
    <cellStyle name="_PC_NB_DS_PC Products 3" xfId="0"/>
    <cellStyle name="_PC_NB_DS_PC Products 4" xfId="0"/>
    <cellStyle name="_PC_NB_DS_PC Products 4 2" xfId="0"/>
    <cellStyle name="_PC_NB_DS_PC Products_By Region" xfId="0"/>
    <cellStyle name="_PC_NB_DS_PC Products_CORP SG&amp;A" xfId="0"/>
    <cellStyle name="_PC_NB_DS_PC Products_LCD" xfId="0"/>
    <cellStyle name="_PC_NB_DS_PC Products_PJ" xfId="0"/>
    <cellStyle name="_PC_NB_DS_VSA 111014" xfId="0"/>
    <cellStyle name="_PC_NB_DS_VSA 111014 2" xfId="0"/>
    <cellStyle name="_PC_NB_DS_VSA 111014 3" xfId="0"/>
    <cellStyle name="_PC_NB_DS_VSA 111014 4" xfId="0"/>
    <cellStyle name="_PC_NB_DS_VSA 111014 4 2" xfId="0"/>
    <cellStyle name="_PC_NB_DS_VSA 111014_By Region" xfId="0"/>
    <cellStyle name="_PC_NB_DS_VSA 111014_CORP SG&amp;A" xfId="0"/>
    <cellStyle name="_PC_NB_DS_VSA 111014_LCD" xfId="0"/>
    <cellStyle name="_PC_NB_DS_VSA 111014_PJ" xfId="0"/>
    <cellStyle name="_PC_NB_DS_VSA Roll-Up (LW)" xfId="0"/>
    <cellStyle name="_PC_NB_DS_VSA Roll-Up (LW) 2" xfId="0"/>
    <cellStyle name="_PC_NB_DS_VSA Roll-Up (LW) 3" xfId="0"/>
    <cellStyle name="_PC_NB_DS_VSA Roll-Up (LW) 4" xfId="0"/>
    <cellStyle name="_PC_NB_DS_VSA Roll-Up (LW) 4 2" xfId="0"/>
    <cellStyle name="_PC_NB_DS_VSA Roll-Up (LW)_By Region" xfId="0"/>
    <cellStyle name="_PC_NB_DS_VSA Roll-Up (LW)_CORP SG&amp;A" xfId="0"/>
    <cellStyle name="_PC_NB_DS_VSA Roll-Up (LW)_LCD" xfId="0"/>
    <cellStyle name="_PC_NB_DS_VSA Roll-Up (LW)_PJ" xfId="0"/>
    <cellStyle name="_PC_NB_DVD_TV" xfId="0"/>
    <cellStyle name="_PC_NB_DVD_TV 2" xfId="0"/>
    <cellStyle name="_PC_NB_DVD_TV 3" xfId="0"/>
    <cellStyle name="_PC_NB_DVD_TV 4" xfId="0"/>
    <cellStyle name="_PC_NB_DVD_TV_By Region" xfId="0"/>
    <cellStyle name="_PC_NB_DVD_TV_CORP SG&amp;A" xfId="0"/>
    <cellStyle name="_PC_NB_DVD_TV_GPS OTHER" xfId="0"/>
    <cellStyle name="_PC_NB_DVD_TV_GPS OTHER 2" xfId="0"/>
    <cellStyle name="_PC_NB_DVD_TV_GPS OTHER 3" xfId="0"/>
    <cellStyle name="_PC_NB_DVD_TV_GPS OTHER 4" xfId="0"/>
    <cellStyle name="_PC_NB_DVD_TV_GPS OTHER 4 2" xfId="0"/>
    <cellStyle name="_PC_NB_DVD_TV_GPS OTHER_By Region" xfId="0"/>
    <cellStyle name="_PC_NB_DVD_TV_GPS OTHER_CORP SG&amp;A" xfId="0"/>
    <cellStyle name="_PC_NB_DVD_TV_GPS OTHER_LCD" xfId="0"/>
    <cellStyle name="_PC_NB_DVD_TV_GPS OTHER_PJ" xfId="0"/>
    <cellStyle name="_PC_NB_DVD_TV_LCD" xfId="0"/>
    <cellStyle name="_PC_NB_DVD_TV_LCD 2" xfId="0"/>
    <cellStyle name="_PC_NB_DVD_TV_LCD 3" xfId="0"/>
    <cellStyle name="_PC_NB_DVD_TV_LCD 4" xfId="0"/>
    <cellStyle name="_PC_NB_DVD_TV_LCD_By Region" xfId="0"/>
    <cellStyle name="_PC_NB_DVD_TV_LCD_CORP SG&amp;A" xfId="0"/>
    <cellStyle name="_PC_NB_DVD_TV_LCD_LCD" xfId="0"/>
    <cellStyle name="_PC_NB_DVD_TV_LCD_PJ" xfId="0"/>
    <cellStyle name="_PC_NB_DVD_TV_PC Products" xfId="0"/>
    <cellStyle name="_PC_NB_DVD_TV_PC Products 2" xfId="0"/>
    <cellStyle name="_PC_NB_DVD_TV_PC Products 3" xfId="0"/>
    <cellStyle name="_PC_NB_DVD_TV_PC Products 4" xfId="0"/>
    <cellStyle name="_PC_NB_DVD_TV_PC Products 4 2" xfId="0"/>
    <cellStyle name="_PC_NB_DVD_TV_PC Products_By Region" xfId="0"/>
    <cellStyle name="_PC_NB_DVD_TV_PC Products_CORP SG&amp;A" xfId="0"/>
    <cellStyle name="_PC_NB_DVD_TV_PC Products_LCD" xfId="0"/>
    <cellStyle name="_PC_NB_DVD_TV_PC Products_PJ" xfId="0"/>
    <cellStyle name="_PC_NB_DVD_TV_VSA 111014" xfId="0"/>
    <cellStyle name="_PC_NB_DVD_TV_VSA 111014 2" xfId="0"/>
    <cellStyle name="_PC_NB_DVD_TV_VSA 111014 3" xfId="0"/>
    <cellStyle name="_PC_NB_DVD_TV_VSA 111014 4" xfId="0"/>
    <cellStyle name="_PC_NB_DVD_TV_VSA 111014 4 2" xfId="0"/>
    <cellStyle name="_PC_NB_DVD_TV_VSA 111014_By Region" xfId="0"/>
    <cellStyle name="_PC_NB_DVD_TV_VSA 111014_CORP SG&amp;A" xfId="0"/>
    <cellStyle name="_PC_NB_DVD_TV_VSA 111014_LCD" xfId="0"/>
    <cellStyle name="_PC_NB_DVD_TV_VSA 111014_PJ" xfId="0"/>
    <cellStyle name="_PC_NB_DVD_TV_VSA Roll-Up (LW)" xfId="0"/>
    <cellStyle name="_PC_NB_DVD_TV_VSA Roll-Up (LW) 2" xfId="0"/>
    <cellStyle name="_PC_NB_DVD_TV_VSA Roll-Up (LW) 3" xfId="0"/>
    <cellStyle name="_PC_NB_DVD_TV_VSA Roll-Up (LW) 4" xfId="0"/>
    <cellStyle name="_PC_NB_DVD_TV_VSA Roll-Up (LW) 4 2" xfId="0"/>
    <cellStyle name="_PC_NB_DVD_TV_VSA Roll-Up (LW)_By Region" xfId="0"/>
    <cellStyle name="_PC_NB_DVD_TV_VSA Roll-Up (LW)_CORP SG&amp;A" xfId="0"/>
    <cellStyle name="_PC_NB_DVD_TV_VSA Roll-Up (LW)_LCD" xfId="0"/>
    <cellStyle name="_PC_NB_DVD_TV_VSA Roll-Up (LW)_PJ" xfId="0"/>
    <cellStyle name="_PC_NB_GPS OTHER" xfId="0"/>
    <cellStyle name="_PC_NB_GPS OTHER 2" xfId="0"/>
    <cellStyle name="_PC_NB_GPS OTHER 3" xfId="0"/>
    <cellStyle name="_PC_NB_GPS OTHER 4" xfId="0"/>
    <cellStyle name="_PC_NB_GPS OTHER 4 2" xfId="0"/>
    <cellStyle name="_PC_NB_GPS OTHER_By Region" xfId="0"/>
    <cellStyle name="_PC_NB_GPS OTHER_CORP SG&amp;A" xfId="0"/>
    <cellStyle name="_PC_NB_GPS OTHER_LCD" xfId="0"/>
    <cellStyle name="_PC_NB_GPS OTHER_PJ" xfId="0"/>
    <cellStyle name="_PC_NB_LCD" xfId="0"/>
    <cellStyle name="_PC_NB_LCD 2" xfId="0"/>
    <cellStyle name="_PC_NB_LCD 3" xfId="0"/>
    <cellStyle name="_PC_NB_LCD 4" xfId="0"/>
    <cellStyle name="_PC_NB_LCD_1" xfId="0"/>
    <cellStyle name="_PC_NB_LCD_1 2" xfId="0"/>
    <cellStyle name="_PC_NB_LCD_1 3" xfId="0"/>
    <cellStyle name="_PC_NB_LCD_1 4" xfId="0"/>
    <cellStyle name="_PC_NB_LCD_1_By Region" xfId="0"/>
    <cellStyle name="_PC_NB_LCD_1_CORP SG&amp;A" xfId="0"/>
    <cellStyle name="_PC_NB_LCD_1_LCD" xfId="0"/>
    <cellStyle name="_PC_NB_LCD_1_PJ" xfId="0"/>
    <cellStyle name="_PC_NB_LCD_By Region" xfId="0"/>
    <cellStyle name="_PC_NB_LCD_CORP SG&amp;A" xfId="0"/>
    <cellStyle name="_PC_NB_LCD_GPS OTHER" xfId="0"/>
    <cellStyle name="_PC_NB_LCD_GPS OTHER 2" xfId="0"/>
    <cellStyle name="_PC_NB_LCD_GPS OTHER 3" xfId="0"/>
    <cellStyle name="_PC_NB_LCD_GPS OTHER 4" xfId="0"/>
    <cellStyle name="_PC_NB_LCD_GPS OTHER 4 2" xfId="0"/>
    <cellStyle name="_PC_NB_LCD_GPS OTHER_By Region" xfId="0"/>
    <cellStyle name="_PC_NB_LCD_GPS OTHER_CORP SG&amp;A" xfId="0"/>
    <cellStyle name="_PC_NB_LCD_GPS OTHER_LCD" xfId="0"/>
    <cellStyle name="_PC_NB_LCD_GPS OTHER_PJ" xfId="0"/>
    <cellStyle name="_PC_NB_LCD_LCD" xfId="0"/>
    <cellStyle name="_PC_NB_LCD_LCD 2" xfId="0"/>
    <cellStyle name="_PC_NB_LCD_LCD 3" xfId="0"/>
    <cellStyle name="_PC_NB_LCD_LCD 4" xfId="0"/>
    <cellStyle name="_PC_NB_LCD_LCD_By Region" xfId="0"/>
    <cellStyle name="_PC_NB_LCD_LCD_CORP SG&amp;A" xfId="0"/>
    <cellStyle name="_PC_NB_LCD_LCD_LCD" xfId="0"/>
    <cellStyle name="_PC_NB_LCD_LCD_PJ" xfId="0"/>
    <cellStyle name="_PC_NB_LCD_PC Products" xfId="0"/>
    <cellStyle name="_PC_NB_LCD_PC Products 2" xfId="0"/>
    <cellStyle name="_PC_NB_LCD_PC Products 3" xfId="0"/>
    <cellStyle name="_PC_NB_LCD_PC Products 4" xfId="0"/>
    <cellStyle name="_PC_NB_LCD_PC Products 4 2" xfId="0"/>
    <cellStyle name="_PC_NB_LCD_PC Products_By Region" xfId="0"/>
    <cellStyle name="_PC_NB_LCD_PC Products_CORP SG&amp;A" xfId="0"/>
    <cellStyle name="_PC_NB_LCD_PC Products_LCD" xfId="0"/>
    <cellStyle name="_PC_NB_LCD_PC Products_PJ" xfId="0"/>
    <cellStyle name="_PC_NB_LCD_VSA 111014" xfId="0"/>
    <cellStyle name="_PC_NB_LCD_VSA 111014 2" xfId="0"/>
    <cellStyle name="_PC_NB_LCD_VSA 111014 3" xfId="0"/>
    <cellStyle name="_PC_NB_LCD_VSA 111014 4" xfId="0"/>
    <cellStyle name="_PC_NB_LCD_VSA 111014 4 2" xfId="0"/>
    <cellStyle name="_PC_NB_LCD_VSA 111014_By Region" xfId="0"/>
    <cellStyle name="_PC_NB_LCD_VSA 111014_CORP SG&amp;A" xfId="0"/>
    <cellStyle name="_PC_NB_LCD_VSA 111014_LCD" xfId="0"/>
    <cellStyle name="_PC_NB_LCD_VSA 111014_PJ" xfId="0"/>
    <cellStyle name="_PC_NB_LCD_VSA Roll-Up (LW)" xfId="0"/>
    <cellStyle name="_PC_NB_LCD_VSA Roll-Up (LW) 2" xfId="0"/>
    <cellStyle name="_PC_NB_LCD_VSA Roll-Up (LW) 3" xfId="0"/>
    <cellStyle name="_PC_NB_LCD_VSA Roll-Up (LW) 4" xfId="0"/>
    <cellStyle name="_PC_NB_LCD_VSA Roll-Up (LW) 4 2" xfId="0"/>
    <cellStyle name="_PC_NB_LCD_VSA Roll-Up (LW)_By Region" xfId="0"/>
    <cellStyle name="_PC_NB_LCD_VSA Roll-Up (LW)_CORP SG&amp;A" xfId="0"/>
    <cellStyle name="_PC_NB_LCD_VSA Roll-Up (LW)_LCD" xfId="0"/>
    <cellStyle name="_PC_NB_LCD_VSA Roll-Up (LW)_PJ" xfId="0"/>
    <cellStyle name="_PC_NB_LCDTV" xfId="0"/>
    <cellStyle name="_PC_NB_LCDTV 2" xfId="0"/>
    <cellStyle name="_PC_NB_LCDTV 3" xfId="0"/>
    <cellStyle name="_PC_NB_LCDTV 4" xfId="0"/>
    <cellStyle name="_PC_NB_LCDTV_By Region" xfId="0"/>
    <cellStyle name="_PC_NB_LCDTV_CORP SG&amp;A" xfId="0"/>
    <cellStyle name="_PC_NB_LCDTV_GPS OTHER" xfId="0"/>
    <cellStyle name="_PC_NB_LCDTV_GPS OTHER 2" xfId="0"/>
    <cellStyle name="_PC_NB_LCDTV_GPS OTHER 3" xfId="0"/>
    <cellStyle name="_PC_NB_LCDTV_GPS OTHER 4" xfId="0"/>
    <cellStyle name="_PC_NB_LCDTV_GPS OTHER 4 2" xfId="0"/>
    <cellStyle name="_PC_NB_LCDTV_GPS OTHER_By Region" xfId="0"/>
    <cellStyle name="_PC_NB_LCDTV_GPS OTHER_CORP SG&amp;A" xfId="0"/>
    <cellStyle name="_PC_NB_LCDTV_GPS OTHER_LCD" xfId="0"/>
    <cellStyle name="_PC_NB_LCDTV_GPS OTHER_PJ" xfId="0"/>
    <cellStyle name="_PC_NB_LCDTV_LCD" xfId="0"/>
    <cellStyle name="_PC_NB_LCDTV_LCD 2" xfId="0"/>
    <cellStyle name="_PC_NB_LCDTV_LCD 3" xfId="0"/>
    <cellStyle name="_PC_NB_LCDTV_LCD 4" xfId="0"/>
    <cellStyle name="_PC_NB_LCDTV_LCD_By Region" xfId="0"/>
    <cellStyle name="_PC_NB_LCDTV_LCD_CORP SG&amp;A" xfId="0"/>
    <cellStyle name="_PC_NB_LCDTV_LCD_LCD" xfId="0"/>
    <cellStyle name="_PC_NB_LCDTV_LCD_PJ" xfId="0"/>
    <cellStyle name="_PC_NB_LCDTV_PC Products" xfId="0"/>
    <cellStyle name="_PC_NB_LCDTV_PC Products 2" xfId="0"/>
    <cellStyle name="_PC_NB_LCDTV_PC Products 3" xfId="0"/>
    <cellStyle name="_PC_NB_LCDTV_PC Products 4" xfId="0"/>
    <cellStyle name="_PC_NB_LCDTV_PC Products 4 2" xfId="0"/>
    <cellStyle name="_PC_NB_LCDTV_PC Products_By Region" xfId="0"/>
    <cellStyle name="_PC_NB_LCDTV_PC Products_CORP SG&amp;A" xfId="0"/>
    <cellStyle name="_PC_NB_LCDTV_PC Products_LCD" xfId="0"/>
    <cellStyle name="_PC_NB_LCDTV_PC Products_PJ" xfId="0"/>
    <cellStyle name="_PC_NB_LCDTV_VSA 111014" xfId="0"/>
    <cellStyle name="_PC_NB_LCDTV_VSA 111014 2" xfId="0"/>
    <cellStyle name="_PC_NB_LCDTV_VSA 111014 3" xfId="0"/>
    <cellStyle name="_PC_NB_LCDTV_VSA 111014 4" xfId="0"/>
    <cellStyle name="_PC_NB_LCDTV_VSA 111014 4 2" xfId="0"/>
    <cellStyle name="_PC_NB_LCDTV_VSA 111014_By Region" xfId="0"/>
    <cellStyle name="_PC_NB_LCDTV_VSA 111014_CORP SG&amp;A" xfId="0"/>
    <cellStyle name="_PC_NB_LCDTV_VSA 111014_LCD" xfId="0"/>
    <cellStyle name="_PC_NB_LCDTV_VSA 111014_PJ" xfId="0"/>
    <cellStyle name="_PC_NB_LCDTV_VSA Roll-Up (LW)" xfId="0"/>
    <cellStyle name="_PC_NB_LCDTV_VSA Roll-Up (LW) 2" xfId="0"/>
    <cellStyle name="_PC_NB_LCDTV_VSA Roll-Up (LW) 3" xfId="0"/>
    <cellStyle name="_PC_NB_LCDTV_VSA Roll-Up (LW) 4" xfId="0"/>
    <cellStyle name="_PC_NB_LCDTV_VSA Roll-Up (LW) 4 2" xfId="0"/>
    <cellStyle name="_PC_NB_LCDTV_VSA Roll-Up (LW)_By Region" xfId="0"/>
    <cellStyle name="_PC_NB_LCDTV_VSA Roll-Up (LW)_CORP SG&amp;A" xfId="0"/>
    <cellStyle name="_PC_NB_LCDTV_VSA Roll-Up (LW)_LCD" xfId="0"/>
    <cellStyle name="_PC_NB_LCDTV_VSA Roll-Up (LW)_PJ" xfId="0"/>
    <cellStyle name="_PC_NB_MNT" xfId="0"/>
    <cellStyle name="_PC_NB_MNT 2" xfId="0"/>
    <cellStyle name="_PC_NB_MNT 3" xfId="0"/>
    <cellStyle name="_PC_NB_MNT 4" xfId="0"/>
    <cellStyle name="_PC_NB_MNT_By Region" xfId="0"/>
    <cellStyle name="_PC_NB_MNT_CORP SG&amp;A" xfId="0"/>
    <cellStyle name="_PC_NB_MNT_GPS OTHER" xfId="0"/>
    <cellStyle name="_PC_NB_MNT_GPS OTHER 2" xfId="0"/>
    <cellStyle name="_PC_NB_MNT_GPS OTHER 3" xfId="0"/>
    <cellStyle name="_PC_NB_MNT_GPS OTHER 4" xfId="0"/>
    <cellStyle name="_PC_NB_MNT_GPS OTHER 4 2" xfId="0"/>
    <cellStyle name="_PC_NB_MNT_GPS OTHER_By Region" xfId="0"/>
    <cellStyle name="_PC_NB_MNT_GPS OTHER_CORP SG&amp;A" xfId="0"/>
    <cellStyle name="_PC_NB_MNT_GPS OTHER_LCD" xfId="0"/>
    <cellStyle name="_PC_NB_MNT_GPS OTHER_PJ" xfId="0"/>
    <cellStyle name="_PC_NB_MNT_LCD" xfId="0"/>
    <cellStyle name="_PC_NB_MNT_LCD 2" xfId="0"/>
    <cellStyle name="_PC_NB_MNT_LCD 3" xfId="0"/>
    <cellStyle name="_PC_NB_MNT_LCD 4" xfId="0"/>
    <cellStyle name="_PC_NB_MNT_LCD_By Region" xfId="0"/>
    <cellStyle name="_PC_NB_MNT_LCD_CORP SG&amp;A" xfId="0"/>
    <cellStyle name="_PC_NB_MNT_LCD_LCD" xfId="0"/>
    <cellStyle name="_PC_NB_MNT_LCD_PJ" xfId="0"/>
    <cellStyle name="_PC_NB_MNT_PC Products" xfId="0"/>
    <cellStyle name="_PC_NB_MNT_PC Products 2" xfId="0"/>
    <cellStyle name="_PC_NB_MNT_PC Products 3" xfId="0"/>
    <cellStyle name="_PC_NB_MNT_PC Products 4" xfId="0"/>
    <cellStyle name="_PC_NB_MNT_PC Products 4 2" xfId="0"/>
    <cellStyle name="_PC_NB_MNT_PC Products_By Region" xfId="0"/>
    <cellStyle name="_PC_NB_MNT_PC Products_CORP SG&amp;A" xfId="0"/>
    <cellStyle name="_PC_NB_MNT_PC Products_LCD" xfId="0"/>
    <cellStyle name="_PC_NB_MNT_PC Products_PJ" xfId="0"/>
    <cellStyle name="_PC_NB_MNT_VSA 111014" xfId="0"/>
    <cellStyle name="_PC_NB_MNT_VSA 111014 2" xfId="0"/>
    <cellStyle name="_PC_NB_MNT_VSA 111014 3" xfId="0"/>
    <cellStyle name="_PC_NB_MNT_VSA 111014 4" xfId="0"/>
    <cellStyle name="_PC_NB_MNT_VSA 111014 4 2" xfId="0"/>
    <cellStyle name="_PC_NB_MNT_VSA 111014_By Region" xfId="0"/>
    <cellStyle name="_PC_NB_MNT_VSA 111014_CORP SG&amp;A" xfId="0"/>
    <cellStyle name="_PC_NB_MNT_VSA 111014_LCD" xfId="0"/>
    <cellStyle name="_PC_NB_MNT_VSA 111014_PJ" xfId="0"/>
    <cellStyle name="_PC_NB_MNT_VSA Roll-Up (LW)" xfId="0"/>
    <cellStyle name="_PC_NB_MNT_VSA Roll-Up (LW) 2" xfId="0"/>
    <cellStyle name="_PC_NB_MNT_VSA Roll-Up (LW) 3" xfId="0"/>
    <cellStyle name="_PC_NB_MNT_VSA Roll-Up (LW) 4" xfId="0"/>
    <cellStyle name="_PC_NB_MNT_VSA Roll-Up (LW) 4 2" xfId="0"/>
    <cellStyle name="_PC_NB_MNT_VSA Roll-Up (LW)_By Region" xfId="0"/>
    <cellStyle name="_PC_NB_MNT_VSA Roll-Up (LW)_CORP SG&amp;A" xfId="0"/>
    <cellStyle name="_PC_NB_MNT_VSA Roll-Up (LW)_LCD" xfId="0"/>
    <cellStyle name="_PC_NB_MNT_VSA Roll-Up (LW)_PJ" xfId="0"/>
    <cellStyle name="_PC_NB_Other" xfId="0"/>
    <cellStyle name="_PC_NB_Other 2" xfId="0"/>
    <cellStyle name="_PC_NB_Other 3" xfId="0"/>
    <cellStyle name="_PC_NB_Other 4" xfId="0"/>
    <cellStyle name="_PC_NB_Other_By Region" xfId="0"/>
    <cellStyle name="_PC_NB_Other_CORP SG&amp;A" xfId="0"/>
    <cellStyle name="_PC_NB_Other_GPS OTHER" xfId="0"/>
    <cellStyle name="_PC_NB_Other_GPS OTHER 2" xfId="0"/>
    <cellStyle name="_PC_NB_Other_GPS OTHER 3" xfId="0"/>
    <cellStyle name="_PC_NB_Other_GPS OTHER 4" xfId="0"/>
    <cellStyle name="_PC_NB_Other_GPS OTHER 4 2" xfId="0"/>
    <cellStyle name="_PC_NB_Other_GPS OTHER_By Region" xfId="0"/>
    <cellStyle name="_PC_NB_Other_GPS OTHER_CORP SG&amp;A" xfId="0"/>
    <cellStyle name="_PC_NB_Other_GPS OTHER_LCD" xfId="0"/>
    <cellStyle name="_PC_NB_Other_GPS OTHER_PJ" xfId="0"/>
    <cellStyle name="_PC_NB_Other_LCD" xfId="0"/>
    <cellStyle name="_PC_NB_Other_LCD 2" xfId="0"/>
    <cellStyle name="_PC_NB_Other_LCD 3" xfId="0"/>
    <cellStyle name="_PC_NB_Other_LCD 4" xfId="0"/>
    <cellStyle name="_PC_NB_Other_LCD_By Region" xfId="0"/>
    <cellStyle name="_PC_NB_Other_LCD_CORP SG&amp;A" xfId="0"/>
    <cellStyle name="_PC_NB_Other_LCD_LCD" xfId="0"/>
    <cellStyle name="_PC_NB_Other_LCD_PJ" xfId="0"/>
    <cellStyle name="_PC_NB_Other_PC Products" xfId="0"/>
    <cellStyle name="_PC_NB_Other_PC Products 2" xfId="0"/>
    <cellStyle name="_PC_NB_Other_PC Products 3" xfId="0"/>
    <cellStyle name="_PC_NB_Other_PC Products 4" xfId="0"/>
    <cellStyle name="_PC_NB_Other_PC Products 4 2" xfId="0"/>
    <cellStyle name="_PC_NB_Other_PC Products_By Region" xfId="0"/>
    <cellStyle name="_PC_NB_Other_PC Products_CORP SG&amp;A" xfId="0"/>
    <cellStyle name="_PC_NB_Other_PC Products_LCD" xfId="0"/>
    <cellStyle name="_PC_NB_Other_PC Products_PJ" xfId="0"/>
    <cellStyle name="_PC_NB_Other_VSA 111014" xfId="0"/>
    <cellStyle name="_PC_NB_Other_VSA 111014 2" xfId="0"/>
    <cellStyle name="_PC_NB_Other_VSA 111014 3" xfId="0"/>
    <cellStyle name="_PC_NB_Other_VSA 111014 4" xfId="0"/>
    <cellStyle name="_PC_NB_Other_VSA 111014 4 2" xfId="0"/>
    <cellStyle name="_PC_NB_Other_VSA 111014_By Region" xfId="0"/>
    <cellStyle name="_PC_NB_Other_VSA 111014_CORP SG&amp;A" xfId="0"/>
    <cellStyle name="_PC_NB_Other_VSA 111014_LCD" xfId="0"/>
    <cellStyle name="_PC_NB_Other_VSA 111014_PJ" xfId="0"/>
    <cellStyle name="_PC_NB_Other_VSA Roll-Up (LW)" xfId="0"/>
    <cellStyle name="_PC_NB_Other_VSA Roll-Up (LW) 2" xfId="0"/>
    <cellStyle name="_PC_NB_Other_VSA Roll-Up (LW) 3" xfId="0"/>
    <cellStyle name="_PC_NB_Other_VSA Roll-Up (LW) 4" xfId="0"/>
    <cellStyle name="_PC_NB_Other_VSA Roll-Up (LW) 4 2" xfId="0"/>
    <cellStyle name="_PC_NB_Other_VSA Roll-Up (LW)_By Region" xfId="0"/>
    <cellStyle name="_PC_NB_Other_VSA Roll-Up (LW)_CORP SG&amp;A" xfId="0"/>
    <cellStyle name="_PC_NB_Other_VSA Roll-Up (LW)_LCD" xfId="0"/>
    <cellStyle name="_PC_NB_Other_VSA Roll-Up (LW)_PJ" xfId="0"/>
    <cellStyle name="_PC_NB_PC" xfId="0"/>
    <cellStyle name="_PC_NB_PC 2" xfId="0"/>
    <cellStyle name="_PC_NB_PC 3" xfId="0"/>
    <cellStyle name="_PC_NB_PC 4" xfId="0"/>
    <cellStyle name="_PC_NB_PC Products" xfId="0"/>
    <cellStyle name="_PC_NB_PC Products 2" xfId="0"/>
    <cellStyle name="_PC_NB_PC Products 3" xfId="0"/>
    <cellStyle name="_PC_NB_PC Products 4" xfId="0"/>
    <cellStyle name="_PC_NB_PC Products 4 2" xfId="0"/>
    <cellStyle name="_PC_NB_PC Products_By Region" xfId="0"/>
    <cellStyle name="_PC_NB_PC Products_CORP SG&amp;A" xfId="0"/>
    <cellStyle name="_PC_NB_PC Products_LCD" xfId="0"/>
    <cellStyle name="_PC_NB_PC Products_PJ" xfId="0"/>
    <cellStyle name="_PC_NB_PC_By Region" xfId="0"/>
    <cellStyle name="_PC_NB_PC_CORP SG&amp;A" xfId="0"/>
    <cellStyle name="_PC_NB_PC_DT" xfId="0"/>
    <cellStyle name="_PC_NB_PC_DT 2" xfId="0"/>
    <cellStyle name="_PC_NB_PC_DT 3" xfId="0"/>
    <cellStyle name="_PC_NB_PC_DT_By Region" xfId="0"/>
    <cellStyle name="_PC_NB_PC_GPS OTHER" xfId="0"/>
    <cellStyle name="_PC_NB_PC_GPS OTHER 2" xfId="0"/>
    <cellStyle name="_PC_NB_PC_GPS OTHER 3" xfId="0"/>
    <cellStyle name="_PC_NB_PC_GPS OTHER 4" xfId="0"/>
    <cellStyle name="_PC_NB_PC_GPS OTHER 4 2" xfId="0"/>
    <cellStyle name="_PC_NB_PC_GPS OTHER_By Region" xfId="0"/>
    <cellStyle name="_PC_NB_PC_GPS OTHER_CORP SG&amp;A" xfId="0"/>
    <cellStyle name="_PC_NB_PC_GPS OTHER_LCD" xfId="0"/>
    <cellStyle name="_PC_NB_PC_GPS OTHER_PJ" xfId="0"/>
    <cellStyle name="_PC_NB_PC_LCD" xfId="0"/>
    <cellStyle name="_PC_NB_PC_LCD 2" xfId="0"/>
    <cellStyle name="_PC_NB_PC_LCD 3" xfId="0"/>
    <cellStyle name="_PC_NB_PC_LCD 4" xfId="0"/>
    <cellStyle name="_PC_NB_PC_LCD_By Region" xfId="0"/>
    <cellStyle name="_PC_NB_PC_LCD_CORP SG&amp;A" xfId="0"/>
    <cellStyle name="_PC_NB_PC_LCD_LCD" xfId="0"/>
    <cellStyle name="_PC_NB_PC_LCD_PJ" xfId="0"/>
    <cellStyle name="_PC_NB_PC_PC Products" xfId="0"/>
    <cellStyle name="_PC_NB_PC_PC Products 2" xfId="0"/>
    <cellStyle name="_PC_NB_PC_PC Products 3" xfId="0"/>
    <cellStyle name="_PC_NB_PC_PC Products 4" xfId="0"/>
    <cellStyle name="_PC_NB_PC_PC Products 4 2" xfId="0"/>
    <cellStyle name="_PC_NB_PC_PC Products_By Region" xfId="0"/>
    <cellStyle name="_PC_NB_PC_PC Products_CORP SG&amp;A" xfId="0"/>
    <cellStyle name="_PC_NB_PC_PC Products_LCD" xfId="0"/>
    <cellStyle name="_PC_NB_PC_PC Products_PJ" xfId="0"/>
    <cellStyle name="_PC_NB_PC_TV" xfId="0"/>
    <cellStyle name="_PC_NB_PC_TV 2" xfId="0"/>
    <cellStyle name="_PC_NB_PC_TV 3" xfId="0"/>
    <cellStyle name="_PC_NB_PC_TV 4" xfId="0"/>
    <cellStyle name="_PC_NB_PC_TV_By Region" xfId="0"/>
    <cellStyle name="_PC_NB_PC_TV_CORP SG&amp;A" xfId="0"/>
    <cellStyle name="_PC_NB_PC_TV_GPS OTHER" xfId="0"/>
    <cellStyle name="_PC_NB_PC_TV_GPS OTHER 2" xfId="0"/>
    <cellStyle name="_PC_NB_PC_TV_GPS OTHER 3" xfId="0"/>
    <cellStyle name="_PC_NB_PC_TV_GPS OTHER 4" xfId="0"/>
    <cellStyle name="_PC_NB_PC_TV_GPS OTHER 4 2" xfId="0"/>
    <cellStyle name="_PC_NB_PC_TV_GPS OTHER_By Region" xfId="0"/>
    <cellStyle name="_PC_NB_PC_TV_GPS OTHER_CORP SG&amp;A" xfId="0"/>
    <cellStyle name="_PC_NB_PC_TV_GPS OTHER_LCD" xfId="0"/>
    <cellStyle name="_PC_NB_PC_TV_GPS OTHER_PJ" xfId="0"/>
    <cellStyle name="_PC_NB_PC_TV_LCD" xfId="0"/>
    <cellStyle name="_PC_NB_PC_TV_LCD 2" xfId="0"/>
    <cellStyle name="_PC_NB_PC_TV_LCD 3" xfId="0"/>
    <cellStyle name="_PC_NB_PC_TV_LCD 4" xfId="0"/>
    <cellStyle name="_PC_NB_PC_TV_LCD_By Region" xfId="0"/>
    <cellStyle name="_PC_NB_PC_TV_LCD_CORP SG&amp;A" xfId="0"/>
    <cellStyle name="_PC_NB_PC_TV_LCD_LCD" xfId="0"/>
    <cellStyle name="_PC_NB_PC_TV_LCD_PJ" xfId="0"/>
    <cellStyle name="_PC_NB_PC_TV_PC Products" xfId="0"/>
    <cellStyle name="_PC_NB_PC_TV_PC Products 2" xfId="0"/>
    <cellStyle name="_PC_NB_PC_TV_PC Products 3" xfId="0"/>
    <cellStyle name="_PC_NB_PC_TV_PC Products 4" xfId="0"/>
    <cellStyle name="_PC_NB_PC_TV_PC Products 4 2" xfId="0"/>
    <cellStyle name="_PC_NB_PC_TV_PC Products_By Region" xfId="0"/>
    <cellStyle name="_PC_NB_PC_TV_PC Products_CORP SG&amp;A" xfId="0"/>
    <cellStyle name="_PC_NB_PC_TV_PC Products_LCD" xfId="0"/>
    <cellStyle name="_PC_NB_PC_TV_PC Products_PJ" xfId="0"/>
    <cellStyle name="_PC_NB_PC_TV_VSA 111014" xfId="0"/>
    <cellStyle name="_PC_NB_PC_TV_VSA 111014 2" xfId="0"/>
    <cellStyle name="_PC_NB_PC_TV_VSA 111014 3" xfId="0"/>
    <cellStyle name="_PC_NB_PC_TV_VSA 111014 4" xfId="0"/>
    <cellStyle name="_PC_NB_PC_TV_VSA 111014 4 2" xfId="0"/>
    <cellStyle name="_PC_NB_PC_TV_VSA 111014_By Region" xfId="0"/>
    <cellStyle name="_PC_NB_PC_TV_VSA 111014_CORP SG&amp;A" xfId="0"/>
    <cellStyle name="_PC_NB_PC_TV_VSA 111014_LCD" xfId="0"/>
    <cellStyle name="_PC_NB_PC_TV_VSA 111014_PJ" xfId="0"/>
    <cellStyle name="_PC_NB_PC_TV_VSA Roll-Up (LW)" xfId="0"/>
    <cellStyle name="_PC_NB_PC_TV_VSA Roll-Up (LW) 2" xfId="0"/>
    <cellStyle name="_PC_NB_PC_TV_VSA Roll-Up (LW) 3" xfId="0"/>
    <cellStyle name="_PC_NB_PC_TV_VSA Roll-Up (LW) 4" xfId="0"/>
    <cellStyle name="_PC_NB_PC_TV_VSA Roll-Up (LW) 4 2" xfId="0"/>
    <cellStyle name="_PC_NB_PC_TV_VSA Roll-Up (LW)_By Region" xfId="0"/>
    <cellStyle name="_PC_NB_PC_TV_VSA Roll-Up (LW)_CORP SG&amp;A" xfId="0"/>
    <cellStyle name="_PC_NB_PC_TV_VSA Roll-Up (LW)_LCD" xfId="0"/>
    <cellStyle name="_PC_NB_PC_TV_VSA Roll-Up (LW)_PJ" xfId="0"/>
    <cellStyle name="_PC_NB_PC_VSA 111014" xfId="0"/>
    <cellStyle name="_PC_NB_PC_VSA 111014 2" xfId="0"/>
    <cellStyle name="_PC_NB_PC_VSA 111014 3" xfId="0"/>
    <cellStyle name="_PC_NB_PC_VSA 111014 4" xfId="0"/>
    <cellStyle name="_PC_NB_PC_VSA 111014 4 2" xfId="0"/>
    <cellStyle name="_PC_NB_PC_VSA 111014_By Region" xfId="0"/>
    <cellStyle name="_PC_NB_PC_VSA 111014_CORP SG&amp;A" xfId="0"/>
    <cellStyle name="_PC_NB_PC_VSA 111014_LCD" xfId="0"/>
    <cellStyle name="_PC_NB_PC_VSA 111014_PJ" xfId="0"/>
    <cellStyle name="_PC_NB_PC_VSA Roll-Up (LW)" xfId="0"/>
    <cellStyle name="_PC_NB_PC_VSA Roll-Up (LW) 2" xfId="0"/>
    <cellStyle name="_PC_NB_PC_VSA Roll-Up (LW) 3" xfId="0"/>
    <cellStyle name="_PC_NB_PC_VSA Roll-Up (LW) 4" xfId="0"/>
    <cellStyle name="_PC_NB_PC_VSA Roll-Up (LW) 4 2" xfId="0"/>
    <cellStyle name="_PC_NB_PC_VSA Roll-Up (LW)_By Region" xfId="0"/>
    <cellStyle name="_PC_NB_PC_VSA Roll-Up (LW)_CORP SG&amp;A" xfId="0"/>
    <cellStyle name="_PC_NB_PC_VSA Roll-Up (LW)_LCD" xfId="0"/>
    <cellStyle name="_PC_NB_PC_VSA Roll-Up (LW)_PJ" xfId="0"/>
    <cellStyle name="_PC_NB_PJ" xfId="0"/>
    <cellStyle name="_PC_NB_PJ 2" xfId="0"/>
    <cellStyle name="_PC_NB_PJ 3" xfId="0"/>
    <cellStyle name="_PC_NB_PJ 4" xfId="0"/>
    <cellStyle name="_PC_NB_PJ_By Region" xfId="0"/>
    <cellStyle name="_PC_NB_PJ_CORP SG&amp;A" xfId="0"/>
    <cellStyle name="_PC_NB_PJ_GPS OTHER" xfId="0"/>
    <cellStyle name="_PC_NB_PJ_GPS OTHER 2" xfId="0"/>
    <cellStyle name="_PC_NB_PJ_GPS OTHER 3" xfId="0"/>
    <cellStyle name="_PC_NB_PJ_GPS OTHER 4" xfId="0"/>
    <cellStyle name="_PC_NB_PJ_GPS OTHER 4 2" xfId="0"/>
    <cellStyle name="_PC_NB_PJ_GPS OTHER_By Region" xfId="0"/>
    <cellStyle name="_PC_NB_PJ_GPS OTHER_CORP SG&amp;A" xfId="0"/>
    <cellStyle name="_PC_NB_PJ_GPS OTHER_LCD" xfId="0"/>
    <cellStyle name="_PC_NB_PJ_GPS OTHER_PJ" xfId="0"/>
    <cellStyle name="_PC_NB_PJ_LCD" xfId="0"/>
    <cellStyle name="_PC_NB_PJ_LCD 2" xfId="0"/>
    <cellStyle name="_PC_NB_PJ_LCD 3" xfId="0"/>
    <cellStyle name="_PC_NB_PJ_LCD 4" xfId="0"/>
    <cellStyle name="_PC_NB_PJ_LCD_By Region" xfId="0"/>
    <cellStyle name="_PC_NB_PJ_LCD_CORP SG&amp;A" xfId="0"/>
    <cellStyle name="_PC_NB_PJ_LCD_LCD" xfId="0"/>
    <cellStyle name="_PC_NB_PJ_LCD_PJ" xfId="0"/>
    <cellStyle name="_PC_NB_PJ_PC Products" xfId="0"/>
    <cellStyle name="_PC_NB_PJ_PC Products 2" xfId="0"/>
    <cellStyle name="_PC_NB_PJ_PC Products 3" xfId="0"/>
    <cellStyle name="_PC_NB_PJ_PC Products 4" xfId="0"/>
    <cellStyle name="_PC_NB_PJ_PC Products 4 2" xfId="0"/>
    <cellStyle name="_PC_NB_PJ_PC Products_By Region" xfId="0"/>
    <cellStyle name="_PC_NB_PJ_PC Products_CORP SG&amp;A" xfId="0"/>
    <cellStyle name="_PC_NB_PJ_PC Products_LCD" xfId="0"/>
    <cellStyle name="_PC_NB_PJ_PC Products_PJ" xfId="0"/>
    <cellStyle name="_PC_NB_PJ_VSA 111014" xfId="0"/>
    <cellStyle name="_PC_NB_PJ_VSA 111014 2" xfId="0"/>
    <cellStyle name="_PC_NB_PJ_VSA 111014 3" xfId="0"/>
    <cellStyle name="_PC_NB_PJ_VSA 111014 4" xfId="0"/>
    <cellStyle name="_PC_NB_PJ_VSA 111014 4 2" xfId="0"/>
    <cellStyle name="_PC_NB_PJ_VSA 111014_By Region" xfId="0"/>
    <cellStyle name="_PC_NB_PJ_VSA 111014_CORP SG&amp;A" xfId="0"/>
    <cellStyle name="_PC_NB_PJ_VSA 111014_LCD" xfId="0"/>
    <cellStyle name="_PC_NB_PJ_VSA 111014_PJ" xfId="0"/>
    <cellStyle name="_PC_NB_PJ_VSA Roll-Up (LW)" xfId="0"/>
    <cellStyle name="_PC_NB_PJ_VSA Roll-Up (LW) 2" xfId="0"/>
    <cellStyle name="_PC_NB_PJ_VSA Roll-Up (LW) 3" xfId="0"/>
    <cellStyle name="_PC_NB_PJ_VSA Roll-Up (LW) 4" xfId="0"/>
    <cellStyle name="_PC_NB_PJ_VSA Roll-Up (LW) 4 2" xfId="0"/>
    <cellStyle name="_PC_NB_PJ_VSA Roll-Up (LW)_By Region" xfId="0"/>
    <cellStyle name="_PC_NB_PJ_VSA Roll-Up (LW)_CORP SG&amp;A" xfId="0"/>
    <cellStyle name="_PC_NB_PJ_VSA Roll-Up (LW)_LCD" xfId="0"/>
    <cellStyle name="_PC_NB_PJ_VSA Roll-Up (LW)_PJ" xfId="0"/>
    <cellStyle name="_PC_NB_PMP(VPD)" xfId="0"/>
    <cellStyle name="_PC_NB_PMP(VPD) 2" xfId="0"/>
    <cellStyle name="_PC_NB_PMP(VPD) 3" xfId="0"/>
    <cellStyle name="_PC_NB_PMP(VPD) 4" xfId="0"/>
    <cellStyle name="_PC_NB_PMP(VPD)_By Region" xfId="0"/>
    <cellStyle name="_PC_NB_PMP(VPD)_CORP SG&amp;A" xfId="0"/>
    <cellStyle name="_PC_NB_PMP(VPD)_GPS OTHER" xfId="0"/>
    <cellStyle name="_PC_NB_PMP(VPD)_GPS OTHER 2" xfId="0"/>
    <cellStyle name="_PC_NB_PMP(VPD)_GPS OTHER 3" xfId="0"/>
    <cellStyle name="_PC_NB_PMP(VPD)_GPS OTHER 4" xfId="0"/>
    <cellStyle name="_PC_NB_PMP(VPD)_GPS OTHER 4 2" xfId="0"/>
    <cellStyle name="_PC_NB_PMP(VPD)_GPS OTHER_By Region" xfId="0"/>
    <cellStyle name="_PC_NB_PMP(VPD)_GPS OTHER_CORP SG&amp;A" xfId="0"/>
    <cellStyle name="_PC_NB_PMP(VPD)_GPS OTHER_LCD" xfId="0"/>
    <cellStyle name="_PC_NB_PMP(VPD)_GPS OTHER_PJ" xfId="0"/>
    <cellStyle name="_PC_NB_PMP(VPD)_LCD" xfId="0"/>
    <cellStyle name="_PC_NB_PMP(VPD)_LCD 2" xfId="0"/>
    <cellStyle name="_PC_NB_PMP(VPD)_LCD 3" xfId="0"/>
    <cellStyle name="_PC_NB_PMP(VPD)_LCD 4" xfId="0"/>
    <cellStyle name="_PC_NB_PMP(VPD)_LCD_By Region" xfId="0"/>
    <cellStyle name="_PC_NB_PMP(VPD)_LCD_CORP SG&amp;A" xfId="0"/>
    <cellStyle name="_PC_NB_PMP(VPD)_LCD_LCD" xfId="0"/>
    <cellStyle name="_PC_NB_PMP(VPD)_LCD_PJ" xfId="0"/>
    <cellStyle name="_PC_NB_PMP(VPD)_PC Products" xfId="0"/>
    <cellStyle name="_PC_NB_PMP(VPD)_PC Products 2" xfId="0"/>
    <cellStyle name="_PC_NB_PMP(VPD)_PC Products 3" xfId="0"/>
    <cellStyle name="_PC_NB_PMP(VPD)_PC Products 4" xfId="0"/>
    <cellStyle name="_PC_NB_PMP(VPD)_PC Products 4 2" xfId="0"/>
    <cellStyle name="_PC_NB_PMP(VPD)_PC Products_By Region" xfId="0"/>
    <cellStyle name="_PC_NB_PMP(VPD)_PC Products_CORP SG&amp;A" xfId="0"/>
    <cellStyle name="_PC_NB_PMP(VPD)_PC Products_LCD" xfId="0"/>
    <cellStyle name="_PC_NB_PMP(VPD)_PC Products_PJ" xfId="0"/>
    <cellStyle name="_PC_NB_PMP(VPD)_VSA 111014" xfId="0"/>
    <cellStyle name="_PC_NB_PMP(VPD)_VSA 111014 2" xfId="0"/>
    <cellStyle name="_PC_NB_PMP(VPD)_VSA 111014 3" xfId="0"/>
    <cellStyle name="_PC_NB_PMP(VPD)_VSA 111014 4" xfId="0"/>
    <cellStyle name="_PC_NB_PMP(VPD)_VSA 111014 4 2" xfId="0"/>
    <cellStyle name="_PC_NB_PMP(VPD)_VSA 111014_By Region" xfId="0"/>
    <cellStyle name="_PC_NB_PMP(VPD)_VSA 111014_CORP SG&amp;A" xfId="0"/>
    <cellStyle name="_PC_NB_PMP(VPD)_VSA 111014_LCD" xfId="0"/>
    <cellStyle name="_PC_NB_PMP(VPD)_VSA 111014_PJ" xfId="0"/>
    <cellStyle name="_PC_NB_PMP(VPD)_VSA Roll-Up (LW)" xfId="0"/>
    <cellStyle name="_PC_NB_PMP(VPD)_VSA Roll-Up (LW) 2" xfId="0"/>
    <cellStyle name="_PC_NB_PMP(VPD)_VSA Roll-Up (LW) 3" xfId="0"/>
    <cellStyle name="_PC_NB_PMP(VPD)_VSA Roll-Up (LW) 4" xfId="0"/>
    <cellStyle name="_PC_NB_PMP(VPD)_VSA Roll-Up (LW) 4 2" xfId="0"/>
    <cellStyle name="_PC_NB_PMP(VPD)_VSA Roll-Up (LW)_By Region" xfId="0"/>
    <cellStyle name="_PC_NB_PMP(VPD)_VSA Roll-Up (LW)_CORP SG&amp;A" xfId="0"/>
    <cellStyle name="_PC_NB_PMP(VPD)_VSA Roll-Up (LW)_LCD" xfId="0"/>
    <cellStyle name="_PC_NB_PMP(VPD)_VSA Roll-Up (LW)_PJ" xfId="0"/>
    <cellStyle name="_PC_NB_Pocket TV" xfId="0"/>
    <cellStyle name="_PC_NB_Pocket TV 2" xfId="0"/>
    <cellStyle name="_PC_NB_Pocket TV 3" xfId="0"/>
    <cellStyle name="_PC_NB_Pocket TV 4" xfId="0"/>
    <cellStyle name="_PC_NB_Pocket TV_By Region" xfId="0"/>
    <cellStyle name="_PC_NB_Pocket TV_CORP SG&amp;A" xfId="0"/>
    <cellStyle name="_PC_NB_Pocket TV_GPS OTHER" xfId="0"/>
    <cellStyle name="_PC_NB_Pocket TV_GPS OTHER 2" xfId="0"/>
    <cellStyle name="_PC_NB_Pocket TV_GPS OTHER 3" xfId="0"/>
    <cellStyle name="_PC_NB_Pocket TV_GPS OTHER 4" xfId="0"/>
    <cellStyle name="_PC_NB_Pocket TV_GPS OTHER 4 2" xfId="0"/>
    <cellStyle name="_PC_NB_Pocket TV_GPS OTHER_By Region" xfId="0"/>
    <cellStyle name="_PC_NB_Pocket TV_GPS OTHER_CORP SG&amp;A" xfId="0"/>
    <cellStyle name="_PC_NB_Pocket TV_GPS OTHER_LCD" xfId="0"/>
    <cellStyle name="_PC_NB_Pocket TV_GPS OTHER_PJ" xfId="0"/>
    <cellStyle name="_PC_NB_Pocket TV_LCD" xfId="0"/>
    <cellStyle name="_PC_NB_Pocket TV_LCD 2" xfId="0"/>
    <cellStyle name="_PC_NB_Pocket TV_LCD 3" xfId="0"/>
    <cellStyle name="_PC_NB_Pocket TV_LCD 4" xfId="0"/>
    <cellStyle name="_PC_NB_Pocket TV_LCD_By Region" xfId="0"/>
    <cellStyle name="_PC_NB_Pocket TV_LCD_CORP SG&amp;A" xfId="0"/>
    <cellStyle name="_PC_NB_Pocket TV_LCD_LCD" xfId="0"/>
    <cellStyle name="_PC_NB_Pocket TV_LCD_PJ" xfId="0"/>
    <cellStyle name="_PC_NB_Pocket TV_PC Products" xfId="0"/>
    <cellStyle name="_PC_NB_Pocket TV_PC Products 2" xfId="0"/>
    <cellStyle name="_PC_NB_Pocket TV_PC Products 3" xfId="0"/>
    <cellStyle name="_PC_NB_Pocket TV_PC Products 4" xfId="0"/>
    <cellStyle name="_PC_NB_Pocket TV_PC Products 4 2" xfId="0"/>
    <cellStyle name="_PC_NB_Pocket TV_PC Products_By Region" xfId="0"/>
    <cellStyle name="_PC_NB_Pocket TV_PC Products_CORP SG&amp;A" xfId="0"/>
    <cellStyle name="_PC_NB_Pocket TV_PC Products_LCD" xfId="0"/>
    <cellStyle name="_PC_NB_Pocket TV_PC Products_PJ" xfId="0"/>
    <cellStyle name="_PC_NB_Pocket TV_VSA 111014" xfId="0"/>
    <cellStyle name="_PC_NB_Pocket TV_VSA 111014 2" xfId="0"/>
    <cellStyle name="_PC_NB_Pocket TV_VSA 111014 3" xfId="0"/>
    <cellStyle name="_PC_NB_Pocket TV_VSA 111014 4" xfId="0"/>
    <cellStyle name="_PC_NB_Pocket TV_VSA 111014 4 2" xfId="0"/>
    <cellStyle name="_PC_NB_Pocket TV_VSA 111014_By Region" xfId="0"/>
    <cellStyle name="_PC_NB_Pocket TV_VSA 111014_CORP SG&amp;A" xfId="0"/>
    <cellStyle name="_PC_NB_Pocket TV_VSA 111014_LCD" xfId="0"/>
    <cellStyle name="_PC_NB_Pocket TV_VSA 111014_PJ" xfId="0"/>
    <cellStyle name="_PC_NB_Pocket TV_VSA Roll-Up (LW)" xfId="0"/>
    <cellStyle name="_PC_NB_Pocket TV_VSA Roll-Up (LW) 2" xfId="0"/>
    <cellStyle name="_PC_NB_Pocket TV_VSA Roll-Up (LW) 3" xfId="0"/>
    <cellStyle name="_PC_NB_Pocket TV_VSA Roll-Up (LW) 4" xfId="0"/>
    <cellStyle name="_PC_NB_Pocket TV_VSA Roll-Up (LW) 4 2" xfId="0"/>
    <cellStyle name="_PC_NB_Pocket TV_VSA Roll-Up (LW)_By Region" xfId="0"/>
    <cellStyle name="_PC_NB_Pocket TV_VSA Roll-Up (LW)_CORP SG&amp;A" xfId="0"/>
    <cellStyle name="_PC_NB_Pocket TV_VSA Roll-Up (LW)_LCD" xfId="0"/>
    <cellStyle name="_PC_NB_Pocket TV_VSA Roll-Up (LW)_PJ" xfId="0"/>
    <cellStyle name="_PC_NB_Pocket_TV" xfId="0"/>
    <cellStyle name="_PC_NB_Pocket_TV 2" xfId="0"/>
    <cellStyle name="_PC_NB_Pocket_TV 3" xfId="0"/>
    <cellStyle name="_PC_NB_Pocket_TV 4" xfId="0"/>
    <cellStyle name="_PC_NB_Pocket_TV_By Region" xfId="0"/>
    <cellStyle name="_PC_NB_Pocket_TV_CORP SG&amp;A" xfId="0"/>
    <cellStyle name="_PC_NB_Pocket_TV_GPS OTHER" xfId="0"/>
    <cellStyle name="_PC_NB_Pocket_TV_GPS OTHER 2" xfId="0"/>
    <cellStyle name="_PC_NB_Pocket_TV_GPS OTHER 3" xfId="0"/>
    <cellStyle name="_PC_NB_Pocket_TV_GPS OTHER 4" xfId="0"/>
    <cellStyle name="_PC_NB_Pocket_TV_GPS OTHER 4 2" xfId="0"/>
    <cellStyle name="_PC_NB_Pocket_TV_GPS OTHER_By Region" xfId="0"/>
    <cellStyle name="_PC_NB_Pocket_TV_GPS OTHER_CORP SG&amp;A" xfId="0"/>
    <cellStyle name="_PC_NB_Pocket_TV_GPS OTHER_LCD" xfId="0"/>
    <cellStyle name="_PC_NB_Pocket_TV_GPS OTHER_PJ" xfId="0"/>
    <cellStyle name="_PC_NB_Pocket_TV_LCD" xfId="0"/>
    <cellStyle name="_PC_NB_Pocket_TV_LCD 2" xfId="0"/>
    <cellStyle name="_PC_NB_Pocket_TV_LCD 3" xfId="0"/>
    <cellStyle name="_PC_NB_Pocket_TV_LCD 4" xfId="0"/>
    <cellStyle name="_PC_NB_Pocket_TV_LCD_By Region" xfId="0"/>
    <cellStyle name="_PC_NB_Pocket_TV_LCD_CORP SG&amp;A" xfId="0"/>
    <cellStyle name="_PC_NB_Pocket_TV_LCD_LCD" xfId="0"/>
    <cellStyle name="_PC_NB_Pocket_TV_LCD_PJ" xfId="0"/>
    <cellStyle name="_PC_NB_Pocket_TV_PC Products" xfId="0"/>
    <cellStyle name="_PC_NB_Pocket_TV_PC Products 2" xfId="0"/>
    <cellStyle name="_PC_NB_Pocket_TV_PC Products 3" xfId="0"/>
    <cellStyle name="_PC_NB_Pocket_TV_PC Products 4" xfId="0"/>
    <cellStyle name="_PC_NB_Pocket_TV_PC Products 4 2" xfId="0"/>
    <cellStyle name="_PC_NB_Pocket_TV_PC Products_By Region" xfId="0"/>
    <cellStyle name="_PC_NB_Pocket_TV_PC Products_CORP SG&amp;A" xfId="0"/>
    <cellStyle name="_PC_NB_Pocket_TV_PC Products_LCD" xfId="0"/>
    <cellStyle name="_PC_NB_Pocket_TV_PC Products_PJ" xfId="0"/>
    <cellStyle name="_PC_NB_Pocket_TV_VSA 111014" xfId="0"/>
    <cellStyle name="_PC_NB_Pocket_TV_VSA 111014 2" xfId="0"/>
    <cellStyle name="_PC_NB_Pocket_TV_VSA 111014 3" xfId="0"/>
    <cellStyle name="_PC_NB_Pocket_TV_VSA 111014 4" xfId="0"/>
    <cellStyle name="_PC_NB_Pocket_TV_VSA 111014 4 2" xfId="0"/>
    <cellStyle name="_PC_NB_Pocket_TV_VSA 111014_By Region" xfId="0"/>
    <cellStyle name="_PC_NB_Pocket_TV_VSA 111014_CORP SG&amp;A" xfId="0"/>
    <cellStyle name="_PC_NB_Pocket_TV_VSA 111014_LCD" xfId="0"/>
    <cellStyle name="_PC_NB_Pocket_TV_VSA 111014_PJ" xfId="0"/>
    <cellStyle name="_PC_NB_Pocket_TV_VSA Roll-Up (LW)" xfId="0"/>
    <cellStyle name="_PC_NB_Pocket_TV_VSA Roll-Up (LW) 2" xfId="0"/>
    <cellStyle name="_PC_NB_Pocket_TV_VSA Roll-Up (LW) 3" xfId="0"/>
    <cellStyle name="_PC_NB_Pocket_TV_VSA Roll-Up (LW) 4" xfId="0"/>
    <cellStyle name="_PC_NB_Pocket_TV_VSA Roll-Up (LW) 4 2" xfId="0"/>
    <cellStyle name="_PC_NB_Pocket_TV_VSA Roll-Up (LW)_By Region" xfId="0"/>
    <cellStyle name="_PC_NB_Pocket_TV_VSA Roll-Up (LW)_CORP SG&amp;A" xfId="0"/>
    <cellStyle name="_PC_NB_Pocket_TV_VSA Roll-Up (LW)_LCD" xfId="0"/>
    <cellStyle name="_PC_NB_Pocket_TV_VSA Roll-Up (LW)_PJ" xfId="0"/>
    <cellStyle name="_PC_NB_TV" xfId="0"/>
    <cellStyle name="_PC_NB_TV 2" xfId="0"/>
    <cellStyle name="_PC_NB_TV 3" xfId="0"/>
    <cellStyle name="_PC_NB_TV 4" xfId="0"/>
    <cellStyle name="_PC_NB_TV_By Region" xfId="0"/>
    <cellStyle name="_PC_NB_TV_CORP SG&amp;A" xfId="0"/>
    <cellStyle name="_PC_NB_TV_GPS OTHER" xfId="0"/>
    <cellStyle name="_PC_NB_TV_GPS OTHER 2" xfId="0"/>
    <cellStyle name="_PC_NB_TV_GPS OTHER 3" xfId="0"/>
    <cellStyle name="_PC_NB_TV_GPS OTHER 4" xfId="0"/>
    <cellStyle name="_PC_NB_TV_GPS OTHER 4 2" xfId="0"/>
    <cellStyle name="_PC_NB_TV_GPS OTHER_By Region" xfId="0"/>
    <cellStyle name="_PC_NB_TV_GPS OTHER_CORP SG&amp;A" xfId="0"/>
    <cellStyle name="_PC_NB_TV_GPS OTHER_LCD" xfId="0"/>
    <cellStyle name="_PC_NB_TV_GPS OTHER_PJ" xfId="0"/>
    <cellStyle name="_PC_NB_TV_PC Products" xfId="0"/>
    <cellStyle name="_PC_NB_TV_PC Products 2" xfId="0"/>
    <cellStyle name="_PC_NB_TV_PC Products 3" xfId="0"/>
    <cellStyle name="_PC_NB_TV_PC Products 4" xfId="0"/>
    <cellStyle name="_PC_NB_TV_PC Products 4 2" xfId="0"/>
    <cellStyle name="_PC_NB_TV_PC Products_By Region" xfId="0"/>
    <cellStyle name="_PC_NB_TV_PC Products_CORP SG&amp;A" xfId="0"/>
    <cellStyle name="_PC_NB_TV_PC Products_LCD" xfId="0"/>
    <cellStyle name="_PC_NB_TV_PC Products_PJ" xfId="0"/>
    <cellStyle name="_PC_NB_TV_VSA 111014" xfId="0"/>
    <cellStyle name="_PC_NB_TV_VSA 111014 2" xfId="0"/>
    <cellStyle name="_PC_NB_TV_VSA 111014 3" xfId="0"/>
    <cellStyle name="_PC_NB_TV_VSA 111014 4" xfId="0"/>
    <cellStyle name="_PC_NB_TV_VSA 111014 4 2" xfId="0"/>
    <cellStyle name="_PC_NB_TV_VSA 111014_By Region" xfId="0"/>
    <cellStyle name="_PC_NB_TV_VSA 111014_CORP SG&amp;A" xfId="0"/>
    <cellStyle name="_PC_NB_TV_VSA 111014_LCD" xfId="0"/>
    <cellStyle name="_PC_NB_TV_VSA 111014_PJ" xfId="0"/>
    <cellStyle name="_PC_NB_TV_VSA Roll-Up (LW)" xfId="0"/>
    <cellStyle name="_PC_NB_TV_VSA Roll-Up (LW) 2" xfId="0"/>
    <cellStyle name="_PC_NB_TV_VSA Roll-Up (LW) 3" xfId="0"/>
    <cellStyle name="_PC_NB_TV_VSA Roll-Up (LW) 4" xfId="0"/>
    <cellStyle name="_PC_NB_TV_VSA Roll-Up (LW) 4 2" xfId="0"/>
    <cellStyle name="_PC_NB_TV_VSA Roll-Up (LW)_By Region" xfId="0"/>
    <cellStyle name="_PC_NB_TV_VSA Roll-Up (LW)_CORP SG&amp;A" xfId="0"/>
    <cellStyle name="_PC_NB_TV_VSA Roll-Up (LW)_LCD" xfId="0"/>
    <cellStyle name="_PC_NB_TV_VSA Roll-Up (LW)_PJ" xfId="0"/>
    <cellStyle name="_PC_NB_VD" xfId="0"/>
    <cellStyle name="_PC_NB_VD 2" xfId="0"/>
    <cellStyle name="_PC_NB_VD 3" xfId="0"/>
    <cellStyle name="_PC_NB_VD 4" xfId="0"/>
    <cellStyle name="_PC_NB_VD_By Region" xfId="0"/>
    <cellStyle name="_PC_NB_VD_CORP SG&amp;A" xfId="0"/>
    <cellStyle name="_PC_NB_VD_GPS OTHER" xfId="0"/>
    <cellStyle name="_PC_NB_VD_GPS OTHER 2" xfId="0"/>
    <cellStyle name="_PC_NB_VD_GPS OTHER 3" xfId="0"/>
    <cellStyle name="_PC_NB_VD_GPS OTHER 4" xfId="0"/>
    <cellStyle name="_PC_NB_VD_GPS OTHER 4 2" xfId="0"/>
    <cellStyle name="_PC_NB_VD_GPS OTHER_By Region" xfId="0"/>
    <cellStyle name="_PC_NB_VD_GPS OTHER_CORP SG&amp;A" xfId="0"/>
    <cellStyle name="_PC_NB_VD_GPS OTHER_LCD" xfId="0"/>
    <cellStyle name="_PC_NB_VD_GPS OTHER_PJ" xfId="0"/>
    <cellStyle name="_PC_NB_VD_PC Products" xfId="0"/>
    <cellStyle name="_PC_NB_VD_PC Products 2" xfId="0"/>
    <cellStyle name="_PC_NB_VD_PC Products 3" xfId="0"/>
    <cellStyle name="_PC_NB_VD_PC Products 4" xfId="0"/>
    <cellStyle name="_PC_NB_VD_PC Products 4 2" xfId="0"/>
    <cellStyle name="_PC_NB_VD_PC Products_By Region" xfId="0"/>
    <cellStyle name="_PC_NB_VD_PC Products_CORP SG&amp;A" xfId="0"/>
    <cellStyle name="_PC_NB_VD_PC Products_LCD" xfId="0"/>
    <cellStyle name="_PC_NB_VD_PC Products_PJ" xfId="0"/>
    <cellStyle name="_PC_NB_VD_VSA 111014" xfId="0"/>
    <cellStyle name="_PC_NB_VD_VSA 111014 2" xfId="0"/>
    <cellStyle name="_PC_NB_VD_VSA 111014 3" xfId="0"/>
    <cellStyle name="_PC_NB_VD_VSA 111014 4" xfId="0"/>
    <cellStyle name="_PC_NB_VD_VSA 111014 4 2" xfId="0"/>
    <cellStyle name="_PC_NB_VD_VSA 111014_By Region" xfId="0"/>
    <cellStyle name="_PC_NB_VD_VSA 111014_CORP SG&amp;A" xfId="0"/>
    <cellStyle name="_PC_NB_VD_VSA 111014_LCD" xfId="0"/>
    <cellStyle name="_PC_NB_VD_VSA 111014_PJ" xfId="0"/>
    <cellStyle name="_PC_NB_VD_VSA Roll-Up (LW)" xfId="0"/>
    <cellStyle name="_PC_NB_VD_VSA Roll-Up (LW) 2" xfId="0"/>
    <cellStyle name="_PC_NB_VD_VSA Roll-Up (LW) 3" xfId="0"/>
    <cellStyle name="_PC_NB_VD_VSA Roll-Up (LW) 4" xfId="0"/>
    <cellStyle name="_PC_NB_VD_VSA Roll-Up (LW) 4 2" xfId="0"/>
    <cellStyle name="_PC_NB_VD_VSA Roll-Up (LW)_By Region" xfId="0"/>
    <cellStyle name="_PC_NB_VD_VSA Roll-Up (LW)_CORP SG&amp;A" xfId="0"/>
    <cellStyle name="_PC_NB_VD_VSA Roll-Up (LW)_LCD" xfId="0"/>
    <cellStyle name="_PC_NB_VD_VSA Roll-Up (LW)_PJ" xfId="0"/>
    <cellStyle name="_PC_NB_VSA 111014" xfId="0"/>
    <cellStyle name="_PC_NB_VSA 111014 2" xfId="0"/>
    <cellStyle name="_PC_NB_VSA 111014 3" xfId="0"/>
    <cellStyle name="_PC_NB_VSA 111014 4" xfId="0"/>
    <cellStyle name="_PC_NB_VSA 111014 4 2" xfId="0"/>
    <cellStyle name="_PC_NB_VSA 111014_By Region" xfId="0"/>
    <cellStyle name="_PC_NB_VSA 111014_CORP SG&amp;A" xfId="0"/>
    <cellStyle name="_PC_NB_VSA 111014_LCD" xfId="0"/>
    <cellStyle name="_PC_NB_VSA 111014_PJ" xfId="0"/>
    <cellStyle name="_PC_NB_VSA Roll-Up (LW)" xfId="0"/>
    <cellStyle name="_PC_NB_VSA Roll-Up (LW) 2" xfId="0"/>
    <cellStyle name="_PC_NB_VSA Roll-Up (LW) 3" xfId="0"/>
    <cellStyle name="_PC_NB_VSA Roll-Up (LW) 4" xfId="0"/>
    <cellStyle name="_PC_NB_VSA Roll-Up (LW) 4 2" xfId="0"/>
    <cellStyle name="_PC_NB_VSA Roll-Up (LW)_By Region" xfId="0"/>
    <cellStyle name="_PC_NB_VSA Roll-Up (LW)_CORP SG&amp;A" xfId="0"/>
    <cellStyle name="_PC_NB_VSA Roll-Up (LW)_LCD" xfId="0"/>
    <cellStyle name="_PC_NB_VSA Roll-Up (LW)_PJ" xfId="0"/>
    <cellStyle name="_PC_NB_VSE 2011 Budget" xfId="0"/>
    <cellStyle name="_PC_NB_VSE 2011 Budget 2" xfId="0"/>
    <cellStyle name="_PC_NB_VSE 2011 Budget 3" xfId="0"/>
    <cellStyle name="_PC_NB_VSE 2011 Budget 4" xfId="0"/>
    <cellStyle name="_PC_NB_VSE 2011 Budget_By Region" xfId="0"/>
    <cellStyle name="_PC_NB_VSE 2011 Budget_CORP SG&amp;A" xfId="0"/>
    <cellStyle name="_PC_NB_VSE 2011 Budget_GPS OTHER" xfId="0"/>
    <cellStyle name="_PC_NB_VSE 2011 Budget_GPS OTHER 2" xfId="0"/>
    <cellStyle name="_PC_NB_VSE 2011 Budget_GPS OTHER 3" xfId="0"/>
    <cellStyle name="_PC_NB_VSE 2011 Budget_GPS OTHER 4" xfId="0"/>
    <cellStyle name="_PC_NB_VSE 2011 Budget_GPS OTHER 4 2" xfId="0"/>
    <cellStyle name="_PC_NB_VSE 2011 Budget_GPS OTHER_By Region" xfId="0"/>
    <cellStyle name="_PC_NB_VSE 2011 Budget_GPS OTHER_CORP SG&amp;A" xfId="0"/>
    <cellStyle name="_PC_NB_VSE 2011 Budget_GPS OTHER_LCD" xfId="0"/>
    <cellStyle name="_PC_NB_VSE 2011 Budget_GPS OTHER_PJ" xfId="0"/>
    <cellStyle name="_PC_NB_VSE 2011 Budget_PC Products" xfId="0"/>
    <cellStyle name="_PC_NB_VSE 2011 Budget_PC Products 2" xfId="0"/>
    <cellStyle name="_PC_NB_VSE 2011 Budget_PC Products 3" xfId="0"/>
    <cellStyle name="_PC_NB_VSE 2011 Budget_PC Products 4" xfId="0"/>
    <cellStyle name="_PC_NB_VSE 2011 Budget_PC Products 4 2" xfId="0"/>
    <cellStyle name="_PC_NB_VSE 2011 Budget_PC Products_By Region" xfId="0"/>
    <cellStyle name="_PC_NB_VSE 2011 Budget_PC Products_CORP SG&amp;A" xfId="0"/>
    <cellStyle name="_PC_NB_VSE 2011 Budget_PC Products_LCD" xfId="0"/>
    <cellStyle name="_PC_NB_VSE 2011 Budget_PC Products_PJ" xfId="0"/>
    <cellStyle name="_PC_NB_VSE 2011 Budget_VSA 111014" xfId="0"/>
    <cellStyle name="_PC_NB_VSE 2011 Budget_VSA 111014 2" xfId="0"/>
    <cellStyle name="_PC_NB_VSE 2011 Budget_VSA 111014 3" xfId="0"/>
    <cellStyle name="_PC_NB_VSE 2011 Budget_VSA 111014 4" xfId="0"/>
    <cellStyle name="_PC_NB_VSE 2011 Budget_VSA 111014 4 2" xfId="0"/>
    <cellStyle name="_PC_NB_VSE 2011 Budget_VSA 111014_By Region" xfId="0"/>
    <cellStyle name="_PC_NB_VSE 2011 Budget_VSA 111014_CORP SG&amp;A" xfId="0"/>
    <cellStyle name="_PC_NB_VSE 2011 Budget_VSA 111014_LCD" xfId="0"/>
    <cellStyle name="_PC_NB_VSE 2011 Budget_VSA 111014_PJ" xfId="0"/>
    <cellStyle name="_PC_NB_VSE 2011 Budget_VSA Roll-Up (LW)" xfId="0"/>
    <cellStyle name="_PC_NB_VSE 2011 Budget_VSA Roll-Up (LW) 2" xfId="0"/>
    <cellStyle name="_PC_NB_VSE 2011 Budget_VSA Roll-Up (LW) 3" xfId="0"/>
    <cellStyle name="_PC_NB_VSE 2011 Budget_VSA Roll-Up (LW) 4" xfId="0"/>
    <cellStyle name="_PC_NB_VSE 2011 Budget_VSA Roll-Up (LW) 4 2" xfId="0"/>
    <cellStyle name="_PC_NB_VSE 2011 Budget_VSA Roll-Up (LW)_By Region" xfId="0"/>
    <cellStyle name="_PC_NB_VSE 2011 Budget_VSA Roll-Up (LW)_CORP SG&amp;A" xfId="0"/>
    <cellStyle name="_PC_NB_VSE 2011 Budget_VSA Roll-Up (LW)_LCD" xfId="0"/>
    <cellStyle name="_PC_NB_VSE 2011 Budget_VSA Roll-Up (LW)_PJ" xfId="0"/>
    <cellStyle name="_PC_NB_VSE 2H  WFP review (Spring Global meeting)-conservative Adam working v3" xfId="0"/>
    <cellStyle name="_PC_NB_VSE 2H  WFP review (Spring Global meeting)-conservative Adam working v3 2" xfId="0"/>
    <cellStyle name="_PC_NB_VSE 2H  WFP review (Spring Global meeting)-conservative Adam working v3 3" xfId="0"/>
    <cellStyle name="_PC_NB_VSE 2H Rebalance 110712" xfId="0"/>
    <cellStyle name="_PC_NB_VSE 2H Rebalance 110712 2" xfId="0"/>
    <cellStyle name="_PC_NB_VSE 2H Rebalance 110712 3" xfId="0"/>
    <cellStyle name="_PC_NB_VSE 2H Rebalance 110712 4" xfId="0"/>
    <cellStyle name="_PC_NB_VSE 2H Rebalance 110712_By Region" xfId="0"/>
    <cellStyle name="_PC_NB_VSE 2H Rebalance 110712_CORP SG&amp;A" xfId="0"/>
    <cellStyle name="_PC_NB_VSE WFP 101203" xfId="0"/>
    <cellStyle name="_PC_NB_VSE WFP 101203 2" xfId="0"/>
    <cellStyle name="_PC_NB_VSE WFP 101203 3" xfId="0"/>
    <cellStyle name="_PC_NB_VSE WFP 101203 4" xfId="0"/>
    <cellStyle name="_PC_NB_VSE WFP 101203_By Region" xfId="0"/>
    <cellStyle name="_PC_NB_VSE WFP 101203_CORP SG&amp;A" xfId="0"/>
    <cellStyle name="_PC_NB_VSE WFP 110311" xfId="0"/>
    <cellStyle name="_PC_NB_VSE WFP 110311 2" xfId="0"/>
    <cellStyle name="_PC_NB_VSE WFP 110311 3" xfId="0"/>
    <cellStyle name="_PC_NB_VSE WFP 110311 4" xfId="0"/>
    <cellStyle name="_PC_NB_VSE WFP 110311_By Region" xfId="0"/>
    <cellStyle name="_PC_NB_VSE WFP 110311_CORP SG&amp;A" xfId="0"/>
    <cellStyle name="_PC_NB_VSE WFP 110415" xfId="0"/>
    <cellStyle name="_PC_NB_VSE WFP 110415 2" xfId="0"/>
    <cellStyle name="_PC_NB_VSE WFP 110415 3" xfId="0"/>
    <cellStyle name="_PC_NB_VSE WFP 110415 4" xfId="0"/>
    <cellStyle name="_PC_NB_VSE WFP 110415_By Region" xfId="0"/>
    <cellStyle name="_PC_NB_VSE WFP 110415_CORP SG&amp;A" xfId="0"/>
    <cellStyle name="_PC_NB_VSE WFP_100409" xfId="0"/>
    <cellStyle name="_PC_NB_VSE WFP_100409 2" xfId="0"/>
    <cellStyle name="_PC_NB_VSE WFP_100409 3" xfId="0"/>
    <cellStyle name="_PC_NB_VSE WFP_100409 4" xfId="0"/>
    <cellStyle name="_PC_NB_VSE WFP_100409_By Region" xfId="0"/>
    <cellStyle name="_PC_NB_VSE WFP_100409_CORP SG&amp;A" xfId="0"/>
    <cellStyle name="_PC_NB_VSE WFP_100409_GPS OTHER" xfId="0"/>
    <cellStyle name="_PC_NB_VSE WFP_100409_GPS OTHER 2" xfId="0"/>
    <cellStyle name="_PC_NB_VSE WFP_100409_GPS OTHER 3" xfId="0"/>
    <cellStyle name="_PC_NB_VSE WFP_100409_GPS OTHER 4" xfId="0"/>
    <cellStyle name="_PC_NB_VSE WFP_100409_GPS OTHER 4 2" xfId="0"/>
    <cellStyle name="_PC_NB_VSE WFP_100409_GPS OTHER_By Region" xfId="0"/>
    <cellStyle name="_PC_NB_VSE WFP_100409_GPS OTHER_CORP SG&amp;A" xfId="0"/>
    <cellStyle name="_PC_NB_VSE WFP_100409_GPS OTHER_LCD" xfId="0"/>
    <cellStyle name="_PC_NB_VSE WFP_100409_GPS OTHER_PJ" xfId="0"/>
    <cellStyle name="_PC_NB_VSE WFP_100409_PC Products" xfId="0"/>
    <cellStyle name="_PC_NB_VSE WFP_100409_PC Products 2" xfId="0"/>
    <cellStyle name="_PC_NB_VSE WFP_100409_PC Products 3" xfId="0"/>
    <cellStyle name="_PC_NB_VSE WFP_100409_PC Products 4" xfId="0"/>
    <cellStyle name="_PC_NB_VSE WFP_100409_PC Products 4 2" xfId="0"/>
    <cellStyle name="_PC_NB_VSE WFP_100409_PC Products_By Region" xfId="0"/>
    <cellStyle name="_PC_NB_VSE WFP_100409_PC Products_CORP SG&amp;A" xfId="0"/>
    <cellStyle name="_PC_NB_VSE WFP_100409_PC Products_LCD" xfId="0"/>
    <cellStyle name="_PC_NB_VSE WFP_100409_PC Products_PJ" xfId="0"/>
    <cellStyle name="_PC_NB_VSE WFP_100409_VSA 111014" xfId="0"/>
    <cellStyle name="_PC_NB_VSE WFP_100409_VSA 111014 2" xfId="0"/>
    <cellStyle name="_PC_NB_VSE WFP_100409_VSA 111014 3" xfId="0"/>
    <cellStyle name="_PC_NB_VSE WFP_100409_VSA 111014 4" xfId="0"/>
    <cellStyle name="_PC_NB_VSE WFP_100409_VSA 111014 4 2" xfId="0"/>
    <cellStyle name="_PC_NB_VSE WFP_100409_VSA 111014_By Region" xfId="0"/>
    <cellStyle name="_PC_NB_VSE WFP_100409_VSA 111014_CORP SG&amp;A" xfId="0"/>
    <cellStyle name="_PC_NB_VSE WFP_100409_VSA 111014_LCD" xfId="0"/>
    <cellStyle name="_PC_NB_VSE WFP_100409_VSA 111014_PJ" xfId="0"/>
    <cellStyle name="_PC_NB_VSE WFP_100409_VSA Roll-Up (LW)" xfId="0"/>
    <cellStyle name="_PC_NB_VSE WFP_100409_VSA Roll-Up (LW) 2" xfId="0"/>
    <cellStyle name="_PC_NB_VSE WFP_100409_VSA Roll-Up (LW) 3" xfId="0"/>
    <cellStyle name="_PC_NB_VSE WFP_100409_VSA Roll-Up (LW) 4" xfId="0"/>
    <cellStyle name="_PC_NB_VSE WFP_100409_VSA Roll-Up (LW) 4 2" xfId="0"/>
    <cellStyle name="_PC_NB_VSE WFP_100409_VSA Roll-Up (LW)_By Region" xfId="0"/>
    <cellStyle name="_PC_NB_VSE WFP_100409_VSA Roll-Up (LW)_CORP SG&amp;A" xfId="0"/>
    <cellStyle name="_PC_NB_VSE WFP_100409_VSA Roll-Up (LW)_LCD" xfId="0"/>
    <cellStyle name="_PC_NB_VSE WFP_100409_VSA Roll-Up (LW)_PJ" xfId="0"/>
    <cellStyle name="_PC_NB_VSE WFP_100421 v2" xfId="0"/>
    <cellStyle name="_PC_NB_VSE WFP_100421 v2 2" xfId="0"/>
    <cellStyle name="_PC_NB_VSE WFP_100421 v2 3" xfId="0"/>
    <cellStyle name="_PC_NB_VSE WFP_100421 v2 4" xfId="0"/>
    <cellStyle name="_PC_NB_VSE WFP_100421 v2_By Region" xfId="0"/>
    <cellStyle name="_PC_NB_VSE WFP_100421 v2_CORP SG&amp;A" xfId="0"/>
    <cellStyle name="_PC_NB_VSE WFP_100421 v2_GPS OTHER" xfId="0"/>
    <cellStyle name="_PC_NB_VSE WFP_100421 v2_GPS OTHER 2" xfId="0"/>
    <cellStyle name="_PC_NB_VSE WFP_100421 v2_GPS OTHER 3" xfId="0"/>
    <cellStyle name="_PC_NB_VSE WFP_100421 v2_GPS OTHER 4" xfId="0"/>
    <cellStyle name="_PC_NB_VSE WFP_100421 v2_GPS OTHER 4 2" xfId="0"/>
    <cellStyle name="_PC_NB_VSE WFP_100421 v2_GPS OTHER_By Region" xfId="0"/>
    <cellStyle name="_PC_NB_VSE WFP_100421 v2_GPS OTHER_CORP SG&amp;A" xfId="0"/>
    <cellStyle name="_PC_NB_VSE WFP_100421 v2_GPS OTHER_LCD" xfId="0"/>
    <cellStyle name="_PC_NB_VSE WFP_100421 v2_GPS OTHER_PJ" xfId="0"/>
    <cellStyle name="_PC_NB_VSE WFP_100421 v2_PC Products" xfId="0"/>
    <cellStyle name="_PC_NB_VSE WFP_100421 v2_PC Products 2" xfId="0"/>
    <cellStyle name="_PC_NB_VSE WFP_100421 v2_PC Products 3" xfId="0"/>
    <cellStyle name="_PC_NB_VSE WFP_100421 v2_PC Products 4" xfId="0"/>
    <cellStyle name="_PC_NB_VSE WFP_100421 v2_PC Products 4 2" xfId="0"/>
    <cellStyle name="_PC_NB_VSE WFP_100421 v2_PC Products_By Region" xfId="0"/>
    <cellStyle name="_PC_NB_VSE WFP_100421 v2_PC Products_CORP SG&amp;A" xfId="0"/>
    <cellStyle name="_PC_NB_VSE WFP_100421 v2_PC Products_LCD" xfId="0"/>
    <cellStyle name="_PC_NB_VSE WFP_100421 v2_PC Products_PJ" xfId="0"/>
    <cellStyle name="_PC_NB_VSE WFP_100421 v2_VSA 111014" xfId="0"/>
    <cellStyle name="_PC_NB_VSE WFP_100421 v2_VSA 111014 2" xfId="0"/>
    <cellStyle name="_PC_NB_VSE WFP_100421 v2_VSA 111014 3" xfId="0"/>
    <cellStyle name="_PC_NB_VSE WFP_100421 v2_VSA 111014 4" xfId="0"/>
    <cellStyle name="_PC_NB_VSE WFP_100421 v2_VSA 111014 4 2" xfId="0"/>
    <cellStyle name="_PC_NB_VSE WFP_100421 v2_VSA 111014_By Region" xfId="0"/>
    <cellStyle name="_PC_NB_VSE WFP_100421 v2_VSA 111014_CORP SG&amp;A" xfId="0"/>
    <cellStyle name="_PC_NB_VSE WFP_100421 v2_VSA 111014_LCD" xfId="0"/>
    <cellStyle name="_PC_NB_VSE WFP_100421 v2_VSA 111014_PJ" xfId="0"/>
    <cellStyle name="_PC_NB_VSE WFP_100421 v2_VSA Roll-Up (LW)" xfId="0"/>
    <cellStyle name="_PC_NB_VSE WFP_100421 v2_VSA Roll-Up (LW) 2" xfId="0"/>
    <cellStyle name="_PC_NB_VSE WFP_100421 v2_VSA Roll-Up (LW) 3" xfId="0"/>
    <cellStyle name="_PC_NB_VSE WFP_100421 v2_VSA Roll-Up (LW) 4" xfId="0"/>
    <cellStyle name="_PC_NB_VSE WFP_100421 v2_VSA Roll-Up (LW) 4 2" xfId="0"/>
    <cellStyle name="_PC_NB_VSE WFP_100421 v2_VSA Roll-Up (LW)_By Region" xfId="0"/>
    <cellStyle name="_PC_NB_VSE WFP_100421 v2_VSA Roll-Up (LW)_CORP SG&amp;A" xfId="0"/>
    <cellStyle name="_PC_NB_VSE WFP_100421 v2_VSA Roll-Up (LW)_LCD" xfId="0"/>
    <cellStyle name="_PC_NB_VSE WFP_100421 v2_VSA Roll-Up (LW)_PJ" xfId="0"/>
    <cellStyle name="_PC_NB_VSE WFP_100507" xfId="0"/>
    <cellStyle name="_PC_NB_VSE WFP_100507 2" xfId="0"/>
    <cellStyle name="_PC_NB_VSE WFP_100507 3" xfId="0"/>
    <cellStyle name="_PC_NB_VSE WFP_100507 4" xfId="0"/>
    <cellStyle name="_PC_NB_VSE WFP_100507_By Region" xfId="0"/>
    <cellStyle name="_PC_NB_VSE WFP_100507_CORP SG&amp;A" xfId="0"/>
    <cellStyle name="_PC_NB_VSE WFP_100507_GPS OTHER" xfId="0"/>
    <cellStyle name="_PC_NB_VSE WFP_100507_GPS OTHER 2" xfId="0"/>
    <cellStyle name="_PC_NB_VSE WFP_100507_GPS OTHER 3" xfId="0"/>
    <cellStyle name="_PC_NB_VSE WFP_100507_GPS OTHER 4" xfId="0"/>
    <cellStyle name="_PC_NB_VSE WFP_100507_GPS OTHER 4 2" xfId="0"/>
    <cellStyle name="_PC_NB_VSE WFP_100507_GPS OTHER_By Region" xfId="0"/>
    <cellStyle name="_PC_NB_VSE WFP_100507_GPS OTHER_CORP SG&amp;A" xfId="0"/>
    <cellStyle name="_PC_NB_VSE WFP_100507_GPS OTHER_LCD" xfId="0"/>
    <cellStyle name="_PC_NB_VSE WFP_100507_GPS OTHER_PJ" xfId="0"/>
    <cellStyle name="_PC_NB_VSE WFP_100507_PC Products" xfId="0"/>
    <cellStyle name="_PC_NB_VSE WFP_100507_PC Products 2" xfId="0"/>
    <cellStyle name="_PC_NB_VSE WFP_100507_PC Products 3" xfId="0"/>
    <cellStyle name="_PC_NB_VSE WFP_100507_PC Products 4" xfId="0"/>
    <cellStyle name="_PC_NB_VSE WFP_100507_PC Products 4 2" xfId="0"/>
    <cellStyle name="_PC_NB_VSE WFP_100507_PC Products_By Region" xfId="0"/>
    <cellStyle name="_PC_NB_VSE WFP_100507_PC Products_CORP SG&amp;A" xfId="0"/>
    <cellStyle name="_PC_NB_VSE WFP_100507_PC Products_LCD" xfId="0"/>
    <cellStyle name="_PC_NB_VSE WFP_100507_PC Products_PJ" xfId="0"/>
    <cellStyle name="_PC_NB_VSE WFP_100507_VSA 111014" xfId="0"/>
    <cellStyle name="_PC_NB_VSE WFP_100507_VSA 111014 2" xfId="0"/>
    <cellStyle name="_PC_NB_VSE WFP_100507_VSA 111014 3" xfId="0"/>
    <cellStyle name="_PC_NB_VSE WFP_100507_VSA 111014 4" xfId="0"/>
    <cellStyle name="_PC_NB_VSE WFP_100507_VSA 111014 4 2" xfId="0"/>
    <cellStyle name="_PC_NB_VSE WFP_100507_VSA 111014_By Region" xfId="0"/>
    <cellStyle name="_PC_NB_VSE WFP_100507_VSA 111014_CORP SG&amp;A" xfId="0"/>
    <cellStyle name="_PC_NB_VSE WFP_100507_VSA 111014_LCD" xfId="0"/>
    <cellStyle name="_PC_NB_VSE WFP_100507_VSA 111014_PJ" xfId="0"/>
    <cellStyle name="_PC_NB_VSE WFP_100507_VSA Roll-Up (LW)" xfId="0"/>
    <cellStyle name="_PC_NB_VSE WFP_100507_VSA Roll-Up (LW) 2" xfId="0"/>
    <cellStyle name="_PC_NB_VSE WFP_100507_VSA Roll-Up (LW) 3" xfId="0"/>
    <cellStyle name="_PC_NB_VSE WFP_100507_VSA Roll-Up (LW) 4" xfId="0"/>
    <cellStyle name="_PC_NB_VSE WFP_100507_VSA Roll-Up (LW) 4 2" xfId="0"/>
    <cellStyle name="_PC_NB_VSE WFP_100507_VSA Roll-Up (LW)_By Region" xfId="0"/>
    <cellStyle name="_PC_NB_VSE WFP_100507_VSA Roll-Up (LW)_CORP SG&amp;A" xfId="0"/>
    <cellStyle name="_PC_NB_VSE WFP_100507_VSA Roll-Up (LW)_LCD" xfId="0"/>
    <cellStyle name="_PC_NB_VSE WFP_100507_VSA Roll-Up (LW)_PJ" xfId="0"/>
    <cellStyle name="_PC_NB_VSE WFP_100608" xfId="0"/>
    <cellStyle name="_PC_NB_VSE WFP_100608 2" xfId="0"/>
    <cellStyle name="_PC_NB_VSE WFP_100608 3" xfId="0"/>
    <cellStyle name="_PC_NB_VSE WFP_100608 4" xfId="0"/>
    <cellStyle name="_PC_NB_VSE WFP_100608_By Region" xfId="0"/>
    <cellStyle name="_PC_NB_VSE WFP_100608_CORP SG&amp;A" xfId="0"/>
    <cellStyle name="_PC_NB_VSE WFP_100608_GPS OTHER" xfId="0"/>
    <cellStyle name="_PC_NB_VSE WFP_100608_GPS OTHER 2" xfId="0"/>
    <cellStyle name="_PC_NB_VSE WFP_100608_GPS OTHER 3" xfId="0"/>
    <cellStyle name="_PC_NB_VSE WFP_100608_GPS OTHER 4" xfId="0"/>
    <cellStyle name="_PC_NB_VSE WFP_100608_GPS OTHER 4 2" xfId="0"/>
    <cellStyle name="_PC_NB_VSE WFP_100608_GPS OTHER_By Region" xfId="0"/>
    <cellStyle name="_PC_NB_VSE WFP_100608_GPS OTHER_CORP SG&amp;A" xfId="0"/>
    <cellStyle name="_PC_NB_VSE WFP_100608_GPS OTHER_LCD" xfId="0"/>
    <cellStyle name="_PC_NB_VSE WFP_100608_GPS OTHER_PJ" xfId="0"/>
    <cellStyle name="_PC_NB_VSE WFP_100608_PC Products" xfId="0"/>
    <cellStyle name="_PC_NB_VSE WFP_100608_PC Products 2" xfId="0"/>
    <cellStyle name="_PC_NB_VSE WFP_100608_PC Products 3" xfId="0"/>
    <cellStyle name="_PC_NB_VSE WFP_100608_PC Products 4" xfId="0"/>
    <cellStyle name="_PC_NB_VSE WFP_100608_PC Products 4 2" xfId="0"/>
    <cellStyle name="_PC_NB_VSE WFP_100608_PC Products_By Region" xfId="0"/>
    <cellStyle name="_PC_NB_VSE WFP_100608_PC Products_CORP SG&amp;A" xfId="0"/>
    <cellStyle name="_PC_NB_VSE WFP_100608_PC Products_LCD" xfId="0"/>
    <cellStyle name="_PC_NB_VSE WFP_100608_PC Products_PJ" xfId="0"/>
    <cellStyle name="_PC_NB_VSE WFP_100608_VSA 111014" xfId="0"/>
    <cellStyle name="_PC_NB_VSE WFP_100608_VSA 111014 2" xfId="0"/>
    <cellStyle name="_PC_NB_VSE WFP_100608_VSA 111014 3" xfId="0"/>
    <cellStyle name="_PC_NB_VSE WFP_100608_VSA 111014 4" xfId="0"/>
    <cellStyle name="_PC_NB_VSE WFP_100608_VSA 111014 4 2" xfId="0"/>
    <cellStyle name="_PC_NB_VSE WFP_100608_VSA 111014_By Region" xfId="0"/>
    <cellStyle name="_PC_NB_VSE WFP_100608_VSA 111014_CORP SG&amp;A" xfId="0"/>
    <cellStyle name="_PC_NB_VSE WFP_100608_VSA 111014_LCD" xfId="0"/>
    <cellStyle name="_PC_NB_VSE WFP_100608_VSA 111014_PJ" xfId="0"/>
    <cellStyle name="_PC_NB_VSE WFP_100608_VSA Roll-Up (LW)" xfId="0"/>
    <cellStyle name="_PC_NB_VSE WFP_100608_VSA Roll-Up (LW) 2" xfId="0"/>
    <cellStyle name="_PC_NB_VSE WFP_100608_VSA Roll-Up (LW) 3" xfId="0"/>
    <cellStyle name="_PC_NB_VSE WFP_100608_VSA Roll-Up (LW) 4" xfId="0"/>
    <cellStyle name="_PC_NB_VSE WFP_100608_VSA Roll-Up (LW) 4 2" xfId="0"/>
    <cellStyle name="_PC_NB_VSE WFP_100608_VSA Roll-Up (LW)_By Region" xfId="0"/>
    <cellStyle name="_PC_NB_VSE WFP_100608_VSA Roll-Up (LW)_CORP SG&amp;A" xfId="0"/>
    <cellStyle name="_PC_NB_VSE WFP_100608_VSA Roll-Up (LW)_LCD" xfId="0"/>
    <cellStyle name="_PC_NB_VSE WFP_100608_VSA Roll-Up (LW)_PJ" xfId="0"/>
    <cellStyle name="_PC_NB_VSE WFP_100625" xfId="0"/>
    <cellStyle name="_PC_NB_VSE WFP_100625 2" xfId="0"/>
    <cellStyle name="_PC_NB_VSE WFP_100625 3" xfId="0"/>
    <cellStyle name="_PC_NB_VSE WFP_100625 4" xfId="0"/>
    <cellStyle name="_PC_NB_VSE WFP_100625_By Region" xfId="0"/>
    <cellStyle name="_PC_NB_VSE WFP_100625_CORP SG&amp;A" xfId="0"/>
    <cellStyle name="_PC_NB_VSE WFP_100625_GPS OTHER" xfId="0"/>
    <cellStyle name="_PC_NB_VSE WFP_100625_GPS OTHER 2" xfId="0"/>
    <cellStyle name="_PC_NB_VSE WFP_100625_GPS OTHER 3" xfId="0"/>
    <cellStyle name="_PC_NB_VSE WFP_100625_GPS OTHER 4" xfId="0"/>
    <cellStyle name="_PC_NB_VSE WFP_100625_GPS OTHER 4 2" xfId="0"/>
    <cellStyle name="_PC_NB_VSE WFP_100625_GPS OTHER_By Region" xfId="0"/>
    <cellStyle name="_PC_NB_VSE WFP_100625_GPS OTHER_CORP SG&amp;A" xfId="0"/>
    <cellStyle name="_PC_NB_VSE WFP_100625_GPS OTHER_LCD" xfId="0"/>
    <cellStyle name="_PC_NB_VSE WFP_100625_GPS OTHER_PJ" xfId="0"/>
    <cellStyle name="_PC_NB_VSE WFP_100625_PC Products" xfId="0"/>
    <cellStyle name="_PC_NB_VSE WFP_100625_PC Products 2" xfId="0"/>
    <cellStyle name="_PC_NB_VSE WFP_100625_PC Products 3" xfId="0"/>
    <cellStyle name="_PC_NB_VSE WFP_100625_PC Products 4" xfId="0"/>
    <cellStyle name="_PC_NB_VSE WFP_100625_PC Products 4 2" xfId="0"/>
    <cellStyle name="_PC_NB_VSE WFP_100625_PC Products_By Region" xfId="0"/>
    <cellStyle name="_PC_NB_VSE WFP_100625_PC Products_CORP SG&amp;A" xfId="0"/>
    <cellStyle name="_PC_NB_VSE WFP_100625_PC Products_LCD" xfId="0"/>
    <cellStyle name="_PC_NB_VSE WFP_100625_PC Products_PJ" xfId="0"/>
    <cellStyle name="_PC_NB_VSE WFP_100625_VSA 111014" xfId="0"/>
    <cellStyle name="_PC_NB_VSE WFP_100625_VSA 111014 2" xfId="0"/>
    <cellStyle name="_PC_NB_VSE WFP_100625_VSA 111014 3" xfId="0"/>
    <cellStyle name="_PC_NB_VSE WFP_100625_VSA 111014 4" xfId="0"/>
    <cellStyle name="_PC_NB_VSE WFP_100625_VSA 111014 4 2" xfId="0"/>
    <cellStyle name="_PC_NB_VSE WFP_100625_VSA 111014_By Region" xfId="0"/>
    <cellStyle name="_PC_NB_VSE WFP_100625_VSA 111014_CORP SG&amp;A" xfId="0"/>
    <cellStyle name="_PC_NB_VSE WFP_100625_VSA 111014_LCD" xfId="0"/>
    <cellStyle name="_PC_NB_VSE WFP_100625_VSA 111014_PJ" xfId="0"/>
    <cellStyle name="_PC_NB_VSE WFP_100625_VSA Roll-Up (LW)" xfId="0"/>
    <cellStyle name="_PC_NB_VSE WFP_100625_VSA Roll-Up (LW) 2" xfId="0"/>
    <cellStyle name="_PC_NB_VSE WFP_100625_VSA Roll-Up (LW) 3" xfId="0"/>
    <cellStyle name="_PC_NB_VSE WFP_100625_VSA Roll-Up (LW) 4" xfId="0"/>
    <cellStyle name="_PC_NB_VSE WFP_100625_VSA Roll-Up (LW) 4 2" xfId="0"/>
    <cellStyle name="_PC_NB_VSE WFP_100625_VSA Roll-Up (LW)_By Region" xfId="0"/>
    <cellStyle name="_PC_NB_VSE WFP_100625_VSA Roll-Up (LW)_CORP SG&amp;A" xfId="0"/>
    <cellStyle name="_PC_NB_VSE WFP_100625_VSA Roll-Up (LW)_LCD" xfId="0"/>
    <cellStyle name="_PC_NB_VSE WFP_100625_VSA Roll-Up (LW)_PJ" xfId="0"/>
    <cellStyle name="_PC_NB_VSE WFP_100708_3rd" xfId="0"/>
    <cellStyle name="_PC_NB_VSE WFP_100708_3rd 2" xfId="0"/>
    <cellStyle name="_PC_NB_VSE WFP_100708_3rd 3" xfId="0"/>
    <cellStyle name="_PC_NB_VSE WFP_100708_3rd 4" xfId="0"/>
    <cellStyle name="_PC_NB_VSE WFP_100708_3rd_By Region" xfId="0"/>
    <cellStyle name="_PC_NB_VSE WFP_100708_3rd_CORP SG&amp;A" xfId="0"/>
    <cellStyle name="_PC_NB_VSE WFP_100708_3rd_GPS OTHER" xfId="0"/>
    <cellStyle name="_PC_NB_VSE WFP_100708_3rd_GPS OTHER 2" xfId="0"/>
    <cellStyle name="_PC_NB_VSE WFP_100708_3rd_GPS OTHER 3" xfId="0"/>
    <cellStyle name="_PC_NB_VSE WFP_100708_3rd_GPS OTHER 4" xfId="0"/>
    <cellStyle name="_PC_NB_VSE WFP_100708_3rd_GPS OTHER 4 2" xfId="0"/>
    <cellStyle name="_PC_NB_VSE WFP_100708_3rd_GPS OTHER_By Region" xfId="0"/>
    <cellStyle name="_PC_NB_VSE WFP_100708_3rd_GPS OTHER_CORP SG&amp;A" xfId="0"/>
    <cellStyle name="_PC_NB_VSE WFP_100708_3rd_GPS OTHER_LCD" xfId="0"/>
    <cellStyle name="_PC_NB_VSE WFP_100708_3rd_GPS OTHER_PJ" xfId="0"/>
    <cellStyle name="_PC_NB_VSE WFP_100708_3rd_PC Products" xfId="0"/>
    <cellStyle name="_PC_NB_VSE WFP_100708_3rd_PC Products 2" xfId="0"/>
    <cellStyle name="_PC_NB_VSE WFP_100708_3rd_PC Products 3" xfId="0"/>
    <cellStyle name="_PC_NB_VSE WFP_100708_3rd_PC Products 4" xfId="0"/>
    <cellStyle name="_PC_NB_VSE WFP_100708_3rd_PC Products 4 2" xfId="0"/>
    <cellStyle name="_PC_NB_VSE WFP_100708_3rd_PC Products_By Region" xfId="0"/>
    <cellStyle name="_PC_NB_VSE WFP_100708_3rd_PC Products_CORP SG&amp;A" xfId="0"/>
    <cellStyle name="_PC_NB_VSE WFP_100708_3rd_PC Products_LCD" xfId="0"/>
    <cellStyle name="_PC_NB_VSE WFP_100708_3rd_PC Products_PJ" xfId="0"/>
    <cellStyle name="_PC_NB_VSE WFP_100708_3rd_VSA 111014" xfId="0"/>
    <cellStyle name="_PC_NB_VSE WFP_100708_3rd_VSA 111014 2" xfId="0"/>
    <cellStyle name="_PC_NB_VSE WFP_100708_3rd_VSA 111014 3" xfId="0"/>
    <cellStyle name="_PC_NB_VSE WFP_100708_3rd_VSA 111014 4" xfId="0"/>
    <cellStyle name="_PC_NB_VSE WFP_100708_3rd_VSA 111014 4 2" xfId="0"/>
    <cellStyle name="_PC_NB_VSE WFP_100708_3rd_VSA 111014_By Region" xfId="0"/>
    <cellStyle name="_PC_NB_VSE WFP_100708_3rd_VSA 111014_CORP SG&amp;A" xfId="0"/>
    <cellStyle name="_PC_NB_VSE WFP_100708_3rd_VSA 111014_LCD" xfId="0"/>
    <cellStyle name="_PC_NB_VSE WFP_100708_3rd_VSA 111014_PJ" xfId="0"/>
    <cellStyle name="_PC_NB_VSE WFP_100708_3rd_VSA Roll-Up (LW)" xfId="0"/>
    <cellStyle name="_PC_NB_VSE WFP_100708_3rd_VSA Roll-Up (LW) 2" xfId="0"/>
    <cellStyle name="_PC_NB_VSE WFP_100708_3rd_VSA Roll-Up (LW) 3" xfId="0"/>
    <cellStyle name="_PC_NB_VSE WFP_100708_3rd_VSA Roll-Up (LW) 4" xfId="0"/>
    <cellStyle name="_PC_NB_VSE WFP_100708_3rd_VSA Roll-Up (LW) 4 2" xfId="0"/>
    <cellStyle name="_PC_NB_VSE WFP_100708_3rd_VSA Roll-Up (LW)_By Region" xfId="0"/>
    <cellStyle name="_PC_NB_VSE WFP_100708_3rd_VSA Roll-Up (LW)_CORP SG&amp;A" xfId="0"/>
    <cellStyle name="_PC_NB_VSE WFP_100708_3rd_VSA Roll-Up (LW)_LCD" xfId="0"/>
    <cellStyle name="_PC_NB_VSE WFP_100708_3rd_VSA Roll-Up (LW)_PJ" xfId="0"/>
    <cellStyle name="_PC_NB_VSE WFP_100726" xfId="0"/>
    <cellStyle name="_PC_NB_VSE WFP_100726 2" xfId="0"/>
    <cellStyle name="_PC_NB_VSE WFP_100726 3" xfId="0"/>
    <cellStyle name="_PC_NB_VSE WFP_100726 4" xfId="0"/>
    <cellStyle name="_PC_NB_VSE WFP_100726-1" xfId="0"/>
    <cellStyle name="_PC_NB_VSE WFP_100726-1 2" xfId="0"/>
    <cellStyle name="_PC_NB_VSE WFP_100726-1 3" xfId="0"/>
    <cellStyle name="_PC_NB_VSE WFP_100726-1 4" xfId="0"/>
    <cellStyle name="_PC_NB_VSE WFP_100726-1_By Region" xfId="0"/>
    <cellStyle name="_PC_NB_VSE WFP_100726-1_CORP SG&amp;A" xfId="0"/>
    <cellStyle name="_PC_NB_VSE WFP_100726-1_GPS OTHER" xfId="0"/>
    <cellStyle name="_PC_NB_VSE WFP_100726-1_GPS OTHER 2" xfId="0"/>
    <cellStyle name="_PC_NB_VSE WFP_100726-1_GPS OTHER 3" xfId="0"/>
    <cellStyle name="_PC_NB_VSE WFP_100726-1_GPS OTHER 4" xfId="0"/>
    <cellStyle name="_PC_NB_VSE WFP_100726-1_GPS OTHER 4 2" xfId="0"/>
    <cellStyle name="_PC_NB_VSE WFP_100726-1_GPS OTHER_By Region" xfId="0"/>
    <cellStyle name="_PC_NB_VSE WFP_100726-1_GPS OTHER_CORP SG&amp;A" xfId="0"/>
    <cellStyle name="_PC_NB_VSE WFP_100726-1_GPS OTHER_LCD" xfId="0"/>
    <cellStyle name="_PC_NB_VSE WFP_100726-1_GPS OTHER_PJ" xfId="0"/>
    <cellStyle name="_PC_NB_VSE WFP_100726-1_PC Products" xfId="0"/>
    <cellStyle name="_PC_NB_VSE WFP_100726-1_PC Products 2" xfId="0"/>
    <cellStyle name="_PC_NB_VSE WFP_100726-1_PC Products 3" xfId="0"/>
    <cellStyle name="_PC_NB_VSE WFP_100726-1_PC Products 4" xfId="0"/>
    <cellStyle name="_PC_NB_VSE WFP_100726-1_PC Products 4 2" xfId="0"/>
    <cellStyle name="_PC_NB_VSE WFP_100726-1_PC Products_By Region" xfId="0"/>
    <cellStyle name="_PC_NB_VSE WFP_100726-1_PC Products_CORP SG&amp;A" xfId="0"/>
    <cellStyle name="_PC_NB_VSE WFP_100726-1_PC Products_LCD" xfId="0"/>
    <cellStyle name="_PC_NB_VSE WFP_100726-1_PC Products_PJ" xfId="0"/>
    <cellStyle name="_PC_NB_VSE WFP_100726-1_VSA 111014" xfId="0"/>
    <cellStyle name="_PC_NB_VSE WFP_100726-1_VSA 111014 2" xfId="0"/>
    <cellStyle name="_PC_NB_VSE WFP_100726-1_VSA 111014 3" xfId="0"/>
    <cellStyle name="_PC_NB_VSE WFP_100726-1_VSA 111014 4" xfId="0"/>
    <cellStyle name="_PC_NB_VSE WFP_100726-1_VSA 111014 4 2" xfId="0"/>
    <cellStyle name="_PC_NB_VSE WFP_100726-1_VSA 111014_By Region" xfId="0"/>
    <cellStyle name="_PC_NB_VSE WFP_100726-1_VSA 111014_CORP SG&amp;A" xfId="0"/>
    <cellStyle name="_PC_NB_VSE WFP_100726-1_VSA 111014_LCD" xfId="0"/>
    <cellStyle name="_PC_NB_VSE WFP_100726-1_VSA 111014_PJ" xfId="0"/>
    <cellStyle name="_PC_NB_VSE WFP_100726-1_VSA Roll-Up (LW)" xfId="0"/>
    <cellStyle name="_PC_NB_VSE WFP_100726-1_VSA Roll-Up (LW) 2" xfId="0"/>
    <cellStyle name="_PC_NB_VSE WFP_100726-1_VSA Roll-Up (LW) 3" xfId="0"/>
    <cellStyle name="_PC_NB_VSE WFP_100726-1_VSA Roll-Up (LW) 4" xfId="0"/>
    <cellStyle name="_PC_NB_VSE WFP_100726-1_VSA Roll-Up (LW) 4 2" xfId="0"/>
    <cellStyle name="_PC_NB_VSE WFP_100726-1_VSA Roll-Up (LW)_By Region" xfId="0"/>
    <cellStyle name="_PC_NB_VSE WFP_100726-1_VSA Roll-Up (LW)_CORP SG&amp;A" xfId="0"/>
    <cellStyle name="_PC_NB_VSE WFP_100726-1_VSA Roll-Up (LW)_LCD" xfId="0"/>
    <cellStyle name="_PC_NB_VSE WFP_100726-1_VSA Roll-Up (LW)_PJ" xfId="0"/>
    <cellStyle name="_PC_NB_VSE WFP_100726-2-yc" xfId="0"/>
    <cellStyle name="_PC_NB_VSE WFP_100726-2-yc 2" xfId="0"/>
    <cellStyle name="_PC_NB_VSE WFP_100726-2-yc 3" xfId="0"/>
    <cellStyle name="_PC_NB_VSE WFP_100726-2-yc 4" xfId="0"/>
    <cellStyle name="_PC_NB_VSE WFP_100726-2-yc_By Region" xfId="0"/>
    <cellStyle name="_PC_NB_VSE WFP_100726-2-yc_CORP SG&amp;A" xfId="0"/>
    <cellStyle name="_PC_NB_VSE WFP_100726-2-yc_GPS OTHER" xfId="0"/>
    <cellStyle name="_PC_NB_VSE WFP_100726-2-yc_GPS OTHER 2" xfId="0"/>
    <cellStyle name="_PC_NB_VSE WFP_100726-2-yc_GPS OTHER 3" xfId="0"/>
    <cellStyle name="_PC_NB_VSE WFP_100726-2-yc_GPS OTHER 4" xfId="0"/>
    <cellStyle name="_PC_NB_VSE WFP_100726-2-yc_GPS OTHER 4 2" xfId="0"/>
    <cellStyle name="_PC_NB_VSE WFP_100726-2-yc_GPS OTHER_By Region" xfId="0"/>
    <cellStyle name="_PC_NB_VSE WFP_100726-2-yc_GPS OTHER_CORP SG&amp;A" xfId="0"/>
    <cellStyle name="_PC_NB_VSE WFP_100726-2-yc_GPS OTHER_LCD" xfId="0"/>
    <cellStyle name="_PC_NB_VSE WFP_100726-2-yc_GPS OTHER_PJ" xfId="0"/>
    <cellStyle name="_PC_NB_VSE WFP_100726-2-yc_PC Products" xfId="0"/>
    <cellStyle name="_PC_NB_VSE WFP_100726-2-yc_PC Products 2" xfId="0"/>
    <cellStyle name="_PC_NB_VSE WFP_100726-2-yc_PC Products 3" xfId="0"/>
    <cellStyle name="_PC_NB_VSE WFP_100726-2-yc_PC Products 4" xfId="0"/>
    <cellStyle name="_PC_NB_VSE WFP_100726-2-yc_PC Products 4 2" xfId="0"/>
    <cellStyle name="_PC_NB_VSE WFP_100726-2-yc_PC Products_By Region" xfId="0"/>
    <cellStyle name="_PC_NB_VSE WFP_100726-2-yc_PC Products_CORP SG&amp;A" xfId="0"/>
    <cellStyle name="_PC_NB_VSE WFP_100726-2-yc_PC Products_LCD" xfId="0"/>
    <cellStyle name="_PC_NB_VSE WFP_100726-2-yc_PC Products_PJ" xfId="0"/>
    <cellStyle name="_PC_NB_VSE WFP_100726-2-yc_VSA 111014" xfId="0"/>
    <cellStyle name="_PC_NB_VSE WFP_100726-2-yc_VSA 111014 2" xfId="0"/>
    <cellStyle name="_PC_NB_VSE WFP_100726-2-yc_VSA 111014 3" xfId="0"/>
    <cellStyle name="_PC_NB_VSE WFP_100726-2-yc_VSA 111014 4" xfId="0"/>
    <cellStyle name="_PC_NB_VSE WFP_100726-2-yc_VSA 111014 4 2" xfId="0"/>
    <cellStyle name="_PC_NB_VSE WFP_100726-2-yc_VSA 111014_By Region" xfId="0"/>
    <cellStyle name="_PC_NB_VSE WFP_100726-2-yc_VSA 111014_CORP SG&amp;A" xfId="0"/>
    <cellStyle name="_PC_NB_VSE WFP_100726-2-yc_VSA 111014_LCD" xfId="0"/>
    <cellStyle name="_PC_NB_VSE WFP_100726-2-yc_VSA 111014_PJ" xfId="0"/>
    <cellStyle name="_PC_NB_VSE WFP_100726-2-yc_VSA Roll-Up (LW)" xfId="0"/>
    <cellStyle name="_PC_NB_VSE WFP_100726-2-yc_VSA Roll-Up (LW) 2" xfId="0"/>
    <cellStyle name="_PC_NB_VSE WFP_100726-2-yc_VSA Roll-Up (LW) 3" xfId="0"/>
    <cellStyle name="_PC_NB_VSE WFP_100726-2-yc_VSA Roll-Up (LW) 4" xfId="0"/>
    <cellStyle name="_PC_NB_VSE WFP_100726-2-yc_VSA Roll-Up (LW) 4 2" xfId="0"/>
    <cellStyle name="_PC_NB_VSE WFP_100726-2-yc_VSA Roll-Up (LW)_By Region" xfId="0"/>
    <cellStyle name="_PC_NB_VSE WFP_100726-2-yc_VSA Roll-Up (LW)_CORP SG&amp;A" xfId="0"/>
    <cellStyle name="_PC_NB_VSE WFP_100726-2-yc_VSA Roll-Up (LW)_LCD" xfId="0"/>
    <cellStyle name="_PC_NB_VSE WFP_100726-2-yc_VSA Roll-Up (LW)_PJ" xfId="0"/>
    <cellStyle name="_PC_NB_VSE WFP_100726_By Region" xfId="0"/>
    <cellStyle name="_PC_NB_VSE WFP_100726_CORP SG&amp;A" xfId="0"/>
    <cellStyle name="_PC_NB_VSE WFP_100726_GPS OTHER" xfId="0"/>
    <cellStyle name="_PC_NB_VSE WFP_100726_GPS OTHER 2" xfId="0"/>
    <cellStyle name="_PC_NB_VSE WFP_100726_GPS OTHER 3" xfId="0"/>
    <cellStyle name="_PC_NB_VSE WFP_100726_GPS OTHER 4" xfId="0"/>
    <cellStyle name="_PC_NB_VSE WFP_100726_GPS OTHER 4 2" xfId="0"/>
    <cellStyle name="_PC_NB_VSE WFP_100726_GPS OTHER_By Region" xfId="0"/>
    <cellStyle name="_PC_NB_VSE WFP_100726_GPS OTHER_CORP SG&amp;A" xfId="0"/>
    <cellStyle name="_PC_NB_VSE WFP_100726_GPS OTHER_LCD" xfId="0"/>
    <cellStyle name="_PC_NB_VSE WFP_100726_GPS OTHER_PJ" xfId="0"/>
    <cellStyle name="_PC_NB_VSE WFP_100726_PC Products" xfId="0"/>
    <cellStyle name="_PC_NB_VSE WFP_100726_PC Products 2" xfId="0"/>
    <cellStyle name="_PC_NB_VSE WFP_100726_PC Products 3" xfId="0"/>
    <cellStyle name="_PC_NB_VSE WFP_100726_PC Products 4" xfId="0"/>
    <cellStyle name="_PC_NB_VSE WFP_100726_PC Products 4 2" xfId="0"/>
    <cellStyle name="_PC_NB_VSE WFP_100726_PC Products_By Region" xfId="0"/>
    <cellStyle name="_PC_NB_VSE WFP_100726_PC Products_CORP SG&amp;A" xfId="0"/>
    <cellStyle name="_PC_NB_VSE WFP_100726_PC Products_LCD" xfId="0"/>
    <cellStyle name="_PC_NB_VSE WFP_100726_PC Products_PJ" xfId="0"/>
    <cellStyle name="_PC_NB_VSE WFP_100726_VSA 111014" xfId="0"/>
    <cellStyle name="_PC_NB_VSE WFP_100726_VSA 111014 2" xfId="0"/>
    <cellStyle name="_PC_NB_VSE WFP_100726_VSA 111014 3" xfId="0"/>
    <cellStyle name="_PC_NB_VSE WFP_100726_VSA 111014 4" xfId="0"/>
    <cellStyle name="_PC_NB_VSE WFP_100726_VSA 111014 4 2" xfId="0"/>
    <cellStyle name="_PC_NB_VSE WFP_100726_VSA 111014_By Region" xfId="0"/>
    <cellStyle name="_PC_NB_VSE WFP_100726_VSA 111014_CORP SG&amp;A" xfId="0"/>
    <cellStyle name="_PC_NB_VSE WFP_100726_VSA 111014_LCD" xfId="0"/>
    <cellStyle name="_PC_NB_VSE WFP_100726_VSA 111014_PJ" xfId="0"/>
    <cellStyle name="_PC_NB_VSE WFP_100726_VSA Roll-Up (LW)" xfId="0"/>
    <cellStyle name="_PC_NB_VSE WFP_100726_VSA Roll-Up (LW) 2" xfId="0"/>
    <cellStyle name="_PC_NB_VSE WFP_100726_VSA Roll-Up (LW) 3" xfId="0"/>
    <cellStyle name="_PC_NB_VSE WFP_100726_VSA Roll-Up (LW) 4" xfId="0"/>
    <cellStyle name="_PC_NB_VSE WFP_100726_VSA Roll-Up (LW) 4 2" xfId="0"/>
    <cellStyle name="_PC_NB_VSE WFP_100726_VSA Roll-Up (LW)_By Region" xfId="0"/>
    <cellStyle name="_PC_NB_VSE WFP_100726_VSA Roll-Up (LW)_CORP SG&amp;A" xfId="0"/>
    <cellStyle name="_PC_NB_VSE WFP_100726_VSA Roll-Up (LW)_LCD" xfId="0"/>
    <cellStyle name="_PC_NB_VSE WFP_100726_VSA Roll-Up (LW)_PJ" xfId="0"/>
    <cellStyle name="_PC_NB_VSE WFP_100827-1" xfId="0"/>
    <cellStyle name="_PC_NB_VSE WFP_100827-1 2" xfId="0"/>
    <cellStyle name="_PC_NB_VSE WFP_100827-1 3" xfId="0"/>
    <cellStyle name="_PC_NB_VSE WFP_100827-1 4" xfId="0"/>
    <cellStyle name="_PC_NB_VSE WFP_100827-1_By Region" xfId="0"/>
    <cellStyle name="_PC_NB_VSE WFP_100827-1_CORP SG&amp;A" xfId="0"/>
    <cellStyle name="_PC_NB_VSE WFP_100827-1_GPS OTHER" xfId="0"/>
    <cellStyle name="_PC_NB_VSE WFP_100827-1_GPS OTHER 2" xfId="0"/>
    <cellStyle name="_PC_NB_VSE WFP_100827-1_GPS OTHER 3" xfId="0"/>
    <cellStyle name="_PC_NB_VSE WFP_100827-1_GPS OTHER 4" xfId="0"/>
    <cellStyle name="_PC_NB_VSE WFP_100827-1_GPS OTHER 4 2" xfId="0"/>
    <cellStyle name="_PC_NB_VSE WFP_100827-1_GPS OTHER_By Region" xfId="0"/>
    <cellStyle name="_PC_NB_VSE WFP_100827-1_GPS OTHER_CORP SG&amp;A" xfId="0"/>
    <cellStyle name="_PC_NB_VSE WFP_100827-1_GPS OTHER_LCD" xfId="0"/>
    <cellStyle name="_PC_NB_VSE WFP_100827-1_GPS OTHER_PJ" xfId="0"/>
    <cellStyle name="_PC_NB_VSE WFP_100827-1_PC Products" xfId="0"/>
    <cellStyle name="_PC_NB_VSE WFP_100827-1_PC Products 2" xfId="0"/>
    <cellStyle name="_PC_NB_VSE WFP_100827-1_PC Products 3" xfId="0"/>
    <cellStyle name="_PC_NB_VSE WFP_100827-1_PC Products 4" xfId="0"/>
    <cellStyle name="_PC_NB_VSE WFP_100827-1_PC Products 4 2" xfId="0"/>
    <cellStyle name="_PC_NB_VSE WFP_100827-1_PC Products_By Region" xfId="0"/>
    <cellStyle name="_PC_NB_VSE WFP_100827-1_PC Products_CORP SG&amp;A" xfId="0"/>
    <cellStyle name="_PC_NB_VSE WFP_100827-1_PC Products_LCD" xfId="0"/>
    <cellStyle name="_PC_NB_VSE WFP_100827-1_PC Products_PJ" xfId="0"/>
    <cellStyle name="_PC_NB_VSE WFP_100827-1_VSA 111014" xfId="0"/>
    <cellStyle name="_PC_NB_VSE WFP_100827-1_VSA 111014 2" xfId="0"/>
    <cellStyle name="_PC_NB_VSE WFP_100827-1_VSA 111014 3" xfId="0"/>
    <cellStyle name="_PC_NB_VSE WFP_100827-1_VSA 111014 4" xfId="0"/>
    <cellStyle name="_PC_NB_VSE WFP_100827-1_VSA 111014 4 2" xfId="0"/>
    <cellStyle name="_PC_NB_VSE WFP_100827-1_VSA 111014_By Region" xfId="0"/>
    <cellStyle name="_PC_NB_VSE WFP_100827-1_VSA 111014_CORP SG&amp;A" xfId="0"/>
    <cellStyle name="_PC_NB_VSE WFP_100827-1_VSA 111014_LCD" xfId="0"/>
    <cellStyle name="_PC_NB_VSE WFP_100827-1_VSA 111014_PJ" xfId="0"/>
    <cellStyle name="_PC_NB_VSE WFP_100827-1_VSA Roll-Up (LW)" xfId="0"/>
    <cellStyle name="_PC_NB_VSE WFP_100827-1_VSA Roll-Up (LW) 2" xfId="0"/>
    <cellStyle name="_PC_NB_VSE WFP_100827-1_VSA Roll-Up (LW) 3" xfId="0"/>
    <cellStyle name="_PC_NB_VSE WFP_100827-1_VSA Roll-Up (LW) 4" xfId="0"/>
    <cellStyle name="_PC_NB_VSE WFP_100827-1_VSA Roll-Up (LW) 4 2" xfId="0"/>
    <cellStyle name="_PC_NB_VSE WFP_100827-1_VSA Roll-Up (LW)_By Region" xfId="0"/>
    <cellStyle name="_PC_NB_VSE WFP_100827-1_VSA Roll-Up (LW)_CORP SG&amp;A" xfId="0"/>
    <cellStyle name="_PC_NB_VSE WFP_100827-1_VSA Roll-Up (LW)_LCD" xfId="0"/>
    <cellStyle name="_PC_NB_VSE WFP_100827-1_VSA Roll-Up (LW)_PJ" xfId="0"/>
    <cellStyle name="_PC_NB_VSE WFP_101001" xfId="0"/>
    <cellStyle name="_PC_NB_VSE WFP_101001 2" xfId="0"/>
    <cellStyle name="_PC_NB_VSE WFP_101001 3" xfId="0"/>
    <cellStyle name="_PC_NB_VSE WFP_101001 4" xfId="0"/>
    <cellStyle name="_PC_NB_VSE WFP_101001_By Region" xfId="0"/>
    <cellStyle name="_PC_NB_VSE WFP_101001_CORP SG&amp;A" xfId="0"/>
    <cellStyle name="_PC_NB_VSE WFP_101001_GPS OTHER" xfId="0"/>
    <cellStyle name="_PC_NB_VSE WFP_101001_GPS OTHER 2" xfId="0"/>
    <cellStyle name="_PC_NB_VSE WFP_101001_GPS OTHER 3" xfId="0"/>
    <cellStyle name="_PC_NB_VSE WFP_101001_GPS OTHER 4" xfId="0"/>
    <cellStyle name="_PC_NB_VSE WFP_101001_GPS OTHER 4 2" xfId="0"/>
    <cellStyle name="_PC_NB_VSE WFP_101001_GPS OTHER_By Region" xfId="0"/>
    <cellStyle name="_PC_NB_VSE WFP_101001_GPS OTHER_CORP SG&amp;A" xfId="0"/>
    <cellStyle name="_PC_NB_VSE WFP_101001_GPS OTHER_LCD" xfId="0"/>
    <cellStyle name="_PC_NB_VSE WFP_101001_GPS OTHER_PJ" xfId="0"/>
    <cellStyle name="_PC_NB_VSE WFP_101001_PC Products" xfId="0"/>
    <cellStyle name="_PC_NB_VSE WFP_101001_PC Products 2" xfId="0"/>
    <cellStyle name="_PC_NB_VSE WFP_101001_PC Products 3" xfId="0"/>
    <cellStyle name="_PC_NB_VSE WFP_101001_PC Products 4" xfId="0"/>
    <cellStyle name="_PC_NB_VSE WFP_101001_PC Products 4 2" xfId="0"/>
    <cellStyle name="_PC_NB_VSE WFP_101001_PC Products_By Region" xfId="0"/>
    <cellStyle name="_PC_NB_VSE WFP_101001_PC Products_CORP SG&amp;A" xfId="0"/>
    <cellStyle name="_PC_NB_VSE WFP_101001_PC Products_LCD" xfId="0"/>
    <cellStyle name="_PC_NB_VSE WFP_101001_PC Products_PJ" xfId="0"/>
    <cellStyle name="_PC_NB_VSE WFP_101001_VSA 111014" xfId="0"/>
    <cellStyle name="_PC_NB_VSE WFP_101001_VSA 111014 2" xfId="0"/>
    <cellStyle name="_PC_NB_VSE WFP_101001_VSA 111014 3" xfId="0"/>
    <cellStyle name="_PC_NB_VSE WFP_101001_VSA 111014 4" xfId="0"/>
    <cellStyle name="_PC_NB_VSE WFP_101001_VSA 111014 4 2" xfId="0"/>
    <cellStyle name="_PC_NB_VSE WFP_101001_VSA 111014_By Region" xfId="0"/>
    <cellStyle name="_PC_NB_VSE WFP_101001_VSA 111014_CORP SG&amp;A" xfId="0"/>
    <cellStyle name="_PC_NB_VSE WFP_101001_VSA 111014_LCD" xfId="0"/>
    <cellStyle name="_PC_NB_VSE WFP_101001_VSA 111014_PJ" xfId="0"/>
    <cellStyle name="_PC_NB_VSE WFP_101001_VSA Roll-Up (LW)" xfId="0"/>
    <cellStyle name="_PC_NB_VSE WFP_101001_VSA Roll-Up (LW) 2" xfId="0"/>
    <cellStyle name="_PC_NB_VSE WFP_101001_VSA Roll-Up (LW) 3" xfId="0"/>
    <cellStyle name="_PC_NB_VSE WFP_101001_VSA Roll-Up (LW) 4" xfId="0"/>
    <cellStyle name="_PC_NB_VSE WFP_101001_VSA Roll-Up (LW) 4 2" xfId="0"/>
    <cellStyle name="_PC_NB_VSE WFP_101001_VSA Roll-Up (LW)_By Region" xfId="0"/>
    <cellStyle name="_PC_NB_VSE WFP_101001_VSA Roll-Up (LW)_CORP SG&amp;A" xfId="0"/>
    <cellStyle name="_PC_NB_VSE WFP_101001_VSA Roll-Up (LW)_LCD" xfId="0"/>
    <cellStyle name="_PC_NB_VSE WFP_101001_VSA Roll-Up (LW)_PJ" xfId="0"/>
    <cellStyle name="_PC_NB_VSE WFP_101029-with more ViewPad 7" xfId="0"/>
    <cellStyle name="_PC_NB_VSE WFP_101029-with more ViewPad 7 2" xfId="0"/>
    <cellStyle name="_PC_NB_VSE WFP_101029-with more ViewPad 7 3" xfId="0"/>
    <cellStyle name="_PC_NB_VSE WFP_101029-with more ViewPad 7 4" xfId="0"/>
    <cellStyle name="_PC_NB_VSE WFP_101029-with more ViewPad 7_By Region" xfId="0"/>
    <cellStyle name="_PC_NB_VSE WFP_101029-with more ViewPad 7_CORP SG&amp;A" xfId="0"/>
    <cellStyle name="_PC_NB_VSE WFP_101029-with more ViewPad 7_GPS OTHER" xfId="0"/>
    <cellStyle name="_PC_NB_VSE WFP_101029-with more ViewPad 7_GPS OTHER 2" xfId="0"/>
    <cellStyle name="_PC_NB_VSE WFP_101029-with more ViewPad 7_GPS OTHER 3" xfId="0"/>
    <cellStyle name="_PC_NB_VSE WFP_101029-with more ViewPad 7_GPS OTHER 4" xfId="0"/>
    <cellStyle name="_PC_NB_VSE WFP_101029-with more ViewPad 7_GPS OTHER 4 2" xfId="0"/>
    <cellStyle name="_PC_NB_VSE WFP_101029-with more ViewPad 7_GPS OTHER_By Region" xfId="0"/>
    <cellStyle name="_PC_NB_VSE WFP_101029-with more ViewPad 7_GPS OTHER_CORP SG&amp;A" xfId="0"/>
    <cellStyle name="_PC_NB_VSE WFP_101029-with more ViewPad 7_GPS OTHER_LCD" xfId="0"/>
    <cellStyle name="_PC_NB_VSE WFP_101029-with more ViewPad 7_GPS OTHER_PJ" xfId="0"/>
    <cellStyle name="_PC_NB_VSE WFP_101029-with more ViewPad 7_PC Products" xfId="0"/>
    <cellStyle name="_PC_NB_VSE WFP_101029-with more ViewPad 7_PC Products 2" xfId="0"/>
    <cellStyle name="_PC_NB_VSE WFP_101029-with more ViewPad 7_PC Products 3" xfId="0"/>
    <cellStyle name="_PC_NB_VSE WFP_101029-with more ViewPad 7_PC Products 4" xfId="0"/>
    <cellStyle name="_PC_NB_VSE WFP_101029-with more ViewPad 7_PC Products 4 2" xfId="0"/>
    <cellStyle name="_PC_NB_VSE WFP_101029-with more ViewPad 7_PC Products_By Region" xfId="0"/>
    <cellStyle name="_PC_NB_VSE WFP_101029-with more ViewPad 7_PC Products_CORP SG&amp;A" xfId="0"/>
    <cellStyle name="_PC_NB_VSE WFP_101029-with more ViewPad 7_PC Products_LCD" xfId="0"/>
    <cellStyle name="_PC_NB_VSE WFP_101029-with more ViewPad 7_PC Products_PJ" xfId="0"/>
    <cellStyle name="_PC_NB_VSE WFP_101029-with more ViewPad 7_VSA 111014" xfId="0"/>
    <cellStyle name="_PC_NB_VSE WFP_101029-with more ViewPad 7_VSA 111014 2" xfId="0"/>
    <cellStyle name="_PC_NB_VSE WFP_101029-with more ViewPad 7_VSA 111014 3" xfId="0"/>
    <cellStyle name="_PC_NB_VSE WFP_101029-with more ViewPad 7_VSA 111014 4" xfId="0"/>
    <cellStyle name="_PC_NB_VSE WFP_101029-with more ViewPad 7_VSA 111014 4 2" xfId="0"/>
    <cellStyle name="_PC_NB_VSE WFP_101029-with more ViewPad 7_VSA 111014_By Region" xfId="0"/>
    <cellStyle name="_PC_NB_VSE WFP_101029-with more ViewPad 7_VSA 111014_CORP SG&amp;A" xfId="0"/>
    <cellStyle name="_PC_NB_VSE WFP_101029-with more ViewPad 7_VSA 111014_LCD" xfId="0"/>
    <cellStyle name="_PC_NB_VSE WFP_101029-with more ViewPad 7_VSA 111014_PJ" xfId="0"/>
    <cellStyle name="_PC_NB_VSE WFP_101029-with more ViewPad 7_VSA Roll-Up (LW)" xfId="0"/>
    <cellStyle name="_PC_NB_VSE WFP_101029-with more ViewPad 7_VSA Roll-Up (LW) 2" xfId="0"/>
    <cellStyle name="_PC_NB_VSE WFP_101029-with more ViewPad 7_VSA Roll-Up (LW) 3" xfId="0"/>
    <cellStyle name="_PC_NB_VSE WFP_101029-with more ViewPad 7_VSA Roll-Up (LW) 4" xfId="0"/>
    <cellStyle name="_PC_NB_VSE WFP_101029-with more ViewPad 7_VSA Roll-Up (LW) 4 2" xfId="0"/>
    <cellStyle name="_PC_NB_VSE WFP_101029-with more ViewPad 7_VSA Roll-Up (LW)_By Region" xfId="0"/>
    <cellStyle name="_PC_NB_VSE WFP_101029-with more ViewPad 7_VSA Roll-Up (LW)_CORP SG&amp;A" xfId="0"/>
    <cellStyle name="_PC_NB_VSE WFP_101029-with more ViewPad 7_VSA Roll-Up (LW)_LCD" xfId="0"/>
    <cellStyle name="_PC_NB_VSE WFP_101029-with more ViewPad 7_VSA Roll-Up (LW)_PJ" xfId="0"/>
    <cellStyle name="_PJ" xfId="0"/>
    <cellStyle name="_PJ 2" xfId="0"/>
    <cellStyle name="_PJ 3" xfId="0"/>
    <cellStyle name="_PJ 4" xfId="0"/>
    <cellStyle name="_PJ 5" xfId="0"/>
    <cellStyle name="_PJ DCR" xfId="0"/>
    <cellStyle name="_PJ DCR 2" xfId="0"/>
    <cellStyle name="_PJ DCR_VSE DCR Planning Model and Trend Charts 20100118" xfId="0"/>
    <cellStyle name="_PJ DCR_VSE DCR Planning Model and Trend Charts 20100118 2" xfId="0"/>
    <cellStyle name="_PJ DCR_VSE DCR Planning Model and Trend Charts 20100315" xfId="0"/>
    <cellStyle name="_PJ DCR_VSE DCR Planning Model and Trend Charts 20100315 2" xfId="0"/>
    <cellStyle name="_PJ_By Region" xfId="0"/>
    <cellStyle name="_PJ_CIS" xfId="0"/>
    <cellStyle name="_PJ_CIS 2" xfId="0"/>
    <cellStyle name="_PJ_CIS 3" xfId="0"/>
    <cellStyle name="_PJ_CIS 4" xfId="0"/>
    <cellStyle name="_PJ_CIS_By Region" xfId="0"/>
    <cellStyle name="_PJ_CIS_CORP SG&amp;A" xfId="0"/>
    <cellStyle name="_PJ_CIS_GPS OTHER" xfId="0"/>
    <cellStyle name="_PJ_CIS_GPS OTHER 2" xfId="0"/>
    <cellStyle name="_PJ_CIS_GPS OTHER 3" xfId="0"/>
    <cellStyle name="_PJ_CIS_GPS OTHER 4" xfId="0"/>
    <cellStyle name="_PJ_CIS_GPS OTHER 4 2" xfId="0"/>
    <cellStyle name="_PJ_CIS_GPS OTHER_By Region" xfId="0"/>
    <cellStyle name="_PJ_CIS_GPS OTHER_CORP SG&amp;A" xfId="0"/>
    <cellStyle name="_PJ_CIS_GPS OTHER_LCD" xfId="0"/>
    <cellStyle name="_PJ_CIS_GPS OTHER_PJ" xfId="0"/>
    <cellStyle name="_PJ_CIS_PC Products" xfId="0"/>
    <cellStyle name="_PJ_CIS_PC Products 2" xfId="0"/>
    <cellStyle name="_PJ_CIS_PC Products 3" xfId="0"/>
    <cellStyle name="_PJ_CIS_PC Products 4" xfId="0"/>
    <cellStyle name="_PJ_CIS_PC Products 4 2" xfId="0"/>
    <cellStyle name="_PJ_CIS_PC Products_By Region" xfId="0"/>
    <cellStyle name="_PJ_CIS_PC Products_CORP SG&amp;A" xfId="0"/>
    <cellStyle name="_PJ_CIS_PC Products_LCD" xfId="0"/>
    <cellStyle name="_PJ_CIS_PC Products_PJ" xfId="0"/>
    <cellStyle name="_PJ_CIS_VSA 111014" xfId="0"/>
    <cellStyle name="_PJ_CIS_VSA 111014 2" xfId="0"/>
    <cellStyle name="_PJ_CIS_VSA 111014 3" xfId="0"/>
    <cellStyle name="_PJ_CIS_VSA 111014 4" xfId="0"/>
    <cellStyle name="_PJ_CIS_VSA 111014 4 2" xfId="0"/>
    <cellStyle name="_PJ_CIS_VSA 111014_By Region" xfId="0"/>
    <cellStyle name="_PJ_CIS_VSA 111014_CORP SG&amp;A" xfId="0"/>
    <cellStyle name="_PJ_CIS_VSA 111014_LCD" xfId="0"/>
    <cellStyle name="_PJ_CIS_VSA 111014_PJ" xfId="0"/>
    <cellStyle name="_PJ_CIS_VSA Roll-Up (LW)" xfId="0"/>
    <cellStyle name="_PJ_CIS_VSA Roll-Up (LW) 2" xfId="0"/>
    <cellStyle name="_PJ_CIS_VSA Roll-Up (LW) 3" xfId="0"/>
    <cellStyle name="_PJ_CIS_VSA Roll-Up (LW) 4" xfId="0"/>
    <cellStyle name="_PJ_CIS_VSA Roll-Up (LW) 4 2" xfId="0"/>
    <cellStyle name="_PJ_CIS_VSA Roll-Up (LW)_By Region" xfId="0"/>
    <cellStyle name="_PJ_CIS_VSA Roll-Up (LW)_CORP SG&amp;A" xfId="0"/>
    <cellStyle name="_PJ_CIS_VSA Roll-Up (LW)_LCD" xfId="0"/>
    <cellStyle name="_PJ_CIS_VSA Roll-Up (LW)_PJ" xfId="0"/>
    <cellStyle name="_PJ_CORP SG&amp;A" xfId="0"/>
    <cellStyle name="_PJ_CRT" xfId="0"/>
    <cellStyle name="_PJ_CRT 2" xfId="0"/>
    <cellStyle name="_PJ_CRT 3" xfId="0"/>
    <cellStyle name="_PJ_CRT 4" xfId="0"/>
    <cellStyle name="_PJ_CRT_By Region" xfId="0"/>
    <cellStyle name="_PJ_CRT_CORP SG&amp;A" xfId="0"/>
    <cellStyle name="_PJ_CRT_GPS OTHER" xfId="0"/>
    <cellStyle name="_PJ_CRT_GPS OTHER 2" xfId="0"/>
    <cellStyle name="_PJ_CRT_GPS OTHER 3" xfId="0"/>
    <cellStyle name="_PJ_CRT_GPS OTHER 4" xfId="0"/>
    <cellStyle name="_PJ_CRT_GPS OTHER 4 2" xfId="0"/>
    <cellStyle name="_PJ_CRT_GPS OTHER_By Region" xfId="0"/>
    <cellStyle name="_PJ_CRT_GPS OTHER_CORP SG&amp;A" xfId="0"/>
    <cellStyle name="_PJ_CRT_GPS OTHER_LCD" xfId="0"/>
    <cellStyle name="_PJ_CRT_GPS OTHER_PJ" xfId="0"/>
    <cellStyle name="_PJ_CRT_PC Products" xfId="0"/>
    <cellStyle name="_PJ_CRT_PC Products 2" xfId="0"/>
    <cellStyle name="_PJ_CRT_PC Products 3" xfId="0"/>
    <cellStyle name="_PJ_CRT_PC Products 4" xfId="0"/>
    <cellStyle name="_PJ_CRT_PC Products 4 2" xfId="0"/>
    <cellStyle name="_PJ_CRT_PC Products_By Region" xfId="0"/>
    <cellStyle name="_PJ_CRT_PC Products_CORP SG&amp;A" xfId="0"/>
    <cellStyle name="_PJ_CRT_PC Products_LCD" xfId="0"/>
    <cellStyle name="_PJ_CRT_PC Products_PJ" xfId="0"/>
    <cellStyle name="_PJ_CRT_VSA 111014" xfId="0"/>
    <cellStyle name="_PJ_CRT_VSA 111014 2" xfId="0"/>
    <cellStyle name="_PJ_CRT_VSA 111014 3" xfId="0"/>
    <cellStyle name="_PJ_CRT_VSA 111014 4" xfId="0"/>
    <cellStyle name="_PJ_CRT_VSA 111014 4 2" xfId="0"/>
    <cellStyle name="_PJ_CRT_VSA 111014_By Region" xfId="0"/>
    <cellStyle name="_PJ_CRT_VSA 111014_CORP SG&amp;A" xfId="0"/>
    <cellStyle name="_PJ_CRT_VSA 111014_LCD" xfId="0"/>
    <cellStyle name="_PJ_CRT_VSA 111014_PJ" xfId="0"/>
    <cellStyle name="_PJ_CRT_VSA Roll-Up (LW)" xfId="0"/>
    <cellStyle name="_PJ_CRT_VSA Roll-Up (LW) 2" xfId="0"/>
    <cellStyle name="_PJ_CRT_VSA Roll-Up (LW) 3" xfId="0"/>
    <cellStyle name="_PJ_CRT_VSA Roll-Up (LW) 4" xfId="0"/>
    <cellStyle name="_PJ_CRT_VSA Roll-Up (LW) 4 2" xfId="0"/>
    <cellStyle name="_PJ_CRT_VSA Roll-Up (LW)_By Region" xfId="0"/>
    <cellStyle name="_PJ_CRT_VSA Roll-Up (LW)_CORP SG&amp;A" xfId="0"/>
    <cellStyle name="_PJ_CRT_VSA Roll-Up (LW)_LCD" xfId="0"/>
    <cellStyle name="_PJ_CRT_VSA Roll-Up (LW)_PJ" xfId="0"/>
    <cellStyle name="_PJ_Diff" xfId="0"/>
    <cellStyle name="_PJ_Diff 2" xfId="0"/>
    <cellStyle name="_PJ_Diff 3" xfId="0"/>
    <cellStyle name="_PJ_Diff 4" xfId="0"/>
    <cellStyle name="_PJ_Diff_By Region" xfId="0"/>
    <cellStyle name="_PJ_Diff_CORP SG&amp;A" xfId="0"/>
    <cellStyle name="_PJ_Diff_GPS OTHER" xfId="0"/>
    <cellStyle name="_PJ_Diff_GPS OTHER 2" xfId="0"/>
    <cellStyle name="_PJ_Diff_GPS OTHER 3" xfId="0"/>
    <cellStyle name="_PJ_Diff_GPS OTHER 4" xfId="0"/>
    <cellStyle name="_PJ_Diff_GPS OTHER 4 2" xfId="0"/>
    <cellStyle name="_PJ_Diff_GPS OTHER_By Region" xfId="0"/>
    <cellStyle name="_PJ_Diff_GPS OTHER_CORP SG&amp;A" xfId="0"/>
    <cellStyle name="_PJ_Diff_GPS OTHER_LCD" xfId="0"/>
    <cellStyle name="_PJ_Diff_GPS OTHER_PJ" xfId="0"/>
    <cellStyle name="_PJ_Diff_PC Products" xfId="0"/>
    <cellStyle name="_PJ_Diff_PC Products 2" xfId="0"/>
    <cellStyle name="_PJ_Diff_PC Products 3" xfId="0"/>
    <cellStyle name="_PJ_Diff_PC Products 4" xfId="0"/>
    <cellStyle name="_PJ_Diff_PC Products 4 2" xfId="0"/>
    <cellStyle name="_PJ_Diff_PC Products_By Region" xfId="0"/>
    <cellStyle name="_PJ_Diff_PC Products_CORP SG&amp;A" xfId="0"/>
    <cellStyle name="_PJ_Diff_PC Products_LCD" xfId="0"/>
    <cellStyle name="_PJ_Diff_PC Products_PJ" xfId="0"/>
    <cellStyle name="_PJ_Diff_VSA 111014" xfId="0"/>
    <cellStyle name="_PJ_Diff_VSA 111014 2" xfId="0"/>
    <cellStyle name="_PJ_Diff_VSA 111014 3" xfId="0"/>
    <cellStyle name="_PJ_Diff_VSA 111014 4" xfId="0"/>
    <cellStyle name="_PJ_Diff_VSA 111014 4 2" xfId="0"/>
    <cellStyle name="_PJ_Diff_VSA 111014_By Region" xfId="0"/>
    <cellStyle name="_PJ_Diff_VSA 111014_CORP SG&amp;A" xfId="0"/>
    <cellStyle name="_PJ_Diff_VSA 111014_LCD" xfId="0"/>
    <cellStyle name="_PJ_Diff_VSA 111014_PJ" xfId="0"/>
    <cellStyle name="_PJ_Diff_VSA Roll-Up (LW)" xfId="0"/>
    <cellStyle name="_PJ_Diff_VSA Roll-Up (LW) 2" xfId="0"/>
    <cellStyle name="_PJ_Diff_VSA Roll-Up (LW) 3" xfId="0"/>
    <cellStyle name="_PJ_Diff_VSA Roll-Up (LW) 4" xfId="0"/>
    <cellStyle name="_PJ_Diff_VSA Roll-Up (LW) 4 2" xfId="0"/>
    <cellStyle name="_PJ_Diff_VSA Roll-Up (LW)_By Region" xfId="0"/>
    <cellStyle name="_PJ_Diff_VSA Roll-Up (LW)_CORP SG&amp;A" xfId="0"/>
    <cellStyle name="_PJ_Diff_VSA Roll-Up (LW)_LCD" xfId="0"/>
    <cellStyle name="_PJ_Diff_VSA Roll-Up (LW)_PJ" xfId="0"/>
    <cellStyle name="_PJ_Digital Product" xfId="0"/>
    <cellStyle name="_PJ_Digital Product 2" xfId="0"/>
    <cellStyle name="_PJ_Digital Product 3" xfId="0"/>
    <cellStyle name="_PJ_Digital Product 4" xfId="0"/>
    <cellStyle name="_PJ_Digital Product_By Region" xfId="0"/>
    <cellStyle name="_PJ_Digital Product_CORP SG&amp;A" xfId="0"/>
    <cellStyle name="_PJ_Digital Product_GPS OTHER" xfId="0"/>
    <cellStyle name="_PJ_Digital Product_GPS OTHER 2" xfId="0"/>
    <cellStyle name="_PJ_Digital Product_GPS OTHER 3" xfId="0"/>
    <cellStyle name="_PJ_Digital Product_GPS OTHER 4" xfId="0"/>
    <cellStyle name="_PJ_Digital Product_GPS OTHER 4 2" xfId="0"/>
    <cellStyle name="_PJ_Digital Product_GPS OTHER_By Region" xfId="0"/>
    <cellStyle name="_PJ_Digital Product_GPS OTHER_CORP SG&amp;A" xfId="0"/>
    <cellStyle name="_PJ_Digital Product_GPS OTHER_LCD" xfId="0"/>
    <cellStyle name="_PJ_Digital Product_GPS OTHER_PJ" xfId="0"/>
    <cellStyle name="_PJ_Digital Product_PC Products" xfId="0"/>
    <cellStyle name="_PJ_Digital Product_PC Products 2" xfId="0"/>
    <cellStyle name="_PJ_Digital Product_PC Products 3" xfId="0"/>
    <cellStyle name="_PJ_Digital Product_PC Products 4" xfId="0"/>
    <cellStyle name="_PJ_Digital Product_PC Products 4 2" xfId="0"/>
    <cellStyle name="_PJ_Digital Product_PC Products_By Region" xfId="0"/>
    <cellStyle name="_PJ_Digital Product_PC Products_CORP SG&amp;A" xfId="0"/>
    <cellStyle name="_PJ_Digital Product_PC Products_LCD" xfId="0"/>
    <cellStyle name="_PJ_Digital Product_PC Products_PJ" xfId="0"/>
    <cellStyle name="_PJ_Digital Product_VSA 111014" xfId="0"/>
    <cellStyle name="_PJ_Digital Product_VSA 111014 2" xfId="0"/>
    <cellStyle name="_PJ_Digital Product_VSA 111014 3" xfId="0"/>
    <cellStyle name="_PJ_Digital Product_VSA 111014 4" xfId="0"/>
    <cellStyle name="_PJ_Digital Product_VSA 111014 4 2" xfId="0"/>
    <cellStyle name="_PJ_Digital Product_VSA 111014_By Region" xfId="0"/>
    <cellStyle name="_PJ_Digital Product_VSA 111014_CORP SG&amp;A" xfId="0"/>
    <cellStyle name="_PJ_Digital Product_VSA 111014_LCD" xfId="0"/>
    <cellStyle name="_PJ_Digital Product_VSA 111014_PJ" xfId="0"/>
    <cellStyle name="_PJ_Digital Product_VSA Roll-Up (LW)" xfId="0"/>
    <cellStyle name="_PJ_Digital Product_VSA Roll-Up (LW) 2" xfId="0"/>
    <cellStyle name="_PJ_Digital Product_VSA Roll-Up (LW) 3" xfId="0"/>
    <cellStyle name="_PJ_Digital Product_VSA Roll-Up (LW) 4" xfId="0"/>
    <cellStyle name="_PJ_Digital Product_VSA Roll-Up (LW) 4 2" xfId="0"/>
    <cellStyle name="_PJ_Digital Product_VSA Roll-Up (LW)_By Region" xfId="0"/>
    <cellStyle name="_PJ_Digital Product_VSA Roll-Up (LW)_CORP SG&amp;A" xfId="0"/>
    <cellStyle name="_PJ_Digital Product_VSA Roll-Up (LW)_LCD" xfId="0"/>
    <cellStyle name="_PJ_Digital Product_VSA Roll-Up (LW)_PJ" xfId="0"/>
    <cellStyle name="_PJ_Digital Signage" xfId="0"/>
    <cellStyle name="_PJ_Digital Signage 2" xfId="0"/>
    <cellStyle name="_PJ_Digital Signage 3" xfId="0"/>
    <cellStyle name="_PJ_Digital Signage 4" xfId="0"/>
    <cellStyle name="_PJ_Digital Signage_By Region" xfId="0"/>
    <cellStyle name="_PJ_Digital Signage_CORP SG&amp;A" xfId="0"/>
    <cellStyle name="_PJ_Digital Signage_GPS OTHER" xfId="0"/>
    <cellStyle name="_PJ_Digital Signage_GPS OTHER 2" xfId="0"/>
    <cellStyle name="_PJ_Digital Signage_GPS OTHER 3" xfId="0"/>
    <cellStyle name="_PJ_Digital Signage_GPS OTHER 4" xfId="0"/>
    <cellStyle name="_PJ_Digital Signage_GPS OTHER 4 2" xfId="0"/>
    <cellStyle name="_PJ_Digital Signage_GPS OTHER_By Region" xfId="0"/>
    <cellStyle name="_PJ_Digital Signage_GPS OTHER_CORP SG&amp;A" xfId="0"/>
    <cellStyle name="_PJ_Digital Signage_GPS OTHER_LCD" xfId="0"/>
    <cellStyle name="_PJ_Digital Signage_GPS OTHER_PJ" xfId="0"/>
    <cellStyle name="_PJ_Digital Signage_PC Products" xfId="0"/>
    <cellStyle name="_PJ_Digital Signage_PC Products 2" xfId="0"/>
    <cellStyle name="_PJ_Digital Signage_PC Products 3" xfId="0"/>
    <cellStyle name="_PJ_Digital Signage_PC Products 4" xfId="0"/>
    <cellStyle name="_PJ_Digital Signage_PC Products 4 2" xfId="0"/>
    <cellStyle name="_PJ_Digital Signage_PC Products_By Region" xfId="0"/>
    <cellStyle name="_PJ_Digital Signage_PC Products_CORP SG&amp;A" xfId="0"/>
    <cellStyle name="_PJ_Digital Signage_PC Products_LCD" xfId="0"/>
    <cellStyle name="_PJ_Digital Signage_PC Products_PJ" xfId="0"/>
    <cellStyle name="_PJ_Digital Signage_VSA 111014" xfId="0"/>
    <cellStyle name="_PJ_Digital Signage_VSA 111014 2" xfId="0"/>
    <cellStyle name="_PJ_Digital Signage_VSA 111014 3" xfId="0"/>
    <cellStyle name="_PJ_Digital Signage_VSA 111014 4" xfId="0"/>
    <cellStyle name="_PJ_Digital Signage_VSA 111014 4 2" xfId="0"/>
    <cellStyle name="_PJ_Digital Signage_VSA 111014_By Region" xfId="0"/>
    <cellStyle name="_PJ_Digital Signage_VSA 111014_CORP SG&amp;A" xfId="0"/>
    <cellStyle name="_PJ_Digital Signage_VSA 111014_LCD" xfId="0"/>
    <cellStyle name="_PJ_Digital Signage_VSA 111014_PJ" xfId="0"/>
    <cellStyle name="_PJ_Digital Signage_VSA Roll-Up (LW)" xfId="0"/>
    <cellStyle name="_PJ_Digital Signage_VSA Roll-Up (LW) 2" xfId="0"/>
    <cellStyle name="_PJ_Digital Signage_VSA Roll-Up (LW) 3" xfId="0"/>
    <cellStyle name="_PJ_Digital Signage_VSA Roll-Up (LW) 4" xfId="0"/>
    <cellStyle name="_PJ_Digital Signage_VSA Roll-Up (LW) 4 2" xfId="0"/>
    <cellStyle name="_PJ_Digital Signage_VSA Roll-Up (LW)_By Region" xfId="0"/>
    <cellStyle name="_PJ_Digital Signage_VSA Roll-Up (LW)_CORP SG&amp;A" xfId="0"/>
    <cellStyle name="_PJ_Digital Signage_VSA Roll-Up (LW)_LCD" xfId="0"/>
    <cellStyle name="_PJ_Digital Signage_VSA Roll-Up (LW)_PJ" xfId="0"/>
    <cellStyle name="_PJ_DMA(VMP)" xfId="0"/>
    <cellStyle name="_PJ_DMA(VMP) 2" xfId="0"/>
    <cellStyle name="_PJ_DMA(VMP) 3" xfId="0"/>
    <cellStyle name="_PJ_DMA(VMP) 4" xfId="0"/>
    <cellStyle name="_PJ_DMA(VMP)_By Region" xfId="0"/>
    <cellStyle name="_PJ_DMA(VMP)_CORP SG&amp;A" xfId="0"/>
    <cellStyle name="_PJ_DMA(VMP)_GPS OTHER" xfId="0"/>
    <cellStyle name="_PJ_DMA(VMP)_GPS OTHER 2" xfId="0"/>
    <cellStyle name="_PJ_DMA(VMP)_GPS OTHER 3" xfId="0"/>
    <cellStyle name="_PJ_DMA(VMP)_GPS OTHER 4" xfId="0"/>
    <cellStyle name="_PJ_DMA(VMP)_GPS OTHER 4 2" xfId="0"/>
    <cellStyle name="_PJ_DMA(VMP)_GPS OTHER_By Region" xfId="0"/>
    <cellStyle name="_PJ_DMA(VMP)_GPS OTHER_CORP SG&amp;A" xfId="0"/>
    <cellStyle name="_PJ_DMA(VMP)_GPS OTHER_LCD" xfId="0"/>
    <cellStyle name="_PJ_DMA(VMP)_GPS OTHER_PJ" xfId="0"/>
    <cellStyle name="_PJ_DMA(VMP)_PC Products" xfId="0"/>
    <cellStyle name="_PJ_DMA(VMP)_PC Products 2" xfId="0"/>
    <cellStyle name="_PJ_DMA(VMP)_PC Products 3" xfId="0"/>
    <cellStyle name="_PJ_DMA(VMP)_PC Products 4" xfId="0"/>
    <cellStyle name="_PJ_DMA(VMP)_PC Products 4 2" xfId="0"/>
    <cellStyle name="_PJ_DMA(VMP)_PC Products_By Region" xfId="0"/>
    <cellStyle name="_PJ_DMA(VMP)_PC Products_CORP SG&amp;A" xfId="0"/>
    <cellStyle name="_PJ_DMA(VMP)_PC Products_LCD" xfId="0"/>
    <cellStyle name="_PJ_DMA(VMP)_PC Products_PJ" xfId="0"/>
    <cellStyle name="_PJ_DMA(VMP)_VSA 111014" xfId="0"/>
    <cellStyle name="_PJ_DMA(VMP)_VSA 111014 2" xfId="0"/>
    <cellStyle name="_PJ_DMA(VMP)_VSA 111014 3" xfId="0"/>
    <cellStyle name="_PJ_DMA(VMP)_VSA 111014 4" xfId="0"/>
    <cellStyle name="_PJ_DMA(VMP)_VSA 111014 4 2" xfId="0"/>
    <cellStyle name="_PJ_DMA(VMP)_VSA 111014_By Region" xfId="0"/>
    <cellStyle name="_PJ_DMA(VMP)_VSA 111014_CORP SG&amp;A" xfId="0"/>
    <cellStyle name="_PJ_DMA(VMP)_VSA 111014_LCD" xfId="0"/>
    <cellStyle name="_PJ_DMA(VMP)_VSA 111014_PJ" xfId="0"/>
    <cellStyle name="_PJ_DMA(VMP)_VSA Roll-Up (LW)" xfId="0"/>
    <cellStyle name="_PJ_DMA(VMP)_VSA Roll-Up (LW) 2" xfId="0"/>
    <cellStyle name="_PJ_DMA(VMP)_VSA Roll-Up (LW) 3" xfId="0"/>
    <cellStyle name="_PJ_DMA(VMP)_VSA Roll-Up (LW) 4" xfId="0"/>
    <cellStyle name="_PJ_DMA(VMP)_VSA Roll-Up (LW) 4 2" xfId="0"/>
    <cellStyle name="_PJ_DMA(VMP)_VSA Roll-Up (LW)_By Region" xfId="0"/>
    <cellStyle name="_PJ_DMA(VMP)_VSA Roll-Up (LW)_CORP SG&amp;A" xfId="0"/>
    <cellStyle name="_PJ_DMA(VMP)_VSA Roll-Up (LW)_LCD" xfId="0"/>
    <cellStyle name="_PJ_DMA(VMP)_VSA Roll-Up (LW)_PJ" xfId="0"/>
    <cellStyle name="_PJ_DPF" xfId="0"/>
    <cellStyle name="_PJ_DPF 2" xfId="0"/>
    <cellStyle name="_PJ_DPF 3" xfId="0"/>
    <cellStyle name="_PJ_DPF 4" xfId="0"/>
    <cellStyle name="_PJ_DPF_By Region" xfId="0"/>
    <cellStyle name="_PJ_DPF_CORP SG&amp;A" xfId="0"/>
    <cellStyle name="_PJ_DPF_GPS OTHER" xfId="0"/>
    <cellStyle name="_PJ_DPF_GPS OTHER 2" xfId="0"/>
    <cellStyle name="_PJ_DPF_GPS OTHER 3" xfId="0"/>
    <cellStyle name="_PJ_DPF_GPS OTHER 4" xfId="0"/>
    <cellStyle name="_PJ_DPF_GPS OTHER 4 2" xfId="0"/>
    <cellStyle name="_PJ_DPF_GPS OTHER_By Region" xfId="0"/>
    <cellStyle name="_PJ_DPF_GPS OTHER_CORP SG&amp;A" xfId="0"/>
    <cellStyle name="_PJ_DPF_GPS OTHER_LCD" xfId="0"/>
    <cellStyle name="_PJ_DPF_GPS OTHER_PJ" xfId="0"/>
    <cellStyle name="_PJ_DPF_PC Products" xfId="0"/>
    <cellStyle name="_PJ_DPF_PC Products 2" xfId="0"/>
    <cellStyle name="_PJ_DPF_PC Products 3" xfId="0"/>
    <cellStyle name="_PJ_DPF_PC Products 4" xfId="0"/>
    <cellStyle name="_PJ_DPF_PC Products 4 2" xfId="0"/>
    <cellStyle name="_PJ_DPF_PC Products_By Region" xfId="0"/>
    <cellStyle name="_PJ_DPF_PC Products_CORP SG&amp;A" xfId="0"/>
    <cellStyle name="_PJ_DPF_PC Products_LCD" xfId="0"/>
    <cellStyle name="_PJ_DPF_PC Products_PJ" xfId="0"/>
    <cellStyle name="_PJ_DPF_VSA 111014" xfId="0"/>
    <cellStyle name="_PJ_DPF_VSA 111014 2" xfId="0"/>
    <cellStyle name="_PJ_DPF_VSA 111014 3" xfId="0"/>
    <cellStyle name="_PJ_DPF_VSA 111014 4" xfId="0"/>
    <cellStyle name="_PJ_DPF_VSA 111014 4 2" xfId="0"/>
    <cellStyle name="_PJ_DPF_VSA 111014_By Region" xfId="0"/>
    <cellStyle name="_PJ_DPF_VSA 111014_CORP SG&amp;A" xfId="0"/>
    <cellStyle name="_PJ_DPF_VSA 111014_LCD" xfId="0"/>
    <cellStyle name="_PJ_DPF_VSA 111014_PJ" xfId="0"/>
    <cellStyle name="_PJ_DPF_VSA Roll-Up (LW)" xfId="0"/>
    <cellStyle name="_PJ_DPF_VSA Roll-Up (LW) 2" xfId="0"/>
    <cellStyle name="_PJ_DPF_VSA Roll-Up (LW) 3" xfId="0"/>
    <cellStyle name="_PJ_DPF_VSA Roll-Up (LW) 4" xfId="0"/>
    <cellStyle name="_PJ_DPF_VSA Roll-Up (LW) 4 2" xfId="0"/>
    <cellStyle name="_PJ_DPF_VSA Roll-Up (LW)_By Region" xfId="0"/>
    <cellStyle name="_PJ_DPF_VSA Roll-Up (LW)_CORP SG&amp;A" xfId="0"/>
    <cellStyle name="_PJ_DPF_VSA Roll-Up (LW)_LCD" xfId="0"/>
    <cellStyle name="_PJ_DPF_VSA Roll-Up (LW)_PJ" xfId="0"/>
    <cellStyle name="_PJ_DS" xfId="0"/>
    <cellStyle name="_PJ_DS 2" xfId="0"/>
    <cellStyle name="_PJ_DS 3" xfId="0"/>
    <cellStyle name="_PJ_DS 4" xfId="0"/>
    <cellStyle name="_PJ_DS_By Region" xfId="0"/>
    <cellStyle name="_PJ_DS_CORP SG&amp;A" xfId="0"/>
    <cellStyle name="_PJ_DS_GPS OTHER" xfId="0"/>
    <cellStyle name="_PJ_DS_GPS OTHER 2" xfId="0"/>
    <cellStyle name="_PJ_DS_GPS OTHER 3" xfId="0"/>
    <cellStyle name="_PJ_DS_GPS OTHER 4" xfId="0"/>
    <cellStyle name="_PJ_DS_GPS OTHER 4 2" xfId="0"/>
    <cellStyle name="_PJ_DS_GPS OTHER_By Region" xfId="0"/>
    <cellStyle name="_PJ_DS_GPS OTHER_CORP SG&amp;A" xfId="0"/>
    <cellStyle name="_PJ_DS_GPS OTHER_LCD" xfId="0"/>
    <cellStyle name="_PJ_DS_GPS OTHER_PJ" xfId="0"/>
    <cellStyle name="_PJ_DS_PC Products" xfId="0"/>
    <cellStyle name="_PJ_DS_PC Products 2" xfId="0"/>
    <cellStyle name="_PJ_DS_PC Products 3" xfId="0"/>
    <cellStyle name="_PJ_DS_PC Products 4" xfId="0"/>
    <cellStyle name="_PJ_DS_PC Products 4 2" xfId="0"/>
    <cellStyle name="_PJ_DS_PC Products_By Region" xfId="0"/>
    <cellStyle name="_PJ_DS_PC Products_CORP SG&amp;A" xfId="0"/>
    <cellStyle name="_PJ_DS_PC Products_LCD" xfId="0"/>
    <cellStyle name="_PJ_DS_PC Products_PJ" xfId="0"/>
    <cellStyle name="_PJ_DS_VSA 111014" xfId="0"/>
    <cellStyle name="_PJ_DS_VSA 111014 2" xfId="0"/>
    <cellStyle name="_PJ_DS_VSA 111014 3" xfId="0"/>
    <cellStyle name="_PJ_DS_VSA 111014 4" xfId="0"/>
    <cellStyle name="_PJ_DS_VSA 111014 4 2" xfId="0"/>
    <cellStyle name="_PJ_DS_VSA 111014_By Region" xfId="0"/>
    <cellStyle name="_PJ_DS_VSA 111014_CORP SG&amp;A" xfId="0"/>
    <cellStyle name="_PJ_DS_VSA 111014_LCD" xfId="0"/>
    <cellStyle name="_PJ_DS_VSA 111014_PJ" xfId="0"/>
    <cellStyle name="_PJ_DS_VSA Roll-Up (LW)" xfId="0"/>
    <cellStyle name="_PJ_DS_VSA Roll-Up (LW) 2" xfId="0"/>
    <cellStyle name="_PJ_DS_VSA Roll-Up (LW) 3" xfId="0"/>
    <cellStyle name="_PJ_DS_VSA Roll-Up (LW) 4" xfId="0"/>
    <cellStyle name="_PJ_DS_VSA Roll-Up (LW) 4 2" xfId="0"/>
    <cellStyle name="_PJ_DS_VSA Roll-Up (LW)_By Region" xfId="0"/>
    <cellStyle name="_PJ_DS_VSA Roll-Up (LW)_CORP SG&amp;A" xfId="0"/>
    <cellStyle name="_PJ_DS_VSA Roll-Up (LW)_LCD" xfId="0"/>
    <cellStyle name="_PJ_DS_VSA Roll-Up (LW)_PJ" xfId="0"/>
    <cellStyle name="_PJ_DVD_TV" xfId="0"/>
    <cellStyle name="_PJ_DVD_TV 2" xfId="0"/>
    <cellStyle name="_PJ_DVD_TV 3" xfId="0"/>
    <cellStyle name="_PJ_DVD_TV 4" xfId="0"/>
    <cellStyle name="_PJ_DVD_TV_By Region" xfId="0"/>
    <cellStyle name="_PJ_DVD_TV_CORP SG&amp;A" xfId="0"/>
    <cellStyle name="_PJ_DVD_TV_GPS OTHER" xfId="0"/>
    <cellStyle name="_PJ_DVD_TV_GPS OTHER 2" xfId="0"/>
    <cellStyle name="_PJ_DVD_TV_GPS OTHER 3" xfId="0"/>
    <cellStyle name="_PJ_DVD_TV_GPS OTHER 4" xfId="0"/>
    <cellStyle name="_PJ_DVD_TV_GPS OTHER 4 2" xfId="0"/>
    <cellStyle name="_PJ_DVD_TV_GPS OTHER_By Region" xfId="0"/>
    <cellStyle name="_PJ_DVD_TV_GPS OTHER_CORP SG&amp;A" xfId="0"/>
    <cellStyle name="_PJ_DVD_TV_GPS OTHER_LCD" xfId="0"/>
    <cellStyle name="_PJ_DVD_TV_GPS OTHER_PJ" xfId="0"/>
    <cellStyle name="_PJ_DVD_TV_PC Products" xfId="0"/>
    <cellStyle name="_PJ_DVD_TV_PC Products 2" xfId="0"/>
    <cellStyle name="_PJ_DVD_TV_PC Products 3" xfId="0"/>
    <cellStyle name="_PJ_DVD_TV_PC Products 4" xfId="0"/>
    <cellStyle name="_PJ_DVD_TV_PC Products 4 2" xfId="0"/>
    <cellStyle name="_PJ_DVD_TV_PC Products_By Region" xfId="0"/>
    <cellStyle name="_PJ_DVD_TV_PC Products_CORP SG&amp;A" xfId="0"/>
    <cellStyle name="_PJ_DVD_TV_PC Products_LCD" xfId="0"/>
    <cellStyle name="_PJ_DVD_TV_PC Products_PJ" xfId="0"/>
    <cellStyle name="_PJ_DVD_TV_VSA 111014" xfId="0"/>
    <cellStyle name="_PJ_DVD_TV_VSA 111014 2" xfId="0"/>
    <cellStyle name="_PJ_DVD_TV_VSA 111014 3" xfId="0"/>
    <cellStyle name="_PJ_DVD_TV_VSA 111014 4" xfId="0"/>
    <cellStyle name="_PJ_DVD_TV_VSA 111014 4 2" xfId="0"/>
    <cellStyle name="_PJ_DVD_TV_VSA 111014_By Region" xfId="0"/>
    <cellStyle name="_PJ_DVD_TV_VSA 111014_CORP SG&amp;A" xfId="0"/>
    <cellStyle name="_PJ_DVD_TV_VSA 111014_LCD" xfId="0"/>
    <cellStyle name="_PJ_DVD_TV_VSA 111014_PJ" xfId="0"/>
    <cellStyle name="_PJ_DVD_TV_VSA Roll-Up (LW)" xfId="0"/>
    <cellStyle name="_PJ_DVD_TV_VSA Roll-Up (LW) 2" xfId="0"/>
    <cellStyle name="_PJ_DVD_TV_VSA Roll-Up (LW) 3" xfId="0"/>
    <cellStyle name="_PJ_DVD_TV_VSA Roll-Up (LW) 4" xfId="0"/>
    <cellStyle name="_PJ_DVD_TV_VSA Roll-Up (LW) 4 2" xfId="0"/>
    <cellStyle name="_PJ_DVD_TV_VSA Roll-Up (LW)_By Region" xfId="0"/>
    <cellStyle name="_PJ_DVD_TV_VSA Roll-Up (LW)_CORP SG&amp;A" xfId="0"/>
    <cellStyle name="_PJ_DVD_TV_VSA Roll-Up (LW)_LCD" xfId="0"/>
    <cellStyle name="_PJ_DVD_TV_VSA Roll-Up (LW)_PJ" xfId="0"/>
    <cellStyle name="_PJ_GPS OTHER" xfId="0"/>
    <cellStyle name="_PJ_GPS OTHER 2" xfId="0"/>
    <cellStyle name="_PJ_GPS OTHER 3" xfId="0"/>
    <cellStyle name="_PJ_GPS OTHER 4" xfId="0"/>
    <cellStyle name="_PJ_GPS OTHER 4 2" xfId="0"/>
    <cellStyle name="_PJ_GPS OTHER_By Region" xfId="0"/>
    <cellStyle name="_PJ_GPS OTHER_CORP SG&amp;A" xfId="0"/>
    <cellStyle name="_PJ_GPS OTHER_LCD" xfId="0"/>
    <cellStyle name="_PJ_GPS OTHER_PJ" xfId="0"/>
    <cellStyle name="_PJ_LCD" xfId="0"/>
    <cellStyle name="_PJ_LCD 2" xfId="0"/>
    <cellStyle name="_PJ_LCD 3" xfId="0"/>
    <cellStyle name="_PJ_LCD 4" xfId="0"/>
    <cellStyle name="_PJ_LCD_By Region" xfId="0"/>
    <cellStyle name="_PJ_LCD_CORP SG&amp;A" xfId="0"/>
    <cellStyle name="_PJ_LCD_GPS OTHER" xfId="0"/>
    <cellStyle name="_PJ_LCD_GPS OTHER 2" xfId="0"/>
    <cellStyle name="_PJ_LCD_GPS OTHER 3" xfId="0"/>
    <cellStyle name="_PJ_LCD_GPS OTHER 4" xfId="0"/>
    <cellStyle name="_PJ_LCD_GPS OTHER 4 2" xfId="0"/>
    <cellStyle name="_PJ_LCD_GPS OTHER_By Region" xfId="0"/>
    <cellStyle name="_PJ_LCD_GPS OTHER_CORP SG&amp;A" xfId="0"/>
    <cellStyle name="_PJ_LCD_GPS OTHER_LCD" xfId="0"/>
    <cellStyle name="_PJ_LCD_GPS OTHER_PJ" xfId="0"/>
    <cellStyle name="_PJ_LCD_PC Products" xfId="0"/>
    <cellStyle name="_PJ_LCD_PC Products 2" xfId="0"/>
    <cellStyle name="_PJ_LCD_PC Products 3" xfId="0"/>
    <cellStyle name="_PJ_LCD_PC Products 4" xfId="0"/>
    <cellStyle name="_PJ_LCD_PC Products 4 2" xfId="0"/>
    <cellStyle name="_PJ_LCD_PC Products_By Region" xfId="0"/>
    <cellStyle name="_PJ_LCD_PC Products_CORP SG&amp;A" xfId="0"/>
    <cellStyle name="_PJ_LCD_PC Products_LCD" xfId="0"/>
    <cellStyle name="_PJ_LCD_PC Products_PJ" xfId="0"/>
    <cellStyle name="_PJ_LCD_VSA 111014" xfId="0"/>
    <cellStyle name="_PJ_LCD_VSA 111014 2" xfId="0"/>
    <cellStyle name="_PJ_LCD_VSA 111014 3" xfId="0"/>
    <cellStyle name="_PJ_LCD_VSA 111014 4" xfId="0"/>
    <cellStyle name="_PJ_LCD_VSA 111014 4 2" xfId="0"/>
    <cellStyle name="_PJ_LCD_VSA 111014_By Region" xfId="0"/>
    <cellStyle name="_PJ_LCD_VSA 111014_CORP SG&amp;A" xfId="0"/>
    <cellStyle name="_PJ_LCD_VSA 111014_LCD" xfId="0"/>
    <cellStyle name="_PJ_LCD_VSA 111014_PJ" xfId="0"/>
    <cellStyle name="_PJ_LCD_VSA Roll-Up (LW)" xfId="0"/>
    <cellStyle name="_PJ_LCD_VSA Roll-Up (LW) 2" xfId="0"/>
    <cellStyle name="_PJ_LCD_VSA Roll-Up (LW) 3" xfId="0"/>
    <cellStyle name="_PJ_LCD_VSA Roll-Up (LW) 4" xfId="0"/>
    <cellStyle name="_PJ_LCD_VSA Roll-Up (LW) 4 2" xfId="0"/>
    <cellStyle name="_PJ_LCD_VSA Roll-Up (LW)_By Region" xfId="0"/>
    <cellStyle name="_PJ_LCD_VSA Roll-Up (LW)_CORP SG&amp;A" xfId="0"/>
    <cellStyle name="_PJ_LCD_VSA Roll-Up (LW)_LCD" xfId="0"/>
    <cellStyle name="_PJ_LCD_VSA Roll-Up (LW)_PJ" xfId="0"/>
    <cellStyle name="_PJ_LCDTV" xfId="0"/>
    <cellStyle name="_PJ_LCDTV 2" xfId="0"/>
    <cellStyle name="_PJ_LCDTV 3" xfId="0"/>
    <cellStyle name="_PJ_LCDTV 4" xfId="0"/>
    <cellStyle name="_PJ_LCDTV_By Region" xfId="0"/>
    <cellStyle name="_PJ_LCDTV_CORP SG&amp;A" xfId="0"/>
    <cellStyle name="_PJ_LCDTV_GPS OTHER" xfId="0"/>
    <cellStyle name="_PJ_LCDTV_GPS OTHER 2" xfId="0"/>
    <cellStyle name="_PJ_LCDTV_GPS OTHER 3" xfId="0"/>
    <cellStyle name="_PJ_LCDTV_GPS OTHER 4" xfId="0"/>
    <cellStyle name="_PJ_LCDTV_GPS OTHER 4 2" xfId="0"/>
    <cellStyle name="_PJ_LCDTV_GPS OTHER_By Region" xfId="0"/>
    <cellStyle name="_PJ_LCDTV_GPS OTHER_CORP SG&amp;A" xfId="0"/>
    <cellStyle name="_PJ_LCDTV_GPS OTHER_LCD" xfId="0"/>
    <cellStyle name="_PJ_LCDTV_GPS OTHER_PJ" xfId="0"/>
    <cellStyle name="_PJ_LCDTV_PC Products" xfId="0"/>
    <cellStyle name="_PJ_LCDTV_PC Products 2" xfId="0"/>
    <cellStyle name="_PJ_LCDTV_PC Products 3" xfId="0"/>
    <cellStyle name="_PJ_LCDTV_PC Products 4" xfId="0"/>
    <cellStyle name="_PJ_LCDTV_PC Products 4 2" xfId="0"/>
    <cellStyle name="_PJ_LCDTV_PC Products_By Region" xfId="0"/>
    <cellStyle name="_PJ_LCDTV_PC Products_CORP SG&amp;A" xfId="0"/>
    <cellStyle name="_PJ_LCDTV_PC Products_LCD" xfId="0"/>
    <cellStyle name="_PJ_LCDTV_PC Products_PJ" xfId="0"/>
    <cellStyle name="_PJ_LCDTV_VSA 111014" xfId="0"/>
    <cellStyle name="_PJ_LCDTV_VSA 111014 2" xfId="0"/>
    <cellStyle name="_PJ_LCDTV_VSA 111014 3" xfId="0"/>
    <cellStyle name="_PJ_LCDTV_VSA 111014 4" xfId="0"/>
    <cellStyle name="_PJ_LCDTV_VSA 111014 4 2" xfId="0"/>
    <cellStyle name="_PJ_LCDTV_VSA 111014_By Region" xfId="0"/>
    <cellStyle name="_PJ_LCDTV_VSA 111014_CORP SG&amp;A" xfId="0"/>
    <cellStyle name="_PJ_LCDTV_VSA 111014_LCD" xfId="0"/>
    <cellStyle name="_PJ_LCDTV_VSA 111014_PJ" xfId="0"/>
    <cellStyle name="_PJ_LCDTV_VSA Roll-Up (LW)" xfId="0"/>
    <cellStyle name="_PJ_LCDTV_VSA Roll-Up (LW) 2" xfId="0"/>
    <cellStyle name="_PJ_LCDTV_VSA Roll-Up (LW) 3" xfId="0"/>
    <cellStyle name="_PJ_LCDTV_VSA Roll-Up (LW) 4" xfId="0"/>
    <cellStyle name="_PJ_LCDTV_VSA Roll-Up (LW) 4 2" xfId="0"/>
    <cellStyle name="_PJ_LCDTV_VSA Roll-Up (LW)_By Region" xfId="0"/>
    <cellStyle name="_PJ_LCDTV_VSA Roll-Up (LW)_CORP SG&amp;A" xfId="0"/>
    <cellStyle name="_PJ_LCDTV_VSA Roll-Up (LW)_LCD" xfId="0"/>
    <cellStyle name="_PJ_LCDTV_VSA Roll-Up (LW)_PJ" xfId="0"/>
    <cellStyle name="_PJ_MNT" xfId="0"/>
    <cellStyle name="_PJ_MNT 2" xfId="0"/>
    <cellStyle name="_PJ_MNT 3" xfId="0"/>
    <cellStyle name="_PJ_MNT 4" xfId="0"/>
    <cellStyle name="_PJ_MNT_By Region" xfId="0"/>
    <cellStyle name="_PJ_MNT_CORP SG&amp;A" xfId="0"/>
    <cellStyle name="_PJ_MNT_GPS OTHER" xfId="0"/>
    <cellStyle name="_PJ_MNT_GPS OTHER 2" xfId="0"/>
    <cellStyle name="_PJ_MNT_GPS OTHER 3" xfId="0"/>
    <cellStyle name="_PJ_MNT_GPS OTHER 4" xfId="0"/>
    <cellStyle name="_PJ_MNT_GPS OTHER 4 2" xfId="0"/>
    <cellStyle name="_PJ_MNT_GPS OTHER_By Region" xfId="0"/>
    <cellStyle name="_PJ_MNT_GPS OTHER_CORP SG&amp;A" xfId="0"/>
    <cellStyle name="_PJ_MNT_GPS OTHER_LCD" xfId="0"/>
    <cellStyle name="_PJ_MNT_GPS OTHER_PJ" xfId="0"/>
    <cellStyle name="_PJ_MNT_PC Products" xfId="0"/>
    <cellStyle name="_PJ_MNT_PC Products 2" xfId="0"/>
    <cellStyle name="_PJ_MNT_PC Products 3" xfId="0"/>
    <cellStyle name="_PJ_MNT_PC Products 4" xfId="0"/>
    <cellStyle name="_PJ_MNT_PC Products 4 2" xfId="0"/>
    <cellStyle name="_PJ_MNT_PC Products_By Region" xfId="0"/>
    <cellStyle name="_PJ_MNT_PC Products_CORP SG&amp;A" xfId="0"/>
    <cellStyle name="_PJ_MNT_PC Products_LCD" xfId="0"/>
    <cellStyle name="_PJ_MNT_PC Products_PJ" xfId="0"/>
    <cellStyle name="_PJ_MNT_VSA 111014" xfId="0"/>
    <cellStyle name="_PJ_MNT_VSA 111014 2" xfId="0"/>
    <cellStyle name="_PJ_MNT_VSA 111014 3" xfId="0"/>
    <cellStyle name="_PJ_MNT_VSA 111014 4" xfId="0"/>
    <cellStyle name="_PJ_MNT_VSA 111014 4 2" xfId="0"/>
    <cellStyle name="_PJ_MNT_VSA 111014_By Region" xfId="0"/>
    <cellStyle name="_PJ_MNT_VSA 111014_CORP SG&amp;A" xfId="0"/>
    <cellStyle name="_PJ_MNT_VSA 111014_LCD" xfId="0"/>
    <cellStyle name="_PJ_MNT_VSA 111014_PJ" xfId="0"/>
    <cellStyle name="_PJ_MNT_VSA Roll-Up (LW)" xfId="0"/>
    <cellStyle name="_PJ_MNT_VSA Roll-Up (LW) 2" xfId="0"/>
    <cellStyle name="_PJ_MNT_VSA Roll-Up (LW) 3" xfId="0"/>
    <cellStyle name="_PJ_MNT_VSA Roll-Up (LW) 4" xfId="0"/>
    <cellStyle name="_PJ_MNT_VSA Roll-Up (LW) 4 2" xfId="0"/>
    <cellStyle name="_PJ_MNT_VSA Roll-Up (LW)_By Region" xfId="0"/>
    <cellStyle name="_PJ_MNT_VSA Roll-Up (LW)_CORP SG&amp;A" xfId="0"/>
    <cellStyle name="_PJ_MNT_VSA Roll-Up (LW)_LCD" xfId="0"/>
    <cellStyle name="_PJ_MNT_VSA Roll-Up (LW)_PJ" xfId="0"/>
    <cellStyle name="_PJ_Other" xfId="0"/>
    <cellStyle name="_PJ_Other 2" xfId="0"/>
    <cellStyle name="_PJ_Other 3" xfId="0"/>
    <cellStyle name="_PJ_Other 4" xfId="0"/>
    <cellStyle name="_PJ_Other_By Region" xfId="0"/>
    <cellStyle name="_PJ_Other_CORP SG&amp;A" xfId="0"/>
    <cellStyle name="_PJ_Other_GPS OTHER" xfId="0"/>
    <cellStyle name="_PJ_Other_GPS OTHER 2" xfId="0"/>
    <cellStyle name="_PJ_Other_GPS OTHER 3" xfId="0"/>
    <cellStyle name="_PJ_Other_GPS OTHER 4" xfId="0"/>
    <cellStyle name="_PJ_Other_GPS OTHER 4 2" xfId="0"/>
    <cellStyle name="_PJ_Other_GPS OTHER_By Region" xfId="0"/>
    <cellStyle name="_PJ_Other_GPS OTHER_CORP SG&amp;A" xfId="0"/>
    <cellStyle name="_PJ_Other_GPS OTHER_LCD" xfId="0"/>
    <cellStyle name="_PJ_Other_GPS OTHER_PJ" xfId="0"/>
    <cellStyle name="_PJ_Other_PC Products" xfId="0"/>
    <cellStyle name="_PJ_Other_PC Products 2" xfId="0"/>
    <cellStyle name="_PJ_Other_PC Products 3" xfId="0"/>
    <cellStyle name="_PJ_Other_PC Products 4" xfId="0"/>
    <cellStyle name="_PJ_Other_PC Products 4 2" xfId="0"/>
    <cellStyle name="_PJ_Other_PC Products_By Region" xfId="0"/>
    <cellStyle name="_PJ_Other_PC Products_CORP SG&amp;A" xfId="0"/>
    <cellStyle name="_PJ_Other_PC Products_LCD" xfId="0"/>
    <cellStyle name="_PJ_Other_PC Products_PJ" xfId="0"/>
    <cellStyle name="_PJ_Other_VSA 111014" xfId="0"/>
    <cellStyle name="_PJ_Other_VSA 111014 2" xfId="0"/>
    <cellStyle name="_PJ_Other_VSA 111014 3" xfId="0"/>
    <cellStyle name="_PJ_Other_VSA 111014 4" xfId="0"/>
    <cellStyle name="_PJ_Other_VSA 111014 4 2" xfId="0"/>
    <cellStyle name="_PJ_Other_VSA 111014_By Region" xfId="0"/>
    <cellStyle name="_PJ_Other_VSA 111014_CORP SG&amp;A" xfId="0"/>
    <cellStyle name="_PJ_Other_VSA 111014_LCD" xfId="0"/>
    <cellStyle name="_PJ_Other_VSA 111014_PJ" xfId="0"/>
    <cellStyle name="_PJ_Other_VSA Roll-Up (LW)" xfId="0"/>
    <cellStyle name="_PJ_Other_VSA Roll-Up (LW) 2" xfId="0"/>
    <cellStyle name="_PJ_Other_VSA Roll-Up (LW) 3" xfId="0"/>
    <cellStyle name="_PJ_Other_VSA Roll-Up (LW) 4" xfId="0"/>
    <cellStyle name="_PJ_Other_VSA Roll-Up (LW) 4 2" xfId="0"/>
    <cellStyle name="_PJ_Other_VSA Roll-Up (LW)_By Region" xfId="0"/>
    <cellStyle name="_PJ_Other_VSA Roll-Up (LW)_CORP SG&amp;A" xfId="0"/>
    <cellStyle name="_PJ_Other_VSA Roll-Up (LW)_LCD" xfId="0"/>
    <cellStyle name="_PJ_Other_VSA Roll-Up (LW)_PJ" xfId="0"/>
    <cellStyle name="_PJ_PC" xfId="0"/>
    <cellStyle name="_PJ_PC 2" xfId="0"/>
    <cellStyle name="_PJ_PC 3" xfId="0"/>
    <cellStyle name="_PJ_PC 4" xfId="0"/>
    <cellStyle name="_PJ_PC Products" xfId="0"/>
    <cellStyle name="_PJ_PC Products 2" xfId="0"/>
    <cellStyle name="_PJ_PC Products 3" xfId="0"/>
    <cellStyle name="_PJ_PC Products 4" xfId="0"/>
    <cellStyle name="_PJ_PC Products 4 2" xfId="0"/>
    <cellStyle name="_PJ_PC Products_By Region" xfId="0"/>
    <cellStyle name="_PJ_PC Products_CORP SG&amp;A" xfId="0"/>
    <cellStyle name="_PJ_PC Products_LCD" xfId="0"/>
    <cellStyle name="_PJ_PC Products_PJ" xfId="0"/>
    <cellStyle name="_PJ_PC_By Region" xfId="0"/>
    <cellStyle name="_PJ_PC_CORP SG&amp;A" xfId="0"/>
    <cellStyle name="_PJ_PC_DT" xfId="0"/>
    <cellStyle name="_PJ_PC_DT 2" xfId="0"/>
    <cellStyle name="_PJ_PC_DT 3" xfId="0"/>
    <cellStyle name="_PJ_PC_DT_By Region" xfId="0"/>
    <cellStyle name="_PJ_PC_GPS OTHER" xfId="0"/>
    <cellStyle name="_PJ_PC_GPS OTHER 2" xfId="0"/>
    <cellStyle name="_PJ_PC_GPS OTHER 3" xfId="0"/>
    <cellStyle name="_PJ_PC_GPS OTHER 4" xfId="0"/>
    <cellStyle name="_PJ_PC_GPS OTHER 4 2" xfId="0"/>
    <cellStyle name="_PJ_PC_GPS OTHER_By Region" xfId="0"/>
    <cellStyle name="_PJ_PC_GPS OTHER_CORP SG&amp;A" xfId="0"/>
    <cellStyle name="_PJ_PC_GPS OTHER_LCD" xfId="0"/>
    <cellStyle name="_PJ_PC_GPS OTHER_PJ" xfId="0"/>
    <cellStyle name="_PJ_PC_PC Products" xfId="0"/>
    <cellStyle name="_PJ_PC_PC Products 2" xfId="0"/>
    <cellStyle name="_PJ_PC_PC Products 3" xfId="0"/>
    <cellStyle name="_PJ_PC_PC Products 4" xfId="0"/>
    <cellStyle name="_PJ_PC_PC Products 4 2" xfId="0"/>
    <cellStyle name="_PJ_PC_PC Products_By Region" xfId="0"/>
    <cellStyle name="_PJ_PC_PC Products_CORP SG&amp;A" xfId="0"/>
    <cellStyle name="_PJ_PC_PC Products_LCD" xfId="0"/>
    <cellStyle name="_PJ_PC_PC Products_PJ" xfId="0"/>
    <cellStyle name="_PJ_PC_TV" xfId="0"/>
    <cellStyle name="_PJ_PC_TV 2" xfId="0"/>
    <cellStyle name="_PJ_PC_TV 3" xfId="0"/>
    <cellStyle name="_PJ_PC_TV 4" xfId="0"/>
    <cellStyle name="_PJ_PC_TV_By Region" xfId="0"/>
    <cellStyle name="_PJ_PC_TV_CORP SG&amp;A" xfId="0"/>
    <cellStyle name="_PJ_PC_TV_GPS OTHER" xfId="0"/>
    <cellStyle name="_PJ_PC_TV_GPS OTHER 2" xfId="0"/>
    <cellStyle name="_PJ_PC_TV_GPS OTHER 3" xfId="0"/>
    <cellStyle name="_PJ_PC_TV_GPS OTHER 4" xfId="0"/>
    <cellStyle name="_PJ_PC_TV_GPS OTHER 4 2" xfId="0"/>
    <cellStyle name="_PJ_PC_TV_GPS OTHER_By Region" xfId="0"/>
    <cellStyle name="_PJ_PC_TV_GPS OTHER_CORP SG&amp;A" xfId="0"/>
    <cellStyle name="_PJ_PC_TV_GPS OTHER_LCD" xfId="0"/>
    <cellStyle name="_PJ_PC_TV_GPS OTHER_PJ" xfId="0"/>
    <cellStyle name="_PJ_PC_TV_PC Products" xfId="0"/>
    <cellStyle name="_PJ_PC_TV_PC Products 2" xfId="0"/>
    <cellStyle name="_PJ_PC_TV_PC Products 3" xfId="0"/>
    <cellStyle name="_PJ_PC_TV_PC Products 4" xfId="0"/>
    <cellStyle name="_PJ_PC_TV_PC Products 4 2" xfId="0"/>
    <cellStyle name="_PJ_PC_TV_PC Products_By Region" xfId="0"/>
    <cellStyle name="_PJ_PC_TV_PC Products_CORP SG&amp;A" xfId="0"/>
    <cellStyle name="_PJ_PC_TV_PC Products_LCD" xfId="0"/>
    <cellStyle name="_PJ_PC_TV_PC Products_PJ" xfId="0"/>
    <cellStyle name="_PJ_PC_TV_VSA 111014" xfId="0"/>
    <cellStyle name="_PJ_PC_TV_VSA 111014 2" xfId="0"/>
    <cellStyle name="_PJ_PC_TV_VSA 111014 3" xfId="0"/>
    <cellStyle name="_PJ_PC_TV_VSA 111014 4" xfId="0"/>
    <cellStyle name="_PJ_PC_TV_VSA 111014 4 2" xfId="0"/>
    <cellStyle name="_PJ_PC_TV_VSA 111014_By Region" xfId="0"/>
    <cellStyle name="_PJ_PC_TV_VSA 111014_CORP SG&amp;A" xfId="0"/>
    <cellStyle name="_PJ_PC_TV_VSA 111014_LCD" xfId="0"/>
    <cellStyle name="_PJ_PC_TV_VSA 111014_PJ" xfId="0"/>
    <cellStyle name="_PJ_PC_TV_VSA Roll-Up (LW)" xfId="0"/>
    <cellStyle name="_PJ_PC_TV_VSA Roll-Up (LW) 2" xfId="0"/>
    <cellStyle name="_PJ_PC_TV_VSA Roll-Up (LW) 3" xfId="0"/>
    <cellStyle name="_PJ_PC_TV_VSA Roll-Up (LW) 4" xfId="0"/>
    <cellStyle name="_PJ_PC_TV_VSA Roll-Up (LW) 4 2" xfId="0"/>
    <cellStyle name="_PJ_PC_TV_VSA Roll-Up (LW)_By Region" xfId="0"/>
    <cellStyle name="_PJ_PC_TV_VSA Roll-Up (LW)_CORP SG&amp;A" xfId="0"/>
    <cellStyle name="_PJ_PC_TV_VSA Roll-Up (LW)_LCD" xfId="0"/>
    <cellStyle name="_PJ_PC_TV_VSA Roll-Up (LW)_PJ" xfId="0"/>
    <cellStyle name="_PJ_PC_VSA 111014" xfId="0"/>
    <cellStyle name="_PJ_PC_VSA 111014 2" xfId="0"/>
    <cellStyle name="_PJ_PC_VSA 111014 3" xfId="0"/>
    <cellStyle name="_PJ_PC_VSA 111014 4" xfId="0"/>
    <cellStyle name="_PJ_PC_VSA 111014 4 2" xfId="0"/>
    <cellStyle name="_PJ_PC_VSA 111014_By Region" xfId="0"/>
    <cellStyle name="_PJ_PC_VSA 111014_CORP SG&amp;A" xfId="0"/>
    <cellStyle name="_PJ_PC_VSA 111014_LCD" xfId="0"/>
    <cellStyle name="_PJ_PC_VSA 111014_PJ" xfId="0"/>
    <cellStyle name="_PJ_PC_VSA Roll-Up (LW)" xfId="0"/>
    <cellStyle name="_PJ_PC_VSA Roll-Up (LW) 2" xfId="0"/>
    <cellStyle name="_PJ_PC_VSA Roll-Up (LW) 3" xfId="0"/>
    <cellStyle name="_PJ_PC_VSA Roll-Up (LW) 4" xfId="0"/>
    <cellStyle name="_PJ_PC_VSA Roll-Up (LW) 4 2" xfId="0"/>
    <cellStyle name="_PJ_PC_VSA Roll-Up (LW)_By Region" xfId="0"/>
    <cellStyle name="_PJ_PC_VSA Roll-Up (LW)_CORP SG&amp;A" xfId="0"/>
    <cellStyle name="_PJ_PC_VSA Roll-Up (LW)_LCD" xfId="0"/>
    <cellStyle name="_PJ_PC_VSA Roll-Up (LW)_PJ" xfId="0"/>
    <cellStyle name="_PJ_PJ" xfId="0"/>
    <cellStyle name="_PJ_PJ 2" xfId="0"/>
    <cellStyle name="_PJ_PJ 3" xfId="0"/>
    <cellStyle name="_PJ_PJ 4" xfId="0"/>
    <cellStyle name="_PJ_PJ_By Region" xfId="0"/>
    <cellStyle name="_PJ_PJ_CORP SG&amp;A" xfId="0"/>
    <cellStyle name="_PJ_PJ_GPS OTHER" xfId="0"/>
    <cellStyle name="_PJ_PJ_GPS OTHER 2" xfId="0"/>
    <cellStyle name="_PJ_PJ_GPS OTHER 3" xfId="0"/>
    <cellStyle name="_PJ_PJ_GPS OTHER 4" xfId="0"/>
    <cellStyle name="_PJ_PJ_GPS OTHER 4 2" xfId="0"/>
    <cellStyle name="_PJ_PJ_GPS OTHER_By Region" xfId="0"/>
    <cellStyle name="_PJ_PJ_GPS OTHER_CORP SG&amp;A" xfId="0"/>
    <cellStyle name="_PJ_PJ_GPS OTHER_LCD" xfId="0"/>
    <cellStyle name="_PJ_PJ_GPS OTHER_PJ" xfId="0"/>
    <cellStyle name="_PJ_PJ_PC Products" xfId="0"/>
    <cellStyle name="_PJ_PJ_PC Products 2" xfId="0"/>
    <cellStyle name="_PJ_PJ_PC Products 3" xfId="0"/>
    <cellStyle name="_PJ_PJ_PC Products 4" xfId="0"/>
    <cellStyle name="_PJ_PJ_PC Products 4 2" xfId="0"/>
    <cellStyle name="_PJ_PJ_PC Products_By Region" xfId="0"/>
    <cellStyle name="_PJ_PJ_PC Products_CORP SG&amp;A" xfId="0"/>
    <cellStyle name="_PJ_PJ_PC Products_LCD" xfId="0"/>
    <cellStyle name="_PJ_PJ_PC Products_PJ" xfId="0"/>
    <cellStyle name="_PJ_PJ_VSA 111014" xfId="0"/>
    <cellStyle name="_PJ_PJ_VSA 111014 2" xfId="0"/>
    <cellStyle name="_PJ_PJ_VSA 111014 3" xfId="0"/>
    <cellStyle name="_PJ_PJ_VSA 111014 4" xfId="0"/>
    <cellStyle name="_PJ_PJ_VSA 111014 4 2" xfId="0"/>
    <cellStyle name="_PJ_PJ_VSA 111014_By Region" xfId="0"/>
    <cellStyle name="_PJ_PJ_VSA 111014_CORP SG&amp;A" xfId="0"/>
    <cellStyle name="_PJ_PJ_VSA 111014_LCD" xfId="0"/>
    <cellStyle name="_PJ_PJ_VSA 111014_PJ" xfId="0"/>
    <cellStyle name="_PJ_PJ_VSA Roll-Up (LW)" xfId="0"/>
    <cellStyle name="_PJ_PJ_VSA Roll-Up (LW) 2" xfId="0"/>
    <cellStyle name="_PJ_PJ_VSA Roll-Up (LW) 3" xfId="0"/>
    <cellStyle name="_PJ_PJ_VSA Roll-Up (LW) 4" xfId="0"/>
    <cellStyle name="_PJ_PJ_VSA Roll-Up (LW) 4 2" xfId="0"/>
    <cellStyle name="_PJ_PJ_VSA Roll-Up (LW)_By Region" xfId="0"/>
    <cellStyle name="_PJ_PJ_VSA Roll-Up (LW)_CORP SG&amp;A" xfId="0"/>
    <cellStyle name="_PJ_PJ_VSA Roll-Up (LW)_LCD" xfId="0"/>
    <cellStyle name="_PJ_PJ_VSA Roll-Up (LW)_PJ" xfId="0"/>
    <cellStyle name="_PJ_PMP(VPD)" xfId="0"/>
    <cellStyle name="_PJ_PMP(VPD) 2" xfId="0"/>
    <cellStyle name="_PJ_PMP(VPD) 3" xfId="0"/>
    <cellStyle name="_PJ_PMP(VPD) 4" xfId="0"/>
    <cellStyle name="_PJ_PMP(VPD)_By Region" xfId="0"/>
    <cellStyle name="_PJ_PMP(VPD)_CORP SG&amp;A" xfId="0"/>
    <cellStyle name="_PJ_PMP(VPD)_GPS OTHER" xfId="0"/>
    <cellStyle name="_PJ_PMP(VPD)_GPS OTHER 2" xfId="0"/>
    <cellStyle name="_PJ_PMP(VPD)_GPS OTHER 3" xfId="0"/>
    <cellStyle name="_PJ_PMP(VPD)_GPS OTHER 4" xfId="0"/>
    <cellStyle name="_PJ_PMP(VPD)_GPS OTHER 4 2" xfId="0"/>
    <cellStyle name="_PJ_PMP(VPD)_GPS OTHER_By Region" xfId="0"/>
    <cellStyle name="_PJ_PMP(VPD)_GPS OTHER_CORP SG&amp;A" xfId="0"/>
    <cellStyle name="_PJ_PMP(VPD)_GPS OTHER_LCD" xfId="0"/>
    <cellStyle name="_PJ_PMP(VPD)_GPS OTHER_PJ" xfId="0"/>
    <cellStyle name="_PJ_PMP(VPD)_PC Products" xfId="0"/>
    <cellStyle name="_PJ_PMP(VPD)_PC Products 2" xfId="0"/>
    <cellStyle name="_PJ_PMP(VPD)_PC Products 3" xfId="0"/>
    <cellStyle name="_PJ_PMP(VPD)_PC Products 4" xfId="0"/>
    <cellStyle name="_PJ_PMP(VPD)_PC Products 4 2" xfId="0"/>
    <cellStyle name="_PJ_PMP(VPD)_PC Products_By Region" xfId="0"/>
    <cellStyle name="_PJ_PMP(VPD)_PC Products_CORP SG&amp;A" xfId="0"/>
    <cellStyle name="_PJ_PMP(VPD)_PC Products_LCD" xfId="0"/>
    <cellStyle name="_PJ_PMP(VPD)_PC Products_PJ" xfId="0"/>
    <cellStyle name="_PJ_PMP(VPD)_VSA 111014" xfId="0"/>
    <cellStyle name="_PJ_PMP(VPD)_VSA 111014 2" xfId="0"/>
    <cellStyle name="_PJ_PMP(VPD)_VSA 111014 3" xfId="0"/>
    <cellStyle name="_PJ_PMP(VPD)_VSA 111014 4" xfId="0"/>
    <cellStyle name="_PJ_PMP(VPD)_VSA 111014 4 2" xfId="0"/>
    <cellStyle name="_PJ_PMP(VPD)_VSA 111014_By Region" xfId="0"/>
    <cellStyle name="_PJ_PMP(VPD)_VSA 111014_CORP SG&amp;A" xfId="0"/>
    <cellStyle name="_PJ_PMP(VPD)_VSA 111014_LCD" xfId="0"/>
    <cellStyle name="_PJ_PMP(VPD)_VSA 111014_PJ" xfId="0"/>
    <cellStyle name="_PJ_PMP(VPD)_VSA Roll-Up (LW)" xfId="0"/>
    <cellStyle name="_PJ_PMP(VPD)_VSA Roll-Up (LW) 2" xfId="0"/>
    <cellStyle name="_PJ_PMP(VPD)_VSA Roll-Up (LW) 3" xfId="0"/>
    <cellStyle name="_PJ_PMP(VPD)_VSA Roll-Up (LW) 4" xfId="0"/>
    <cellStyle name="_PJ_PMP(VPD)_VSA Roll-Up (LW) 4 2" xfId="0"/>
    <cellStyle name="_PJ_PMP(VPD)_VSA Roll-Up (LW)_By Region" xfId="0"/>
    <cellStyle name="_PJ_PMP(VPD)_VSA Roll-Up (LW)_CORP SG&amp;A" xfId="0"/>
    <cellStyle name="_PJ_PMP(VPD)_VSA Roll-Up (LW)_LCD" xfId="0"/>
    <cellStyle name="_PJ_PMP(VPD)_VSA Roll-Up (LW)_PJ" xfId="0"/>
    <cellStyle name="_PJ_Pocket TV" xfId="0"/>
    <cellStyle name="_PJ_Pocket TV 2" xfId="0"/>
    <cellStyle name="_PJ_Pocket TV 3" xfId="0"/>
    <cellStyle name="_PJ_Pocket TV 4" xfId="0"/>
    <cellStyle name="_PJ_Pocket TV_By Region" xfId="0"/>
    <cellStyle name="_PJ_Pocket TV_CORP SG&amp;A" xfId="0"/>
    <cellStyle name="_PJ_Pocket TV_GPS OTHER" xfId="0"/>
    <cellStyle name="_PJ_Pocket TV_GPS OTHER 2" xfId="0"/>
    <cellStyle name="_PJ_Pocket TV_GPS OTHER 3" xfId="0"/>
    <cellStyle name="_PJ_Pocket TV_GPS OTHER 4" xfId="0"/>
    <cellStyle name="_PJ_Pocket TV_GPS OTHER 4 2" xfId="0"/>
    <cellStyle name="_PJ_Pocket TV_GPS OTHER_By Region" xfId="0"/>
    <cellStyle name="_PJ_Pocket TV_GPS OTHER_CORP SG&amp;A" xfId="0"/>
    <cellStyle name="_PJ_Pocket TV_GPS OTHER_LCD" xfId="0"/>
    <cellStyle name="_PJ_Pocket TV_GPS OTHER_PJ" xfId="0"/>
    <cellStyle name="_PJ_Pocket TV_PC Products" xfId="0"/>
    <cellStyle name="_PJ_Pocket TV_PC Products 2" xfId="0"/>
    <cellStyle name="_PJ_Pocket TV_PC Products 3" xfId="0"/>
    <cellStyle name="_PJ_Pocket TV_PC Products 4" xfId="0"/>
    <cellStyle name="_PJ_Pocket TV_PC Products 4 2" xfId="0"/>
    <cellStyle name="_PJ_Pocket TV_PC Products_By Region" xfId="0"/>
    <cellStyle name="_PJ_Pocket TV_PC Products_CORP SG&amp;A" xfId="0"/>
    <cellStyle name="_PJ_Pocket TV_PC Products_LCD" xfId="0"/>
    <cellStyle name="_PJ_Pocket TV_PC Products_PJ" xfId="0"/>
    <cellStyle name="_PJ_Pocket TV_VSA 111014" xfId="0"/>
    <cellStyle name="_PJ_Pocket TV_VSA 111014 2" xfId="0"/>
    <cellStyle name="_PJ_Pocket TV_VSA 111014 3" xfId="0"/>
    <cellStyle name="_PJ_Pocket TV_VSA 111014 4" xfId="0"/>
    <cellStyle name="_PJ_Pocket TV_VSA 111014 4 2" xfId="0"/>
    <cellStyle name="_PJ_Pocket TV_VSA 111014_By Region" xfId="0"/>
    <cellStyle name="_PJ_Pocket TV_VSA 111014_CORP SG&amp;A" xfId="0"/>
    <cellStyle name="_PJ_Pocket TV_VSA 111014_LCD" xfId="0"/>
    <cellStyle name="_PJ_Pocket TV_VSA 111014_PJ" xfId="0"/>
    <cellStyle name="_PJ_Pocket TV_VSA Roll-Up (LW)" xfId="0"/>
    <cellStyle name="_PJ_Pocket TV_VSA Roll-Up (LW) 2" xfId="0"/>
    <cellStyle name="_PJ_Pocket TV_VSA Roll-Up (LW) 3" xfId="0"/>
    <cellStyle name="_PJ_Pocket TV_VSA Roll-Up (LW) 4" xfId="0"/>
    <cellStyle name="_PJ_Pocket TV_VSA Roll-Up (LW) 4 2" xfId="0"/>
    <cellStyle name="_PJ_Pocket TV_VSA Roll-Up (LW)_By Region" xfId="0"/>
    <cellStyle name="_PJ_Pocket TV_VSA Roll-Up (LW)_CORP SG&amp;A" xfId="0"/>
    <cellStyle name="_PJ_Pocket TV_VSA Roll-Up (LW)_LCD" xfId="0"/>
    <cellStyle name="_PJ_Pocket TV_VSA Roll-Up (LW)_PJ" xfId="0"/>
    <cellStyle name="_PJ_Pocket_TV" xfId="0"/>
    <cellStyle name="_PJ_Pocket_TV 2" xfId="0"/>
    <cellStyle name="_PJ_Pocket_TV 3" xfId="0"/>
    <cellStyle name="_PJ_Pocket_TV 4" xfId="0"/>
    <cellStyle name="_PJ_Pocket_TV_By Region" xfId="0"/>
    <cellStyle name="_PJ_Pocket_TV_CORP SG&amp;A" xfId="0"/>
    <cellStyle name="_PJ_Pocket_TV_GPS OTHER" xfId="0"/>
    <cellStyle name="_PJ_Pocket_TV_GPS OTHER 2" xfId="0"/>
    <cellStyle name="_PJ_Pocket_TV_GPS OTHER 3" xfId="0"/>
    <cellStyle name="_PJ_Pocket_TV_GPS OTHER 4" xfId="0"/>
    <cellStyle name="_PJ_Pocket_TV_GPS OTHER 4 2" xfId="0"/>
    <cellStyle name="_PJ_Pocket_TV_GPS OTHER_By Region" xfId="0"/>
    <cellStyle name="_PJ_Pocket_TV_GPS OTHER_CORP SG&amp;A" xfId="0"/>
    <cellStyle name="_PJ_Pocket_TV_GPS OTHER_LCD" xfId="0"/>
    <cellStyle name="_PJ_Pocket_TV_GPS OTHER_PJ" xfId="0"/>
    <cellStyle name="_PJ_Pocket_TV_PC Products" xfId="0"/>
    <cellStyle name="_PJ_Pocket_TV_PC Products 2" xfId="0"/>
    <cellStyle name="_PJ_Pocket_TV_PC Products 3" xfId="0"/>
    <cellStyle name="_PJ_Pocket_TV_PC Products 4" xfId="0"/>
    <cellStyle name="_PJ_Pocket_TV_PC Products 4 2" xfId="0"/>
    <cellStyle name="_PJ_Pocket_TV_PC Products_By Region" xfId="0"/>
    <cellStyle name="_PJ_Pocket_TV_PC Products_CORP SG&amp;A" xfId="0"/>
    <cellStyle name="_PJ_Pocket_TV_PC Products_LCD" xfId="0"/>
    <cellStyle name="_PJ_Pocket_TV_PC Products_PJ" xfId="0"/>
    <cellStyle name="_PJ_Pocket_TV_VSA 111014" xfId="0"/>
    <cellStyle name="_PJ_Pocket_TV_VSA 111014 2" xfId="0"/>
    <cellStyle name="_PJ_Pocket_TV_VSA 111014 3" xfId="0"/>
    <cellStyle name="_PJ_Pocket_TV_VSA 111014 4" xfId="0"/>
    <cellStyle name="_PJ_Pocket_TV_VSA 111014 4 2" xfId="0"/>
    <cellStyle name="_PJ_Pocket_TV_VSA 111014_By Region" xfId="0"/>
    <cellStyle name="_PJ_Pocket_TV_VSA 111014_CORP SG&amp;A" xfId="0"/>
    <cellStyle name="_PJ_Pocket_TV_VSA 111014_LCD" xfId="0"/>
    <cellStyle name="_PJ_Pocket_TV_VSA 111014_PJ" xfId="0"/>
    <cellStyle name="_PJ_Pocket_TV_VSA Roll-Up (LW)" xfId="0"/>
    <cellStyle name="_PJ_Pocket_TV_VSA Roll-Up (LW) 2" xfId="0"/>
    <cellStyle name="_PJ_Pocket_TV_VSA Roll-Up (LW) 3" xfId="0"/>
    <cellStyle name="_PJ_Pocket_TV_VSA Roll-Up (LW) 4" xfId="0"/>
    <cellStyle name="_PJ_Pocket_TV_VSA Roll-Up (LW) 4 2" xfId="0"/>
    <cellStyle name="_PJ_Pocket_TV_VSA Roll-Up (LW)_By Region" xfId="0"/>
    <cellStyle name="_PJ_Pocket_TV_VSA Roll-Up (LW)_CORP SG&amp;A" xfId="0"/>
    <cellStyle name="_PJ_Pocket_TV_VSA Roll-Up (LW)_LCD" xfId="0"/>
    <cellStyle name="_PJ_Pocket_TV_VSA Roll-Up (LW)_PJ" xfId="0"/>
    <cellStyle name="_PJ_TV" xfId="0"/>
    <cellStyle name="_PJ_TV 2" xfId="0"/>
    <cellStyle name="_PJ_TV 3" xfId="0"/>
    <cellStyle name="_PJ_TV 4" xfId="0"/>
    <cellStyle name="_PJ_TV_By Region" xfId="0"/>
    <cellStyle name="_PJ_TV_CORP SG&amp;A" xfId="0"/>
    <cellStyle name="_PJ_TV_GPS OTHER" xfId="0"/>
    <cellStyle name="_PJ_TV_GPS OTHER 2" xfId="0"/>
    <cellStyle name="_PJ_TV_GPS OTHER 3" xfId="0"/>
    <cellStyle name="_PJ_TV_GPS OTHER 4" xfId="0"/>
    <cellStyle name="_PJ_TV_GPS OTHER 4 2" xfId="0"/>
    <cellStyle name="_PJ_TV_GPS OTHER_By Region" xfId="0"/>
    <cellStyle name="_PJ_TV_GPS OTHER_CORP SG&amp;A" xfId="0"/>
    <cellStyle name="_PJ_TV_GPS OTHER_LCD" xfId="0"/>
    <cellStyle name="_PJ_TV_GPS OTHER_PJ" xfId="0"/>
    <cellStyle name="_PJ_TV_PC Products" xfId="0"/>
    <cellStyle name="_PJ_TV_PC Products 2" xfId="0"/>
    <cellStyle name="_PJ_TV_PC Products 3" xfId="0"/>
    <cellStyle name="_PJ_TV_PC Products 4" xfId="0"/>
    <cellStyle name="_PJ_TV_PC Products 4 2" xfId="0"/>
    <cellStyle name="_PJ_TV_PC Products_By Region" xfId="0"/>
    <cellStyle name="_PJ_TV_PC Products_CORP SG&amp;A" xfId="0"/>
    <cellStyle name="_PJ_TV_PC Products_LCD" xfId="0"/>
    <cellStyle name="_PJ_TV_PC Products_PJ" xfId="0"/>
    <cellStyle name="_PJ_TV_VSA 111014" xfId="0"/>
    <cellStyle name="_PJ_TV_VSA 111014 2" xfId="0"/>
    <cellStyle name="_PJ_TV_VSA 111014 3" xfId="0"/>
    <cellStyle name="_PJ_TV_VSA 111014 4" xfId="0"/>
    <cellStyle name="_PJ_TV_VSA 111014 4 2" xfId="0"/>
    <cellStyle name="_PJ_TV_VSA 111014_By Region" xfId="0"/>
    <cellStyle name="_PJ_TV_VSA 111014_CORP SG&amp;A" xfId="0"/>
    <cellStyle name="_PJ_TV_VSA 111014_LCD" xfId="0"/>
    <cellStyle name="_PJ_TV_VSA 111014_PJ" xfId="0"/>
    <cellStyle name="_PJ_TV_VSA Roll-Up (LW)" xfId="0"/>
    <cellStyle name="_PJ_TV_VSA Roll-Up (LW) 2" xfId="0"/>
    <cellStyle name="_PJ_TV_VSA Roll-Up (LW) 3" xfId="0"/>
    <cellStyle name="_PJ_TV_VSA Roll-Up (LW) 4" xfId="0"/>
    <cellStyle name="_PJ_TV_VSA Roll-Up (LW) 4 2" xfId="0"/>
    <cellStyle name="_PJ_TV_VSA Roll-Up (LW)_By Region" xfId="0"/>
    <cellStyle name="_PJ_TV_VSA Roll-Up (LW)_CORP SG&amp;A" xfId="0"/>
    <cellStyle name="_PJ_TV_VSA Roll-Up (LW)_LCD" xfId="0"/>
    <cellStyle name="_PJ_TV_VSA Roll-Up (LW)_PJ" xfId="0"/>
    <cellStyle name="_PJ_VD" xfId="0"/>
    <cellStyle name="_PJ_VD 2" xfId="0"/>
    <cellStyle name="_PJ_VD 3" xfId="0"/>
    <cellStyle name="_PJ_VD 4" xfId="0"/>
    <cellStyle name="_PJ_VD_By Region" xfId="0"/>
    <cellStyle name="_PJ_VD_CORP SG&amp;A" xfId="0"/>
    <cellStyle name="_PJ_VD_GPS OTHER" xfId="0"/>
    <cellStyle name="_PJ_VD_GPS OTHER 2" xfId="0"/>
    <cellStyle name="_PJ_VD_GPS OTHER 3" xfId="0"/>
    <cellStyle name="_PJ_VD_GPS OTHER 4" xfId="0"/>
    <cellStyle name="_PJ_VD_GPS OTHER 4 2" xfId="0"/>
    <cellStyle name="_PJ_VD_GPS OTHER_By Region" xfId="0"/>
    <cellStyle name="_PJ_VD_GPS OTHER_CORP SG&amp;A" xfId="0"/>
    <cellStyle name="_PJ_VD_GPS OTHER_LCD" xfId="0"/>
    <cellStyle name="_PJ_VD_GPS OTHER_PJ" xfId="0"/>
    <cellStyle name="_PJ_VD_PC Products" xfId="0"/>
    <cellStyle name="_PJ_VD_PC Products 2" xfId="0"/>
    <cellStyle name="_PJ_VD_PC Products 3" xfId="0"/>
    <cellStyle name="_PJ_VD_PC Products 4" xfId="0"/>
    <cellStyle name="_PJ_VD_PC Products 4 2" xfId="0"/>
    <cellStyle name="_PJ_VD_PC Products_By Region" xfId="0"/>
    <cellStyle name="_PJ_VD_PC Products_CORP SG&amp;A" xfId="0"/>
    <cellStyle name="_PJ_VD_PC Products_LCD" xfId="0"/>
    <cellStyle name="_PJ_VD_PC Products_PJ" xfId="0"/>
    <cellStyle name="_PJ_VD_VSA 111014" xfId="0"/>
    <cellStyle name="_PJ_VD_VSA 111014 2" xfId="0"/>
    <cellStyle name="_PJ_VD_VSA 111014 3" xfId="0"/>
    <cellStyle name="_PJ_VD_VSA 111014 4" xfId="0"/>
    <cellStyle name="_PJ_VD_VSA 111014 4 2" xfId="0"/>
    <cellStyle name="_PJ_VD_VSA 111014_By Region" xfId="0"/>
    <cellStyle name="_PJ_VD_VSA 111014_CORP SG&amp;A" xfId="0"/>
    <cellStyle name="_PJ_VD_VSA 111014_LCD" xfId="0"/>
    <cellStyle name="_PJ_VD_VSA 111014_PJ" xfId="0"/>
    <cellStyle name="_PJ_VD_VSA Roll-Up (LW)" xfId="0"/>
    <cellStyle name="_PJ_VD_VSA Roll-Up (LW) 2" xfId="0"/>
    <cellStyle name="_PJ_VD_VSA Roll-Up (LW) 3" xfId="0"/>
    <cellStyle name="_PJ_VD_VSA Roll-Up (LW) 4" xfId="0"/>
    <cellStyle name="_PJ_VD_VSA Roll-Up (LW) 4 2" xfId="0"/>
    <cellStyle name="_PJ_VD_VSA Roll-Up (LW)_By Region" xfId="0"/>
    <cellStyle name="_PJ_VD_VSA Roll-Up (LW)_CORP SG&amp;A" xfId="0"/>
    <cellStyle name="_PJ_VD_VSA Roll-Up (LW)_LCD" xfId="0"/>
    <cellStyle name="_PJ_VD_VSA Roll-Up (LW)_PJ" xfId="0"/>
    <cellStyle name="_PJ_VSA 111014" xfId="0"/>
    <cellStyle name="_PJ_VSA 111014 2" xfId="0"/>
    <cellStyle name="_PJ_VSA 111014 3" xfId="0"/>
    <cellStyle name="_PJ_VSA 111014 4" xfId="0"/>
    <cellStyle name="_PJ_VSA 111014 4 2" xfId="0"/>
    <cellStyle name="_PJ_VSA 111014_By Region" xfId="0"/>
    <cellStyle name="_PJ_VSA 111014_CORP SG&amp;A" xfId="0"/>
    <cellStyle name="_PJ_VSA 111014_LCD" xfId="0"/>
    <cellStyle name="_PJ_VSA 111014_PJ" xfId="0"/>
    <cellStyle name="_PJ_VSA Roll-Up (LW)" xfId="0"/>
    <cellStyle name="_PJ_VSA Roll-Up (LW) 2" xfId="0"/>
    <cellStyle name="_PJ_VSA Roll-Up (LW) 3" xfId="0"/>
    <cellStyle name="_PJ_VSA Roll-Up (LW) 4" xfId="0"/>
    <cellStyle name="_PJ_VSA Roll-Up (LW) 4 2" xfId="0"/>
    <cellStyle name="_PJ_VSA Roll-Up (LW)_By Region" xfId="0"/>
    <cellStyle name="_PJ_VSA Roll-Up (LW)_CORP SG&amp;A" xfId="0"/>
    <cellStyle name="_PJ_VSA Roll-Up (LW)_LCD" xfId="0"/>
    <cellStyle name="_PJ_VSA Roll-Up (LW)_PJ" xfId="0"/>
    <cellStyle name="_PJ_VSE 2011 Budget" xfId="0"/>
    <cellStyle name="_PJ_VSE 2011 Budget 2" xfId="0"/>
    <cellStyle name="_PJ_VSE 2011 Budget 3" xfId="0"/>
    <cellStyle name="_PJ_VSE 2011 Budget 4" xfId="0"/>
    <cellStyle name="_PJ_VSE 2011 Budget_By Region" xfId="0"/>
    <cellStyle name="_PJ_VSE 2011 Budget_CORP SG&amp;A" xfId="0"/>
    <cellStyle name="_PJ_VSE 2011 Budget_GPS OTHER" xfId="0"/>
    <cellStyle name="_PJ_VSE 2011 Budget_GPS OTHER 2" xfId="0"/>
    <cellStyle name="_PJ_VSE 2011 Budget_GPS OTHER 3" xfId="0"/>
    <cellStyle name="_PJ_VSE 2011 Budget_GPS OTHER 4" xfId="0"/>
    <cellStyle name="_PJ_VSE 2011 Budget_GPS OTHER 4 2" xfId="0"/>
    <cellStyle name="_PJ_VSE 2011 Budget_GPS OTHER_By Region" xfId="0"/>
    <cellStyle name="_PJ_VSE 2011 Budget_GPS OTHER_CORP SG&amp;A" xfId="0"/>
    <cellStyle name="_PJ_VSE 2011 Budget_GPS OTHER_LCD" xfId="0"/>
    <cellStyle name="_PJ_VSE 2011 Budget_GPS OTHER_PJ" xfId="0"/>
    <cellStyle name="_PJ_VSE 2011 Budget_PC Products" xfId="0"/>
    <cellStyle name="_PJ_VSE 2011 Budget_PC Products 2" xfId="0"/>
    <cellStyle name="_PJ_VSE 2011 Budget_PC Products 3" xfId="0"/>
    <cellStyle name="_PJ_VSE 2011 Budget_PC Products 4" xfId="0"/>
    <cellStyle name="_PJ_VSE 2011 Budget_PC Products 4 2" xfId="0"/>
    <cellStyle name="_PJ_VSE 2011 Budget_PC Products_By Region" xfId="0"/>
    <cellStyle name="_PJ_VSE 2011 Budget_PC Products_CORP SG&amp;A" xfId="0"/>
    <cellStyle name="_PJ_VSE 2011 Budget_PC Products_LCD" xfId="0"/>
    <cellStyle name="_PJ_VSE 2011 Budget_PC Products_PJ" xfId="0"/>
    <cellStyle name="_PJ_VSE 2011 Budget_VSA 111014" xfId="0"/>
    <cellStyle name="_PJ_VSE 2011 Budget_VSA 111014 2" xfId="0"/>
    <cellStyle name="_PJ_VSE 2011 Budget_VSA 111014 3" xfId="0"/>
    <cellStyle name="_PJ_VSE 2011 Budget_VSA 111014 4" xfId="0"/>
    <cellStyle name="_PJ_VSE 2011 Budget_VSA 111014 4 2" xfId="0"/>
    <cellStyle name="_PJ_VSE 2011 Budget_VSA 111014_By Region" xfId="0"/>
    <cellStyle name="_PJ_VSE 2011 Budget_VSA 111014_CORP SG&amp;A" xfId="0"/>
    <cellStyle name="_PJ_VSE 2011 Budget_VSA 111014_LCD" xfId="0"/>
    <cellStyle name="_PJ_VSE 2011 Budget_VSA 111014_PJ" xfId="0"/>
    <cellStyle name="_PJ_VSE 2011 Budget_VSA Roll-Up (LW)" xfId="0"/>
    <cellStyle name="_PJ_VSE 2011 Budget_VSA Roll-Up (LW) 2" xfId="0"/>
    <cellStyle name="_PJ_VSE 2011 Budget_VSA Roll-Up (LW) 3" xfId="0"/>
    <cellStyle name="_PJ_VSE 2011 Budget_VSA Roll-Up (LW) 4" xfId="0"/>
    <cellStyle name="_PJ_VSE 2011 Budget_VSA Roll-Up (LW) 4 2" xfId="0"/>
    <cellStyle name="_PJ_VSE 2011 Budget_VSA Roll-Up (LW)_By Region" xfId="0"/>
    <cellStyle name="_PJ_VSE 2011 Budget_VSA Roll-Up (LW)_CORP SG&amp;A" xfId="0"/>
    <cellStyle name="_PJ_VSE 2011 Budget_VSA Roll-Up (LW)_LCD" xfId="0"/>
    <cellStyle name="_PJ_VSE 2011 Budget_VSA Roll-Up (LW)_PJ" xfId="0"/>
    <cellStyle name="_PJ_VSE 2H  WFP review (Spring Global meeting)-conservative Adam working v3" xfId="0"/>
    <cellStyle name="_PJ_VSE 2H  WFP review (Spring Global meeting)-conservative Adam working v3 2" xfId="0"/>
    <cellStyle name="_PJ_VSE 2H  WFP review (Spring Global meeting)-conservative Adam working v3 3" xfId="0"/>
    <cellStyle name="_PJ_VSE 2H Rebalance 110712" xfId="0"/>
    <cellStyle name="_PJ_VSE 2H Rebalance 110712 2" xfId="0"/>
    <cellStyle name="_PJ_VSE 2H Rebalance 110712 3" xfId="0"/>
    <cellStyle name="_PJ_VSE 2H Rebalance 110712 4" xfId="0"/>
    <cellStyle name="_PJ_VSE 2H Rebalance 110712_By Region" xfId="0"/>
    <cellStyle name="_PJ_VSE 2H Rebalance 110712_CORP SG&amp;A" xfId="0"/>
    <cellStyle name="_PJ_VSE WFP 101203" xfId="0"/>
    <cellStyle name="_PJ_VSE WFP 101203 2" xfId="0"/>
    <cellStyle name="_PJ_VSE WFP 101203 3" xfId="0"/>
    <cellStyle name="_PJ_VSE WFP 101203 4" xfId="0"/>
    <cellStyle name="_PJ_VSE WFP 101203_By Region" xfId="0"/>
    <cellStyle name="_PJ_VSE WFP 101203_CORP SG&amp;A" xfId="0"/>
    <cellStyle name="_PJ_VSE WFP 110311" xfId="0"/>
    <cellStyle name="_PJ_VSE WFP 110311 2" xfId="0"/>
    <cellStyle name="_PJ_VSE WFP 110311 3" xfId="0"/>
    <cellStyle name="_PJ_VSE WFP 110311 4" xfId="0"/>
    <cellStyle name="_PJ_VSE WFP 110311_By Region" xfId="0"/>
    <cellStyle name="_PJ_VSE WFP 110311_CORP SG&amp;A" xfId="0"/>
    <cellStyle name="_PJ_VSE WFP 110415" xfId="0"/>
    <cellStyle name="_PJ_VSE WFP 110415 2" xfId="0"/>
    <cellStyle name="_PJ_VSE WFP 110415 3" xfId="0"/>
    <cellStyle name="_PJ_VSE WFP 110415 4" xfId="0"/>
    <cellStyle name="_PJ_VSE WFP 110415_By Region" xfId="0"/>
    <cellStyle name="_PJ_VSE WFP 110415_CORP SG&amp;A" xfId="0"/>
    <cellStyle name="_PJ_VSE WFP_100409" xfId="0"/>
    <cellStyle name="_PJ_VSE WFP_100409 2" xfId="0"/>
    <cellStyle name="_PJ_VSE WFP_100409 3" xfId="0"/>
    <cellStyle name="_PJ_VSE WFP_100409 4" xfId="0"/>
    <cellStyle name="_PJ_VSE WFP_100409_By Region" xfId="0"/>
    <cellStyle name="_PJ_VSE WFP_100409_CORP SG&amp;A" xfId="0"/>
    <cellStyle name="_PJ_VSE WFP_100409_GPS OTHER" xfId="0"/>
    <cellStyle name="_PJ_VSE WFP_100409_GPS OTHER 2" xfId="0"/>
    <cellStyle name="_PJ_VSE WFP_100409_GPS OTHER 3" xfId="0"/>
    <cellStyle name="_PJ_VSE WFP_100409_GPS OTHER 4" xfId="0"/>
    <cellStyle name="_PJ_VSE WFP_100409_GPS OTHER 4 2" xfId="0"/>
    <cellStyle name="_PJ_VSE WFP_100409_GPS OTHER_By Region" xfId="0"/>
    <cellStyle name="_PJ_VSE WFP_100409_GPS OTHER_CORP SG&amp;A" xfId="0"/>
    <cellStyle name="_PJ_VSE WFP_100409_GPS OTHER_LCD" xfId="0"/>
    <cellStyle name="_PJ_VSE WFP_100409_GPS OTHER_PJ" xfId="0"/>
    <cellStyle name="_PJ_VSE WFP_100409_PC Products" xfId="0"/>
    <cellStyle name="_PJ_VSE WFP_100409_PC Products 2" xfId="0"/>
    <cellStyle name="_PJ_VSE WFP_100409_PC Products 3" xfId="0"/>
    <cellStyle name="_PJ_VSE WFP_100409_PC Products 4" xfId="0"/>
    <cellStyle name="_PJ_VSE WFP_100409_PC Products 4 2" xfId="0"/>
    <cellStyle name="_PJ_VSE WFP_100409_PC Products_By Region" xfId="0"/>
    <cellStyle name="_PJ_VSE WFP_100409_PC Products_CORP SG&amp;A" xfId="0"/>
    <cellStyle name="_PJ_VSE WFP_100409_PC Products_LCD" xfId="0"/>
    <cellStyle name="_PJ_VSE WFP_100409_PC Products_PJ" xfId="0"/>
    <cellStyle name="_PJ_VSE WFP_100409_VSA 111014" xfId="0"/>
    <cellStyle name="_PJ_VSE WFP_100409_VSA 111014 2" xfId="0"/>
    <cellStyle name="_PJ_VSE WFP_100409_VSA 111014 3" xfId="0"/>
    <cellStyle name="_PJ_VSE WFP_100409_VSA 111014 4" xfId="0"/>
    <cellStyle name="_PJ_VSE WFP_100409_VSA 111014 4 2" xfId="0"/>
    <cellStyle name="_PJ_VSE WFP_100409_VSA 111014_By Region" xfId="0"/>
    <cellStyle name="_PJ_VSE WFP_100409_VSA 111014_CORP SG&amp;A" xfId="0"/>
    <cellStyle name="_PJ_VSE WFP_100409_VSA 111014_LCD" xfId="0"/>
    <cellStyle name="_PJ_VSE WFP_100409_VSA 111014_PJ" xfId="0"/>
    <cellStyle name="_PJ_VSE WFP_100409_VSA Roll-Up (LW)" xfId="0"/>
    <cellStyle name="_PJ_VSE WFP_100409_VSA Roll-Up (LW) 2" xfId="0"/>
    <cellStyle name="_PJ_VSE WFP_100409_VSA Roll-Up (LW) 3" xfId="0"/>
    <cellStyle name="_PJ_VSE WFP_100409_VSA Roll-Up (LW) 4" xfId="0"/>
    <cellStyle name="_PJ_VSE WFP_100409_VSA Roll-Up (LW) 4 2" xfId="0"/>
    <cellStyle name="_PJ_VSE WFP_100409_VSA Roll-Up (LW)_By Region" xfId="0"/>
    <cellStyle name="_PJ_VSE WFP_100409_VSA Roll-Up (LW)_CORP SG&amp;A" xfId="0"/>
    <cellStyle name="_PJ_VSE WFP_100409_VSA Roll-Up (LW)_LCD" xfId="0"/>
    <cellStyle name="_PJ_VSE WFP_100409_VSA Roll-Up (LW)_PJ" xfId="0"/>
    <cellStyle name="_PJ_VSE WFP_100421 v2" xfId="0"/>
    <cellStyle name="_PJ_VSE WFP_100421 v2 2" xfId="0"/>
    <cellStyle name="_PJ_VSE WFP_100421 v2 3" xfId="0"/>
    <cellStyle name="_PJ_VSE WFP_100421 v2 4" xfId="0"/>
    <cellStyle name="_PJ_VSE WFP_100421 v2_By Region" xfId="0"/>
    <cellStyle name="_PJ_VSE WFP_100421 v2_CORP SG&amp;A" xfId="0"/>
    <cellStyle name="_PJ_VSE WFP_100421 v2_GPS OTHER" xfId="0"/>
    <cellStyle name="_PJ_VSE WFP_100421 v2_GPS OTHER 2" xfId="0"/>
    <cellStyle name="_PJ_VSE WFP_100421 v2_GPS OTHER 3" xfId="0"/>
    <cellStyle name="_PJ_VSE WFP_100421 v2_GPS OTHER 4" xfId="0"/>
    <cellStyle name="_PJ_VSE WFP_100421 v2_GPS OTHER 4 2" xfId="0"/>
    <cellStyle name="_PJ_VSE WFP_100421 v2_GPS OTHER_By Region" xfId="0"/>
    <cellStyle name="_PJ_VSE WFP_100421 v2_GPS OTHER_CORP SG&amp;A" xfId="0"/>
    <cellStyle name="_PJ_VSE WFP_100421 v2_GPS OTHER_LCD" xfId="0"/>
    <cellStyle name="_PJ_VSE WFP_100421 v2_GPS OTHER_PJ" xfId="0"/>
    <cellStyle name="_PJ_VSE WFP_100421 v2_PC Products" xfId="0"/>
    <cellStyle name="_PJ_VSE WFP_100421 v2_PC Products 2" xfId="0"/>
    <cellStyle name="_PJ_VSE WFP_100421 v2_PC Products 3" xfId="0"/>
    <cellStyle name="_PJ_VSE WFP_100421 v2_PC Products 4" xfId="0"/>
    <cellStyle name="_PJ_VSE WFP_100421 v2_PC Products 4 2" xfId="0"/>
    <cellStyle name="_PJ_VSE WFP_100421 v2_PC Products_By Region" xfId="0"/>
    <cellStyle name="_PJ_VSE WFP_100421 v2_PC Products_CORP SG&amp;A" xfId="0"/>
    <cellStyle name="_PJ_VSE WFP_100421 v2_PC Products_LCD" xfId="0"/>
    <cellStyle name="_PJ_VSE WFP_100421 v2_PC Products_PJ" xfId="0"/>
    <cellStyle name="_PJ_VSE WFP_100421 v2_VSA 111014" xfId="0"/>
    <cellStyle name="_PJ_VSE WFP_100421 v2_VSA 111014 2" xfId="0"/>
    <cellStyle name="_PJ_VSE WFP_100421 v2_VSA 111014 3" xfId="0"/>
    <cellStyle name="_PJ_VSE WFP_100421 v2_VSA 111014 4" xfId="0"/>
    <cellStyle name="_PJ_VSE WFP_100421 v2_VSA 111014 4 2" xfId="0"/>
    <cellStyle name="_PJ_VSE WFP_100421 v2_VSA 111014_By Region" xfId="0"/>
    <cellStyle name="_PJ_VSE WFP_100421 v2_VSA 111014_CORP SG&amp;A" xfId="0"/>
    <cellStyle name="_PJ_VSE WFP_100421 v2_VSA 111014_LCD" xfId="0"/>
    <cellStyle name="_PJ_VSE WFP_100421 v2_VSA 111014_PJ" xfId="0"/>
    <cellStyle name="_PJ_VSE WFP_100421 v2_VSA Roll-Up (LW)" xfId="0"/>
    <cellStyle name="_PJ_VSE WFP_100421 v2_VSA Roll-Up (LW) 2" xfId="0"/>
    <cellStyle name="_PJ_VSE WFP_100421 v2_VSA Roll-Up (LW) 3" xfId="0"/>
    <cellStyle name="_PJ_VSE WFP_100421 v2_VSA Roll-Up (LW) 4" xfId="0"/>
    <cellStyle name="_PJ_VSE WFP_100421 v2_VSA Roll-Up (LW) 4 2" xfId="0"/>
    <cellStyle name="_PJ_VSE WFP_100421 v2_VSA Roll-Up (LW)_By Region" xfId="0"/>
    <cellStyle name="_PJ_VSE WFP_100421 v2_VSA Roll-Up (LW)_CORP SG&amp;A" xfId="0"/>
    <cellStyle name="_PJ_VSE WFP_100421 v2_VSA Roll-Up (LW)_LCD" xfId="0"/>
    <cellStyle name="_PJ_VSE WFP_100421 v2_VSA Roll-Up (LW)_PJ" xfId="0"/>
    <cellStyle name="_PJ_VSE WFP_100507" xfId="0"/>
    <cellStyle name="_PJ_VSE WFP_100507 2" xfId="0"/>
    <cellStyle name="_PJ_VSE WFP_100507 3" xfId="0"/>
    <cellStyle name="_PJ_VSE WFP_100507 4" xfId="0"/>
    <cellStyle name="_PJ_VSE WFP_100507_By Region" xfId="0"/>
    <cellStyle name="_PJ_VSE WFP_100507_CORP SG&amp;A" xfId="0"/>
    <cellStyle name="_PJ_VSE WFP_100507_GPS OTHER" xfId="0"/>
    <cellStyle name="_PJ_VSE WFP_100507_GPS OTHER 2" xfId="0"/>
    <cellStyle name="_PJ_VSE WFP_100507_GPS OTHER 3" xfId="0"/>
    <cellStyle name="_PJ_VSE WFP_100507_GPS OTHER 4" xfId="0"/>
    <cellStyle name="_PJ_VSE WFP_100507_GPS OTHER 4 2" xfId="0"/>
    <cellStyle name="_PJ_VSE WFP_100507_GPS OTHER_By Region" xfId="0"/>
    <cellStyle name="_PJ_VSE WFP_100507_GPS OTHER_CORP SG&amp;A" xfId="0"/>
    <cellStyle name="_PJ_VSE WFP_100507_GPS OTHER_LCD" xfId="0"/>
    <cellStyle name="_PJ_VSE WFP_100507_GPS OTHER_PJ" xfId="0"/>
    <cellStyle name="_PJ_VSE WFP_100507_PC Products" xfId="0"/>
    <cellStyle name="_PJ_VSE WFP_100507_PC Products 2" xfId="0"/>
    <cellStyle name="_PJ_VSE WFP_100507_PC Products 3" xfId="0"/>
    <cellStyle name="_PJ_VSE WFP_100507_PC Products 4" xfId="0"/>
    <cellStyle name="_PJ_VSE WFP_100507_PC Products 4 2" xfId="0"/>
    <cellStyle name="_PJ_VSE WFP_100507_PC Products_By Region" xfId="0"/>
    <cellStyle name="_PJ_VSE WFP_100507_PC Products_CORP SG&amp;A" xfId="0"/>
    <cellStyle name="_PJ_VSE WFP_100507_PC Products_LCD" xfId="0"/>
    <cellStyle name="_PJ_VSE WFP_100507_PC Products_PJ" xfId="0"/>
    <cellStyle name="_PJ_VSE WFP_100507_VSA 111014" xfId="0"/>
    <cellStyle name="_PJ_VSE WFP_100507_VSA 111014 2" xfId="0"/>
    <cellStyle name="_PJ_VSE WFP_100507_VSA 111014 3" xfId="0"/>
    <cellStyle name="_PJ_VSE WFP_100507_VSA 111014 4" xfId="0"/>
    <cellStyle name="_PJ_VSE WFP_100507_VSA 111014 4 2" xfId="0"/>
    <cellStyle name="_PJ_VSE WFP_100507_VSA 111014_By Region" xfId="0"/>
    <cellStyle name="_PJ_VSE WFP_100507_VSA 111014_CORP SG&amp;A" xfId="0"/>
    <cellStyle name="_PJ_VSE WFP_100507_VSA 111014_LCD" xfId="0"/>
    <cellStyle name="_PJ_VSE WFP_100507_VSA 111014_PJ" xfId="0"/>
    <cellStyle name="_PJ_VSE WFP_100507_VSA Roll-Up (LW)" xfId="0"/>
    <cellStyle name="_PJ_VSE WFP_100507_VSA Roll-Up (LW) 2" xfId="0"/>
    <cellStyle name="_PJ_VSE WFP_100507_VSA Roll-Up (LW) 3" xfId="0"/>
    <cellStyle name="_PJ_VSE WFP_100507_VSA Roll-Up (LW) 4" xfId="0"/>
    <cellStyle name="_PJ_VSE WFP_100507_VSA Roll-Up (LW) 4 2" xfId="0"/>
    <cellStyle name="_PJ_VSE WFP_100507_VSA Roll-Up (LW)_By Region" xfId="0"/>
    <cellStyle name="_PJ_VSE WFP_100507_VSA Roll-Up (LW)_CORP SG&amp;A" xfId="0"/>
    <cellStyle name="_PJ_VSE WFP_100507_VSA Roll-Up (LW)_LCD" xfId="0"/>
    <cellStyle name="_PJ_VSE WFP_100507_VSA Roll-Up (LW)_PJ" xfId="0"/>
    <cellStyle name="_PJ_VSE WFP_100608" xfId="0"/>
    <cellStyle name="_PJ_VSE WFP_100608 2" xfId="0"/>
    <cellStyle name="_PJ_VSE WFP_100608 3" xfId="0"/>
    <cellStyle name="_PJ_VSE WFP_100608 4" xfId="0"/>
    <cellStyle name="_PJ_VSE WFP_100608_By Region" xfId="0"/>
    <cellStyle name="_PJ_VSE WFP_100608_CORP SG&amp;A" xfId="0"/>
    <cellStyle name="_PJ_VSE WFP_100608_GPS OTHER" xfId="0"/>
    <cellStyle name="_PJ_VSE WFP_100608_GPS OTHER 2" xfId="0"/>
    <cellStyle name="_PJ_VSE WFP_100608_GPS OTHER 3" xfId="0"/>
    <cellStyle name="_PJ_VSE WFP_100608_GPS OTHER 4" xfId="0"/>
    <cellStyle name="_PJ_VSE WFP_100608_GPS OTHER 4 2" xfId="0"/>
    <cellStyle name="_PJ_VSE WFP_100608_GPS OTHER_By Region" xfId="0"/>
    <cellStyle name="_PJ_VSE WFP_100608_GPS OTHER_CORP SG&amp;A" xfId="0"/>
    <cellStyle name="_PJ_VSE WFP_100608_GPS OTHER_LCD" xfId="0"/>
    <cellStyle name="_PJ_VSE WFP_100608_GPS OTHER_PJ" xfId="0"/>
    <cellStyle name="_PJ_VSE WFP_100608_PC Products" xfId="0"/>
    <cellStyle name="_PJ_VSE WFP_100608_PC Products 2" xfId="0"/>
    <cellStyle name="_PJ_VSE WFP_100608_PC Products 3" xfId="0"/>
    <cellStyle name="_PJ_VSE WFP_100608_PC Products 4" xfId="0"/>
    <cellStyle name="_PJ_VSE WFP_100608_PC Products 4 2" xfId="0"/>
    <cellStyle name="_PJ_VSE WFP_100608_PC Products_By Region" xfId="0"/>
    <cellStyle name="_PJ_VSE WFP_100608_PC Products_CORP SG&amp;A" xfId="0"/>
    <cellStyle name="_PJ_VSE WFP_100608_PC Products_LCD" xfId="0"/>
    <cellStyle name="_PJ_VSE WFP_100608_PC Products_PJ" xfId="0"/>
    <cellStyle name="_PJ_VSE WFP_100608_VSA 111014" xfId="0"/>
    <cellStyle name="_PJ_VSE WFP_100608_VSA 111014 2" xfId="0"/>
    <cellStyle name="_PJ_VSE WFP_100608_VSA 111014 3" xfId="0"/>
    <cellStyle name="_PJ_VSE WFP_100608_VSA 111014 4" xfId="0"/>
    <cellStyle name="_PJ_VSE WFP_100608_VSA 111014 4 2" xfId="0"/>
    <cellStyle name="_PJ_VSE WFP_100608_VSA 111014_By Region" xfId="0"/>
    <cellStyle name="_PJ_VSE WFP_100608_VSA 111014_CORP SG&amp;A" xfId="0"/>
    <cellStyle name="_PJ_VSE WFP_100608_VSA 111014_LCD" xfId="0"/>
    <cellStyle name="_PJ_VSE WFP_100608_VSA 111014_PJ" xfId="0"/>
    <cellStyle name="_PJ_VSE WFP_100608_VSA Roll-Up (LW)" xfId="0"/>
    <cellStyle name="_PJ_VSE WFP_100608_VSA Roll-Up (LW) 2" xfId="0"/>
    <cellStyle name="_PJ_VSE WFP_100608_VSA Roll-Up (LW) 3" xfId="0"/>
    <cellStyle name="_PJ_VSE WFP_100608_VSA Roll-Up (LW) 4" xfId="0"/>
    <cellStyle name="_PJ_VSE WFP_100608_VSA Roll-Up (LW) 4 2" xfId="0"/>
    <cellStyle name="_PJ_VSE WFP_100608_VSA Roll-Up (LW)_By Region" xfId="0"/>
    <cellStyle name="_PJ_VSE WFP_100608_VSA Roll-Up (LW)_CORP SG&amp;A" xfId="0"/>
    <cellStyle name="_PJ_VSE WFP_100608_VSA Roll-Up (LW)_LCD" xfId="0"/>
    <cellStyle name="_PJ_VSE WFP_100608_VSA Roll-Up (LW)_PJ" xfId="0"/>
    <cellStyle name="_PJ_VSE WFP_100625" xfId="0"/>
    <cellStyle name="_PJ_VSE WFP_100625 2" xfId="0"/>
    <cellStyle name="_PJ_VSE WFP_100625 3" xfId="0"/>
    <cellStyle name="_PJ_VSE WFP_100625 4" xfId="0"/>
    <cellStyle name="_PJ_VSE WFP_100625_By Region" xfId="0"/>
    <cellStyle name="_PJ_VSE WFP_100625_CORP SG&amp;A" xfId="0"/>
    <cellStyle name="_PJ_VSE WFP_100625_GPS OTHER" xfId="0"/>
    <cellStyle name="_PJ_VSE WFP_100625_GPS OTHER 2" xfId="0"/>
    <cellStyle name="_PJ_VSE WFP_100625_GPS OTHER 3" xfId="0"/>
    <cellStyle name="_PJ_VSE WFP_100625_GPS OTHER 4" xfId="0"/>
    <cellStyle name="_PJ_VSE WFP_100625_GPS OTHER 4 2" xfId="0"/>
    <cellStyle name="_PJ_VSE WFP_100625_GPS OTHER_By Region" xfId="0"/>
    <cellStyle name="_PJ_VSE WFP_100625_GPS OTHER_CORP SG&amp;A" xfId="0"/>
    <cellStyle name="_PJ_VSE WFP_100625_GPS OTHER_LCD" xfId="0"/>
    <cellStyle name="_PJ_VSE WFP_100625_GPS OTHER_PJ" xfId="0"/>
    <cellStyle name="_PJ_VSE WFP_100625_PC Products" xfId="0"/>
    <cellStyle name="_PJ_VSE WFP_100625_PC Products 2" xfId="0"/>
    <cellStyle name="_PJ_VSE WFP_100625_PC Products 3" xfId="0"/>
    <cellStyle name="_PJ_VSE WFP_100625_PC Products 4" xfId="0"/>
    <cellStyle name="_PJ_VSE WFP_100625_PC Products 4 2" xfId="0"/>
    <cellStyle name="_PJ_VSE WFP_100625_PC Products_By Region" xfId="0"/>
    <cellStyle name="_PJ_VSE WFP_100625_PC Products_CORP SG&amp;A" xfId="0"/>
    <cellStyle name="_PJ_VSE WFP_100625_PC Products_LCD" xfId="0"/>
    <cellStyle name="_PJ_VSE WFP_100625_PC Products_PJ" xfId="0"/>
    <cellStyle name="_PJ_VSE WFP_100625_VSA 111014" xfId="0"/>
    <cellStyle name="_PJ_VSE WFP_100625_VSA 111014 2" xfId="0"/>
    <cellStyle name="_PJ_VSE WFP_100625_VSA 111014 3" xfId="0"/>
    <cellStyle name="_PJ_VSE WFP_100625_VSA 111014 4" xfId="0"/>
    <cellStyle name="_PJ_VSE WFP_100625_VSA 111014 4 2" xfId="0"/>
    <cellStyle name="_PJ_VSE WFP_100625_VSA 111014_By Region" xfId="0"/>
    <cellStyle name="_PJ_VSE WFP_100625_VSA 111014_CORP SG&amp;A" xfId="0"/>
    <cellStyle name="_PJ_VSE WFP_100625_VSA 111014_LCD" xfId="0"/>
    <cellStyle name="_PJ_VSE WFP_100625_VSA 111014_PJ" xfId="0"/>
    <cellStyle name="_PJ_VSE WFP_100625_VSA Roll-Up (LW)" xfId="0"/>
    <cellStyle name="_PJ_VSE WFP_100625_VSA Roll-Up (LW) 2" xfId="0"/>
    <cellStyle name="_PJ_VSE WFP_100625_VSA Roll-Up (LW) 3" xfId="0"/>
    <cellStyle name="_PJ_VSE WFP_100625_VSA Roll-Up (LW) 4" xfId="0"/>
    <cellStyle name="_PJ_VSE WFP_100625_VSA Roll-Up (LW) 4 2" xfId="0"/>
    <cellStyle name="_PJ_VSE WFP_100625_VSA Roll-Up (LW)_By Region" xfId="0"/>
    <cellStyle name="_PJ_VSE WFP_100625_VSA Roll-Up (LW)_CORP SG&amp;A" xfId="0"/>
    <cellStyle name="_PJ_VSE WFP_100625_VSA Roll-Up (LW)_LCD" xfId="0"/>
    <cellStyle name="_PJ_VSE WFP_100625_VSA Roll-Up (LW)_PJ" xfId="0"/>
    <cellStyle name="_PJ_VSE WFP_100708_3rd" xfId="0"/>
    <cellStyle name="_PJ_VSE WFP_100708_3rd 2" xfId="0"/>
    <cellStyle name="_PJ_VSE WFP_100708_3rd 3" xfId="0"/>
    <cellStyle name="_PJ_VSE WFP_100708_3rd 4" xfId="0"/>
    <cellStyle name="_PJ_VSE WFP_100708_3rd_By Region" xfId="0"/>
    <cellStyle name="_PJ_VSE WFP_100708_3rd_CORP SG&amp;A" xfId="0"/>
    <cellStyle name="_PJ_VSE WFP_100708_3rd_GPS OTHER" xfId="0"/>
    <cellStyle name="_PJ_VSE WFP_100708_3rd_GPS OTHER 2" xfId="0"/>
    <cellStyle name="_PJ_VSE WFP_100708_3rd_GPS OTHER 3" xfId="0"/>
    <cellStyle name="_PJ_VSE WFP_100708_3rd_GPS OTHER 4" xfId="0"/>
    <cellStyle name="_PJ_VSE WFP_100708_3rd_GPS OTHER 4 2" xfId="0"/>
    <cellStyle name="_PJ_VSE WFP_100708_3rd_GPS OTHER_By Region" xfId="0"/>
    <cellStyle name="_PJ_VSE WFP_100708_3rd_GPS OTHER_CORP SG&amp;A" xfId="0"/>
    <cellStyle name="_PJ_VSE WFP_100708_3rd_GPS OTHER_LCD" xfId="0"/>
    <cellStyle name="_PJ_VSE WFP_100708_3rd_GPS OTHER_PJ" xfId="0"/>
    <cellStyle name="_PJ_VSE WFP_100708_3rd_PC Products" xfId="0"/>
    <cellStyle name="_PJ_VSE WFP_100708_3rd_PC Products 2" xfId="0"/>
    <cellStyle name="_PJ_VSE WFP_100708_3rd_PC Products 3" xfId="0"/>
    <cellStyle name="_PJ_VSE WFP_100708_3rd_PC Products 4" xfId="0"/>
    <cellStyle name="_PJ_VSE WFP_100708_3rd_PC Products 4 2" xfId="0"/>
    <cellStyle name="_PJ_VSE WFP_100708_3rd_PC Products_By Region" xfId="0"/>
    <cellStyle name="_PJ_VSE WFP_100708_3rd_PC Products_CORP SG&amp;A" xfId="0"/>
    <cellStyle name="_PJ_VSE WFP_100708_3rd_PC Products_LCD" xfId="0"/>
    <cellStyle name="_PJ_VSE WFP_100708_3rd_PC Products_PJ" xfId="0"/>
    <cellStyle name="_PJ_VSE WFP_100708_3rd_VSA 111014" xfId="0"/>
    <cellStyle name="_PJ_VSE WFP_100708_3rd_VSA 111014 2" xfId="0"/>
    <cellStyle name="_PJ_VSE WFP_100708_3rd_VSA 111014 3" xfId="0"/>
    <cellStyle name="_PJ_VSE WFP_100708_3rd_VSA 111014 4" xfId="0"/>
    <cellStyle name="_PJ_VSE WFP_100708_3rd_VSA 111014 4 2" xfId="0"/>
    <cellStyle name="_PJ_VSE WFP_100708_3rd_VSA 111014_By Region" xfId="0"/>
    <cellStyle name="_PJ_VSE WFP_100708_3rd_VSA 111014_CORP SG&amp;A" xfId="0"/>
    <cellStyle name="_PJ_VSE WFP_100708_3rd_VSA 111014_LCD" xfId="0"/>
    <cellStyle name="_PJ_VSE WFP_100708_3rd_VSA 111014_PJ" xfId="0"/>
    <cellStyle name="_PJ_VSE WFP_100708_3rd_VSA Roll-Up (LW)" xfId="0"/>
    <cellStyle name="_PJ_VSE WFP_100708_3rd_VSA Roll-Up (LW) 2" xfId="0"/>
    <cellStyle name="_PJ_VSE WFP_100708_3rd_VSA Roll-Up (LW) 3" xfId="0"/>
    <cellStyle name="_PJ_VSE WFP_100708_3rd_VSA Roll-Up (LW) 4" xfId="0"/>
    <cellStyle name="_PJ_VSE WFP_100708_3rd_VSA Roll-Up (LW) 4 2" xfId="0"/>
    <cellStyle name="_PJ_VSE WFP_100708_3rd_VSA Roll-Up (LW)_By Region" xfId="0"/>
    <cellStyle name="_PJ_VSE WFP_100708_3rd_VSA Roll-Up (LW)_CORP SG&amp;A" xfId="0"/>
    <cellStyle name="_PJ_VSE WFP_100708_3rd_VSA Roll-Up (LW)_LCD" xfId="0"/>
    <cellStyle name="_PJ_VSE WFP_100708_3rd_VSA Roll-Up (LW)_PJ" xfId="0"/>
    <cellStyle name="_PJ_VSE WFP_100726" xfId="0"/>
    <cellStyle name="_PJ_VSE WFP_100726 2" xfId="0"/>
    <cellStyle name="_PJ_VSE WFP_100726 3" xfId="0"/>
    <cellStyle name="_PJ_VSE WFP_100726 4" xfId="0"/>
    <cellStyle name="_PJ_VSE WFP_100726-1" xfId="0"/>
    <cellStyle name="_PJ_VSE WFP_100726-1 2" xfId="0"/>
    <cellStyle name="_PJ_VSE WFP_100726-1 3" xfId="0"/>
    <cellStyle name="_PJ_VSE WFP_100726-1 4" xfId="0"/>
    <cellStyle name="_PJ_VSE WFP_100726-1_By Region" xfId="0"/>
    <cellStyle name="_PJ_VSE WFP_100726-1_CORP SG&amp;A" xfId="0"/>
    <cellStyle name="_PJ_VSE WFP_100726-1_GPS OTHER" xfId="0"/>
    <cellStyle name="_PJ_VSE WFP_100726-1_GPS OTHER 2" xfId="0"/>
    <cellStyle name="_PJ_VSE WFP_100726-1_GPS OTHER 3" xfId="0"/>
    <cellStyle name="_PJ_VSE WFP_100726-1_GPS OTHER 4" xfId="0"/>
    <cellStyle name="_PJ_VSE WFP_100726-1_GPS OTHER 4 2" xfId="0"/>
    <cellStyle name="_PJ_VSE WFP_100726-1_GPS OTHER_By Region" xfId="0"/>
    <cellStyle name="_PJ_VSE WFP_100726-1_GPS OTHER_CORP SG&amp;A" xfId="0"/>
    <cellStyle name="_PJ_VSE WFP_100726-1_GPS OTHER_LCD" xfId="0"/>
    <cellStyle name="_PJ_VSE WFP_100726-1_GPS OTHER_PJ" xfId="0"/>
    <cellStyle name="_PJ_VSE WFP_100726-1_PC Products" xfId="0"/>
    <cellStyle name="_PJ_VSE WFP_100726-1_PC Products 2" xfId="0"/>
    <cellStyle name="_PJ_VSE WFP_100726-1_PC Products 3" xfId="0"/>
    <cellStyle name="_PJ_VSE WFP_100726-1_PC Products 4" xfId="0"/>
    <cellStyle name="_PJ_VSE WFP_100726-1_PC Products 4 2" xfId="0"/>
    <cellStyle name="_PJ_VSE WFP_100726-1_PC Products_By Region" xfId="0"/>
    <cellStyle name="_PJ_VSE WFP_100726-1_PC Products_CORP SG&amp;A" xfId="0"/>
    <cellStyle name="_PJ_VSE WFP_100726-1_PC Products_LCD" xfId="0"/>
    <cellStyle name="_PJ_VSE WFP_100726-1_PC Products_PJ" xfId="0"/>
    <cellStyle name="_PJ_VSE WFP_100726-1_VSA 111014" xfId="0"/>
    <cellStyle name="_PJ_VSE WFP_100726-1_VSA 111014 2" xfId="0"/>
    <cellStyle name="_PJ_VSE WFP_100726-1_VSA 111014 3" xfId="0"/>
    <cellStyle name="_PJ_VSE WFP_100726-1_VSA 111014 4" xfId="0"/>
    <cellStyle name="_PJ_VSE WFP_100726-1_VSA 111014 4 2" xfId="0"/>
    <cellStyle name="_PJ_VSE WFP_100726-1_VSA 111014_By Region" xfId="0"/>
    <cellStyle name="_PJ_VSE WFP_100726-1_VSA 111014_CORP SG&amp;A" xfId="0"/>
    <cellStyle name="_PJ_VSE WFP_100726-1_VSA 111014_LCD" xfId="0"/>
    <cellStyle name="_PJ_VSE WFP_100726-1_VSA 111014_PJ" xfId="0"/>
    <cellStyle name="_PJ_VSE WFP_100726-1_VSA Roll-Up (LW)" xfId="0"/>
    <cellStyle name="_PJ_VSE WFP_100726-1_VSA Roll-Up (LW) 2" xfId="0"/>
    <cellStyle name="_PJ_VSE WFP_100726-1_VSA Roll-Up (LW) 3" xfId="0"/>
    <cellStyle name="_PJ_VSE WFP_100726-1_VSA Roll-Up (LW) 4" xfId="0"/>
    <cellStyle name="_PJ_VSE WFP_100726-1_VSA Roll-Up (LW) 4 2" xfId="0"/>
    <cellStyle name="_PJ_VSE WFP_100726-1_VSA Roll-Up (LW)_By Region" xfId="0"/>
    <cellStyle name="_PJ_VSE WFP_100726-1_VSA Roll-Up (LW)_CORP SG&amp;A" xfId="0"/>
    <cellStyle name="_PJ_VSE WFP_100726-1_VSA Roll-Up (LW)_LCD" xfId="0"/>
    <cellStyle name="_PJ_VSE WFP_100726-1_VSA Roll-Up (LW)_PJ" xfId="0"/>
    <cellStyle name="_PJ_VSE WFP_100726-2-yc" xfId="0"/>
    <cellStyle name="_PJ_VSE WFP_100726-2-yc 2" xfId="0"/>
    <cellStyle name="_PJ_VSE WFP_100726-2-yc 3" xfId="0"/>
    <cellStyle name="_PJ_VSE WFP_100726-2-yc 4" xfId="0"/>
    <cellStyle name="_PJ_VSE WFP_100726-2-yc_By Region" xfId="0"/>
    <cellStyle name="_PJ_VSE WFP_100726-2-yc_CORP SG&amp;A" xfId="0"/>
    <cellStyle name="_PJ_VSE WFP_100726-2-yc_GPS OTHER" xfId="0"/>
    <cellStyle name="_PJ_VSE WFP_100726-2-yc_GPS OTHER 2" xfId="0"/>
    <cellStyle name="_PJ_VSE WFP_100726-2-yc_GPS OTHER 3" xfId="0"/>
    <cellStyle name="_PJ_VSE WFP_100726-2-yc_GPS OTHER 4" xfId="0"/>
    <cellStyle name="_PJ_VSE WFP_100726-2-yc_GPS OTHER 4 2" xfId="0"/>
    <cellStyle name="_PJ_VSE WFP_100726-2-yc_GPS OTHER_By Region" xfId="0"/>
    <cellStyle name="_PJ_VSE WFP_100726-2-yc_GPS OTHER_CORP SG&amp;A" xfId="0"/>
    <cellStyle name="_PJ_VSE WFP_100726-2-yc_GPS OTHER_LCD" xfId="0"/>
    <cellStyle name="_PJ_VSE WFP_100726-2-yc_GPS OTHER_PJ" xfId="0"/>
    <cellStyle name="_PJ_VSE WFP_100726-2-yc_PC Products" xfId="0"/>
    <cellStyle name="_PJ_VSE WFP_100726-2-yc_PC Products 2" xfId="0"/>
    <cellStyle name="_PJ_VSE WFP_100726-2-yc_PC Products 3" xfId="0"/>
    <cellStyle name="_PJ_VSE WFP_100726-2-yc_PC Products 4" xfId="0"/>
    <cellStyle name="_PJ_VSE WFP_100726-2-yc_PC Products 4 2" xfId="0"/>
    <cellStyle name="_PJ_VSE WFP_100726-2-yc_PC Products_By Region" xfId="0"/>
    <cellStyle name="_PJ_VSE WFP_100726-2-yc_PC Products_CORP SG&amp;A" xfId="0"/>
    <cellStyle name="_PJ_VSE WFP_100726-2-yc_PC Products_LCD" xfId="0"/>
    <cellStyle name="_PJ_VSE WFP_100726-2-yc_PC Products_PJ" xfId="0"/>
    <cellStyle name="_PJ_VSE WFP_100726-2-yc_VSA 111014" xfId="0"/>
    <cellStyle name="_PJ_VSE WFP_100726-2-yc_VSA 111014 2" xfId="0"/>
    <cellStyle name="_PJ_VSE WFP_100726-2-yc_VSA 111014 3" xfId="0"/>
    <cellStyle name="_PJ_VSE WFP_100726-2-yc_VSA 111014 4" xfId="0"/>
    <cellStyle name="_PJ_VSE WFP_100726-2-yc_VSA 111014 4 2" xfId="0"/>
    <cellStyle name="_PJ_VSE WFP_100726-2-yc_VSA 111014_By Region" xfId="0"/>
    <cellStyle name="_PJ_VSE WFP_100726-2-yc_VSA 111014_CORP SG&amp;A" xfId="0"/>
    <cellStyle name="_PJ_VSE WFP_100726-2-yc_VSA 111014_LCD" xfId="0"/>
    <cellStyle name="_PJ_VSE WFP_100726-2-yc_VSA 111014_PJ" xfId="0"/>
    <cellStyle name="_PJ_VSE WFP_100726-2-yc_VSA Roll-Up (LW)" xfId="0"/>
    <cellStyle name="_PJ_VSE WFP_100726-2-yc_VSA Roll-Up (LW) 2" xfId="0"/>
    <cellStyle name="_PJ_VSE WFP_100726-2-yc_VSA Roll-Up (LW) 3" xfId="0"/>
    <cellStyle name="_PJ_VSE WFP_100726-2-yc_VSA Roll-Up (LW) 4" xfId="0"/>
    <cellStyle name="_PJ_VSE WFP_100726-2-yc_VSA Roll-Up (LW) 4 2" xfId="0"/>
    <cellStyle name="_PJ_VSE WFP_100726-2-yc_VSA Roll-Up (LW)_By Region" xfId="0"/>
    <cellStyle name="_PJ_VSE WFP_100726-2-yc_VSA Roll-Up (LW)_CORP SG&amp;A" xfId="0"/>
    <cellStyle name="_PJ_VSE WFP_100726-2-yc_VSA Roll-Up (LW)_LCD" xfId="0"/>
    <cellStyle name="_PJ_VSE WFP_100726-2-yc_VSA Roll-Up (LW)_PJ" xfId="0"/>
    <cellStyle name="_PJ_VSE WFP_100726_By Region" xfId="0"/>
    <cellStyle name="_PJ_VSE WFP_100726_CORP SG&amp;A" xfId="0"/>
    <cellStyle name="_PJ_VSE WFP_100726_GPS OTHER" xfId="0"/>
    <cellStyle name="_PJ_VSE WFP_100726_GPS OTHER 2" xfId="0"/>
    <cellStyle name="_PJ_VSE WFP_100726_GPS OTHER 3" xfId="0"/>
    <cellStyle name="_PJ_VSE WFP_100726_GPS OTHER 4" xfId="0"/>
    <cellStyle name="_PJ_VSE WFP_100726_GPS OTHER 4 2" xfId="0"/>
    <cellStyle name="_PJ_VSE WFP_100726_GPS OTHER_By Region" xfId="0"/>
    <cellStyle name="_PJ_VSE WFP_100726_GPS OTHER_CORP SG&amp;A" xfId="0"/>
    <cellStyle name="_PJ_VSE WFP_100726_GPS OTHER_LCD" xfId="0"/>
    <cellStyle name="_PJ_VSE WFP_100726_GPS OTHER_PJ" xfId="0"/>
    <cellStyle name="_PJ_VSE WFP_100726_PC Products" xfId="0"/>
    <cellStyle name="_PJ_VSE WFP_100726_PC Products 2" xfId="0"/>
    <cellStyle name="_PJ_VSE WFP_100726_PC Products 3" xfId="0"/>
    <cellStyle name="_PJ_VSE WFP_100726_PC Products 4" xfId="0"/>
    <cellStyle name="_PJ_VSE WFP_100726_PC Products 4 2" xfId="0"/>
    <cellStyle name="_PJ_VSE WFP_100726_PC Products_By Region" xfId="0"/>
    <cellStyle name="_PJ_VSE WFP_100726_PC Products_CORP SG&amp;A" xfId="0"/>
    <cellStyle name="_PJ_VSE WFP_100726_PC Products_LCD" xfId="0"/>
    <cellStyle name="_PJ_VSE WFP_100726_PC Products_PJ" xfId="0"/>
    <cellStyle name="_PJ_VSE WFP_100726_VSA 111014" xfId="0"/>
    <cellStyle name="_PJ_VSE WFP_100726_VSA 111014 2" xfId="0"/>
    <cellStyle name="_PJ_VSE WFP_100726_VSA 111014 3" xfId="0"/>
    <cellStyle name="_PJ_VSE WFP_100726_VSA 111014 4" xfId="0"/>
    <cellStyle name="_PJ_VSE WFP_100726_VSA 111014 4 2" xfId="0"/>
    <cellStyle name="_PJ_VSE WFP_100726_VSA 111014_By Region" xfId="0"/>
    <cellStyle name="_PJ_VSE WFP_100726_VSA 111014_CORP SG&amp;A" xfId="0"/>
    <cellStyle name="_PJ_VSE WFP_100726_VSA 111014_LCD" xfId="0"/>
    <cellStyle name="_PJ_VSE WFP_100726_VSA 111014_PJ" xfId="0"/>
    <cellStyle name="_PJ_VSE WFP_100726_VSA Roll-Up (LW)" xfId="0"/>
    <cellStyle name="_PJ_VSE WFP_100726_VSA Roll-Up (LW) 2" xfId="0"/>
    <cellStyle name="_PJ_VSE WFP_100726_VSA Roll-Up (LW) 3" xfId="0"/>
    <cellStyle name="_PJ_VSE WFP_100726_VSA Roll-Up (LW) 4" xfId="0"/>
    <cellStyle name="_PJ_VSE WFP_100726_VSA Roll-Up (LW) 4 2" xfId="0"/>
    <cellStyle name="_PJ_VSE WFP_100726_VSA Roll-Up (LW)_By Region" xfId="0"/>
    <cellStyle name="_PJ_VSE WFP_100726_VSA Roll-Up (LW)_CORP SG&amp;A" xfId="0"/>
    <cellStyle name="_PJ_VSE WFP_100726_VSA Roll-Up (LW)_LCD" xfId="0"/>
    <cellStyle name="_PJ_VSE WFP_100726_VSA Roll-Up (LW)_PJ" xfId="0"/>
    <cellStyle name="_PJ_VSE WFP_100827-1" xfId="0"/>
    <cellStyle name="_PJ_VSE WFP_100827-1 2" xfId="0"/>
    <cellStyle name="_PJ_VSE WFP_100827-1 3" xfId="0"/>
    <cellStyle name="_PJ_VSE WFP_100827-1 4" xfId="0"/>
    <cellStyle name="_PJ_VSE WFP_100827-1_By Region" xfId="0"/>
    <cellStyle name="_PJ_VSE WFP_100827-1_CORP SG&amp;A" xfId="0"/>
    <cellStyle name="_PJ_VSE WFP_100827-1_GPS OTHER" xfId="0"/>
    <cellStyle name="_PJ_VSE WFP_100827-1_GPS OTHER 2" xfId="0"/>
    <cellStyle name="_PJ_VSE WFP_100827-1_GPS OTHER 3" xfId="0"/>
    <cellStyle name="_PJ_VSE WFP_100827-1_GPS OTHER 4" xfId="0"/>
    <cellStyle name="_PJ_VSE WFP_100827-1_GPS OTHER 4 2" xfId="0"/>
    <cellStyle name="_PJ_VSE WFP_100827-1_GPS OTHER_By Region" xfId="0"/>
    <cellStyle name="_PJ_VSE WFP_100827-1_GPS OTHER_CORP SG&amp;A" xfId="0"/>
    <cellStyle name="_PJ_VSE WFP_100827-1_GPS OTHER_LCD" xfId="0"/>
    <cellStyle name="_PJ_VSE WFP_100827-1_GPS OTHER_PJ" xfId="0"/>
    <cellStyle name="_PJ_VSE WFP_100827-1_PC Products" xfId="0"/>
    <cellStyle name="_PJ_VSE WFP_100827-1_PC Products 2" xfId="0"/>
    <cellStyle name="_PJ_VSE WFP_100827-1_PC Products 3" xfId="0"/>
    <cellStyle name="_PJ_VSE WFP_100827-1_PC Products 4" xfId="0"/>
    <cellStyle name="_PJ_VSE WFP_100827-1_PC Products 4 2" xfId="0"/>
    <cellStyle name="_PJ_VSE WFP_100827-1_PC Products_By Region" xfId="0"/>
    <cellStyle name="_PJ_VSE WFP_100827-1_PC Products_CORP SG&amp;A" xfId="0"/>
    <cellStyle name="_PJ_VSE WFP_100827-1_PC Products_LCD" xfId="0"/>
    <cellStyle name="_PJ_VSE WFP_100827-1_PC Products_PJ" xfId="0"/>
    <cellStyle name="_PJ_VSE WFP_100827-1_VSA 111014" xfId="0"/>
    <cellStyle name="_PJ_VSE WFP_100827-1_VSA 111014 2" xfId="0"/>
    <cellStyle name="_PJ_VSE WFP_100827-1_VSA 111014 3" xfId="0"/>
    <cellStyle name="_PJ_VSE WFP_100827-1_VSA 111014 4" xfId="0"/>
    <cellStyle name="_PJ_VSE WFP_100827-1_VSA 111014 4 2" xfId="0"/>
    <cellStyle name="_PJ_VSE WFP_100827-1_VSA 111014_By Region" xfId="0"/>
    <cellStyle name="_PJ_VSE WFP_100827-1_VSA 111014_CORP SG&amp;A" xfId="0"/>
    <cellStyle name="_PJ_VSE WFP_100827-1_VSA 111014_LCD" xfId="0"/>
    <cellStyle name="_PJ_VSE WFP_100827-1_VSA 111014_PJ" xfId="0"/>
    <cellStyle name="_PJ_VSE WFP_100827-1_VSA Roll-Up (LW)" xfId="0"/>
    <cellStyle name="_PJ_VSE WFP_100827-1_VSA Roll-Up (LW) 2" xfId="0"/>
    <cellStyle name="_PJ_VSE WFP_100827-1_VSA Roll-Up (LW) 3" xfId="0"/>
    <cellStyle name="_PJ_VSE WFP_100827-1_VSA Roll-Up (LW) 4" xfId="0"/>
    <cellStyle name="_PJ_VSE WFP_100827-1_VSA Roll-Up (LW) 4 2" xfId="0"/>
    <cellStyle name="_PJ_VSE WFP_100827-1_VSA Roll-Up (LW)_By Region" xfId="0"/>
    <cellStyle name="_PJ_VSE WFP_100827-1_VSA Roll-Up (LW)_CORP SG&amp;A" xfId="0"/>
    <cellStyle name="_PJ_VSE WFP_100827-1_VSA Roll-Up (LW)_LCD" xfId="0"/>
    <cellStyle name="_PJ_VSE WFP_100827-1_VSA Roll-Up (LW)_PJ" xfId="0"/>
    <cellStyle name="_PJ_VSE WFP_101001" xfId="0"/>
    <cellStyle name="_PJ_VSE WFP_101001 2" xfId="0"/>
    <cellStyle name="_PJ_VSE WFP_101001 3" xfId="0"/>
    <cellStyle name="_PJ_VSE WFP_101001 4" xfId="0"/>
    <cellStyle name="_PJ_VSE WFP_101001_By Region" xfId="0"/>
    <cellStyle name="_PJ_VSE WFP_101001_CORP SG&amp;A" xfId="0"/>
    <cellStyle name="_PJ_VSE WFP_101001_GPS OTHER" xfId="0"/>
    <cellStyle name="_PJ_VSE WFP_101001_GPS OTHER 2" xfId="0"/>
    <cellStyle name="_PJ_VSE WFP_101001_GPS OTHER 3" xfId="0"/>
    <cellStyle name="_PJ_VSE WFP_101001_GPS OTHER 4" xfId="0"/>
    <cellStyle name="_PJ_VSE WFP_101001_GPS OTHER 4 2" xfId="0"/>
    <cellStyle name="_PJ_VSE WFP_101001_GPS OTHER_By Region" xfId="0"/>
    <cellStyle name="_PJ_VSE WFP_101001_GPS OTHER_CORP SG&amp;A" xfId="0"/>
    <cellStyle name="_PJ_VSE WFP_101001_GPS OTHER_LCD" xfId="0"/>
    <cellStyle name="_PJ_VSE WFP_101001_GPS OTHER_PJ" xfId="0"/>
    <cellStyle name="_PJ_VSE WFP_101001_PC Products" xfId="0"/>
    <cellStyle name="_PJ_VSE WFP_101001_PC Products 2" xfId="0"/>
    <cellStyle name="_PJ_VSE WFP_101001_PC Products 3" xfId="0"/>
    <cellStyle name="_PJ_VSE WFP_101001_PC Products 4" xfId="0"/>
    <cellStyle name="_PJ_VSE WFP_101001_PC Products 4 2" xfId="0"/>
    <cellStyle name="_PJ_VSE WFP_101001_PC Products_By Region" xfId="0"/>
    <cellStyle name="_PJ_VSE WFP_101001_PC Products_CORP SG&amp;A" xfId="0"/>
    <cellStyle name="_PJ_VSE WFP_101001_PC Products_LCD" xfId="0"/>
    <cellStyle name="_PJ_VSE WFP_101001_PC Products_PJ" xfId="0"/>
    <cellStyle name="_PJ_VSE WFP_101001_VSA 111014" xfId="0"/>
    <cellStyle name="_PJ_VSE WFP_101001_VSA 111014 2" xfId="0"/>
    <cellStyle name="_PJ_VSE WFP_101001_VSA 111014 3" xfId="0"/>
    <cellStyle name="_PJ_VSE WFP_101001_VSA 111014 4" xfId="0"/>
    <cellStyle name="_PJ_VSE WFP_101001_VSA 111014 4 2" xfId="0"/>
    <cellStyle name="_PJ_VSE WFP_101001_VSA 111014_By Region" xfId="0"/>
    <cellStyle name="_PJ_VSE WFP_101001_VSA 111014_CORP SG&amp;A" xfId="0"/>
    <cellStyle name="_PJ_VSE WFP_101001_VSA 111014_LCD" xfId="0"/>
    <cellStyle name="_PJ_VSE WFP_101001_VSA 111014_PJ" xfId="0"/>
    <cellStyle name="_PJ_VSE WFP_101001_VSA Roll-Up (LW)" xfId="0"/>
    <cellStyle name="_PJ_VSE WFP_101001_VSA Roll-Up (LW) 2" xfId="0"/>
    <cellStyle name="_PJ_VSE WFP_101001_VSA Roll-Up (LW) 3" xfId="0"/>
    <cellStyle name="_PJ_VSE WFP_101001_VSA Roll-Up (LW) 4" xfId="0"/>
    <cellStyle name="_PJ_VSE WFP_101001_VSA Roll-Up (LW) 4 2" xfId="0"/>
    <cellStyle name="_PJ_VSE WFP_101001_VSA Roll-Up (LW)_By Region" xfId="0"/>
    <cellStyle name="_PJ_VSE WFP_101001_VSA Roll-Up (LW)_CORP SG&amp;A" xfId="0"/>
    <cellStyle name="_PJ_VSE WFP_101001_VSA Roll-Up (LW)_LCD" xfId="0"/>
    <cellStyle name="_PJ_VSE WFP_101001_VSA Roll-Up (LW)_PJ" xfId="0"/>
    <cellStyle name="_PJ_VSE WFP_101029-with more ViewPad 7" xfId="0"/>
    <cellStyle name="_PJ_VSE WFP_101029-with more ViewPad 7 2" xfId="0"/>
    <cellStyle name="_PJ_VSE WFP_101029-with more ViewPad 7 3" xfId="0"/>
    <cellStyle name="_PJ_VSE WFP_101029-with more ViewPad 7 4" xfId="0"/>
    <cellStyle name="_PJ_VSE WFP_101029-with more ViewPad 7_By Region" xfId="0"/>
    <cellStyle name="_PJ_VSE WFP_101029-with more ViewPad 7_CORP SG&amp;A" xfId="0"/>
    <cellStyle name="_PJ_VSE WFP_101029-with more ViewPad 7_GPS OTHER" xfId="0"/>
    <cellStyle name="_PJ_VSE WFP_101029-with more ViewPad 7_GPS OTHER 2" xfId="0"/>
    <cellStyle name="_PJ_VSE WFP_101029-with more ViewPad 7_GPS OTHER 3" xfId="0"/>
    <cellStyle name="_PJ_VSE WFP_101029-with more ViewPad 7_GPS OTHER 4" xfId="0"/>
    <cellStyle name="_PJ_VSE WFP_101029-with more ViewPad 7_GPS OTHER 4 2" xfId="0"/>
    <cellStyle name="_PJ_VSE WFP_101029-with more ViewPad 7_GPS OTHER_By Region" xfId="0"/>
    <cellStyle name="_PJ_VSE WFP_101029-with more ViewPad 7_GPS OTHER_CORP SG&amp;A" xfId="0"/>
    <cellStyle name="_PJ_VSE WFP_101029-with more ViewPad 7_GPS OTHER_LCD" xfId="0"/>
    <cellStyle name="_PJ_VSE WFP_101029-with more ViewPad 7_GPS OTHER_PJ" xfId="0"/>
    <cellStyle name="_PJ_VSE WFP_101029-with more ViewPad 7_PC Products" xfId="0"/>
    <cellStyle name="_PJ_VSE WFP_101029-with more ViewPad 7_PC Products 2" xfId="0"/>
    <cellStyle name="_PJ_VSE WFP_101029-with more ViewPad 7_PC Products 3" xfId="0"/>
    <cellStyle name="_PJ_VSE WFP_101029-with more ViewPad 7_PC Products 4" xfId="0"/>
    <cellStyle name="_PJ_VSE WFP_101029-with more ViewPad 7_PC Products 4 2" xfId="0"/>
    <cellStyle name="_PJ_VSE WFP_101029-with more ViewPad 7_PC Products_By Region" xfId="0"/>
    <cellStyle name="_PJ_VSE WFP_101029-with more ViewPad 7_PC Products_CORP SG&amp;A" xfId="0"/>
    <cellStyle name="_PJ_VSE WFP_101029-with more ViewPad 7_PC Products_LCD" xfId="0"/>
    <cellStyle name="_PJ_VSE WFP_101029-with more ViewPad 7_PC Products_PJ" xfId="0"/>
    <cellStyle name="_PJ_VSE WFP_101029-with more ViewPad 7_VSA 111014" xfId="0"/>
    <cellStyle name="_PJ_VSE WFP_101029-with more ViewPad 7_VSA 111014 2" xfId="0"/>
    <cellStyle name="_PJ_VSE WFP_101029-with more ViewPad 7_VSA 111014 3" xfId="0"/>
    <cellStyle name="_PJ_VSE WFP_101029-with more ViewPad 7_VSA 111014 4" xfId="0"/>
    <cellStyle name="_PJ_VSE WFP_101029-with more ViewPad 7_VSA 111014 4 2" xfId="0"/>
    <cellStyle name="_PJ_VSE WFP_101029-with more ViewPad 7_VSA 111014_By Region" xfId="0"/>
    <cellStyle name="_PJ_VSE WFP_101029-with more ViewPad 7_VSA 111014_CORP SG&amp;A" xfId="0"/>
    <cellStyle name="_PJ_VSE WFP_101029-with more ViewPad 7_VSA 111014_LCD" xfId="0"/>
    <cellStyle name="_PJ_VSE WFP_101029-with more ViewPad 7_VSA 111014_PJ" xfId="0"/>
    <cellStyle name="_PJ_VSE WFP_101029-with more ViewPad 7_VSA Roll-Up (LW)" xfId="0"/>
    <cellStyle name="_PJ_VSE WFP_101029-with more ViewPad 7_VSA Roll-Up (LW) 2" xfId="0"/>
    <cellStyle name="_PJ_VSE WFP_101029-with more ViewPad 7_VSA Roll-Up (LW) 3" xfId="0"/>
    <cellStyle name="_PJ_VSE WFP_101029-with more ViewPad 7_VSA Roll-Up (LW) 4" xfId="0"/>
    <cellStyle name="_PJ_VSE WFP_101029-with more ViewPad 7_VSA Roll-Up (LW) 4 2" xfId="0"/>
    <cellStyle name="_PJ_VSE WFP_101029-with more ViewPad 7_VSA Roll-Up (LW)_By Region" xfId="0"/>
    <cellStyle name="_PJ_VSE WFP_101029-with more ViewPad 7_VSA Roll-Up (LW)_CORP SG&amp;A" xfId="0"/>
    <cellStyle name="_PJ_VSE WFP_101029-with more ViewPad 7_VSA Roll-Up (LW)_LCD" xfId="0"/>
    <cellStyle name="_PJ_VSE WFP_101029-with more ViewPad 7_VSA Roll-Up (LW)_PJ" xfId="0"/>
    <cellStyle name="_PMP DCR" xfId="0"/>
    <cellStyle name="_PMP DCR 2" xfId="0"/>
    <cellStyle name="_PMP DCR_VSE DCR Planning Model and Trend Charts 20100118" xfId="0"/>
    <cellStyle name="_PMP DCR_VSE DCR Planning Model and Trend Charts 20100118 2" xfId="0"/>
    <cellStyle name="_PMP DCR_VSE DCR Planning Model and Trend Charts 20100315" xfId="0"/>
    <cellStyle name="_PMP DCR_VSE DCR Planning Model and Trend Charts 20100315 2" xfId="0"/>
    <cellStyle name="_POCKET-TV DCR" xfId="0"/>
    <cellStyle name="_POCKET-TV DCR 2" xfId="0"/>
    <cellStyle name="_POCKET-TV DCR_VSE DCR Planning Model and Trend Charts 20100118" xfId="0"/>
    <cellStyle name="_POCKET-TV DCR_VSE DCR Planning Model and Trend Charts 20100118 2" xfId="0"/>
    <cellStyle name="_POCKET-TV DCR_VSE DCR Planning Model and Trend Charts 20100315" xfId="0"/>
    <cellStyle name="_POCKET-TV DCR_VSE DCR Planning Model and Trend Charts 20100315 2" xfId="0"/>
    <cellStyle name="_Pocket_TV" xfId="0"/>
    <cellStyle name="_Pocket_TV 2" xfId="0"/>
    <cellStyle name="_Pocket_TV 3" xfId="0"/>
    <cellStyle name="_Pocket_TV 4" xfId="0"/>
    <cellStyle name="_Pocket_TV 5" xfId="0"/>
    <cellStyle name="_Pocket_TV_By Region" xfId="0"/>
    <cellStyle name="_Pocket_TV_CIS" xfId="0"/>
    <cellStyle name="_Pocket_TV_CIS 2" xfId="0"/>
    <cellStyle name="_Pocket_TV_CIS 3" xfId="0"/>
    <cellStyle name="_Pocket_TV_CIS 4" xfId="0"/>
    <cellStyle name="_Pocket_TV_CIS_By Region" xfId="0"/>
    <cellStyle name="_Pocket_TV_CIS_CORP SG&amp;A" xfId="0"/>
    <cellStyle name="_Pocket_TV_CIS_GPS OTHER" xfId="0"/>
    <cellStyle name="_Pocket_TV_CIS_GPS OTHER 2" xfId="0"/>
    <cellStyle name="_Pocket_TV_CIS_GPS OTHER 3" xfId="0"/>
    <cellStyle name="_Pocket_TV_CIS_GPS OTHER 4" xfId="0"/>
    <cellStyle name="_Pocket_TV_CIS_GPS OTHER 4 2" xfId="0"/>
    <cellStyle name="_Pocket_TV_CIS_GPS OTHER_By Region" xfId="0"/>
    <cellStyle name="_Pocket_TV_CIS_GPS OTHER_CORP SG&amp;A" xfId="0"/>
    <cellStyle name="_Pocket_TV_CIS_GPS OTHER_LCD" xfId="0"/>
    <cellStyle name="_Pocket_TV_CIS_GPS OTHER_PJ" xfId="0"/>
    <cellStyle name="_Pocket_TV_CIS_PC Products" xfId="0"/>
    <cellStyle name="_Pocket_TV_CIS_PC Products 2" xfId="0"/>
    <cellStyle name="_Pocket_TV_CIS_PC Products 3" xfId="0"/>
    <cellStyle name="_Pocket_TV_CIS_PC Products 4" xfId="0"/>
    <cellStyle name="_Pocket_TV_CIS_PC Products 4 2" xfId="0"/>
    <cellStyle name="_Pocket_TV_CIS_PC Products_By Region" xfId="0"/>
    <cellStyle name="_Pocket_TV_CIS_PC Products_CORP SG&amp;A" xfId="0"/>
    <cellStyle name="_Pocket_TV_CIS_PC Products_LCD" xfId="0"/>
    <cellStyle name="_Pocket_TV_CIS_PC Products_PJ" xfId="0"/>
    <cellStyle name="_Pocket_TV_CIS_VSA 111014" xfId="0"/>
    <cellStyle name="_Pocket_TV_CIS_VSA 111014 2" xfId="0"/>
    <cellStyle name="_Pocket_TV_CIS_VSA 111014 3" xfId="0"/>
    <cellStyle name="_Pocket_TV_CIS_VSA 111014 4" xfId="0"/>
    <cellStyle name="_Pocket_TV_CIS_VSA 111014 4 2" xfId="0"/>
    <cellStyle name="_Pocket_TV_CIS_VSA 111014_By Region" xfId="0"/>
    <cellStyle name="_Pocket_TV_CIS_VSA 111014_CORP SG&amp;A" xfId="0"/>
    <cellStyle name="_Pocket_TV_CIS_VSA 111014_LCD" xfId="0"/>
    <cellStyle name="_Pocket_TV_CIS_VSA 111014_PJ" xfId="0"/>
    <cellStyle name="_Pocket_TV_CIS_VSA Roll-Up (LW)" xfId="0"/>
    <cellStyle name="_Pocket_TV_CIS_VSA Roll-Up (LW) 2" xfId="0"/>
    <cellStyle name="_Pocket_TV_CIS_VSA Roll-Up (LW) 3" xfId="0"/>
    <cellStyle name="_Pocket_TV_CIS_VSA Roll-Up (LW) 4" xfId="0"/>
    <cellStyle name="_Pocket_TV_CIS_VSA Roll-Up (LW) 4 2" xfId="0"/>
    <cellStyle name="_Pocket_TV_CIS_VSA Roll-Up (LW)_By Region" xfId="0"/>
    <cellStyle name="_Pocket_TV_CIS_VSA Roll-Up (LW)_CORP SG&amp;A" xfId="0"/>
    <cellStyle name="_Pocket_TV_CIS_VSA Roll-Up (LW)_LCD" xfId="0"/>
    <cellStyle name="_Pocket_TV_CIS_VSA Roll-Up (LW)_PJ" xfId="0"/>
    <cellStyle name="_Pocket_TV_CORP SG&amp;A" xfId="0"/>
    <cellStyle name="_Pocket_TV_CRT" xfId="0"/>
    <cellStyle name="_Pocket_TV_CRT 2" xfId="0"/>
    <cellStyle name="_Pocket_TV_CRT 3" xfId="0"/>
    <cellStyle name="_Pocket_TV_CRT 4" xfId="0"/>
    <cellStyle name="_Pocket_TV_CRT_By Region" xfId="0"/>
    <cellStyle name="_Pocket_TV_CRT_CORP SG&amp;A" xfId="0"/>
    <cellStyle name="_Pocket_TV_CRT_GPS OTHER" xfId="0"/>
    <cellStyle name="_Pocket_TV_CRT_GPS OTHER 2" xfId="0"/>
    <cellStyle name="_Pocket_TV_CRT_GPS OTHER 3" xfId="0"/>
    <cellStyle name="_Pocket_TV_CRT_GPS OTHER 4" xfId="0"/>
    <cellStyle name="_Pocket_TV_CRT_GPS OTHER 4 2" xfId="0"/>
    <cellStyle name="_Pocket_TV_CRT_GPS OTHER_By Region" xfId="0"/>
    <cellStyle name="_Pocket_TV_CRT_GPS OTHER_CORP SG&amp;A" xfId="0"/>
    <cellStyle name="_Pocket_TV_CRT_GPS OTHER_LCD" xfId="0"/>
    <cellStyle name="_Pocket_TV_CRT_GPS OTHER_PJ" xfId="0"/>
    <cellStyle name="_Pocket_TV_CRT_PC Products" xfId="0"/>
    <cellStyle name="_Pocket_TV_CRT_PC Products 2" xfId="0"/>
    <cellStyle name="_Pocket_TV_CRT_PC Products 3" xfId="0"/>
    <cellStyle name="_Pocket_TV_CRT_PC Products 4" xfId="0"/>
    <cellStyle name="_Pocket_TV_CRT_PC Products 4 2" xfId="0"/>
    <cellStyle name="_Pocket_TV_CRT_PC Products_By Region" xfId="0"/>
    <cellStyle name="_Pocket_TV_CRT_PC Products_CORP SG&amp;A" xfId="0"/>
    <cellStyle name="_Pocket_TV_CRT_PC Products_LCD" xfId="0"/>
    <cellStyle name="_Pocket_TV_CRT_PC Products_PJ" xfId="0"/>
    <cellStyle name="_Pocket_TV_CRT_VSA 111014" xfId="0"/>
    <cellStyle name="_Pocket_TV_CRT_VSA 111014 2" xfId="0"/>
    <cellStyle name="_Pocket_TV_CRT_VSA 111014 3" xfId="0"/>
    <cellStyle name="_Pocket_TV_CRT_VSA 111014 4" xfId="0"/>
    <cellStyle name="_Pocket_TV_CRT_VSA 111014 4 2" xfId="0"/>
    <cellStyle name="_Pocket_TV_CRT_VSA 111014_By Region" xfId="0"/>
    <cellStyle name="_Pocket_TV_CRT_VSA 111014_CORP SG&amp;A" xfId="0"/>
    <cellStyle name="_Pocket_TV_CRT_VSA 111014_LCD" xfId="0"/>
    <cellStyle name="_Pocket_TV_CRT_VSA 111014_PJ" xfId="0"/>
    <cellStyle name="_Pocket_TV_CRT_VSA Roll-Up (LW)" xfId="0"/>
    <cellStyle name="_Pocket_TV_CRT_VSA Roll-Up (LW) 2" xfId="0"/>
    <cellStyle name="_Pocket_TV_CRT_VSA Roll-Up (LW) 3" xfId="0"/>
    <cellStyle name="_Pocket_TV_CRT_VSA Roll-Up (LW) 4" xfId="0"/>
    <cellStyle name="_Pocket_TV_CRT_VSA Roll-Up (LW) 4 2" xfId="0"/>
    <cellStyle name="_Pocket_TV_CRT_VSA Roll-Up (LW)_By Region" xfId="0"/>
    <cellStyle name="_Pocket_TV_CRT_VSA Roll-Up (LW)_CORP SG&amp;A" xfId="0"/>
    <cellStyle name="_Pocket_TV_CRT_VSA Roll-Up (LW)_LCD" xfId="0"/>
    <cellStyle name="_Pocket_TV_CRT_VSA Roll-Up (LW)_PJ" xfId="0"/>
    <cellStyle name="_Pocket_TV_Diff" xfId="0"/>
    <cellStyle name="_Pocket_TV_Diff 2" xfId="0"/>
    <cellStyle name="_Pocket_TV_Diff 3" xfId="0"/>
    <cellStyle name="_Pocket_TV_Diff 4" xfId="0"/>
    <cellStyle name="_Pocket_TV_Diff_By Region" xfId="0"/>
    <cellStyle name="_Pocket_TV_Diff_CORP SG&amp;A" xfId="0"/>
    <cellStyle name="_Pocket_TV_Diff_GPS OTHER" xfId="0"/>
    <cellStyle name="_Pocket_TV_Diff_GPS OTHER 2" xfId="0"/>
    <cellStyle name="_Pocket_TV_Diff_GPS OTHER 3" xfId="0"/>
    <cellStyle name="_Pocket_TV_Diff_GPS OTHER 4" xfId="0"/>
    <cellStyle name="_Pocket_TV_Diff_GPS OTHER 4 2" xfId="0"/>
    <cellStyle name="_Pocket_TV_Diff_GPS OTHER_By Region" xfId="0"/>
    <cellStyle name="_Pocket_TV_Diff_GPS OTHER_CORP SG&amp;A" xfId="0"/>
    <cellStyle name="_Pocket_TV_Diff_GPS OTHER_LCD" xfId="0"/>
    <cellStyle name="_Pocket_TV_Diff_GPS OTHER_PJ" xfId="0"/>
    <cellStyle name="_Pocket_TV_Diff_PC Products" xfId="0"/>
    <cellStyle name="_Pocket_TV_Diff_PC Products 2" xfId="0"/>
    <cellStyle name="_Pocket_TV_Diff_PC Products 3" xfId="0"/>
    <cellStyle name="_Pocket_TV_Diff_PC Products 4" xfId="0"/>
    <cellStyle name="_Pocket_TV_Diff_PC Products 4 2" xfId="0"/>
    <cellStyle name="_Pocket_TV_Diff_PC Products_By Region" xfId="0"/>
    <cellStyle name="_Pocket_TV_Diff_PC Products_CORP SG&amp;A" xfId="0"/>
    <cellStyle name="_Pocket_TV_Diff_PC Products_LCD" xfId="0"/>
    <cellStyle name="_Pocket_TV_Diff_PC Products_PJ" xfId="0"/>
    <cellStyle name="_Pocket_TV_Diff_VSA 111014" xfId="0"/>
    <cellStyle name="_Pocket_TV_Diff_VSA 111014 2" xfId="0"/>
    <cellStyle name="_Pocket_TV_Diff_VSA 111014 3" xfId="0"/>
    <cellStyle name="_Pocket_TV_Diff_VSA 111014 4" xfId="0"/>
    <cellStyle name="_Pocket_TV_Diff_VSA 111014 4 2" xfId="0"/>
    <cellStyle name="_Pocket_TV_Diff_VSA 111014_By Region" xfId="0"/>
    <cellStyle name="_Pocket_TV_Diff_VSA 111014_CORP SG&amp;A" xfId="0"/>
    <cellStyle name="_Pocket_TV_Diff_VSA 111014_LCD" xfId="0"/>
    <cellStyle name="_Pocket_TV_Diff_VSA 111014_PJ" xfId="0"/>
    <cellStyle name="_Pocket_TV_Diff_VSA Roll-Up (LW)" xfId="0"/>
    <cellStyle name="_Pocket_TV_Diff_VSA Roll-Up (LW) 2" xfId="0"/>
    <cellStyle name="_Pocket_TV_Diff_VSA Roll-Up (LW) 3" xfId="0"/>
    <cellStyle name="_Pocket_TV_Diff_VSA Roll-Up (LW) 4" xfId="0"/>
    <cellStyle name="_Pocket_TV_Diff_VSA Roll-Up (LW) 4 2" xfId="0"/>
    <cellStyle name="_Pocket_TV_Diff_VSA Roll-Up (LW)_By Region" xfId="0"/>
    <cellStyle name="_Pocket_TV_Diff_VSA Roll-Up (LW)_CORP SG&amp;A" xfId="0"/>
    <cellStyle name="_Pocket_TV_Diff_VSA Roll-Up (LW)_LCD" xfId="0"/>
    <cellStyle name="_Pocket_TV_Diff_VSA Roll-Up (LW)_PJ" xfId="0"/>
    <cellStyle name="_Pocket_TV_Digital Product" xfId="0"/>
    <cellStyle name="_Pocket_TV_Digital Product 2" xfId="0"/>
    <cellStyle name="_Pocket_TV_Digital Product 3" xfId="0"/>
    <cellStyle name="_Pocket_TV_Digital Product 4" xfId="0"/>
    <cellStyle name="_Pocket_TV_Digital Product_By Region" xfId="0"/>
    <cellStyle name="_Pocket_TV_Digital Product_CORP SG&amp;A" xfId="0"/>
    <cellStyle name="_Pocket_TV_Digital Product_GPS OTHER" xfId="0"/>
    <cellStyle name="_Pocket_TV_Digital Product_GPS OTHER 2" xfId="0"/>
    <cellStyle name="_Pocket_TV_Digital Product_GPS OTHER 3" xfId="0"/>
    <cellStyle name="_Pocket_TV_Digital Product_GPS OTHER 4" xfId="0"/>
    <cellStyle name="_Pocket_TV_Digital Product_GPS OTHER 4 2" xfId="0"/>
    <cellStyle name="_Pocket_TV_Digital Product_GPS OTHER_By Region" xfId="0"/>
    <cellStyle name="_Pocket_TV_Digital Product_GPS OTHER_CORP SG&amp;A" xfId="0"/>
    <cellStyle name="_Pocket_TV_Digital Product_GPS OTHER_LCD" xfId="0"/>
    <cellStyle name="_Pocket_TV_Digital Product_GPS OTHER_PJ" xfId="0"/>
    <cellStyle name="_Pocket_TV_Digital Product_PC Products" xfId="0"/>
    <cellStyle name="_Pocket_TV_Digital Product_PC Products 2" xfId="0"/>
    <cellStyle name="_Pocket_TV_Digital Product_PC Products 3" xfId="0"/>
    <cellStyle name="_Pocket_TV_Digital Product_PC Products 4" xfId="0"/>
    <cellStyle name="_Pocket_TV_Digital Product_PC Products 4 2" xfId="0"/>
    <cellStyle name="_Pocket_TV_Digital Product_PC Products_By Region" xfId="0"/>
    <cellStyle name="_Pocket_TV_Digital Product_PC Products_CORP SG&amp;A" xfId="0"/>
    <cellStyle name="_Pocket_TV_Digital Product_PC Products_LCD" xfId="0"/>
    <cellStyle name="_Pocket_TV_Digital Product_PC Products_PJ" xfId="0"/>
    <cellStyle name="_Pocket_TV_Digital Product_VSA 111014" xfId="0"/>
    <cellStyle name="_Pocket_TV_Digital Product_VSA 111014 2" xfId="0"/>
    <cellStyle name="_Pocket_TV_Digital Product_VSA 111014 3" xfId="0"/>
    <cellStyle name="_Pocket_TV_Digital Product_VSA 111014 4" xfId="0"/>
    <cellStyle name="_Pocket_TV_Digital Product_VSA 111014 4 2" xfId="0"/>
    <cellStyle name="_Pocket_TV_Digital Product_VSA 111014_By Region" xfId="0"/>
    <cellStyle name="_Pocket_TV_Digital Product_VSA 111014_CORP SG&amp;A" xfId="0"/>
    <cellStyle name="_Pocket_TV_Digital Product_VSA 111014_LCD" xfId="0"/>
    <cellStyle name="_Pocket_TV_Digital Product_VSA 111014_PJ" xfId="0"/>
    <cellStyle name="_Pocket_TV_Digital Product_VSA Roll-Up (LW)" xfId="0"/>
    <cellStyle name="_Pocket_TV_Digital Product_VSA Roll-Up (LW) 2" xfId="0"/>
    <cellStyle name="_Pocket_TV_Digital Product_VSA Roll-Up (LW) 3" xfId="0"/>
    <cellStyle name="_Pocket_TV_Digital Product_VSA Roll-Up (LW) 4" xfId="0"/>
    <cellStyle name="_Pocket_TV_Digital Product_VSA Roll-Up (LW) 4 2" xfId="0"/>
    <cellStyle name="_Pocket_TV_Digital Product_VSA Roll-Up (LW)_By Region" xfId="0"/>
    <cellStyle name="_Pocket_TV_Digital Product_VSA Roll-Up (LW)_CORP SG&amp;A" xfId="0"/>
    <cellStyle name="_Pocket_TV_Digital Product_VSA Roll-Up (LW)_LCD" xfId="0"/>
    <cellStyle name="_Pocket_TV_Digital Product_VSA Roll-Up (LW)_PJ" xfId="0"/>
    <cellStyle name="_Pocket_TV_Digital Signage" xfId="0"/>
    <cellStyle name="_Pocket_TV_Digital Signage 2" xfId="0"/>
    <cellStyle name="_Pocket_TV_Digital Signage 3" xfId="0"/>
    <cellStyle name="_Pocket_TV_Digital Signage 4" xfId="0"/>
    <cellStyle name="_Pocket_TV_Digital Signage_By Region" xfId="0"/>
    <cellStyle name="_Pocket_TV_Digital Signage_CORP SG&amp;A" xfId="0"/>
    <cellStyle name="_Pocket_TV_Digital Signage_GPS OTHER" xfId="0"/>
    <cellStyle name="_Pocket_TV_Digital Signage_GPS OTHER 2" xfId="0"/>
    <cellStyle name="_Pocket_TV_Digital Signage_GPS OTHER 3" xfId="0"/>
    <cellStyle name="_Pocket_TV_Digital Signage_GPS OTHER 4" xfId="0"/>
    <cellStyle name="_Pocket_TV_Digital Signage_GPS OTHER 4 2" xfId="0"/>
    <cellStyle name="_Pocket_TV_Digital Signage_GPS OTHER_By Region" xfId="0"/>
    <cellStyle name="_Pocket_TV_Digital Signage_GPS OTHER_CORP SG&amp;A" xfId="0"/>
    <cellStyle name="_Pocket_TV_Digital Signage_GPS OTHER_LCD" xfId="0"/>
    <cellStyle name="_Pocket_TV_Digital Signage_GPS OTHER_PJ" xfId="0"/>
    <cellStyle name="_Pocket_TV_Digital Signage_PC Products" xfId="0"/>
    <cellStyle name="_Pocket_TV_Digital Signage_PC Products 2" xfId="0"/>
    <cellStyle name="_Pocket_TV_Digital Signage_PC Products 3" xfId="0"/>
    <cellStyle name="_Pocket_TV_Digital Signage_PC Products 4" xfId="0"/>
    <cellStyle name="_Pocket_TV_Digital Signage_PC Products 4 2" xfId="0"/>
    <cellStyle name="_Pocket_TV_Digital Signage_PC Products_By Region" xfId="0"/>
    <cellStyle name="_Pocket_TV_Digital Signage_PC Products_CORP SG&amp;A" xfId="0"/>
    <cellStyle name="_Pocket_TV_Digital Signage_PC Products_LCD" xfId="0"/>
    <cellStyle name="_Pocket_TV_Digital Signage_PC Products_PJ" xfId="0"/>
    <cellStyle name="_Pocket_TV_Digital Signage_VSA 111014" xfId="0"/>
    <cellStyle name="_Pocket_TV_Digital Signage_VSA 111014 2" xfId="0"/>
    <cellStyle name="_Pocket_TV_Digital Signage_VSA 111014 3" xfId="0"/>
    <cellStyle name="_Pocket_TV_Digital Signage_VSA 111014 4" xfId="0"/>
    <cellStyle name="_Pocket_TV_Digital Signage_VSA 111014 4 2" xfId="0"/>
    <cellStyle name="_Pocket_TV_Digital Signage_VSA 111014_By Region" xfId="0"/>
    <cellStyle name="_Pocket_TV_Digital Signage_VSA 111014_CORP SG&amp;A" xfId="0"/>
    <cellStyle name="_Pocket_TV_Digital Signage_VSA 111014_LCD" xfId="0"/>
    <cellStyle name="_Pocket_TV_Digital Signage_VSA 111014_PJ" xfId="0"/>
    <cellStyle name="_Pocket_TV_Digital Signage_VSA Roll-Up (LW)" xfId="0"/>
    <cellStyle name="_Pocket_TV_Digital Signage_VSA Roll-Up (LW) 2" xfId="0"/>
    <cellStyle name="_Pocket_TV_Digital Signage_VSA Roll-Up (LW) 3" xfId="0"/>
    <cellStyle name="_Pocket_TV_Digital Signage_VSA Roll-Up (LW) 4" xfId="0"/>
    <cellStyle name="_Pocket_TV_Digital Signage_VSA Roll-Up (LW) 4 2" xfId="0"/>
    <cellStyle name="_Pocket_TV_Digital Signage_VSA Roll-Up (LW)_By Region" xfId="0"/>
    <cellStyle name="_Pocket_TV_Digital Signage_VSA Roll-Up (LW)_CORP SG&amp;A" xfId="0"/>
    <cellStyle name="_Pocket_TV_Digital Signage_VSA Roll-Up (LW)_LCD" xfId="0"/>
    <cellStyle name="_Pocket_TV_Digital Signage_VSA Roll-Up (LW)_PJ" xfId="0"/>
    <cellStyle name="_Pocket_TV_DMA(VMP)" xfId="0"/>
    <cellStyle name="_Pocket_TV_DMA(VMP) 2" xfId="0"/>
    <cellStyle name="_Pocket_TV_DMA(VMP) 3" xfId="0"/>
    <cellStyle name="_Pocket_TV_DMA(VMP) 4" xfId="0"/>
    <cellStyle name="_Pocket_TV_DMA(VMP)_By Region" xfId="0"/>
    <cellStyle name="_Pocket_TV_DMA(VMP)_CORP SG&amp;A" xfId="0"/>
    <cellStyle name="_Pocket_TV_DMA(VMP)_GPS OTHER" xfId="0"/>
    <cellStyle name="_Pocket_TV_DMA(VMP)_GPS OTHER 2" xfId="0"/>
    <cellStyle name="_Pocket_TV_DMA(VMP)_GPS OTHER 3" xfId="0"/>
    <cellStyle name="_Pocket_TV_DMA(VMP)_GPS OTHER 4" xfId="0"/>
    <cellStyle name="_Pocket_TV_DMA(VMP)_GPS OTHER 4 2" xfId="0"/>
    <cellStyle name="_Pocket_TV_DMA(VMP)_GPS OTHER_By Region" xfId="0"/>
    <cellStyle name="_Pocket_TV_DMA(VMP)_GPS OTHER_CORP SG&amp;A" xfId="0"/>
    <cellStyle name="_Pocket_TV_DMA(VMP)_GPS OTHER_LCD" xfId="0"/>
    <cellStyle name="_Pocket_TV_DMA(VMP)_GPS OTHER_PJ" xfId="0"/>
    <cellStyle name="_Pocket_TV_DMA(VMP)_PC Products" xfId="0"/>
    <cellStyle name="_Pocket_TV_DMA(VMP)_PC Products 2" xfId="0"/>
    <cellStyle name="_Pocket_TV_DMA(VMP)_PC Products 3" xfId="0"/>
    <cellStyle name="_Pocket_TV_DMA(VMP)_PC Products 4" xfId="0"/>
    <cellStyle name="_Pocket_TV_DMA(VMP)_PC Products 4 2" xfId="0"/>
    <cellStyle name="_Pocket_TV_DMA(VMP)_PC Products_By Region" xfId="0"/>
    <cellStyle name="_Pocket_TV_DMA(VMP)_PC Products_CORP SG&amp;A" xfId="0"/>
    <cellStyle name="_Pocket_TV_DMA(VMP)_PC Products_LCD" xfId="0"/>
    <cellStyle name="_Pocket_TV_DMA(VMP)_PC Products_PJ" xfId="0"/>
    <cellStyle name="_Pocket_TV_DMA(VMP)_VSA 111014" xfId="0"/>
    <cellStyle name="_Pocket_TV_DMA(VMP)_VSA 111014 2" xfId="0"/>
    <cellStyle name="_Pocket_TV_DMA(VMP)_VSA 111014 3" xfId="0"/>
    <cellStyle name="_Pocket_TV_DMA(VMP)_VSA 111014 4" xfId="0"/>
    <cellStyle name="_Pocket_TV_DMA(VMP)_VSA 111014 4 2" xfId="0"/>
    <cellStyle name="_Pocket_TV_DMA(VMP)_VSA 111014_By Region" xfId="0"/>
    <cellStyle name="_Pocket_TV_DMA(VMP)_VSA 111014_CORP SG&amp;A" xfId="0"/>
    <cellStyle name="_Pocket_TV_DMA(VMP)_VSA 111014_LCD" xfId="0"/>
    <cellStyle name="_Pocket_TV_DMA(VMP)_VSA 111014_PJ" xfId="0"/>
    <cellStyle name="_Pocket_TV_DMA(VMP)_VSA Roll-Up (LW)" xfId="0"/>
    <cellStyle name="_Pocket_TV_DMA(VMP)_VSA Roll-Up (LW) 2" xfId="0"/>
    <cellStyle name="_Pocket_TV_DMA(VMP)_VSA Roll-Up (LW) 3" xfId="0"/>
    <cellStyle name="_Pocket_TV_DMA(VMP)_VSA Roll-Up (LW) 4" xfId="0"/>
    <cellStyle name="_Pocket_TV_DMA(VMP)_VSA Roll-Up (LW) 4 2" xfId="0"/>
    <cellStyle name="_Pocket_TV_DMA(VMP)_VSA Roll-Up (LW)_By Region" xfId="0"/>
    <cellStyle name="_Pocket_TV_DMA(VMP)_VSA Roll-Up (LW)_CORP SG&amp;A" xfId="0"/>
    <cellStyle name="_Pocket_TV_DMA(VMP)_VSA Roll-Up (LW)_LCD" xfId="0"/>
    <cellStyle name="_Pocket_TV_DMA(VMP)_VSA Roll-Up (LW)_PJ" xfId="0"/>
    <cellStyle name="_Pocket_TV_DPF" xfId="0"/>
    <cellStyle name="_Pocket_TV_DPF 2" xfId="0"/>
    <cellStyle name="_Pocket_TV_DPF 3" xfId="0"/>
    <cellStyle name="_Pocket_TV_DPF 4" xfId="0"/>
    <cellStyle name="_Pocket_TV_DPF_By Region" xfId="0"/>
    <cellStyle name="_Pocket_TV_DPF_CORP SG&amp;A" xfId="0"/>
    <cellStyle name="_Pocket_TV_DPF_GPS OTHER" xfId="0"/>
    <cellStyle name="_Pocket_TV_DPF_GPS OTHER 2" xfId="0"/>
    <cellStyle name="_Pocket_TV_DPF_GPS OTHER 3" xfId="0"/>
    <cellStyle name="_Pocket_TV_DPF_GPS OTHER 4" xfId="0"/>
    <cellStyle name="_Pocket_TV_DPF_GPS OTHER 4 2" xfId="0"/>
    <cellStyle name="_Pocket_TV_DPF_GPS OTHER_By Region" xfId="0"/>
    <cellStyle name="_Pocket_TV_DPF_GPS OTHER_CORP SG&amp;A" xfId="0"/>
    <cellStyle name="_Pocket_TV_DPF_GPS OTHER_LCD" xfId="0"/>
    <cellStyle name="_Pocket_TV_DPF_GPS OTHER_PJ" xfId="0"/>
    <cellStyle name="_Pocket_TV_DPF_PC Products" xfId="0"/>
    <cellStyle name="_Pocket_TV_DPF_PC Products 2" xfId="0"/>
    <cellStyle name="_Pocket_TV_DPF_PC Products 3" xfId="0"/>
    <cellStyle name="_Pocket_TV_DPF_PC Products 4" xfId="0"/>
    <cellStyle name="_Pocket_TV_DPF_PC Products 4 2" xfId="0"/>
    <cellStyle name="_Pocket_TV_DPF_PC Products_By Region" xfId="0"/>
    <cellStyle name="_Pocket_TV_DPF_PC Products_CORP SG&amp;A" xfId="0"/>
    <cellStyle name="_Pocket_TV_DPF_PC Products_LCD" xfId="0"/>
    <cellStyle name="_Pocket_TV_DPF_PC Products_PJ" xfId="0"/>
    <cellStyle name="_Pocket_TV_DPF_VSA 111014" xfId="0"/>
    <cellStyle name="_Pocket_TV_DPF_VSA 111014 2" xfId="0"/>
    <cellStyle name="_Pocket_TV_DPF_VSA 111014 3" xfId="0"/>
    <cellStyle name="_Pocket_TV_DPF_VSA 111014 4" xfId="0"/>
    <cellStyle name="_Pocket_TV_DPF_VSA 111014 4 2" xfId="0"/>
    <cellStyle name="_Pocket_TV_DPF_VSA 111014_By Region" xfId="0"/>
    <cellStyle name="_Pocket_TV_DPF_VSA 111014_CORP SG&amp;A" xfId="0"/>
    <cellStyle name="_Pocket_TV_DPF_VSA 111014_LCD" xfId="0"/>
    <cellStyle name="_Pocket_TV_DPF_VSA 111014_PJ" xfId="0"/>
    <cellStyle name="_Pocket_TV_DPF_VSA Roll-Up (LW)" xfId="0"/>
    <cellStyle name="_Pocket_TV_DPF_VSA Roll-Up (LW) 2" xfId="0"/>
    <cellStyle name="_Pocket_TV_DPF_VSA Roll-Up (LW) 3" xfId="0"/>
    <cellStyle name="_Pocket_TV_DPF_VSA Roll-Up (LW) 4" xfId="0"/>
    <cellStyle name="_Pocket_TV_DPF_VSA Roll-Up (LW) 4 2" xfId="0"/>
    <cellStyle name="_Pocket_TV_DPF_VSA Roll-Up (LW)_By Region" xfId="0"/>
    <cellStyle name="_Pocket_TV_DPF_VSA Roll-Up (LW)_CORP SG&amp;A" xfId="0"/>
    <cellStyle name="_Pocket_TV_DPF_VSA Roll-Up (LW)_LCD" xfId="0"/>
    <cellStyle name="_Pocket_TV_DPF_VSA Roll-Up (LW)_PJ" xfId="0"/>
    <cellStyle name="_Pocket_TV_DS" xfId="0"/>
    <cellStyle name="_Pocket_TV_DS 2" xfId="0"/>
    <cellStyle name="_Pocket_TV_DS 3" xfId="0"/>
    <cellStyle name="_Pocket_TV_DS 4" xfId="0"/>
    <cellStyle name="_Pocket_TV_DS_By Region" xfId="0"/>
    <cellStyle name="_Pocket_TV_DS_CORP SG&amp;A" xfId="0"/>
    <cellStyle name="_Pocket_TV_DS_GPS OTHER" xfId="0"/>
    <cellStyle name="_Pocket_TV_DS_GPS OTHER 2" xfId="0"/>
    <cellStyle name="_Pocket_TV_DS_GPS OTHER 3" xfId="0"/>
    <cellStyle name="_Pocket_TV_DS_GPS OTHER 4" xfId="0"/>
    <cellStyle name="_Pocket_TV_DS_GPS OTHER 4 2" xfId="0"/>
    <cellStyle name="_Pocket_TV_DS_GPS OTHER_By Region" xfId="0"/>
    <cellStyle name="_Pocket_TV_DS_GPS OTHER_CORP SG&amp;A" xfId="0"/>
    <cellStyle name="_Pocket_TV_DS_GPS OTHER_LCD" xfId="0"/>
    <cellStyle name="_Pocket_TV_DS_GPS OTHER_PJ" xfId="0"/>
    <cellStyle name="_Pocket_TV_DS_PC Products" xfId="0"/>
    <cellStyle name="_Pocket_TV_DS_PC Products 2" xfId="0"/>
    <cellStyle name="_Pocket_TV_DS_PC Products 3" xfId="0"/>
    <cellStyle name="_Pocket_TV_DS_PC Products 4" xfId="0"/>
    <cellStyle name="_Pocket_TV_DS_PC Products 4 2" xfId="0"/>
    <cellStyle name="_Pocket_TV_DS_PC Products_By Region" xfId="0"/>
    <cellStyle name="_Pocket_TV_DS_PC Products_CORP SG&amp;A" xfId="0"/>
    <cellStyle name="_Pocket_TV_DS_PC Products_LCD" xfId="0"/>
    <cellStyle name="_Pocket_TV_DS_PC Products_PJ" xfId="0"/>
    <cellStyle name="_Pocket_TV_DS_VSA 111014" xfId="0"/>
    <cellStyle name="_Pocket_TV_DS_VSA 111014 2" xfId="0"/>
    <cellStyle name="_Pocket_TV_DS_VSA 111014 3" xfId="0"/>
    <cellStyle name="_Pocket_TV_DS_VSA 111014 4" xfId="0"/>
    <cellStyle name="_Pocket_TV_DS_VSA 111014 4 2" xfId="0"/>
    <cellStyle name="_Pocket_TV_DS_VSA 111014_By Region" xfId="0"/>
    <cellStyle name="_Pocket_TV_DS_VSA 111014_CORP SG&amp;A" xfId="0"/>
    <cellStyle name="_Pocket_TV_DS_VSA 111014_LCD" xfId="0"/>
    <cellStyle name="_Pocket_TV_DS_VSA 111014_PJ" xfId="0"/>
    <cellStyle name="_Pocket_TV_DS_VSA Roll-Up (LW)" xfId="0"/>
    <cellStyle name="_Pocket_TV_DS_VSA Roll-Up (LW) 2" xfId="0"/>
    <cellStyle name="_Pocket_TV_DS_VSA Roll-Up (LW) 3" xfId="0"/>
    <cellStyle name="_Pocket_TV_DS_VSA Roll-Up (LW) 4" xfId="0"/>
    <cellStyle name="_Pocket_TV_DS_VSA Roll-Up (LW) 4 2" xfId="0"/>
    <cellStyle name="_Pocket_TV_DS_VSA Roll-Up (LW)_By Region" xfId="0"/>
    <cellStyle name="_Pocket_TV_DS_VSA Roll-Up (LW)_CORP SG&amp;A" xfId="0"/>
    <cellStyle name="_Pocket_TV_DS_VSA Roll-Up (LW)_LCD" xfId="0"/>
    <cellStyle name="_Pocket_TV_DS_VSA Roll-Up (LW)_PJ" xfId="0"/>
    <cellStyle name="_Pocket_TV_DVD_TV" xfId="0"/>
    <cellStyle name="_Pocket_TV_DVD_TV 2" xfId="0"/>
    <cellStyle name="_Pocket_TV_DVD_TV 3" xfId="0"/>
    <cellStyle name="_Pocket_TV_DVD_TV 4" xfId="0"/>
    <cellStyle name="_Pocket_TV_DVD_TV_By Region" xfId="0"/>
    <cellStyle name="_Pocket_TV_DVD_TV_CORP SG&amp;A" xfId="0"/>
    <cellStyle name="_Pocket_TV_DVD_TV_GPS OTHER" xfId="0"/>
    <cellStyle name="_Pocket_TV_DVD_TV_GPS OTHER 2" xfId="0"/>
    <cellStyle name="_Pocket_TV_DVD_TV_GPS OTHER 3" xfId="0"/>
    <cellStyle name="_Pocket_TV_DVD_TV_GPS OTHER 4" xfId="0"/>
    <cellStyle name="_Pocket_TV_DVD_TV_GPS OTHER 4 2" xfId="0"/>
    <cellStyle name="_Pocket_TV_DVD_TV_GPS OTHER_By Region" xfId="0"/>
    <cellStyle name="_Pocket_TV_DVD_TV_GPS OTHER_CORP SG&amp;A" xfId="0"/>
    <cellStyle name="_Pocket_TV_DVD_TV_GPS OTHER_LCD" xfId="0"/>
    <cellStyle name="_Pocket_TV_DVD_TV_GPS OTHER_PJ" xfId="0"/>
    <cellStyle name="_Pocket_TV_DVD_TV_PC Products" xfId="0"/>
    <cellStyle name="_Pocket_TV_DVD_TV_PC Products 2" xfId="0"/>
    <cellStyle name="_Pocket_TV_DVD_TV_PC Products 3" xfId="0"/>
    <cellStyle name="_Pocket_TV_DVD_TV_PC Products 4" xfId="0"/>
    <cellStyle name="_Pocket_TV_DVD_TV_PC Products 4 2" xfId="0"/>
    <cellStyle name="_Pocket_TV_DVD_TV_PC Products_By Region" xfId="0"/>
    <cellStyle name="_Pocket_TV_DVD_TV_PC Products_CORP SG&amp;A" xfId="0"/>
    <cellStyle name="_Pocket_TV_DVD_TV_PC Products_LCD" xfId="0"/>
    <cellStyle name="_Pocket_TV_DVD_TV_PC Products_PJ" xfId="0"/>
    <cellStyle name="_Pocket_TV_DVD_TV_VSA 111014" xfId="0"/>
    <cellStyle name="_Pocket_TV_DVD_TV_VSA 111014 2" xfId="0"/>
    <cellStyle name="_Pocket_TV_DVD_TV_VSA 111014 3" xfId="0"/>
    <cellStyle name="_Pocket_TV_DVD_TV_VSA 111014 4" xfId="0"/>
    <cellStyle name="_Pocket_TV_DVD_TV_VSA 111014 4 2" xfId="0"/>
    <cellStyle name="_Pocket_TV_DVD_TV_VSA 111014_By Region" xfId="0"/>
    <cellStyle name="_Pocket_TV_DVD_TV_VSA 111014_CORP SG&amp;A" xfId="0"/>
    <cellStyle name="_Pocket_TV_DVD_TV_VSA 111014_LCD" xfId="0"/>
    <cellStyle name="_Pocket_TV_DVD_TV_VSA 111014_PJ" xfId="0"/>
    <cellStyle name="_Pocket_TV_DVD_TV_VSA Roll-Up (LW)" xfId="0"/>
    <cellStyle name="_Pocket_TV_DVD_TV_VSA Roll-Up (LW) 2" xfId="0"/>
    <cellStyle name="_Pocket_TV_DVD_TV_VSA Roll-Up (LW) 3" xfId="0"/>
    <cellStyle name="_Pocket_TV_DVD_TV_VSA Roll-Up (LW) 4" xfId="0"/>
    <cellStyle name="_Pocket_TV_DVD_TV_VSA Roll-Up (LW) 4 2" xfId="0"/>
    <cellStyle name="_Pocket_TV_DVD_TV_VSA Roll-Up (LW)_By Region" xfId="0"/>
    <cellStyle name="_Pocket_TV_DVD_TV_VSA Roll-Up (LW)_CORP SG&amp;A" xfId="0"/>
    <cellStyle name="_Pocket_TV_DVD_TV_VSA Roll-Up (LW)_LCD" xfId="0"/>
    <cellStyle name="_Pocket_TV_DVD_TV_VSA Roll-Up (LW)_PJ" xfId="0"/>
    <cellStyle name="_Pocket_TV_GPS OTHER" xfId="0"/>
    <cellStyle name="_Pocket_TV_GPS OTHER 2" xfId="0"/>
    <cellStyle name="_Pocket_TV_GPS OTHER 3" xfId="0"/>
    <cellStyle name="_Pocket_TV_GPS OTHER 4" xfId="0"/>
    <cellStyle name="_Pocket_TV_GPS OTHER 4 2" xfId="0"/>
    <cellStyle name="_Pocket_TV_GPS OTHER_By Region" xfId="0"/>
    <cellStyle name="_Pocket_TV_GPS OTHER_CORP SG&amp;A" xfId="0"/>
    <cellStyle name="_Pocket_TV_GPS OTHER_LCD" xfId="0"/>
    <cellStyle name="_Pocket_TV_GPS OTHER_PJ" xfId="0"/>
    <cellStyle name="_Pocket_TV_LCD" xfId="0"/>
    <cellStyle name="_Pocket_TV_LCD 2" xfId="0"/>
    <cellStyle name="_Pocket_TV_LCD 3" xfId="0"/>
    <cellStyle name="_Pocket_TV_LCD 4" xfId="0"/>
    <cellStyle name="_Pocket_TV_LCD_By Region" xfId="0"/>
    <cellStyle name="_Pocket_TV_LCD_CORP SG&amp;A" xfId="0"/>
    <cellStyle name="_Pocket_TV_LCD_GPS OTHER" xfId="0"/>
    <cellStyle name="_Pocket_TV_LCD_GPS OTHER 2" xfId="0"/>
    <cellStyle name="_Pocket_TV_LCD_GPS OTHER 3" xfId="0"/>
    <cellStyle name="_Pocket_TV_LCD_GPS OTHER 4" xfId="0"/>
    <cellStyle name="_Pocket_TV_LCD_GPS OTHER 4 2" xfId="0"/>
    <cellStyle name="_Pocket_TV_LCD_GPS OTHER_By Region" xfId="0"/>
    <cellStyle name="_Pocket_TV_LCD_GPS OTHER_CORP SG&amp;A" xfId="0"/>
    <cellStyle name="_Pocket_TV_LCD_GPS OTHER_LCD" xfId="0"/>
    <cellStyle name="_Pocket_TV_LCD_GPS OTHER_PJ" xfId="0"/>
    <cellStyle name="_Pocket_TV_LCD_PC Products" xfId="0"/>
    <cellStyle name="_Pocket_TV_LCD_PC Products 2" xfId="0"/>
    <cellStyle name="_Pocket_TV_LCD_PC Products 3" xfId="0"/>
    <cellStyle name="_Pocket_TV_LCD_PC Products 4" xfId="0"/>
    <cellStyle name="_Pocket_TV_LCD_PC Products 4 2" xfId="0"/>
    <cellStyle name="_Pocket_TV_LCD_PC Products_By Region" xfId="0"/>
    <cellStyle name="_Pocket_TV_LCD_PC Products_CORP SG&amp;A" xfId="0"/>
    <cellStyle name="_Pocket_TV_LCD_PC Products_LCD" xfId="0"/>
    <cellStyle name="_Pocket_TV_LCD_PC Products_PJ" xfId="0"/>
    <cellStyle name="_Pocket_TV_LCD_VSA 111014" xfId="0"/>
    <cellStyle name="_Pocket_TV_LCD_VSA 111014 2" xfId="0"/>
    <cellStyle name="_Pocket_TV_LCD_VSA 111014 3" xfId="0"/>
    <cellStyle name="_Pocket_TV_LCD_VSA 111014 4" xfId="0"/>
    <cellStyle name="_Pocket_TV_LCD_VSA 111014 4 2" xfId="0"/>
    <cellStyle name="_Pocket_TV_LCD_VSA 111014_By Region" xfId="0"/>
    <cellStyle name="_Pocket_TV_LCD_VSA 111014_CORP SG&amp;A" xfId="0"/>
    <cellStyle name="_Pocket_TV_LCD_VSA 111014_LCD" xfId="0"/>
    <cellStyle name="_Pocket_TV_LCD_VSA 111014_PJ" xfId="0"/>
    <cellStyle name="_Pocket_TV_LCD_VSA Roll-Up (LW)" xfId="0"/>
    <cellStyle name="_Pocket_TV_LCD_VSA Roll-Up (LW) 2" xfId="0"/>
    <cellStyle name="_Pocket_TV_LCD_VSA Roll-Up (LW) 3" xfId="0"/>
    <cellStyle name="_Pocket_TV_LCD_VSA Roll-Up (LW) 4" xfId="0"/>
    <cellStyle name="_Pocket_TV_LCD_VSA Roll-Up (LW) 4 2" xfId="0"/>
    <cellStyle name="_Pocket_TV_LCD_VSA Roll-Up (LW)_By Region" xfId="0"/>
    <cellStyle name="_Pocket_TV_LCD_VSA Roll-Up (LW)_CORP SG&amp;A" xfId="0"/>
    <cellStyle name="_Pocket_TV_LCD_VSA Roll-Up (LW)_LCD" xfId="0"/>
    <cellStyle name="_Pocket_TV_LCD_VSA Roll-Up (LW)_PJ" xfId="0"/>
    <cellStyle name="_Pocket_TV_LCDTV" xfId="0"/>
    <cellStyle name="_Pocket_TV_LCDTV 2" xfId="0"/>
    <cellStyle name="_Pocket_TV_LCDTV 3" xfId="0"/>
    <cellStyle name="_Pocket_TV_LCDTV 4" xfId="0"/>
    <cellStyle name="_Pocket_TV_LCDTV_By Region" xfId="0"/>
    <cellStyle name="_Pocket_TV_LCDTV_CORP SG&amp;A" xfId="0"/>
    <cellStyle name="_Pocket_TV_LCDTV_GPS OTHER" xfId="0"/>
    <cellStyle name="_Pocket_TV_LCDTV_GPS OTHER 2" xfId="0"/>
    <cellStyle name="_Pocket_TV_LCDTV_GPS OTHER 3" xfId="0"/>
    <cellStyle name="_Pocket_TV_LCDTV_GPS OTHER 4" xfId="0"/>
    <cellStyle name="_Pocket_TV_LCDTV_GPS OTHER 4 2" xfId="0"/>
    <cellStyle name="_Pocket_TV_LCDTV_GPS OTHER_By Region" xfId="0"/>
    <cellStyle name="_Pocket_TV_LCDTV_GPS OTHER_CORP SG&amp;A" xfId="0"/>
    <cellStyle name="_Pocket_TV_LCDTV_GPS OTHER_LCD" xfId="0"/>
    <cellStyle name="_Pocket_TV_LCDTV_GPS OTHER_PJ" xfId="0"/>
    <cellStyle name="_Pocket_TV_LCDTV_PC Products" xfId="0"/>
    <cellStyle name="_Pocket_TV_LCDTV_PC Products 2" xfId="0"/>
    <cellStyle name="_Pocket_TV_LCDTV_PC Products 3" xfId="0"/>
    <cellStyle name="_Pocket_TV_LCDTV_PC Products 4" xfId="0"/>
    <cellStyle name="_Pocket_TV_LCDTV_PC Products 4 2" xfId="0"/>
    <cellStyle name="_Pocket_TV_LCDTV_PC Products_By Region" xfId="0"/>
    <cellStyle name="_Pocket_TV_LCDTV_PC Products_CORP SG&amp;A" xfId="0"/>
    <cellStyle name="_Pocket_TV_LCDTV_PC Products_LCD" xfId="0"/>
    <cellStyle name="_Pocket_TV_LCDTV_PC Products_PJ" xfId="0"/>
    <cellStyle name="_Pocket_TV_LCDTV_VSA 111014" xfId="0"/>
    <cellStyle name="_Pocket_TV_LCDTV_VSA 111014 2" xfId="0"/>
    <cellStyle name="_Pocket_TV_LCDTV_VSA 111014 3" xfId="0"/>
    <cellStyle name="_Pocket_TV_LCDTV_VSA 111014 4" xfId="0"/>
    <cellStyle name="_Pocket_TV_LCDTV_VSA 111014 4 2" xfId="0"/>
    <cellStyle name="_Pocket_TV_LCDTV_VSA 111014_By Region" xfId="0"/>
    <cellStyle name="_Pocket_TV_LCDTV_VSA 111014_CORP SG&amp;A" xfId="0"/>
    <cellStyle name="_Pocket_TV_LCDTV_VSA 111014_LCD" xfId="0"/>
    <cellStyle name="_Pocket_TV_LCDTV_VSA 111014_PJ" xfId="0"/>
    <cellStyle name="_Pocket_TV_LCDTV_VSA Roll-Up (LW)" xfId="0"/>
    <cellStyle name="_Pocket_TV_LCDTV_VSA Roll-Up (LW) 2" xfId="0"/>
    <cellStyle name="_Pocket_TV_LCDTV_VSA Roll-Up (LW) 3" xfId="0"/>
    <cellStyle name="_Pocket_TV_LCDTV_VSA Roll-Up (LW) 4" xfId="0"/>
    <cellStyle name="_Pocket_TV_LCDTV_VSA Roll-Up (LW) 4 2" xfId="0"/>
    <cellStyle name="_Pocket_TV_LCDTV_VSA Roll-Up (LW)_By Region" xfId="0"/>
    <cellStyle name="_Pocket_TV_LCDTV_VSA Roll-Up (LW)_CORP SG&amp;A" xfId="0"/>
    <cellStyle name="_Pocket_TV_LCDTV_VSA Roll-Up (LW)_LCD" xfId="0"/>
    <cellStyle name="_Pocket_TV_LCDTV_VSA Roll-Up (LW)_PJ" xfId="0"/>
    <cellStyle name="_Pocket_TV_MNT" xfId="0"/>
    <cellStyle name="_Pocket_TV_MNT 2" xfId="0"/>
    <cellStyle name="_Pocket_TV_MNT 3" xfId="0"/>
    <cellStyle name="_Pocket_TV_MNT 4" xfId="0"/>
    <cellStyle name="_Pocket_TV_MNT_By Region" xfId="0"/>
    <cellStyle name="_Pocket_TV_MNT_CORP SG&amp;A" xfId="0"/>
    <cellStyle name="_Pocket_TV_MNT_GPS OTHER" xfId="0"/>
    <cellStyle name="_Pocket_TV_MNT_GPS OTHER 2" xfId="0"/>
    <cellStyle name="_Pocket_TV_MNT_GPS OTHER 3" xfId="0"/>
    <cellStyle name="_Pocket_TV_MNT_GPS OTHER 4" xfId="0"/>
    <cellStyle name="_Pocket_TV_MNT_GPS OTHER 4 2" xfId="0"/>
    <cellStyle name="_Pocket_TV_MNT_GPS OTHER_By Region" xfId="0"/>
    <cellStyle name="_Pocket_TV_MNT_GPS OTHER_CORP SG&amp;A" xfId="0"/>
    <cellStyle name="_Pocket_TV_MNT_GPS OTHER_LCD" xfId="0"/>
    <cellStyle name="_Pocket_TV_MNT_GPS OTHER_PJ" xfId="0"/>
    <cellStyle name="_Pocket_TV_MNT_PC Products" xfId="0"/>
    <cellStyle name="_Pocket_TV_MNT_PC Products 2" xfId="0"/>
    <cellStyle name="_Pocket_TV_MNT_PC Products 3" xfId="0"/>
    <cellStyle name="_Pocket_TV_MNT_PC Products 4" xfId="0"/>
    <cellStyle name="_Pocket_TV_MNT_PC Products 4 2" xfId="0"/>
    <cellStyle name="_Pocket_TV_MNT_PC Products_By Region" xfId="0"/>
    <cellStyle name="_Pocket_TV_MNT_PC Products_CORP SG&amp;A" xfId="0"/>
    <cellStyle name="_Pocket_TV_MNT_PC Products_LCD" xfId="0"/>
    <cellStyle name="_Pocket_TV_MNT_PC Products_PJ" xfId="0"/>
    <cellStyle name="_Pocket_TV_MNT_VSA 111014" xfId="0"/>
    <cellStyle name="_Pocket_TV_MNT_VSA 111014 2" xfId="0"/>
    <cellStyle name="_Pocket_TV_MNT_VSA 111014 3" xfId="0"/>
    <cellStyle name="_Pocket_TV_MNT_VSA 111014 4" xfId="0"/>
    <cellStyle name="_Pocket_TV_MNT_VSA 111014 4 2" xfId="0"/>
    <cellStyle name="_Pocket_TV_MNT_VSA 111014_By Region" xfId="0"/>
    <cellStyle name="_Pocket_TV_MNT_VSA 111014_CORP SG&amp;A" xfId="0"/>
    <cellStyle name="_Pocket_TV_MNT_VSA 111014_LCD" xfId="0"/>
    <cellStyle name="_Pocket_TV_MNT_VSA 111014_PJ" xfId="0"/>
    <cellStyle name="_Pocket_TV_MNT_VSA Roll-Up (LW)" xfId="0"/>
    <cellStyle name="_Pocket_TV_MNT_VSA Roll-Up (LW) 2" xfId="0"/>
    <cellStyle name="_Pocket_TV_MNT_VSA Roll-Up (LW) 3" xfId="0"/>
    <cellStyle name="_Pocket_TV_MNT_VSA Roll-Up (LW) 4" xfId="0"/>
    <cellStyle name="_Pocket_TV_MNT_VSA Roll-Up (LW) 4 2" xfId="0"/>
    <cellStyle name="_Pocket_TV_MNT_VSA Roll-Up (LW)_By Region" xfId="0"/>
    <cellStyle name="_Pocket_TV_MNT_VSA Roll-Up (LW)_CORP SG&amp;A" xfId="0"/>
    <cellStyle name="_Pocket_TV_MNT_VSA Roll-Up (LW)_LCD" xfId="0"/>
    <cellStyle name="_Pocket_TV_MNT_VSA Roll-Up (LW)_PJ" xfId="0"/>
    <cellStyle name="_Pocket_TV_Other" xfId="0"/>
    <cellStyle name="_Pocket_TV_Other 2" xfId="0"/>
    <cellStyle name="_Pocket_TV_Other 3" xfId="0"/>
    <cellStyle name="_Pocket_TV_Other 4" xfId="0"/>
    <cellStyle name="_Pocket_TV_Other_By Region" xfId="0"/>
    <cellStyle name="_Pocket_TV_Other_CORP SG&amp;A" xfId="0"/>
    <cellStyle name="_Pocket_TV_Other_GPS OTHER" xfId="0"/>
    <cellStyle name="_Pocket_TV_Other_GPS OTHER 2" xfId="0"/>
    <cellStyle name="_Pocket_TV_Other_GPS OTHER 3" xfId="0"/>
    <cellStyle name="_Pocket_TV_Other_GPS OTHER 4" xfId="0"/>
    <cellStyle name="_Pocket_TV_Other_GPS OTHER 4 2" xfId="0"/>
    <cellStyle name="_Pocket_TV_Other_GPS OTHER_By Region" xfId="0"/>
    <cellStyle name="_Pocket_TV_Other_GPS OTHER_CORP SG&amp;A" xfId="0"/>
    <cellStyle name="_Pocket_TV_Other_GPS OTHER_LCD" xfId="0"/>
    <cellStyle name="_Pocket_TV_Other_GPS OTHER_PJ" xfId="0"/>
    <cellStyle name="_Pocket_TV_Other_PC Products" xfId="0"/>
    <cellStyle name="_Pocket_TV_Other_PC Products 2" xfId="0"/>
    <cellStyle name="_Pocket_TV_Other_PC Products 3" xfId="0"/>
    <cellStyle name="_Pocket_TV_Other_PC Products 4" xfId="0"/>
    <cellStyle name="_Pocket_TV_Other_PC Products 4 2" xfId="0"/>
    <cellStyle name="_Pocket_TV_Other_PC Products_By Region" xfId="0"/>
    <cellStyle name="_Pocket_TV_Other_PC Products_CORP SG&amp;A" xfId="0"/>
    <cellStyle name="_Pocket_TV_Other_PC Products_LCD" xfId="0"/>
    <cellStyle name="_Pocket_TV_Other_PC Products_PJ" xfId="0"/>
    <cellStyle name="_Pocket_TV_Other_VSA 111014" xfId="0"/>
    <cellStyle name="_Pocket_TV_Other_VSA 111014 2" xfId="0"/>
    <cellStyle name="_Pocket_TV_Other_VSA 111014 3" xfId="0"/>
    <cellStyle name="_Pocket_TV_Other_VSA 111014 4" xfId="0"/>
    <cellStyle name="_Pocket_TV_Other_VSA 111014 4 2" xfId="0"/>
    <cellStyle name="_Pocket_TV_Other_VSA 111014_By Region" xfId="0"/>
    <cellStyle name="_Pocket_TV_Other_VSA 111014_CORP SG&amp;A" xfId="0"/>
    <cellStyle name="_Pocket_TV_Other_VSA 111014_LCD" xfId="0"/>
    <cellStyle name="_Pocket_TV_Other_VSA 111014_PJ" xfId="0"/>
    <cellStyle name="_Pocket_TV_Other_VSA Roll-Up (LW)" xfId="0"/>
    <cellStyle name="_Pocket_TV_Other_VSA Roll-Up (LW) 2" xfId="0"/>
    <cellStyle name="_Pocket_TV_Other_VSA Roll-Up (LW) 3" xfId="0"/>
    <cellStyle name="_Pocket_TV_Other_VSA Roll-Up (LW) 4" xfId="0"/>
    <cellStyle name="_Pocket_TV_Other_VSA Roll-Up (LW) 4 2" xfId="0"/>
    <cellStyle name="_Pocket_TV_Other_VSA Roll-Up (LW)_By Region" xfId="0"/>
    <cellStyle name="_Pocket_TV_Other_VSA Roll-Up (LW)_CORP SG&amp;A" xfId="0"/>
    <cellStyle name="_Pocket_TV_Other_VSA Roll-Up (LW)_LCD" xfId="0"/>
    <cellStyle name="_Pocket_TV_Other_VSA Roll-Up (LW)_PJ" xfId="0"/>
    <cellStyle name="_Pocket_TV_PC" xfId="0"/>
    <cellStyle name="_Pocket_TV_PC 2" xfId="0"/>
    <cellStyle name="_Pocket_TV_PC 3" xfId="0"/>
    <cellStyle name="_Pocket_TV_PC 4" xfId="0"/>
    <cellStyle name="_Pocket_TV_PC Products" xfId="0"/>
    <cellStyle name="_Pocket_TV_PC Products 2" xfId="0"/>
    <cellStyle name="_Pocket_TV_PC Products 3" xfId="0"/>
    <cellStyle name="_Pocket_TV_PC Products 4" xfId="0"/>
    <cellStyle name="_Pocket_TV_PC Products 4 2" xfId="0"/>
    <cellStyle name="_Pocket_TV_PC Products_By Region" xfId="0"/>
    <cellStyle name="_Pocket_TV_PC Products_CORP SG&amp;A" xfId="0"/>
    <cellStyle name="_Pocket_TV_PC Products_LCD" xfId="0"/>
    <cellStyle name="_Pocket_TV_PC Products_PJ" xfId="0"/>
    <cellStyle name="_Pocket_TV_PC_By Region" xfId="0"/>
    <cellStyle name="_Pocket_TV_PC_CORP SG&amp;A" xfId="0"/>
    <cellStyle name="_Pocket_TV_PC_DT" xfId="0"/>
    <cellStyle name="_Pocket_TV_PC_DT 2" xfId="0"/>
    <cellStyle name="_Pocket_TV_PC_DT 3" xfId="0"/>
    <cellStyle name="_Pocket_TV_PC_DT_By Region" xfId="0"/>
    <cellStyle name="_Pocket_TV_PC_GPS OTHER" xfId="0"/>
    <cellStyle name="_Pocket_TV_PC_GPS OTHER 2" xfId="0"/>
    <cellStyle name="_Pocket_TV_PC_GPS OTHER 3" xfId="0"/>
    <cellStyle name="_Pocket_TV_PC_GPS OTHER 4" xfId="0"/>
    <cellStyle name="_Pocket_TV_PC_GPS OTHER 4 2" xfId="0"/>
    <cellStyle name="_Pocket_TV_PC_GPS OTHER_By Region" xfId="0"/>
    <cellStyle name="_Pocket_TV_PC_GPS OTHER_CORP SG&amp;A" xfId="0"/>
    <cellStyle name="_Pocket_TV_PC_GPS OTHER_LCD" xfId="0"/>
    <cellStyle name="_Pocket_TV_PC_GPS OTHER_PJ" xfId="0"/>
    <cellStyle name="_Pocket_TV_PC_PC Products" xfId="0"/>
    <cellStyle name="_Pocket_TV_PC_PC Products 2" xfId="0"/>
    <cellStyle name="_Pocket_TV_PC_PC Products 3" xfId="0"/>
    <cellStyle name="_Pocket_TV_PC_PC Products 4" xfId="0"/>
    <cellStyle name="_Pocket_TV_PC_PC Products 4 2" xfId="0"/>
    <cellStyle name="_Pocket_TV_PC_PC Products_By Region" xfId="0"/>
    <cellStyle name="_Pocket_TV_PC_PC Products_CORP SG&amp;A" xfId="0"/>
    <cellStyle name="_Pocket_TV_PC_PC Products_LCD" xfId="0"/>
    <cellStyle name="_Pocket_TV_PC_PC Products_PJ" xfId="0"/>
    <cellStyle name="_Pocket_TV_PC_TV" xfId="0"/>
    <cellStyle name="_Pocket_TV_PC_TV 2" xfId="0"/>
    <cellStyle name="_Pocket_TV_PC_TV 3" xfId="0"/>
    <cellStyle name="_Pocket_TV_PC_TV 4" xfId="0"/>
    <cellStyle name="_Pocket_TV_PC_TV_By Region" xfId="0"/>
    <cellStyle name="_Pocket_TV_PC_TV_CORP SG&amp;A" xfId="0"/>
    <cellStyle name="_Pocket_TV_PC_TV_GPS OTHER" xfId="0"/>
    <cellStyle name="_Pocket_TV_PC_TV_GPS OTHER 2" xfId="0"/>
    <cellStyle name="_Pocket_TV_PC_TV_GPS OTHER 3" xfId="0"/>
    <cellStyle name="_Pocket_TV_PC_TV_GPS OTHER 4" xfId="0"/>
    <cellStyle name="_Pocket_TV_PC_TV_GPS OTHER 4 2" xfId="0"/>
    <cellStyle name="_Pocket_TV_PC_TV_GPS OTHER_By Region" xfId="0"/>
    <cellStyle name="_Pocket_TV_PC_TV_GPS OTHER_CORP SG&amp;A" xfId="0"/>
    <cellStyle name="_Pocket_TV_PC_TV_GPS OTHER_LCD" xfId="0"/>
    <cellStyle name="_Pocket_TV_PC_TV_GPS OTHER_PJ" xfId="0"/>
    <cellStyle name="_Pocket_TV_PC_TV_PC Products" xfId="0"/>
    <cellStyle name="_Pocket_TV_PC_TV_PC Products 2" xfId="0"/>
    <cellStyle name="_Pocket_TV_PC_TV_PC Products 3" xfId="0"/>
    <cellStyle name="_Pocket_TV_PC_TV_PC Products 4" xfId="0"/>
    <cellStyle name="_Pocket_TV_PC_TV_PC Products 4 2" xfId="0"/>
    <cellStyle name="_Pocket_TV_PC_TV_PC Products_By Region" xfId="0"/>
    <cellStyle name="_Pocket_TV_PC_TV_PC Products_CORP SG&amp;A" xfId="0"/>
    <cellStyle name="_Pocket_TV_PC_TV_PC Products_LCD" xfId="0"/>
    <cellStyle name="_Pocket_TV_PC_TV_PC Products_PJ" xfId="0"/>
    <cellStyle name="_Pocket_TV_PC_TV_VSA 111014" xfId="0"/>
    <cellStyle name="_Pocket_TV_PC_TV_VSA 111014 2" xfId="0"/>
    <cellStyle name="_Pocket_TV_PC_TV_VSA 111014 3" xfId="0"/>
    <cellStyle name="_Pocket_TV_PC_TV_VSA 111014 4" xfId="0"/>
    <cellStyle name="_Pocket_TV_PC_TV_VSA 111014 4 2" xfId="0"/>
    <cellStyle name="_Pocket_TV_PC_TV_VSA 111014_By Region" xfId="0"/>
    <cellStyle name="_Pocket_TV_PC_TV_VSA 111014_CORP SG&amp;A" xfId="0"/>
    <cellStyle name="_Pocket_TV_PC_TV_VSA 111014_LCD" xfId="0"/>
    <cellStyle name="_Pocket_TV_PC_TV_VSA 111014_PJ" xfId="0"/>
    <cellStyle name="_Pocket_TV_PC_TV_VSA Roll-Up (LW)" xfId="0"/>
    <cellStyle name="_Pocket_TV_PC_TV_VSA Roll-Up (LW) 2" xfId="0"/>
    <cellStyle name="_Pocket_TV_PC_TV_VSA Roll-Up (LW) 3" xfId="0"/>
    <cellStyle name="_Pocket_TV_PC_TV_VSA Roll-Up (LW) 4" xfId="0"/>
    <cellStyle name="_Pocket_TV_PC_TV_VSA Roll-Up (LW) 4 2" xfId="0"/>
    <cellStyle name="_Pocket_TV_PC_TV_VSA Roll-Up (LW)_By Region" xfId="0"/>
    <cellStyle name="_Pocket_TV_PC_TV_VSA Roll-Up (LW)_CORP SG&amp;A" xfId="0"/>
    <cellStyle name="_Pocket_TV_PC_TV_VSA Roll-Up (LW)_LCD" xfId="0"/>
    <cellStyle name="_Pocket_TV_PC_TV_VSA Roll-Up (LW)_PJ" xfId="0"/>
    <cellStyle name="_Pocket_TV_PC_VSA 111014" xfId="0"/>
    <cellStyle name="_Pocket_TV_PC_VSA 111014 2" xfId="0"/>
    <cellStyle name="_Pocket_TV_PC_VSA 111014 3" xfId="0"/>
    <cellStyle name="_Pocket_TV_PC_VSA 111014 4" xfId="0"/>
    <cellStyle name="_Pocket_TV_PC_VSA 111014 4 2" xfId="0"/>
    <cellStyle name="_Pocket_TV_PC_VSA 111014_By Region" xfId="0"/>
    <cellStyle name="_Pocket_TV_PC_VSA 111014_CORP SG&amp;A" xfId="0"/>
    <cellStyle name="_Pocket_TV_PC_VSA 111014_LCD" xfId="0"/>
    <cellStyle name="_Pocket_TV_PC_VSA 111014_PJ" xfId="0"/>
    <cellStyle name="_Pocket_TV_PC_VSA Roll-Up (LW)" xfId="0"/>
    <cellStyle name="_Pocket_TV_PC_VSA Roll-Up (LW) 2" xfId="0"/>
    <cellStyle name="_Pocket_TV_PC_VSA Roll-Up (LW) 3" xfId="0"/>
    <cellStyle name="_Pocket_TV_PC_VSA Roll-Up (LW) 4" xfId="0"/>
    <cellStyle name="_Pocket_TV_PC_VSA Roll-Up (LW) 4 2" xfId="0"/>
    <cellStyle name="_Pocket_TV_PC_VSA Roll-Up (LW)_By Region" xfId="0"/>
    <cellStyle name="_Pocket_TV_PC_VSA Roll-Up (LW)_CORP SG&amp;A" xfId="0"/>
    <cellStyle name="_Pocket_TV_PC_VSA Roll-Up (LW)_LCD" xfId="0"/>
    <cellStyle name="_Pocket_TV_PC_VSA Roll-Up (LW)_PJ" xfId="0"/>
    <cellStyle name="_Pocket_TV_PJ" xfId="0"/>
    <cellStyle name="_Pocket_TV_PJ 2" xfId="0"/>
    <cellStyle name="_Pocket_TV_PJ 3" xfId="0"/>
    <cellStyle name="_Pocket_TV_PJ 4" xfId="0"/>
    <cellStyle name="_Pocket_TV_PJ_By Region" xfId="0"/>
    <cellStyle name="_Pocket_TV_PJ_CORP SG&amp;A" xfId="0"/>
    <cellStyle name="_Pocket_TV_PJ_GPS OTHER" xfId="0"/>
    <cellStyle name="_Pocket_TV_PJ_GPS OTHER 2" xfId="0"/>
    <cellStyle name="_Pocket_TV_PJ_GPS OTHER 3" xfId="0"/>
    <cellStyle name="_Pocket_TV_PJ_GPS OTHER 4" xfId="0"/>
    <cellStyle name="_Pocket_TV_PJ_GPS OTHER 4 2" xfId="0"/>
    <cellStyle name="_Pocket_TV_PJ_GPS OTHER_By Region" xfId="0"/>
    <cellStyle name="_Pocket_TV_PJ_GPS OTHER_CORP SG&amp;A" xfId="0"/>
    <cellStyle name="_Pocket_TV_PJ_GPS OTHER_LCD" xfId="0"/>
    <cellStyle name="_Pocket_TV_PJ_GPS OTHER_PJ" xfId="0"/>
    <cellStyle name="_Pocket_TV_PJ_PC Products" xfId="0"/>
    <cellStyle name="_Pocket_TV_PJ_PC Products 2" xfId="0"/>
    <cellStyle name="_Pocket_TV_PJ_PC Products 3" xfId="0"/>
    <cellStyle name="_Pocket_TV_PJ_PC Products 4" xfId="0"/>
    <cellStyle name="_Pocket_TV_PJ_PC Products 4 2" xfId="0"/>
    <cellStyle name="_Pocket_TV_PJ_PC Products_By Region" xfId="0"/>
    <cellStyle name="_Pocket_TV_PJ_PC Products_CORP SG&amp;A" xfId="0"/>
    <cellStyle name="_Pocket_TV_PJ_PC Products_LCD" xfId="0"/>
    <cellStyle name="_Pocket_TV_PJ_PC Products_PJ" xfId="0"/>
    <cellStyle name="_Pocket_TV_PJ_VSA 111014" xfId="0"/>
    <cellStyle name="_Pocket_TV_PJ_VSA 111014 2" xfId="0"/>
    <cellStyle name="_Pocket_TV_PJ_VSA 111014 3" xfId="0"/>
    <cellStyle name="_Pocket_TV_PJ_VSA 111014 4" xfId="0"/>
    <cellStyle name="_Pocket_TV_PJ_VSA 111014 4 2" xfId="0"/>
    <cellStyle name="_Pocket_TV_PJ_VSA 111014_By Region" xfId="0"/>
    <cellStyle name="_Pocket_TV_PJ_VSA 111014_CORP SG&amp;A" xfId="0"/>
    <cellStyle name="_Pocket_TV_PJ_VSA 111014_LCD" xfId="0"/>
    <cellStyle name="_Pocket_TV_PJ_VSA 111014_PJ" xfId="0"/>
    <cellStyle name="_Pocket_TV_PJ_VSA Roll-Up (LW)" xfId="0"/>
    <cellStyle name="_Pocket_TV_PJ_VSA Roll-Up (LW) 2" xfId="0"/>
    <cellStyle name="_Pocket_TV_PJ_VSA Roll-Up (LW) 3" xfId="0"/>
    <cellStyle name="_Pocket_TV_PJ_VSA Roll-Up (LW) 4" xfId="0"/>
    <cellStyle name="_Pocket_TV_PJ_VSA Roll-Up (LW) 4 2" xfId="0"/>
    <cellStyle name="_Pocket_TV_PJ_VSA Roll-Up (LW)_By Region" xfId="0"/>
    <cellStyle name="_Pocket_TV_PJ_VSA Roll-Up (LW)_CORP SG&amp;A" xfId="0"/>
    <cellStyle name="_Pocket_TV_PJ_VSA Roll-Up (LW)_LCD" xfId="0"/>
    <cellStyle name="_Pocket_TV_PJ_VSA Roll-Up (LW)_PJ" xfId="0"/>
    <cellStyle name="_Pocket_TV_PMP(VPD)" xfId="0"/>
    <cellStyle name="_Pocket_TV_PMP(VPD) 2" xfId="0"/>
    <cellStyle name="_Pocket_TV_PMP(VPD) 3" xfId="0"/>
    <cellStyle name="_Pocket_TV_PMP(VPD) 4" xfId="0"/>
    <cellStyle name="_Pocket_TV_PMP(VPD)_By Region" xfId="0"/>
    <cellStyle name="_Pocket_TV_PMP(VPD)_CORP SG&amp;A" xfId="0"/>
    <cellStyle name="_Pocket_TV_PMP(VPD)_GPS OTHER" xfId="0"/>
    <cellStyle name="_Pocket_TV_PMP(VPD)_GPS OTHER 2" xfId="0"/>
    <cellStyle name="_Pocket_TV_PMP(VPD)_GPS OTHER 3" xfId="0"/>
    <cellStyle name="_Pocket_TV_PMP(VPD)_GPS OTHER 4" xfId="0"/>
    <cellStyle name="_Pocket_TV_PMP(VPD)_GPS OTHER 4 2" xfId="0"/>
    <cellStyle name="_Pocket_TV_PMP(VPD)_GPS OTHER_By Region" xfId="0"/>
    <cellStyle name="_Pocket_TV_PMP(VPD)_GPS OTHER_CORP SG&amp;A" xfId="0"/>
    <cellStyle name="_Pocket_TV_PMP(VPD)_GPS OTHER_LCD" xfId="0"/>
    <cellStyle name="_Pocket_TV_PMP(VPD)_GPS OTHER_PJ" xfId="0"/>
    <cellStyle name="_Pocket_TV_PMP(VPD)_PC Products" xfId="0"/>
    <cellStyle name="_Pocket_TV_PMP(VPD)_PC Products 2" xfId="0"/>
    <cellStyle name="_Pocket_TV_PMP(VPD)_PC Products 3" xfId="0"/>
    <cellStyle name="_Pocket_TV_PMP(VPD)_PC Products 4" xfId="0"/>
    <cellStyle name="_Pocket_TV_PMP(VPD)_PC Products 4 2" xfId="0"/>
    <cellStyle name="_Pocket_TV_PMP(VPD)_PC Products_By Region" xfId="0"/>
    <cellStyle name="_Pocket_TV_PMP(VPD)_PC Products_CORP SG&amp;A" xfId="0"/>
    <cellStyle name="_Pocket_TV_PMP(VPD)_PC Products_LCD" xfId="0"/>
    <cellStyle name="_Pocket_TV_PMP(VPD)_PC Products_PJ" xfId="0"/>
    <cellStyle name="_Pocket_TV_PMP(VPD)_VSA 111014" xfId="0"/>
    <cellStyle name="_Pocket_TV_PMP(VPD)_VSA 111014 2" xfId="0"/>
    <cellStyle name="_Pocket_TV_PMP(VPD)_VSA 111014 3" xfId="0"/>
    <cellStyle name="_Pocket_TV_PMP(VPD)_VSA 111014 4" xfId="0"/>
    <cellStyle name="_Pocket_TV_PMP(VPD)_VSA 111014 4 2" xfId="0"/>
    <cellStyle name="_Pocket_TV_PMP(VPD)_VSA 111014_By Region" xfId="0"/>
    <cellStyle name="_Pocket_TV_PMP(VPD)_VSA 111014_CORP SG&amp;A" xfId="0"/>
    <cellStyle name="_Pocket_TV_PMP(VPD)_VSA 111014_LCD" xfId="0"/>
    <cellStyle name="_Pocket_TV_PMP(VPD)_VSA 111014_PJ" xfId="0"/>
    <cellStyle name="_Pocket_TV_PMP(VPD)_VSA Roll-Up (LW)" xfId="0"/>
    <cellStyle name="_Pocket_TV_PMP(VPD)_VSA Roll-Up (LW) 2" xfId="0"/>
    <cellStyle name="_Pocket_TV_PMP(VPD)_VSA Roll-Up (LW) 3" xfId="0"/>
    <cellStyle name="_Pocket_TV_PMP(VPD)_VSA Roll-Up (LW) 4" xfId="0"/>
    <cellStyle name="_Pocket_TV_PMP(VPD)_VSA Roll-Up (LW) 4 2" xfId="0"/>
    <cellStyle name="_Pocket_TV_PMP(VPD)_VSA Roll-Up (LW)_By Region" xfId="0"/>
    <cellStyle name="_Pocket_TV_PMP(VPD)_VSA Roll-Up (LW)_CORP SG&amp;A" xfId="0"/>
    <cellStyle name="_Pocket_TV_PMP(VPD)_VSA Roll-Up (LW)_LCD" xfId="0"/>
    <cellStyle name="_Pocket_TV_PMP(VPD)_VSA Roll-Up (LW)_PJ" xfId="0"/>
    <cellStyle name="_Pocket_TV_Pocket TV" xfId="0"/>
    <cellStyle name="_Pocket_TV_Pocket TV 2" xfId="0"/>
    <cellStyle name="_Pocket_TV_Pocket TV 3" xfId="0"/>
    <cellStyle name="_Pocket_TV_Pocket TV 4" xfId="0"/>
    <cellStyle name="_Pocket_TV_Pocket TV_By Region" xfId="0"/>
    <cellStyle name="_Pocket_TV_Pocket TV_CORP SG&amp;A" xfId="0"/>
    <cellStyle name="_Pocket_TV_Pocket TV_GPS OTHER" xfId="0"/>
    <cellStyle name="_Pocket_TV_Pocket TV_GPS OTHER 2" xfId="0"/>
    <cellStyle name="_Pocket_TV_Pocket TV_GPS OTHER 3" xfId="0"/>
    <cellStyle name="_Pocket_TV_Pocket TV_GPS OTHER 4" xfId="0"/>
    <cellStyle name="_Pocket_TV_Pocket TV_GPS OTHER 4 2" xfId="0"/>
    <cellStyle name="_Pocket_TV_Pocket TV_GPS OTHER_By Region" xfId="0"/>
    <cellStyle name="_Pocket_TV_Pocket TV_GPS OTHER_CORP SG&amp;A" xfId="0"/>
    <cellStyle name="_Pocket_TV_Pocket TV_GPS OTHER_LCD" xfId="0"/>
    <cellStyle name="_Pocket_TV_Pocket TV_GPS OTHER_PJ" xfId="0"/>
    <cellStyle name="_Pocket_TV_Pocket TV_PC Products" xfId="0"/>
    <cellStyle name="_Pocket_TV_Pocket TV_PC Products 2" xfId="0"/>
    <cellStyle name="_Pocket_TV_Pocket TV_PC Products 3" xfId="0"/>
    <cellStyle name="_Pocket_TV_Pocket TV_PC Products 4" xfId="0"/>
    <cellStyle name="_Pocket_TV_Pocket TV_PC Products 4 2" xfId="0"/>
    <cellStyle name="_Pocket_TV_Pocket TV_PC Products_By Region" xfId="0"/>
    <cellStyle name="_Pocket_TV_Pocket TV_PC Products_CORP SG&amp;A" xfId="0"/>
    <cellStyle name="_Pocket_TV_Pocket TV_PC Products_LCD" xfId="0"/>
    <cellStyle name="_Pocket_TV_Pocket TV_PC Products_PJ" xfId="0"/>
    <cellStyle name="_Pocket_TV_Pocket TV_VSA 111014" xfId="0"/>
    <cellStyle name="_Pocket_TV_Pocket TV_VSA 111014 2" xfId="0"/>
    <cellStyle name="_Pocket_TV_Pocket TV_VSA 111014 3" xfId="0"/>
    <cellStyle name="_Pocket_TV_Pocket TV_VSA 111014 4" xfId="0"/>
    <cellStyle name="_Pocket_TV_Pocket TV_VSA 111014 4 2" xfId="0"/>
    <cellStyle name="_Pocket_TV_Pocket TV_VSA 111014_By Region" xfId="0"/>
    <cellStyle name="_Pocket_TV_Pocket TV_VSA 111014_CORP SG&amp;A" xfId="0"/>
    <cellStyle name="_Pocket_TV_Pocket TV_VSA 111014_LCD" xfId="0"/>
    <cellStyle name="_Pocket_TV_Pocket TV_VSA 111014_PJ" xfId="0"/>
    <cellStyle name="_Pocket_TV_Pocket TV_VSA Roll-Up (LW)" xfId="0"/>
    <cellStyle name="_Pocket_TV_Pocket TV_VSA Roll-Up (LW) 2" xfId="0"/>
    <cellStyle name="_Pocket_TV_Pocket TV_VSA Roll-Up (LW) 3" xfId="0"/>
    <cellStyle name="_Pocket_TV_Pocket TV_VSA Roll-Up (LW) 4" xfId="0"/>
    <cellStyle name="_Pocket_TV_Pocket TV_VSA Roll-Up (LW) 4 2" xfId="0"/>
    <cellStyle name="_Pocket_TV_Pocket TV_VSA Roll-Up (LW)_By Region" xfId="0"/>
    <cellStyle name="_Pocket_TV_Pocket TV_VSA Roll-Up (LW)_CORP SG&amp;A" xfId="0"/>
    <cellStyle name="_Pocket_TV_Pocket TV_VSA Roll-Up (LW)_LCD" xfId="0"/>
    <cellStyle name="_Pocket_TV_Pocket TV_VSA Roll-Up (LW)_PJ" xfId="0"/>
    <cellStyle name="_Pocket_TV_Pocket_TV" xfId="0"/>
    <cellStyle name="_Pocket_TV_Pocket_TV 2" xfId="0"/>
    <cellStyle name="_Pocket_TV_Pocket_TV 3" xfId="0"/>
    <cellStyle name="_Pocket_TV_Pocket_TV 4" xfId="0"/>
    <cellStyle name="_Pocket_TV_Pocket_TV_By Region" xfId="0"/>
    <cellStyle name="_Pocket_TV_Pocket_TV_CORP SG&amp;A" xfId="0"/>
    <cellStyle name="_Pocket_TV_Pocket_TV_GPS OTHER" xfId="0"/>
    <cellStyle name="_Pocket_TV_Pocket_TV_GPS OTHER 2" xfId="0"/>
    <cellStyle name="_Pocket_TV_Pocket_TV_GPS OTHER 3" xfId="0"/>
    <cellStyle name="_Pocket_TV_Pocket_TV_GPS OTHER 4" xfId="0"/>
    <cellStyle name="_Pocket_TV_Pocket_TV_GPS OTHER 4 2" xfId="0"/>
    <cellStyle name="_Pocket_TV_Pocket_TV_GPS OTHER_By Region" xfId="0"/>
    <cellStyle name="_Pocket_TV_Pocket_TV_GPS OTHER_CORP SG&amp;A" xfId="0"/>
    <cellStyle name="_Pocket_TV_Pocket_TV_GPS OTHER_LCD" xfId="0"/>
    <cellStyle name="_Pocket_TV_Pocket_TV_GPS OTHER_PJ" xfId="0"/>
    <cellStyle name="_Pocket_TV_Pocket_TV_PC Products" xfId="0"/>
    <cellStyle name="_Pocket_TV_Pocket_TV_PC Products 2" xfId="0"/>
    <cellStyle name="_Pocket_TV_Pocket_TV_PC Products 3" xfId="0"/>
    <cellStyle name="_Pocket_TV_Pocket_TV_PC Products 4" xfId="0"/>
    <cellStyle name="_Pocket_TV_Pocket_TV_PC Products 4 2" xfId="0"/>
    <cellStyle name="_Pocket_TV_Pocket_TV_PC Products_By Region" xfId="0"/>
    <cellStyle name="_Pocket_TV_Pocket_TV_PC Products_CORP SG&amp;A" xfId="0"/>
    <cellStyle name="_Pocket_TV_Pocket_TV_PC Products_LCD" xfId="0"/>
    <cellStyle name="_Pocket_TV_Pocket_TV_PC Products_PJ" xfId="0"/>
    <cellStyle name="_Pocket_TV_Pocket_TV_VSA 111014" xfId="0"/>
    <cellStyle name="_Pocket_TV_Pocket_TV_VSA 111014 2" xfId="0"/>
    <cellStyle name="_Pocket_TV_Pocket_TV_VSA 111014 3" xfId="0"/>
    <cellStyle name="_Pocket_TV_Pocket_TV_VSA 111014 4" xfId="0"/>
    <cellStyle name="_Pocket_TV_Pocket_TV_VSA 111014 4 2" xfId="0"/>
    <cellStyle name="_Pocket_TV_Pocket_TV_VSA 111014_By Region" xfId="0"/>
    <cellStyle name="_Pocket_TV_Pocket_TV_VSA 111014_CORP SG&amp;A" xfId="0"/>
    <cellStyle name="_Pocket_TV_Pocket_TV_VSA 111014_LCD" xfId="0"/>
    <cellStyle name="_Pocket_TV_Pocket_TV_VSA 111014_PJ" xfId="0"/>
    <cellStyle name="_Pocket_TV_Pocket_TV_VSA Roll-Up (LW)" xfId="0"/>
    <cellStyle name="_Pocket_TV_Pocket_TV_VSA Roll-Up (LW) 2" xfId="0"/>
    <cellStyle name="_Pocket_TV_Pocket_TV_VSA Roll-Up (LW) 3" xfId="0"/>
    <cellStyle name="_Pocket_TV_Pocket_TV_VSA Roll-Up (LW) 4" xfId="0"/>
    <cellStyle name="_Pocket_TV_Pocket_TV_VSA Roll-Up (LW) 4 2" xfId="0"/>
    <cellStyle name="_Pocket_TV_Pocket_TV_VSA Roll-Up (LW)_By Region" xfId="0"/>
    <cellStyle name="_Pocket_TV_Pocket_TV_VSA Roll-Up (LW)_CORP SG&amp;A" xfId="0"/>
    <cellStyle name="_Pocket_TV_Pocket_TV_VSA Roll-Up (LW)_LCD" xfId="0"/>
    <cellStyle name="_Pocket_TV_Pocket_TV_VSA Roll-Up (LW)_PJ" xfId="0"/>
    <cellStyle name="_Pocket_TV_TV" xfId="0"/>
    <cellStyle name="_Pocket_TV_TV 2" xfId="0"/>
    <cellStyle name="_Pocket_TV_TV 3" xfId="0"/>
    <cellStyle name="_Pocket_TV_TV 4" xfId="0"/>
    <cellStyle name="_Pocket_TV_TV_By Region" xfId="0"/>
    <cellStyle name="_Pocket_TV_TV_CORP SG&amp;A" xfId="0"/>
    <cellStyle name="_Pocket_TV_TV_GPS OTHER" xfId="0"/>
    <cellStyle name="_Pocket_TV_TV_GPS OTHER 2" xfId="0"/>
    <cellStyle name="_Pocket_TV_TV_GPS OTHER 3" xfId="0"/>
    <cellStyle name="_Pocket_TV_TV_GPS OTHER 4" xfId="0"/>
    <cellStyle name="_Pocket_TV_TV_GPS OTHER 4 2" xfId="0"/>
    <cellStyle name="_Pocket_TV_TV_GPS OTHER_By Region" xfId="0"/>
    <cellStyle name="_Pocket_TV_TV_GPS OTHER_CORP SG&amp;A" xfId="0"/>
    <cellStyle name="_Pocket_TV_TV_GPS OTHER_LCD" xfId="0"/>
    <cellStyle name="_Pocket_TV_TV_GPS OTHER_PJ" xfId="0"/>
    <cellStyle name="_Pocket_TV_TV_PC Products" xfId="0"/>
    <cellStyle name="_Pocket_TV_TV_PC Products 2" xfId="0"/>
    <cellStyle name="_Pocket_TV_TV_PC Products 3" xfId="0"/>
    <cellStyle name="_Pocket_TV_TV_PC Products 4" xfId="0"/>
    <cellStyle name="_Pocket_TV_TV_PC Products 4 2" xfId="0"/>
    <cellStyle name="_Pocket_TV_TV_PC Products_By Region" xfId="0"/>
    <cellStyle name="_Pocket_TV_TV_PC Products_CORP SG&amp;A" xfId="0"/>
    <cellStyle name="_Pocket_TV_TV_PC Products_LCD" xfId="0"/>
    <cellStyle name="_Pocket_TV_TV_PC Products_PJ" xfId="0"/>
    <cellStyle name="_Pocket_TV_TV_VSA 111014" xfId="0"/>
    <cellStyle name="_Pocket_TV_TV_VSA 111014 2" xfId="0"/>
    <cellStyle name="_Pocket_TV_TV_VSA 111014 3" xfId="0"/>
    <cellStyle name="_Pocket_TV_TV_VSA 111014 4" xfId="0"/>
    <cellStyle name="_Pocket_TV_TV_VSA 111014 4 2" xfId="0"/>
    <cellStyle name="_Pocket_TV_TV_VSA 111014_By Region" xfId="0"/>
    <cellStyle name="_Pocket_TV_TV_VSA 111014_CORP SG&amp;A" xfId="0"/>
    <cellStyle name="_Pocket_TV_TV_VSA 111014_LCD" xfId="0"/>
    <cellStyle name="_Pocket_TV_TV_VSA 111014_PJ" xfId="0"/>
    <cellStyle name="_Pocket_TV_TV_VSA Roll-Up (LW)" xfId="0"/>
    <cellStyle name="_Pocket_TV_TV_VSA Roll-Up (LW) 2" xfId="0"/>
    <cellStyle name="_Pocket_TV_TV_VSA Roll-Up (LW) 3" xfId="0"/>
    <cellStyle name="_Pocket_TV_TV_VSA Roll-Up (LW) 4" xfId="0"/>
    <cellStyle name="_Pocket_TV_TV_VSA Roll-Up (LW) 4 2" xfId="0"/>
    <cellStyle name="_Pocket_TV_TV_VSA Roll-Up (LW)_By Region" xfId="0"/>
    <cellStyle name="_Pocket_TV_TV_VSA Roll-Up (LW)_CORP SG&amp;A" xfId="0"/>
    <cellStyle name="_Pocket_TV_TV_VSA Roll-Up (LW)_LCD" xfId="0"/>
    <cellStyle name="_Pocket_TV_TV_VSA Roll-Up (LW)_PJ" xfId="0"/>
    <cellStyle name="_Pocket_TV_VD" xfId="0"/>
    <cellStyle name="_Pocket_TV_VD 2" xfId="0"/>
    <cellStyle name="_Pocket_TV_VD 3" xfId="0"/>
    <cellStyle name="_Pocket_TV_VD 4" xfId="0"/>
    <cellStyle name="_Pocket_TV_VD_By Region" xfId="0"/>
    <cellStyle name="_Pocket_TV_VD_CORP SG&amp;A" xfId="0"/>
    <cellStyle name="_Pocket_TV_VD_GPS OTHER" xfId="0"/>
    <cellStyle name="_Pocket_TV_VD_GPS OTHER 2" xfId="0"/>
    <cellStyle name="_Pocket_TV_VD_GPS OTHER 3" xfId="0"/>
    <cellStyle name="_Pocket_TV_VD_GPS OTHER 4" xfId="0"/>
    <cellStyle name="_Pocket_TV_VD_GPS OTHER 4 2" xfId="0"/>
    <cellStyle name="_Pocket_TV_VD_GPS OTHER_By Region" xfId="0"/>
    <cellStyle name="_Pocket_TV_VD_GPS OTHER_CORP SG&amp;A" xfId="0"/>
    <cellStyle name="_Pocket_TV_VD_GPS OTHER_LCD" xfId="0"/>
    <cellStyle name="_Pocket_TV_VD_GPS OTHER_PJ" xfId="0"/>
    <cellStyle name="_Pocket_TV_VD_PC Products" xfId="0"/>
    <cellStyle name="_Pocket_TV_VD_PC Products 2" xfId="0"/>
    <cellStyle name="_Pocket_TV_VD_PC Products 3" xfId="0"/>
    <cellStyle name="_Pocket_TV_VD_PC Products 4" xfId="0"/>
    <cellStyle name="_Pocket_TV_VD_PC Products 4 2" xfId="0"/>
    <cellStyle name="_Pocket_TV_VD_PC Products_By Region" xfId="0"/>
    <cellStyle name="_Pocket_TV_VD_PC Products_CORP SG&amp;A" xfId="0"/>
    <cellStyle name="_Pocket_TV_VD_PC Products_LCD" xfId="0"/>
    <cellStyle name="_Pocket_TV_VD_PC Products_PJ" xfId="0"/>
    <cellStyle name="_Pocket_TV_VD_VSA 111014" xfId="0"/>
    <cellStyle name="_Pocket_TV_VD_VSA 111014 2" xfId="0"/>
    <cellStyle name="_Pocket_TV_VD_VSA 111014 3" xfId="0"/>
    <cellStyle name="_Pocket_TV_VD_VSA 111014 4" xfId="0"/>
    <cellStyle name="_Pocket_TV_VD_VSA 111014 4 2" xfId="0"/>
    <cellStyle name="_Pocket_TV_VD_VSA 111014_By Region" xfId="0"/>
    <cellStyle name="_Pocket_TV_VD_VSA 111014_CORP SG&amp;A" xfId="0"/>
    <cellStyle name="_Pocket_TV_VD_VSA 111014_LCD" xfId="0"/>
    <cellStyle name="_Pocket_TV_VD_VSA 111014_PJ" xfId="0"/>
    <cellStyle name="_Pocket_TV_VD_VSA Roll-Up (LW)" xfId="0"/>
    <cellStyle name="_Pocket_TV_VD_VSA Roll-Up (LW) 2" xfId="0"/>
    <cellStyle name="_Pocket_TV_VD_VSA Roll-Up (LW) 3" xfId="0"/>
    <cellStyle name="_Pocket_TV_VD_VSA Roll-Up (LW) 4" xfId="0"/>
    <cellStyle name="_Pocket_TV_VD_VSA Roll-Up (LW) 4 2" xfId="0"/>
    <cellStyle name="_Pocket_TV_VD_VSA Roll-Up (LW)_By Region" xfId="0"/>
    <cellStyle name="_Pocket_TV_VD_VSA Roll-Up (LW)_CORP SG&amp;A" xfId="0"/>
    <cellStyle name="_Pocket_TV_VD_VSA Roll-Up (LW)_LCD" xfId="0"/>
    <cellStyle name="_Pocket_TV_VD_VSA Roll-Up (LW)_PJ" xfId="0"/>
    <cellStyle name="_Pocket_TV_VSA 111014" xfId="0"/>
    <cellStyle name="_Pocket_TV_VSA 111014 2" xfId="0"/>
    <cellStyle name="_Pocket_TV_VSA 111014 3" xfId="0"/>
    <cellStyle name="_Pocket_TV_VSA 111014 4" xfId="0"/>
    <cellStyle name="_Pocket_TV_VSA 111014 4 2" xfId="0"/>
    <cellStyle name="_Pocket_TV_VSA 111014_By Region" xfId="0"/>
    <cellStyle name="_Pocket_TV_VSA 111014_CORP SG&amp;A" xfId="0"/>
    <cellStyle name="_Pocket_TV_VSA 111014_LCD" xfId="0"/>
    <cellStyle name="_Pocket_TV_VSA 111014_PJ" xfId="0"/>
    <cellStyle name="_Pocket_TV_VSA Roll-Up (LW)" xfId="0"/>
    <cellStyle name="_Pocket_TV_VSA Roll-Up (LW) 2" xfId="0"/>
    <cellStyle name="_Pocket_TV_VSA Roll-Up (LW) 3" xfId="0"/>
    <cellStyle name="_Pocket_TV_VSA Roll-Up (LW) 4" xfId="0"/>
    <cellStyle name="_Pocket_TV_VSA Roll-Up (LW) 4 2" xfId="0"/>
    <cellStyle name="_Pocket_TV_VSA Roll-Up (LW)_By Region" xfId="0"/>
    <cellStyle name="_Pocket_TV_VSA Roll-Up (LW)_CORP SG&amp;A" xfId="0"/>
    <cellStyle name="_Pocket_TV_VSA Roll-Up (LW)_LCD" xfId="0"/>
    <cellStyle name="_Pocket_TV_VSA Roll-Up (LW)_PJ" xfId="0"/>
    <cellStyle name="_Pocket_TV_VSE 2011 Budget" xfId="0"/>
    <cellStyle name="_Pocket_TV_VSE 2011 Budget 2" xfId="0"/>
    <cellStyle name="_Pocket_TV_VSE 2011 Budget 3" xfId="0"/>
    <cellStyle name="_Pocket_TV_VSE 2011 Budget 4" xfId="0"/>
    <cellStyle name="_Pocket_TV_VSE 2011 Budget_By Region" xfId="0"/>
    <cellStyle name="_Pocket_TV_VSE 2011 Budget_CORP SG&amp;A" xfId="0"/>
    <cellStyle name="_Pocket_TV_VSE 2011 Budget_GPS OTHER" xfId="0"/>
    <cellStyle name="_Pocket_TV_VSE 2011 Budget_GPS OTHER 2" xfId="0"/>
    <cellStyle name="_Pocket_TV_VSE 2011 Budget_GPS OTHER 3" xfId="0"/>
    <cellStyle name="_Pocket_TV_VSE 2011 Budget_GPS OTHER 4" xfId="0"/>
    <cellStyle name="_Pocket_TV_VSE 2011 Budget_GPS OTHER 4 2" xfId="0"/>
    <cellStyle name="_Pocket_TV_VSE 2011 Budget_GPS OTHER_By Region" xfId="0"/>
    <cellStyle name="_Pocket_TV_VSE 2011 Budget_GPS OTHER_CORP SG&amp;A" xfId="0"/>
    <cellStyle name="_Pocket_TV_VSE 2011 Budget_GPS OTHER_LCD" xfId="0"/>
    <cellStyle name="_Pocket_TV_VSE 2011 Budget_GPS OTHER_PJ" xfId="0"/>
    <cellStyle name="_Pocket_TV_VSE 2011 Budget_PC Products" xfId="0"/>
    <cellStyle name="_Pocket_TV_VSE 2011 Budget_PC Products 2" xfId="0"/>
    <cellStyle name="_Pocket_TV_VSE 2011 Budget_PC Products 3" xfId="0"/>
    <cellStyle name="_Pocket_TV_VSE 2011 Budget_PC Products 4" xfId="0"/>
    <cellStyle name="_Pocket_TV_VSE 2011 Budget_PC Products 4 2" xfId="0"/>
    <cellStyle name="_Pocket_TV_VSE 2011 Budget_PC Products_By Region" xfId="0"/>
    <cellStyle name="_Pocket_TV_VSE 2011 Budget_PC Products_CORP SG&amp;A" xfId="0"/>
    <cellStyle name="_Pocket_TV_VSE 2011 Budget_PC Products_LCD" xfId="0"/>
    <cellStyle name="_Pocket_TV_VSE 2011 Budget_PC Products_PJ" xfId="0"/>
    <cellStyle name="_Pocket_TV_VSE 2011 Budget_VSA 111014" xfId="0"/>
    <cellStyle name="_Pocket_TV_VSE 2011 Budget_VSA 111014 2" xfId="0"/>
    <cellStyle name="_Pocket_TV_VSE 2011 Budget_VSA 111014 3" xfId="0"/>
    <cellStyle name="_Pocket_TV_VSE 2011 Budget_VSA 111014 4" xfId="0"/>
    <cellStyle name="_Pocket_TV_VSE 2011 Budget_VSA 111014 4 2" xfId="0"/>
    <cellStyle name="_Pocket_TV_VSE 2011 Budget_VSA 111014_By Region" xfId="0"/>
    <cellStyle name="_Pocket_TV_VSE 2011 Budget_VSA 111014_CORP SG&amp;A" xfId="0"/>
    <cellStyle name="_Pocket_TV_VSE 2011 Budget_VSA 111014_LCD" xfId="0"/>
    <cellStyle name="_Pocket_TV_VSE 2011 Budget_VSA 111014_PJ" xfId="0"/>
    <cellStyle name="_Pocket_TV_VSE 2011 Budget_VSA Roll-Up (LW)" xfId="0"/>
    <cellStyle name="_Pocket_TV_VSE 2011 Budget_VSA Roll-Up (LW) 2" xfId="0"/>
    <cellStyle name="_Pocket_TV_VSE 2011 Budget_VSA Roll-Up (LW) 3" xfId="0"/>
    <cellStyle name="_Pocket_TV_VSE 2011 Budget_VSA Roll-Up (LW) 4" xfId="0"/>
    <cellStyle name="_Pocket_TV_VSE 2011 Budget_VSA Roll-Up (LW) 4 2" xfId="0"/>
    <cellStyle name="_Pocket_TV_VSE 2011 Budget_VSA Roll-Up (LW)_By Region" xfId="0"/>
    <cellStyle name="_Pocket_TV_VSE 2011 Budget_VSA Roll-Up (LW)_CORP SG&amp;A" xfId="0"/>
    <cellStyle name="_Pocket_TV_VSE 2011 Budget_VSA Roll-Up (LW)_LCD" xfId="0"/>
    <cellStyle name="_Pocket_TV_VSE 2011 Budget_VSA Roll-Up (LW)_PJ" xfId="0"/>
    <cellStyle name="_Pocket_TV_VSE 2H  WFP review (Spring Global meeting)-conservative Adam working v3" xfId="0"/>
    <cellStyle name="_Pocket_TV_VSE 2H  WFP review (Spring Global meeting)-conservative Adam working v3 2" xfId="0"/>
    <cellStyle name="_Pocket_TV_VSE 2H  WFP review (Spring Global meeting)-conservative Adam working v3 3" xfId="0"/>
    <cellStyle name="_Pocket_TV_VSE 2H Rebalance 110712" xfId="0"/>
    <cellStyle name="_Pocket_TV_VSE 2H Rebalance 110712 2" xfId="0"/>
    <cellStyle name="_Pocket_TV_VSE 2H Rebalance 110712 3" xfId="0"/>
    <cellStyle name="_Pocket_TV_VSE 2H Rebalance 110712 4" xfId="0"/>
    <cellStyle name="_Pocket_TV_VSE 2H Rebalance 110712_By Region" xfId="0"/>
    <cellStyle name="_Pocket_TV_VSE 2H Rebalance 110712_CORP SG&amp;A" xfId="0"/>
    <cellStyle name="_Pocket_TV_VSE WFP 101203" xfId="0"/>
    <cellStyle name="_Pocket_TV_VSE WFP 101203 2" xfId="0"/>
    <cellStyle name="_Pocket_TV_VSE WFP 101203 3" xfId="0"/>
    <cellStyle name="_Pocket_TV_VSE WFP 101203 4" xfId="0"/>
    <cellStyle name="_Pocket_TV_VSE WFP 101203_By Region" xfId="0"/>
    <cellStyle name="_Pocket_TV_VSE WFP 101203_CORP SG&amp;A" xfId="0"/>
    <cellStyle name="_Pocket_TV_VSE WFP 110311" xfId="0"/>
    <cellStyle name="_Pocket_TV_VSE WFP 110311 2" xfId="0"/>
    <cellStyle name="_Pocket_TV_VSE WFP 110311 3" xfId="0"/>
    <cellStyle name="_Pocket_TV_VSE WFP 110311 4" xfId="0"/>
    <cellStyle name="_Pocket_TV_VSE WFP 110311_By Region" xfId="0"/>
    <cellStyle name="_Pocket_TV_VSE WFP 110311_CORP SG&amp;A" xfId="0"/>
    <cellStyle name="_Pocket_TV_VSE WFP 110415" xfId="0"/>
    <cellStyle name="_Pocket_TV_VSE WFP 110415 2" xfId="0"/>
    <cellStyle name="_Pocket_TV_VSE WFP 110415 3" xfId="0"/>
    <cellStyle name="_Pocket_TV_VSE WFP 110415 4" xfId="0"/>
    <cellStyle name="_Pocket_TV_VSE WFP 110415_By Region" xfId="0"/>
    <cellStyle name="_Pocket_TV_VSE WFP 110415_CORP SG&amp;A" xfId="0"/>
    <cellStyle name="_Pocket_TV_VSE WFP_100409" xfId="0"/>
    <cellStyle name="_Pocket_TV_VSE WFP_100409 2" xfId="0"/>
    <cellStyle name="_Pocket_TV_VSE WFP_100409 3" xfId="0"/>
    <cellStyle name="_Pocket_TV_VSE WFP_100409 4" xfId="0"/>
    <cellStyle name="_Pocket_TV_VSE WFP_100409_By Region" xfId="0"/>
    <cellStyle name="_Pocket_TV_VSE WFP_100409_CORP SG&amp;A" xfId="0"/>
    <cellStyle name="_Pocket_TV_VSE WFP_100409_GPS OTHER" xfId="0"/>
    <cellStyle name="_Pocket_TV_VSE WFP_100409_GPS OTHER 2" xfId="0"/>
    <cellStyle name="_Pocket_TV_VSE WFP_100409_GPS OTHER 3" xfId="0"/>
    <cellStyle name="_Pocket_TV_VSE WFP_100409_GPS OTHER 4" xfId="0"/>
    <cellStyle name="_Pocket_TV_VSE WFP_100409_GPS OTHER 4 2" xfId="0"/>
    <cellStyle name="_Pocket_TV_VSE WFP_100409_GPS OTHER_By Region" xfId="0"/>
    <cellStyle name="_Pocket_TV_VSE WFP_100409_GPS OTHER_CORP SG&amp;A" xfId="0"/>
    <cellStyle name="_Pocket_TV_VSE WFP_100409_GPS OTHER_LCD" xfId="0"/>
    <cellStyle name="_Pocket_TV_VSE WFP_100409_GPS OTHER_PJ" xfId="0"/>
    <cellStyle name="_Pocket_TV_VSE WFP_100409_PC Products" xfId="0"/>
    <cellStyle name="_Pocket_TV_VSE WFP_100409_PC Products 2" xfId="0"/>
    <cellStyle name="_Pocket_TV_VSE WFP_100409_PC Products 3" xfId="0"/>
    <cellStyle name="_Pocket_TV_VSE WFP_100409_PC Products 4" xfId="0"/>
    <cellStyle name="_Pocket_TV_VSE WFP_100409_PC Products 4 2" xfId="0"/>
    <cellStyle name="_Pocket_TV_VSE WFP_100409_PC Products_By Region" xfId="0"/>
    <cellStyle name="_Pocket_TV_VSE WFP_100409_PC Products_CORP SG&amp;A" xfId="0"/>
    <cellStyle name="_Pocket_TV_VSE WFP_100409_PC Products_LCD" xfId="0"/>
    <cellStyle name="_Pocket_TV_VSE WFP_100409_PC Products_PJ" xfId="0"/>
    <cellStyle name="_Pocket_TV_VSE WFP_100409_VSA 111014" xfId="0"/>
    <cellStyle name="_Pocket_TV_VSE WFP_100409_VSA 111014 2" xfId="0"/>
    <cellStyle name="_Pocket_TV_VSE WFP_100409_VSA 111014 3" xfId="0"/>
    <cellStyle name="_Pocket_TV_VSE WFP_100409_VSA 111014 4" xfId="0"/>
    <cellStyle name="_Pocket_TV_VSE WFP_100409_VSA 111014 4 2" xfId="0"/>
    <cellStyle name="_Pocket_TV_VSE WFP_100409_VSA 111014_By Region" xfId="0"/>
    <cellStyle name="_Pocket_TV_VSE WFP_100409_VSA 111014_CORP SG&amp;A" xfId="0"/>
    <cellStyle name="_Pocket_TV_VSE WFP_100409_VSA 111014_LCD" xfId="0"/>
    <cellStyle name="_Pocket_TV_VSE WFP_100409_VSA 111014_PJ" xfId="0"/>
    <cellStyle name="_Pocket_TV_VSE WFP_100409_VSA Roll-Up (LW)" xfId="0"/>
    <cellStyle name="_Pocket_TV_VSE WFP_100409_VSA Roll-Up (LW) 2" xfId="0"/>
    <cellStyle name="_Pocket_TV_VSE WFP_100409_VSA Roll-Up (LW) 3" xfId="0"/>
    <cellStyle name="_Pocket_TV_VSE WFP_100409_VSA Roll-Up (LW) 4" xfId="0"/>
    <cellStyle name="_Pocket_TV_VSE WFP_100409_VSA Roll-Up (LW) 4 2" xfId="0"/>
    <cellStyle name="_Pocket_TV_VSE WFP_100409_VSA Roll-Up (LW)_By Region" xfId="0"/>
    <cellStyle name="_Pocket_TV_VSE WFP_100409_VSA Roll-Up (LW)_CORP SG&amp;A" xfId="0"/>
    <cellStyle name="_Pocket_TV_VSE WFP_100409_VSA Roll-Up (LW)_LCD" xfId="0"/>
    <cellStyle name="_Pocket_TV_VSE WFP_100409_VSA Roll-Up (LW)_PJ" xfId="0"/>
    <cellStyle name="_Pocket_TV_VSE WFP_100421 v2" xfId="0"/>
    <cellStyle name="_Pocket_TV_VSE WFP_100421 v2 2" xfId="0"/>
    <cellStyle name="_Pocket_TV_VSE WFP_100421 v2 3" xfId="0"/>
    <cellStyle name="_Pocket_TV_VSE WFP_100421 v2 4" xfId="0"/>
    <cellStyle name="_Pocket_TV_VSE WFP_100421 v2_By Region" xfId="0"/>
    <cellStyle name="_Pocket_TV_VSE WFP_100421 v2_CORP SG&amp;A" xfId="0"/>
    <cellStyle name="_Pocket_TV_VSE WFP_100421 v2_GPS OTHER" xfId="0"/>
    <cellStyle name="_Pocket_TV_VSE WFP_100421 v2_GPS OTHER 2" xfId="0"/>
    <cellStyle name="_Pocket_TV_VSE WFP_100421 v2_GPS OTHER 3" xfId="0"/>
    <cellStyle name="_Pocket_TV_VSE WFP_100421 v2_GPS OTHER 4" xfId="0"/>
    <cellStyle name="_Pocket_TV_VSE WFP_100421 v2_GPS OTHER 4 2" xfId="0"/>
    <cellStyle name="_Pocket_TV_VSE WFP_100421 v2_GPS OTHER_By Region" xfId="0"/>
    <cellStyle name="_Pocket_TV_VSE WFP_100421 v2_GPS OTHER_CORP SG&amp;A" xfId="0"/>
    <cellStyle name="_Pocket_TV_VSE WFP_100421 v2_GPS OTHER_LCD" xfId="0"/>
    <cellStyle name="_Pocket_TV_VSE WFP_100421 v2_GPS OTHER_PJ" xfId="0"/>
    <cellStyle name="_Pocket_TV_VSE WFP_100421 v2_PC Products" xfId="0"/>
    <cellStyle name="_Pocket_TV_VSE WFP_100421 v2_PC Products 2" xfId="0"/>
    <cellStyle name="_Pocket_TV_VSE WFP_100421 v2_PC Products 3" xfId="0"/>
    <cellStyle name="_Pocket_TV_VSE WFP_100421 v2_PC Products 4" xfId="0"/>
    <cellStyle name="_Pocket_TV_VSE WFP_100421 v2_PC Products 4 2" xfId="0"/>
    <cellStyle name="_Pocket_TV_VSE WFP_100421 v2_PC Products_By Region" xfId="0"/>
    <cellStyle name="_Pocket_TV_VSE WFP_100421 v2_PC Products_CORP SG&amp;A" xfId="0"/>
    <cellStyle name="_Pocket_TV_VSE WFP_100421 v2_PC Products_LCD" xfId="0"/>
    <cellStyle name="_Pocket_TV_VSE WFP_100421 v2_PC Products_PJ" xfId="0"/>
    <cellStyle name="_Pocket_TV_VSE WFP_100421 v2_VSA 111014" xfId="0"/>
    <cellStyle name="_Pocket_TV_VSE WFP_100421 v2_VSA 111014 2" xfId="0"/>
    <cellStyle name="_Pocket_TV_VSE WFP_100421 v2_VSA 111014 3" xfId="0"/>
    <cellStyle name="_Pocket_TV_VSE WFP_100421 v2_VSA 111014 4" xfId="0"/>
    <cellStyle name="_Pocket_TV_VSE WFP_100421 v2_VSA 111014 4 2" xfId="0"/>
    <cellStyle name="_Pocket_TV_VSE WFP_100421 v2_VSA 111014_By Region" xfId="0"/>
    <cellStyle name="_Pocket_TV_VSE WFP_100421 v2_VSA 111014_CORP SG&amp;A" xfId="0"/>
    <cellStyle name="_Pocket_TV_VSE WFP_100421 v2_VSA 111014_LCD" xfId="0"/>
    <cellStyle name="_Pocket_TV_VSE WFP_100421 v2_VSA 111014_PJ" xfId="0"/>
    <cellStyle name="_Pocket_TV_VSE WFP_100421 v2_VSA Roll-Up (LW)" xfId="0"/>
    <cellStyle name="_Pocket_TV_VSE WFP_100421 v2_VSA Roll-Up (LW) 2" xfId="0"/>
    <cellStyle name="_Pocket_TV_VSE WFP_100421 v2_VSA Roll-Up (LW) 3" xfId="0"/>
    <cellStyle name="_Pocket_TV_VSE WFP_100421 v2_VSA Roll-Up (LW) 4" xfId="0"/>
    <cellStyle name="_Pocket_TV_VSE WFP_100421 v2_VSA Roll-Up (LW) 4 2" xfId="0"/>
    <cellStyle name="_Pocket_TV_VSE WFP_100421 v2_VSA Roll-Up (LW)_By Region" xfId="0"/>
    <cellStyle name="_Pocket_TV_VSE WFP_100421 v2_VSA Roll-Up (LW)_CORP SG&amp;A" xfId="0"/>
    <cellStyle name="_Pocket_TV_VSE WFP_100421 v2_VSA Roll-Up (LW)_LCD" xfId="0"/>
    <cellStyle name="_Pocket_TV_VSE WFP_100421 v2_VSA Roll-Up (LW)_PJ" xfId="0"/>
    <cellStyle name="_Pocket_TV_VSE WFP_100507" xfId="0"/>
    <cellStyle name="_Pocket_TV_VSE WFP_100507 2" xfId="0"/>
    <cellStyle name="_Pocket_TV_VSE WFP_100507 3" xfId="0"/>
    <cellStyle name="_Pocket_TV_VSE WFP_100507 4" xfId="0"/>
    <cellStyle name="_Pocket_TV_VSE WFP_100507_By Region" xfId="0"/>
    <cellStyle name="_Pocket_TV_VSE WFP_100507_CORP SG&amp;A" xfId="0"/>
    <cellStyle name="_Pocket_TV_VSE WFP_100507_GPS OTHER" xfId="0"/>
    <cellStyle name="_Pocket_TV_VSE WFP_100507_GPS OTHER 2" xfId="0"/>
    <cellStyle name="_Pocket_TV_VSE WFP_100507_GPS OTHER 3" xfId="0"/>
    <cellStyle name="_Pocket_TV_VSE WFP_100507_GPS OTHER 4" xfId="0"/>
    <cellStyle name="_Pocket_TV_VSE WFP_100507_GPS OTHER 4 2" xfId="0"/>
    <cellStyle name="_Pocket_TV_VSE WFP_100507_GPS OTHER_By Region" xfId="0"/>
    <cellStyle name="_Pocket_TV_VSE WFP_100507_GPS OTHER_CORP SG&amp;A" xfId="0"/>
    <cellStyle name="_Pocket_TV_VSE WFP_100507_GPS OTHER_LCD" xfId="0"/>
    <cellStyle name="_Pocket_TV_VSE WFP_100507_GPS OTHER_PJ" xfId="0"/>
    <cellStyle name="_Pocket_TV_VSE WFP_100507_PC Products" xfId="0"/>
    <cellStyle name="_Pocket_TV_VSE WFP_100507_PC Products 2" xfId="0"/>
    <cellStyle name="_Pocket_TV_VSE WFP_100507_PC Products 3" xfId="0"/>
    <cellStyle name="_Pocket_TV_VSE WFP_100507_PC Products 4" xfId="0"/>
    <cellStyle name="_Pocket_TV_VSE WFP_100507_PC Products 4 2" xfId="0"/>
    <cellStyle name="_Pocket_TV_VSE WFP_100507_PC Products_By Region" xfId="0"/>
    <cellStyle name="_Pocket_TV_VSE WFP_100507_PC Products_CORP SG&amp;A" xfId="0"/>
    <cellStyle name="_Pocket_TV_VSE WFP_100507_PC Products_LCD" xfId="0"/>
    <cellStyle name="_Pocket_TV_VSE WFP_100507_PC Products_PJ" xfId="0"/>
    <cellStyle name="_Pocket_TV_VSE WFP_100507_VSA 111014" xfId="0"/>
    <cellStyle name="_Pocket_TV_VSE WFP_100507_VSA 111014 2" xfId="0"/>
    <cellStyle name="_Pocket_TV_VSE WFP_100507_VSA 111014 3" xfId="0"/>
    <cellStyle name="_Pocket_TV_VSE WFP_100507_VSA 111014 4" xfId="0"/>
    <cellStyle name="_Pocket_TV_VSE WFP_100507_VSA 111014 4 2" xfId="0"/>
    <cellStyle name="_Pocket_TV_VSE WFP_100507_VSA 111014_By Region" xfId="0"/>
    <cellStyle name="_Pocket_TV_VSE WFP_100507_VSA 111014_CORP SG&amp;A" xfId="0"/>
    <cellStyle name="_Pocket_TV_VSE WFP_100507_VSA 111014_LCD" xfId="0"/>
    <cellStyle name="_Pocket_TV_VSE WFP_100507_VSA 111014_PJ" xfId="0"/>
    <cellStyle name="_Pocket_TV_VSE WFP_100507_VSA Roll-Up (LW)" xfId="0"/>
    <cellStyle name="_Pocket_TV_VSE WFP_100507_VSA Roll-Up (LW) 2" xfId="0"/>
    <cellStyle name="_Pocket_TV_VSE WFP_100507_VSA Roll-Up (LW) 3" xfId="0"/>
    <cellStyle name="_Pocket_TV_VSE WFP_100507_VSA Roll-Up (LW) 4" xfId="0"/>
    <cellStyle name="_Pocket_TV_VSE WFP_100507_VSA Roll-Up (LW) 4 2" xfId="0"/>
    <cellStyle name="_Pocket_TV_VSE WFP_100507_VSA Roll-Up (LW)_By Region" xfId="0"/>
    <cellStyle name="_Pocket_TV_VSE WFP_100507_VSA Roll-Up (LW)_CORP SG&amp;A" xfId="0"/>
    <cellStyle name="_Pocket_TV_VSE WFP_100507_VSA Roll-Up (LW)_LCD" xfId="0"/>
    <cellStyle name="_Pocket_TV_VSE WFP_100507_VSA Roll-Up (LW)_PJ" xfId="0"/>
    <cellStyle name="_Pocket_TV_VSE WFP_100608" xfId="0"/>
    <cellStyle name="_Pocket_TV_VSE WFP_100608 2" xfId="0"/>
    <cellStyle name="_Pocket_TV_VSE WFP_100608 3" xfId="0"/>
    <cellStyle name="_Pocket_TV_VSE WFP_100608 4" xfId="0"/>
    <cellStyle name="_Pocket_TV_VSE WFP_100608_By Region" xfId="0"/>
    <cellStyle name="_Pocket_TV_VSE WFP_100608_CORP SG&amp;A" xfId="0"/>
    <cellStyle name="_Pocket_TV_VSE WFP_100608_GPS OTHER" xfId="0"/>
    <cellStyle name="_Pocket_TV_VSE WFP_100608_GPS OTHER 2" xfId="0"/>
    <cellStyle name="_Pocket_TV_VSE WFP_100608_GPS OTHER 3" xfId="0"/>
    <cellStyle name="_Pocket_TV_VSE WFP_100608_GPS OTHER 4" xfId="0"/>
    <cellStyle name="_Pocket_TV_VSE WFP_100608_GPS OTHER 4 2" xfId="0"/>
    <cellStyle name="_Pocket_TV_VSE WFP_100608_GPS OTHER_By Region" xfId="0"/>
    <cellStyle name="_Pocket_TV_VSE WFP_100608_GPS OTHER_CORP SG&amp;A" xfId="0"/>
    <cellStyle name="_Pocket_TV_VSE WFP_100608_GPS OTHER_LCD" xfId="0"/>
    <cellStyle name="_Pocket_TV_VSE WFP_100608_GPS OTHER_PJ" xfId="0"/>
    <cellStyle name="_Pocket_TV_VSE WFP_100608_PC Products" xfId="0"/>
    <cellStyle name="_Pocket_TV_VSE WFP_100608_PC Products 2" xfId="0"/>
    <cellStyle name="_Pocket_TV_VSE WFP_100608_PC Products 3" xfId="0"/>
    <cellStyle name="_Pocket_TV_VSE WFP_100608_PC Products 4" xfId="0"/>
    <cellStyle name="_Pocket_TV_VSE WFP_100608_PC Products 4 2" xfId="0"/>
    <cellStyle name="_Pocket_TV_VSE WFP_100608_PC Products_By Region" xfId="0"/>
    <cellStyle name="_Pocket_TV_VSE WFP_100608_PC Products_CORP SG&amp;A" xfId="0"/>
    <cellStyle name="_Pocket_TV_VSE WFP_100608_PC Products_LCD" xfId="0"/>
    <cellStyle name="_Pocket_TV_VSE WFP_100608_PC Products_PJ" xfId="0"/>
    <cellStyle name="_Pocket_TV_VSE WFP_100608_VSA 111014" xfId="0"/>
    <cellStyle name="_Pocket_TV_VSE WFP_100608_VSA 111014 2" xfId="0"/>
    <cellStyle name="_Pocket_TV_VSE WFP_100608_VSA 111014 3" xfId="0"/>
    <cellStyle name="_Pocket_TV_VSE WFP_100608_VSA 111014 4" xfId="0"/>
    <cellStyle name="_Pocket_TV_VSE WFP_100608_VSA 111014 4 2" xfId="0"/>
    <cellStyle name="_Pocket_TV_VSE WFP_100608_VSA 111014_By Region" xfId="0"/>
    <cellStyle name="_Pocket_TV_VSE WFP_100608_VSA 111014_CORP SG&amp;A" xfId="0"/>
    <cellStyle name="_Pocket_TV_VSE WFP_100608_VSA 111014_LCD" xfId="0"/>
    <cellStyle name="_Pocket_TV_VSE WFP_100608_VSA 111014_PJ" xfId="0"/>
    <cellStyle name="_Pocket_TV_VSE WFP_100608_VSA Roll-Up (LW)" xfId="0"/>
    <cellStyle name="_Pocket_TV_VSE WFP_100608_VSA Roll-Up (LW) 2" xfId="0"/>
    <cellStyle name="_Pocket_TV_VSE WFP_100608_VSA Roll-Up (LW) 3" xfId="0"/>
    <cellStyle name="_Pocket_TV_VSE WFP_100608_VSA Roll-Up (LW) 4" xfId="0"/>
    <cellStyle name="_Pocket_TV_VSE WFP_100608_VSA Roll-Up (LW) 4 2" xfId="0"/>
    <cellStyle name="_Pocket_TV_VSE WFP_100608_VSA Roll-Up (LW)_By Region" xfId="0"/>
    <cellStyle name="_Pocket_TV_VSE WFP_100608_VSA Roll-Up (LW)_CORP SG&amp;A" xfId="0"/>
    <cellStyle name="_Pocket_TV_VSE WFP_100608_VSA Roll-Up (LW)_LCD" xfId="0"/>
    <cellStyle name="_Pocket_TV_VSE WFP_100608_VSA Roll-Up (LW)_PJ" xfId="0"/>
    <cellStyle name="_Pocket_TV_VSE WFP_100625" xfId="0"/>
    <cellStyle name="_Pocket_TV_VSE WFP_100625 2" xfId="0"/>
    <cellStyle name="_Pocket_TV_VSE WFP_100625 3" xfId="0"/>
    <cellStyle name="_Pocket_TV_VSE WFP_100625 4" xfId="0"/>
    <cellStyle name="_Pocket_TV_VSE WFP_100625_By Region" xfId="0"/>
    <cellStyle name="_Pocket_TV_VSE WFP_100625_CORP SG&amp;A" xfId="0"/>
    <cellStyle name="_Pocket_TV_VSE WFP_100625_GPS OTHER" xfId="0"/>
    <cellStyle name="_Pocket_TV_VSE WFP_100625_GPS OTHER 2" xfId="0"/>
    <cellStyle name="_Pocket_TV_VSE WFP_100625_GPS OTHER 3" xfId="0"/>
    <cellStyle name="_Pocket_TV_VSE WFP_100625_GPS OTHER 4" xfId="0"/>
    <cellStyle name="_Pocket_TV_VSE WFP_100625_GPS OTHER 4 2" xfId="0"/>
    <cellStyle name="_Pocket_TV_VSE WFP_100625_GPS OTHER_By Region" xfId="0"/>
    <cellStyle name="_Pocket_TV_VSE WFP_100625_GPS OTHER_CORP SG&amp;A" xfId="0"/>
    <cellStyle name="_Pocket_TV_VSE WFP_100625_GPS OTHER_LCD" xfId="0"/>
    <cellStyle name="_Pocket_TV_VSE WFP_100625_GPS OTHER_PJ" xfId="0"/>
    <cellStyle name="_Pocket_TV_VSE WFP_100625_PC Products" xfId="0"/>
    <cellStyle name="_Pocket_TV_VSE WFP_100625_PC Products 2" xfId="0"/>
    <cellStyle name="_Pocket_TV_VSE WFP_100625_PC Products 3" xfId="0"/>
    <cellStyle name="_Pocket_TV_VSE WFP_100625_PC Products 4" xfId="0"/>
    <cellStyle name="_Pocket_TV_VSE WFP_100625_PC Products 4 2" xfId="0"/>
    <cellStyle name="_Pocket_TV_VSE WFP_100625_PC Products_By Region" xfId="0"/>
    <cellStyle name="_Pocket_TV_VSE WFP_100625_PC Products_CORP SG&amp;A" xfId="0"/>
    <cellStyle name="_Pocket_TV_VSE WFP_100625_PC Products_LCD" xfId="0"/>
    <cellStyle name="_Pocket_TV_VSE WFP_100625_PC Products_PJ" xfId="0"/>
    <cellStyle name="_Pocket_TV_VSE WFP_100625_VSA 111014" xfId="0"/>
    <cellStyle name="_Pocket_TV_VSE WFP_100625_VSA 111014 2" xfId="0"/>
    <cellStyle name="_Pocket_TV_VSE WFP_100625_VSA 111014 3" xfId="0"/>
    <cellStyle name="_Pocket_TV_VSE WFP_100625_VSA 111014 4" xfId="0"/>
    <cellStyle name="_Pocket_TV_VSE WFP_100625_VSA 111014 4 2" xfId="0"/>
    <cellStyle name="_Pocket_TV_VSE WFP_100625_VSA 111014_By Region" xfId="0"/>
    <cellStyle name="_Pocket_TV_VSE WFP_100625_VSA 111014_CORP SG&amp;A" xfId="0"/>
    <cellStyle name="_Pocket_TV_VSE WFP_100625_VSA 111014_LCD" xfId="0"/>
    <cellStyle name="_Pocket_TV_VSE WFP_100625_VSA 111014_PJ" xfId="0"/>
    <cellStyle name="_Pocket_TV_VSE WFP_100625_VSA Roll-Up (LW)" xfId="0"/>
    <cellStyle name="_Pocket_TV_VSE WFP_100625_VSA Roll-Up (LW) 2" xfId="0"/>
    <cellStyle name="_Pocket_TV_VSE WFP_100625_VSA Roll-Up (LW) 3" xfId="0"/>
    <cellStyle name="_Pocket_TV_VSE WFP_100625_VSA Roll-Up (LW) 4" xfId="0"/>
    <cellStyle name="_Pocket_TV_VSE WFP_100625_VSA Roll-Up (LW) 4 2" xfId="0"/>
    <cellStyle name="_Pocket_TV_VSE WFP_100625_VSA Roll-Up (LW)_By Region" xfId="0"/>
    <cellStyle name="_Pocket_TV_VSE WFP_100625_VSA Roll-Up (LW)_CORP SG&amp;A" xfId="0"/>
    <cellStyle name="_Pocket_TV_VSE WFP_100625_VSA Roll-Up (LW)_LCD" xfId="0"/>
    <cellStyle name="_Pocket_TV_VSE WFP_100625_VSA Roll-Up (LW)_PJ" xfId="0"/>
    <cellStyle name="_Pocket_TV_VSE WFP_100708_3rd" xfId="0"/>
    <cellStyle name="_Pocket_TV_VSE WFP_100708_3rd 2" xfId="0"/>
    <cellStyle name="_Pocket_TV_VSE WFP_100708_3rd 3" xfId="0"/>
    <cellStyle name="_Pocket_TV_VSE WFP_100708_3rd 4" xfId="0"/>
    <cellStyle name="_Pocket_TV_VSE WFP_100708_3rd_By Region" xfId="0"/>
    <cellStyle name="_Pocket_TV_VSE WFP_100708_3rd_CORP SG&amp;A" xfId="0"/>
    <cellStyle name="_Pocket_TV_VSE WFP_100708_3rd_GPS OTHER" xfId="0"/>
    <cellStyle name="_Pocket_TV_VSE WFP_100708_3rd_GPS OTHER 2" xfId="0"/>
    <cellStyle name="_Pocket_TV_VSE WFP_100708_3rd_GPS OTHER 3" xfId="0"/>
    <cellStyle name="_Pocket_TV_VSE WFP_100708_3rd_GPS OTHER 4" xfId="0"/>
    <cellStyle name="_Pocket_TV_VSE WFP_100708_3rd_GPS OTHER 4 2" xfId="0"/>
    <cellStyle name="_Pocket_TV_VSE WFP_100708_3rd_GPS OTHER_By Region" xfId="0"/>
    <cellStyle name="_Pocket_TV_VSE WFP_100708_3rd_GPS OTHER_CORP SG&amp;A" xfId="0"/>
    <cellStyle name="_Pocket_TV_VSE WFP_100708_3rd_GPS OTHER_LCD" xfId="0"/>
    <cellStyle name="_Pocket_TV_VSE WFP_100708_3rd_GPS OTHER_PJ" xfId="0"/>
    <cellStyle name="_Pocket_TV_VSE WFP_100708_3rd_PC Products" xfId="0"/>
    <cellStyle name="_Pocket_TV_VSE WFP_100708_3rd_PC Products 2" xfId="0"/>
    <cellStyle name="_Pocket_TV_VSE WFP_100708_3rd_PC Products 3" xfId="0"/>
    <cellStyle name="_Pocket_TV_VSE WFP_100708_3rd_PC Products 4" xfId="0"/>
    <cellStyle name="_Pocket_TV_VSE WFP_100708_3rd_PC Products 4 2" xfId="0"/>
    <cellStyle name="_Pocket_TV_VSE WFP_100708_3rd_PC Products_By Region" xfId="0"/>
    <cellStyle name="_Pocket_TV_VSE WFP_100708_3rd_PC Products_CORP SG&amp;A" xfId="0"/>
    <cellStyle name="_Pocket_TV_VSE WFP_100708_3rd_PC Products_LCD" xfId="0"/>
    <cellStyle name="_Pocket_TV_VSE WFP_100708_3rd_PC Products_PJ" xfId="0"/>
    <cellStyle name="_Pocket_TV_VSE WFP_100708_3rd_VSA 111014" xfId="0"/>
    <cellStyle name="_Pocket_TV_VSE WFP_100708_3rd_VSA 111014 2" xfId="0"/>
    <cellStyle name="_Pocket_TV_VSE WFP_100708_3rd_VSA 111014 3" xfId="0"/>
    <cellStyle name="_Pocket_TV_VSE WFP_100708_3rd_VSA 111014 4" xfId="0"/>
    <cellStyle name="_Pocket_TV_VSE WFP_100708_3rd_VSA 111014 4 2" xfId="0"/>
    <cellStyle name="_Pocket_TV_VSE WFP_100708_3rd_VSA 111014_By Region" xfId="0"/>
    <cellStyle name="_Pocket_TV_VSE WFP_100708_3rd_VSA 111014_CORP SG&amp;A" xfId="0"/>
    <cellStyle name="_Pocket_TV_VSE WFP_100708_3rd_VSA 111014_LCD" xfId="0"/>
    <cellStyle name="_Pocket_TV_VSE WFP_100708_3rd_VSA 111014_PJ" xfId="0"/>
    <cellStyle name="_Pocket_TV_VSE WFP_100708_3rd_VSA Roll-Up (LW)" xfId="0"/>
    <cellStyle name="_Pocket_TV_VSE WFP_100708_3rd_VSA Roll-Up (LW) 2" xfId="0"/>
    <cellStyle name="_Pocket_TV_VSE WFP_100708_3rd_VSA Roll-Up (LW) 3" xfId="0"/>
    <cellStyle name="_Pocket_TV_VSE WFP_100708_3rd_VSA Roll-Up (LW) 4" xfId="0"/>
    <cellStyle name="_Pocket_TV_VSE WFP_100708_3rd_VSA Roll-Up (LW) 4 2" xfId="0"/>
    <cellStyle name="_Pocket_TV_VSE WFP_100708_3rd_VSA Roll-Up (LW)_By Region" xfId="0"/>
    <cellStyle name="_Pocket_TV_VSE WFP_100708_3rd_VSA Roll-Up (LW)_CORP SG&amp;A" xfId="0"/>
    <cellStyle name="_Pocket_TV_VSE WFP_100708_3rd_VSA Roll-Up (LW)_LCD" xfId="0"/>
    <cellStyle name="_Pocket_TV_VSE WFP_100708_3rd_VSA Roll-Up (LW)_PJ" xfId="0"/>
    <cellStyle name="_Pocket_TV_VSE WFP_100726" xfId="0"/>
    <cellStyle name="_Pocket_TV_VSE WFP_100726 2" xfId="0"/>
    <cellStyle name="_Pocket_TV_VSE WFP_100726 3" xfId="0"/>
    <cellStyle name="_Pocket_TV_VSE WFP_100726 4" xfId="0"/>
    <cellStyle name="_Pocket_TV_VSE WFP_100726-1" xfId="0"/>
    <cellStyle name="_Pocket_TV_VSE WFP_100726-1 2" xfId="0"/>
    <cellStyle name="_Pocket_TV_VSE WFP_100726-1 3" xfId="0"/>
    <cellStyle name="_Pocket_TV_VSE WFP_100726-1 4" xfId="0"/>
    <cellStyle name="_Pocket_TV_VSE WFP_100726-1_By Region" xfId="0"/>
    <cellStyle name="_Pocket_TV_VSE WFP_100726-1_CORP SG&amp;A" xfId="0"/>
    <cellStyle name="_Pocket_TV_VSE WFP_100726-1_GPS OTHER" xfId="0"/>
    <cellStyle name="_Pocket_TV_VSE WFP_100726-1_GPS OTHER 2" xfId="0"/>
    <cellStyle name="_Pocket_TV_VSE WFP_100726-1_GPS OTHER 3" xfId="0"/>
    <cellStyle name="_Pocket_TV_VSE WFP_100726-1_GPS OTHER 4" xfId="0"/>
    <cellStyle name="_Pocket_TV_VSE WFP_100726-1_GPS OTHER 4 2" xfId="0"/>
    <cellStyle name="_Pocket_TV_VSE WFP_100726-1_GPS OTHER_By Region" xfId="0"/>
    <cellStyle name="_Pocket_TV_VSE WFP_100726-1_GPS OTHER_CORP SG&amp;A" xfId="0"/>
    <cellStyle name="_Pocket_TV_VSE WFP_100726-1_GPS OTHER_LCD" xfId="0"/>
    <cellStyle name="_Pocket_TV_VSE WFP_100726-1_GPS OTHER_PJ" xfId="0"/>
    <cellStyle name="_Pocket_TV_VSE WFP_100726-1_PC Products" xfId="0"/>
    <cellStyle name="_Pocket_TV_VSE WFP_100726-1_PC Products 2" xfId="0"/>
    <cellStyle name="_Pocket_TV_VSE WFP_100726-1_PC Products 3" xfId="0"/>
    <cellStyle name="_Pocket_TV_VSE WFP_100726-1_PC Products 4" xfId="0"/>
    <cellStyle name="_Pocket_TV_VSE WFP_100726-1_PC Products 4 2" xfId="0"/>
    <cellStyle name="_Pocket_TV_VSE WFP_100726-1_PC Products_By Region" xfId="0"/>
    <cellStyle name="_Pocket_TV_VSE WFP_100726-1_PC Products_CORP SG&amp;A" xfId="0"/>
    <cellStyle name="_Pocket_TV_VSE WFP_100726-1_PC Products_LCD" xfId="0"/>
    <cellStyle name="_Pocket_TV_VSE WFP_100726-1_PC Products_PJ" xfId="0"/>
    <cellStyle name="_Pocket_TV_VSE WFP_100726-1_VSA 111014" xfId="0"/>
    <cellStyle name="_Pocket_TV_VSE WFP_100726-1_VSA 111014 2" xfId="0"/>
    <cellStyle name="_Pocket_TV_VSE WFP_100726-1_VSA 111014 3" xfId="0"/>
    <cellStyle name="_Pocket_TV_VSE WFP_100726-1_VSA 111014 4" xfId="0"/>
    <cellStyle name="_Pocket_TV_VSE WFP_100726-1_VSA 111014 4 2" xfId="0"/>
    <cellStyle name="_Pocket_TV_VSE WFP_100726-1_VSA 111014_By Region" xfId="0"/>
    <cellStyle name="_Pocket_TV_VSE WFP_100726-1_VSA 111014_CORP SG&amp;A" xfId="0"/>
    <cellStyle name="_Pocket_TV_VSE WFP_100726-1_VSA 111014_LCD" xfId="0"/>
    <cellStyle name="_Pocket_TV_VSE WFP_100726-1_VSA 111014_PJ" xfId="0"/>
    <cellStyle name="_Pocket_TV_VSE WFP_100726-1_VSA Roll-Up (LW)" xfId="0"/>
    <cellStyle name="_Pocket_TV_VSE WFP_100726-1_VSA Roll-Up (LW) 2" xfId="0"/>
    <cellStyle name="_Pocket_TV_VSE WFP_100726-1_VSA Roll-Up (LW) 3" xfId="0"/>
    <cellStyle name="_Pocket_TV_VSE WFP_100726-1_VSA Roll-Up (LW) 4" xfId="0"/>
    <cellStyle name="_Pocket_TV_VSE WFP_100726-1_VSA Roll-Up (LW) 4 2" xfId="0"/>
    <cellStyle name="_Pocket_TV_VSE WFP_100726-1_VSA Roll-Up (LW)_By Region" xfId="0"/>
    <cellStyle name="_Pocket_TV_VSE WFP_100726-1_VSA Roll-Up (LW)_CORP SG&amp;A" xfId="0"/>
    <cellStyle name="_Pocket_TV_VSE WFP_100726-1_VSA Roll-Up (LW)_LCD" xfId="0"/>
    <cellStyle name="_Pocket_TV_VSE WFP_100726-1_VSA Roll-Up (LW)_PJ" xfId="0"/>
    <cellStyle name="_Pocket_TV_VSE WFP_100726-2-yc" xfId="0"/>
    <cellStyle name="_Pocket_TV_VSE WFP_100726-2-yc 2" xfId="0"/>
    <cellStyle name="_Pocket_TV_VSE WFP_100726-2-yc 3" xfId="0"/>
    <cellStyle name="_Pocket_TV_VSE WFP_100726-2-yc 4" xfId="0"/>
    <cellStyle name="_Pocket_TV_VSE WFP_100726-2-yc_By Region" xfId="0"/>
    <cellStyle name="_Pocket_TV_VSE WFP_100726-2-yc_CORP SG&amp;A" xfId="0"/>
    <cellStyle name="_Pocket_TV_VSE WFP_100726-2-yc_GPS OTHER" xfId="0"/>
    <cellStyle name="_Pocket_TV_VSE WFP_100726-2-yc_GPS OTHER 2" xfId="0"/>
    <cellStyle name="_Pocket_TV_VSE WFP_100726-2-yc_GPS OTHER 3" xfId="0"/>
    <cellStyle name="_Pocket_TV_VSE WFP_100726-2-yc_GPS OTHER 4" xfId="0"/>
    <cellStyle name="_Pocket_TV_VSE WFP_100726-2-yc_GPS OTHER 4 2" xfId="0"/>
    <cellStyle name="_Pocket_TV_VSE WFP_100726-2-yc_GPS OTHER_By Region" xfId="0"/>
    <cellStyle name="_Pocket_TV_VSE WFP_100726-2-yc_GPS OTHER_CORP SG&amp;A" xfId="0"/>
    <cellStyle name="_Pocket_TV_VSE WFP_100726-2-yc_GPS OTHER_LCD" xfId="0"/>
    <cellStyle name="_Pocket_TV_VSE WFP_100726-2-yc_GPS OTHER_PJ" xfId="0"/>
    <cellStyle name="_Pocket_TV_VSE WFP_100726-2-yc_PC Products" xfId="0"/>
    <cellStyle name="_Pocket_TV_VSE WFP_100726-2-yc_PC Products 2" xfId="0"/>
    <cellStyle name="_Pocket_TV_VSE WFP_100726-2-yc_PC Products 3" xfId="0"/>
    <cellStyle name="_Pocket_TV_VSE WFP_100726-2-yc_PC Products 4" xfId="0"/>
    <cellStyle name="_Pocket_TV_VSE WFP_100726-2-yc_PC Products 4 2" xfId="0"/>
    <cellStyle name="_Pocket_TV_VSE WFP_100726-2-yc_PC Products_By Region" xfId="0"/>
    <cellStyle name="_Pocket_TV_VSE WFP_100726-2-yc_PC Products_CORP SG&amp;A" xfId="0"/>
    <cellStyle name="_Pocket_TV_VSE WFP_100726-2-yc_PC Products_LCD" xfId="0"/>
    <cellStyle name="_Pocket_TV_VSE WFP_100726-2-yc_PC Products_PJ" xfId="0"/>
    <cellStyle name="_Pocket_TV_VSE WFP_100726-2-yc_VSA 111014" xfId="0"/>
    <cellStyle name="_Pocket_TV_VSE WFP_100726-2-yc_VSA 111014 2" xfId="0"/>
    <cellStyle name="_Pocket_TV_VSE WFP_100726-2-yc_VSA 111014 3" xfId="0"/>
    <cellStyle name="_Pocket_TV_VSE WFP_100726-2-yc_VSA 111014 4" xfId="0"/>
    <cellStyle name="_Pocket_TV_VSE WFP_100726-2-yc_VSA 111014 4 2" xfId="0"/>
    <cellStyle name="_Pocket_TV_VSE WFP_100726-2-yc_VSA 111014_By Region" xfId="0"/>
    <cellStyle name="_Pocket_TV_VSE WFP_100726-2-yc_VSA 111014_CORP SG&amp;A" xfId="0"/>
    <cellStyle name="_Pocket_TV_VSE WFP_100726-2-yc_VSA 111014_LCD" xfId="0"/>
    <cellStyle name="_Pocket_TV_VSE WFP_100726-2-yc_VSA 111014_PJ" xfId="0"/>
    <cellStyle name="_Pocket_TV_VSE WFP_100726-2-yc_VSA Roll-Up (LW)" xfId="0"/>
    <cellStyle name="_Pocket_TV_VSE WFP_100726-2-yc_VSA Roll-Up (LW) 2" xfId="0"/>
    <cellStyle name="_Pocket_TV_VSE WFP_100726-2-yc_VSA Roll-Up (LW) 3" xfId="0"/>
    <cellStyle name="_Pocket_TV_VSE WFP_100726-2-yc_VSA Roll-Up (LW) 4" xfId="0"/>
    <cellStyle name="_Pocket_TV_VSE WFP_100726-2-yc_VSA Roll-Up (LW) 4 2" xfId="0"/>
    <cellStyle name="_Pocket_TV_VSE WFP_100726-2-yc_VSA Roll-Up (LW)_By Region" xfId="0"/>
    <cellStyle name="_Pocket_TV_VSE WFP_100726-2-yc_VSA Roll-Up (LW)_CORP SG&amp;A" xfId="0"/>
    <cellStyle name="_Pocket_TV_VSE WFP_100726-2-yc_VSA Roll-Up (LW)_LCD" xfId="0"/>
    <cellStyle name="_Pocket_TV_VSE WFP_100726-2-yc_VSA Roll-Up (LW)_PJ" xfId="0"/>
    <cellStyle name="_Pocket_TV_VSE WFP_100726_By Region" xfId="0"/>
    <cellStyle name="_Pocket_TV_VSE WFP_100726_CORP SG&amp;A" xfId="0"/>
    <cellStyle name="_Pocket_TV_VSE WFP_100726_GPS OTHER" xfId="0"/>
    <cellStyle name="_Pocket_TV_VSE WFP_100726_GPS OTHER 2" xfId="0"/>
    <cellStyle name="_Pocket_TV_VSE WFP_100726_GPS OTHER 3" xfId="0"/>
    <cellStyle name="_Pocket_TV_VSE WFP_100726_GPS OTHER 4" xfId="0"/>
    <cellStyle name="_Pocket_TV_VSE WFP_100726_GPS OTHER 4 2" xfId="0"/>
    <cellStyle name="_Pocket_TV_VSE WFP_100726_GPS OTHER_By Region" xfId="0"/>
    <cellStyle name="_Pocket_TV_VSE WFP_100726_GPS OTHER_CORP SG&amp;A" xfId="0"/>
    <cellStyle name="_Pocket_TV_VSE WFP_100726_GPS OTHER_LCD" xfId="0"/>
    <cellStyle name="_Pocket_TV_VSE WFP_100726_GPS OTHER_PJ" xfId="0"/>
    <cellStyle name="_Pocket_TV_VSE WFP_100726_PC Products" xfId="0"/>
    <cellStyle name="_Pocket_TV_VSE WFP_100726_PC Products 2" xfId="0"/>
    <cellStyle name="_Pocket_TV_VSE WFP_100726_PC Products 3" xfId="0"/>
    <cellStyle name="_Pocket_TV_VSE WFP_100726_PC Products 4" xfId="0"/>
    <cellStyle name="_Pocket_TV_VSE WFP_100726_PC Products 4 2" xfId="0"/>
    <cellStyle name="_Pocket_TV_VSE WFP_100726_PC Products_By Region" xfId="0"/>
    <cellStyle name="_Pocket_TV_VSE WFP_100726_PC Products_CORP SG&amp;A" xfId="0"/>
    <cellStyle name="_Pocket_TV_VSE WFP_100726_PC Products_LCD" xfId="0"/>
    <cellStyle name="_Pocket_TV_VSE WFP_100726_PC Products_PJ" xfId="0"/>
    <cellStyle name="_Pocket_TV_VSE WFP_100726_VSA 111014" xfId="0"/>
    <cellStyle name="_Pocket_TV_VSE WFP_100726_VSA 111014 2" xfId="0"/>
    <cellStyle name="_Pocket_TV_VSE WFP_100726_VSA 111014 3" xfId="0"/>
    <cellStyle name="_Pocket_TV_VSE WFP_100726_VSA 111014 4" xfId="0"/>
    <cellStyle name="_Pocket_TV_VSE WFP_100726_VSA 111014 4 2" xfId="0"/>
    <cellStyle name="_Pocket_TV_VSE WFP_100726_VSA 111014_By Region" xfId="0"/>
    <cellStyle name="_Pocket_TV_VSE WFP_100726_VSA 111014_CORP SG&amp;A" xfId="0"/>
    <cellStyle name="_Pocket_TV_VSE WFP_100726_VSA 111014_LCD" xfId="0"/>
    <cellStyle name="_Pocket_TV_VSE WFP_100726_VSA 111014_PJ" xfId="0"/>
    <cellStyle name="_Pocket_TV_VSE WFP_100726_VSA Roll-Up (LW)" xfId="0"/>
    <cellStyle name="_Pocket_TV_VSE WFP_100726_VSA Roll-Up (LW) 2" xfId="0"/>
    <cellStyle name="_Pocket_TV_VSE WFP_100726_VSA Roll-Up (LW) 3" xfId="0"/>
    <cellStyle name="_Pocket_TV_VSE WFP_100726_VSA Roll-Up (LW) 4" xfId="0"/>
    <cellStyle name="_Pocket_TV_VSE WFP_100726_VSA Roll-Up (LW) 4 2" xfId="0"/>
    <cellStyle name="_Pocket_TV_VSE WFP_100726_VSA Roll-Up (LW)_By Region" xfId="0"/>
    <cellStyle name="_Pocket_TV_VSE WFP_100726_VSA Roll-Up (LW)_CORP SG&amp;A" xfId="0"/>
    <cellStyle name="_Pocket_TV_VSE WFP_100726_VSA Roll-Up (LW)_LCD" xfId="0"/>
    <cellStyle name="_Pocket_TV_VSE WFP_100726_VSA Roll-Up (LW)_PJ" xfId="0"/>
    <cellStyle name="_Pocket_TV_VSE WFP_100827-1" xfId="0"/>
    <cellStyle name="_Pocket_TV_VSE WFP_100827-1 2" xfId="0"/>
    <cellStyle name="_Pocket_TV_VSE WFP_100827-1 3" xfId="0"/>
    <cellStyle name="_Pocket_TV_VSE WFP_100827-1 4" xfId="0"/>
    <cellStyle name="_Pocket_TV_VSE WFP_100827-1_By Region" xfId="0"/>
    <cellStyle name="_Pocket_TV_VSE WFP_100827-1_CORP SG&amp;A" xfId="0"/>
    <cellStyle name="_Pocket_TV_VSE WFP_100827-1_GPS OTHER" xfId="0"/>
    <cellStyle name="_Pocket_TV_VSE WFP_100827-1_GPS OTHER 2" xfId="0"/>
    <cellStyle name="_Pocket_TV_VSE WFP_100827-1_GPS OTHER 3" xfId="0"/>
    <cellStyle name="_Pocket_TV_VSE WFP_100827-1_GPS OTHER 4" xfId="0"/>
    <cellStyle name="_Pocket_TV_VSE WFP_100827-1_GPS OTHER 4 2" xfId="0"/>
    <cellStyle name="_Pocket_TV_VSE WFP_100827-1_GPS OTHER_By Region" xfId="0"/>
    <cellStyle name="_Pocket_TV_VSE WFP_100827-1_GPS OTHER_CORP SG&amp;A" xfId="0"/>
    <cellStyle name="_Pocket_TV_VSE WFP_100827-1_GPS OTHER_LCD" xfId="0"/>
    <cellStyle name="_Pocket_TV_VSE WFP_100827-1_GPS OTHER_PJ" xfId="0"/>
    <cellStyle name="_Pocket_TV_VSE WFP_100827-1_PC Products" xfId="0"/>
    <cellStyle name="_Pocket_TV_VSE WFP_100827-1_PC Products 2" xfId="0"/>
    <cellStyle name="_Pocket_TV_VSE WFP_100827-1_PC Products 3" xfId="0"/>
    <cellStyle name="_Pocket_TV_VSE WFP_100827-1_PC Products 4" xfId="0"/>
    <cellStyle name="_Pocket_TV_VSE WFP_100827-1_PC Products 4 2" xfId="0"/>
    <cellStyle name="_Pocket_TV_VSE WFP_100827-1_PC Products_By Region" xfId="0"/>
    <cellStyle name="_Pocket_TV_VSE WFP_100827-1_PC Products_CORP SG&amp;A" xfId="0"/>
    <cellStyle name="_Pocket_TV_VSE WFP_100827-1_PC Products_LCD" xfId="0"/>
    <cellStyle name="_Pocket_TV_VSE WFP_100827-1_PC Products_PJ" xfId="0"/>
    <cellStyle name="_Pocket_TV_VSE WFP_100827-1_VSA 111014" xfId="0"/>
    <cellStyle name="_Pocket_TV_VSE WFP_100827-1_VSA 111014 2" xfId="0"/>
    <cellStyle name="_Pocket_TV_VSE WFP_100827-1_VSA 111014 3" xfId="0"/>
    <cellStyle name="_Pocket_TV_VSE WFP_100827-1_VSA 111014 4" xfId="0"/>
    <cellStyle name="_Pocket_TV_VSE WFP_100827-1_VSA 111014 4 2" xfId="0"/>
    <cellStyle name="_Pocket_TV_VSE WFP_100827-1_VSA 111014_By Region" xfId="0"/>
    <cellStyle name="_Pocket_TV_VSE WFP_100827-1_VSA 111014_CORP SG&amp;A" xfId="0"/>
    <cellStyle name="_Pocket_TV_VSE WFP_100827-1_VSA 111014_LCD" xfId="0"/>
    <cellStyle name="_Pocket_TV_VSE WFP_100827-1_VSA 111014_PJ" xfId="0"/>
    <cellStyle name="_Pocket_TV_VSE WFP_100827-1_VSA Roll-Up (LW)" xfId="0"/>
    <cellStyle name="_Pocket_TV_VSE WFP_100827-1_VSA Roll-Up (LW) 2" xfId="0"/>
    <cellStyle name="_Pocket_TV_VSE WFP_100827-1_VSA Roll-Up (LW) 3" xfId="0"/>
    <cellStyle name="_Pocket_TV_VSE WFP_100827-1_VSA Roll-Up (LW) 4" xfId="0"/>
    <cellStyle name="_Pocket_TV_VSE WFP_100827-1_VSA Roll-Up (LW) 4 2" xfId="0"/>
    <cellStyle name="_Pocket_TV_VSE WFP_100827-1_VSA Roll-Up (LW)_By Region" xfId="0"/>
    <cellStyle name="_Pocket_TV_VSE WFP_100827-1_VSA Roll-Up (LW)_CORP SG&amp;A" xfId="0"/>
    <cellStyle name="_Pocket_TV_VSE WFP_100827-1_VSA Roll-Up (LW)_LCD" xfId="0"/>
    <cellStyle name="_Pocket_TV_VSE WFP_100827-1_VSA Roll-Up (LW)_PJ" xfId="0"/>
    <cellStyle name="_Pocket_TV_VSE WFP_101001" xfId="0"/>
    <cellStyle name="_Pocket_TV_VSE WFP_101001 2" xfId="0"/>
    <cellStyle name="_Pocket_TV_VSE WFP_101001 3" xfId="0"/>
    <cellStyle name="_Pocket_TV_VSE WFP_101001 4" xfId="0"/>
    <cellStyle name="_Pocket_TV_VSE WFP_101001_By Region" xfId="0"/>
    <cellStyle name="_Pocket_TV_VSE WFP_101001_CORP SG&amp;A" xfId="0"/>
    <cellStyle name="_Pocket_TV_VSE WFP_101001_GPS OTHER" xfId="0"/>
    <cellStyle name="_Pocket_TV_VSE WFP_101001_GPS OTHER 2" xfId="0"/>
    <cellStyle name="_Pocket_TV_VSE WFP_101001_GPS OTHER 3" xfId="0"/>
    <cellStyle name="_Pocket_TV_VSE WFP_101001_GPS OTHER 4" xfId="0"/>
    <cellStyle name="_Pocket_TV_VSE WFP_101001_GPS OTHER 4 2" xfId="0"/>
    <cellStyle name="_Pocket_TV_VSE WFP_101001_GPS OTHER_By Region" xfId="0"/>
    <cellStyle name="_Pocket_TV_VSE WFP_101001_GPS OTHER_CORP SG&amp;A" xfId="0"/>
    <cellStyle name="_Pocket_TV_VSE WFP_101001_GPS OTHER_LCD" xfId="0"/>
    <cellStyle name="_Pocket_TV_VSE WFP_101001_GPS OTHER_PJ" xfId="0"/>
    <cellStyle name="_Pocket_TV_VSE WFP_101001_PC Products" xfId="0"/>
    <cellStyle name="_Pocket_TV_VSE WFP_101001_PC Products 2" xfId="0"/>
    <cellStyle name="_Pocket_TV_VSE WFP_101001_PC Products 3" xfId="0"/>
    <cellStyle name="_Pocket_TV_VSE WFP_101001_PC Products 4" xfId="0"/>
    <cellStyle name="_Pocket_TV_VSE WFP_101001_PC Products 4 2" xfId="0"/>
    <cellStyle name="_Pocket_TV_VSE WFP_101001_PC Products_By Region" xfId="0"/>
    <cellStyle name="_Pocket_TV_VSE WFP_101001_PC Products_CORP SG&amp;A" xfId="0"/>
    <cellStyle name="_Pocket_TV_VSE WFP_101001_PC Products_LCD" xfId="0"/>
    <cellStyle name="_Pocket_TV_VSE WFP_101001_PC Products_PJ" xfId="0"/>
    <cellStyle name="_Pocket_TV_VSE WFP_101001_VSA 111014" xfId="0"/>
    <cellStyle name="_Pocket_TV_VSE WFP_101001_VSA 111014 2" xfId="0"/>
    <cellStyle name="_Pocket_TV_VSE WFP_101001_VSA 111014 3" xfId="0"/>
    <cellStyle name="_Pocket_TV_VSE WFP_101001_VSA 111014 4" xfId="0"/>
    <cellStyle name="_Pocket_TV_VSE WFP_101001_VSA 111014 4 2" xfId="0"/>
    <cellStyle name="_Pocket_TV_VSE WFP_101001_VSA 111014_By Region" xfId="0"/>
    <cellStyle name="_Pocket_TV_VSE WFP_101001_VSA 111014_CORP SG&amp;A" xfId="0"/>
    <cellStyle name="_Pocket_TV_VSE WFP_101001_VSA 111014_LCD" xfId="0"/>
    <cellStyle name="_Pocket_TV_VSE WFP_101001_VSA 111014_PJ" xfId="0"/>
    <cellStyle name="_Pocket_TV_VSE WFP_101001_VSA Roll-Up (LW)" xfId="0"/>
    <cellStyle name="_Pocket_TV_VSE WFP_101001_VSA Roll-Up (LW) 2" xfId="0"/>
    <cellStyle name="_Pocket_TV_VSE WFP_101001_VSA Roll-Up (LW) 3" xfId="0"/>
    <cellStyle name="_Pocket_TV_VSE WFP_101001_VSA Roll-Up (LW) 4" xfId="0"/>
    <cellStyle name="_Pocket_TV_VSE WFP_101001_VSA Roll-Up (LW) 4 2" xfId="0"/>
    <cellStyle name="_Pocket_TV_VSE WFP_101001_VSA Roll-Up (LW)_By Region" xfId="0"/>
    <cellStyle name="_Pocket_TV_VSE WFP_101001_VSA Roll-Up (LW)_CORP SG&amp;A" xfId="0"/>
    <cellStyle name="_Pocket_TV_VSE WFP_101001_VSA Roll-Up (LW)_LCD" xfId="0"/>
    <cellStyle name="_Pocket_TV_VSE WFP_101001_VSA Roll-Up (LW)_PJ" xfId="0"/>
    <cellStyle name="_Pocket_TV_VSE WFP_101029-with more ViewPad 7" xfId="0"/>
    <cellStyle name="_Pocket_TV_VSE WFP_101029-with more ViewPad 7 2" xfId="0"/>
    <cellStyle name="_Pocket_TV_VSE WFP_101029-with more ViewPad 7 3" xfId="0"/>
    <cellStyle name="_Pocket_TV_VSE WFP_101029-with more ViewPad 7 4" xfId="0"/>
    <cellStyle name="_Pocket_TV_VSE WFP_101029-with more ViewPad 7_By Region" xfId="0"/>
    <cellStyle name="_Pocket_TV_VSE WFP_101029-with more ViewPad 7_CORP SG&amp;A" xfId="0"/>
    <cellStyle name="_Pocket_TV_VSE WFP_101029-with more ViewPad 7_GPS OTHER" xfId="0"/>
    <cellStyle name="_Pocket_TV_VSE WFP_101029-with more ViewPad 7_GPS OTHER 2" xfId="0"/>
    <cellStyle name="_Pocket_TV_VSE WFP_101029-with more ViewPad 7_GPS OTHER 3" xfId="0"/>
    <cellStyle name="_Pocket_TV_VSE WFP_101029-with more ViewPad 7_GPS OTHER 4" xfId="0"/>
    <cellStyle name="_Pocket_TV_VSE WFP_101029-with more ViewPad 7_GPS OTHER 4 2" xfId="0"/>
    <cellStyle name="_Pocket_TV_VSE WFP_101029-with more ViewPad 7_GPS OTHER_By Region" xfId="0"/>
    <cellStyle name="_Pocket_TV_VSE WFP_101029-with more ViewPad 7_GPS OTHER_CORP SG&amp;A" xfId="0"/>
    <cellStyle name="_Pocket_TV_VSE WFP_101029-with more ViewPad 7_GPS OTHER_LCD" xfId="0"/>
    <cellStyle name="_Pocket_TV_VSE WFP_101029-with more ViewPad 7_GPS OTHER_PJ" xfId="0"/>
    <cellStyle name="_Pocket_TV_VSE WFP_101029-with more ViewPad 7_PC Products" xfId="0"/>
    <cellStyle name="_Pocket_TV_VSE WFP_101029-with more ViewPad 7_PC Products 2" xfId="0"/>
    <cellStyle name="_Pocket_TV_VSE WFP_101029-with more ViewPad 7_PC Products 3" xfId="0"/>
    <cellStyle name="_Pocket_TV_VSE WFP_101029-with more ViewPad 7_PC Products 4" xfId="0"/>
    <cellStyle name="_Pocket_TV_VSE WFP_101029-with more ViewPad 7_PC Products 4 2" xfId="0"/>
    <cellStyle name="_Pocket_TV_VSE WFP_101029-with more ViewPad 7_PC Products_By Region" xfId="0"/>
    <cellStyle name="_Pocket_TV_VSE WFP_101029-with more ViewPad 7_PC Products_CORP SG&amp;A" xfId="0"/>
    <cellStyle name="_Pocket_TV_VSE WFP_101029-with more ViewPad 7_PC Products_LCD" xfId="0"/>
    <cellStyle name="_Pocket_TV_VSE WFP_101029-with more ViewPad 7_PC Products_PJ" xfId="0"/>
    <cellStyle name="_Pocket_TV_VSE WFP_101029-with more ViewPad 7_VSA 111014" xfId="0"/>
    <cellStyle name="_Pocket_TV_VSE WFP_101029-with more ViewPad 7_VSA 111014 2" xfId="0"/>
    <cellStyle name="_Pocket_TV_VSE WFP_101029-with more ViewPad 7_VSA 111014 3" xfId="0"/>
    <cellStyle name="_Pocket_TV_VSE WFP_101029-with more ViewPad 7_VSA 111014 4" xfId="0"/>
    <cellStyle name="_Pocket_TV_VSE WFP_101029-with more ViewPad 7_VSA 111014 4 2" xfId="0"/>
    <cellStyle name="_Pocket_TV_VSE WFP_101029-with more ViewPad 7_VSA 111014_By Region" xfId="0"/>
    <cellStyle name="_Pocket_TV_VSE WFP_101029-with more ViewPad 7_VSA 111014_CORP SG&amp;A" xfId="0"/>
    <cellStyle name="_Pocket_TV_VSE WFP_101029-with more ViewPad 7_VSA 111014_LCD" xfId="0"/>
    <cellStyle name="_Pocket_TV_VSE WFP_101029-with more ViewPad 7_VSA 111014_PJ" xfId="0"/>
    <cellStyle name="_Pocket_TV_VSE WFP_101029-with more ViewPad 7_VSA Roll-Up (LW)" xfId="0"/>
    <cellStyle name="_Pocket_TV_VSE WFP_101029-with more ViewPad 7_VSA Roll-Up (LW) 2" xfId="0"/>
    <cellStyle name="_Pocket_TV_VSE WFP_101029-with more ViewPad 7_VSA Roll-Up (LW) 3" xfId="0"/>
    <cellStyle name="_Pocket_TV_VSE WFP_101029-with more ViewPad 7_VSA Roll-Up (LW) 4" xfId="0"/>
    <cellStyle name="_Pocket_TV_VSE WFP_101029-with more ViewPad 7_VSA Roll-Up (LW) 4 2" xfId="0"/>
    <cellStyle name="_Pocket_TV_VSE WFP_101029-with more ViewPad 7_VSA Roll-Up (LW)_By Region" xfId="0"/>
    <cellStyle name="_Pocket_TV_VSE WFP_101029-with more ViewPad 7_VSA Roll-Up (LW)_CORP SG&amp;A" xfId="0"/>
    <cellStyle name="_Pocket_TV_VSE WFP_101029-with more ViewPad 7_VSA Roll-Up (LW)_LCD" xfId="0"/>
    <cellStyle name="_Pocket_TV_VSE WFP_101029-with more ViewPad 7_VSA Roll-Up (LW)_PJ" xfId="0"/>
    <cellStyle name="_Product" xfId="0"/>
    <cellStyle name="_Product 2" xfId="0"/>
    <cellStyle name="_Product payment_101001" xfId="0"/>
    <cellStyle name="_Product payment_101001 2" xfId="0"/>
    <cellStyle name="_Proview_WR_TREATMENT" xfId="0"/>
    <cellStyle name="_Proview_WR_TREATMENT 2" xfId="0"/>
    <cellStyle name="_Proview_WR_TREATMENT_Sheet1" xfId="0"/>
    <cellStyle name="_Proview_WR_TREATMENT_Sheet1 2" xfId="0"/>
    <cellStyle name="_Proview_WR_TREATMENT_Sheet1_Clean Data" xfId="0"/>
    <cellStyle name="_Proview_WR_TREATMENT_Sheet1_Clean Data 2" xfId="0"/>
    <cellStyle name="_Proview_WR_TREATMENT_Sheet1_Clean Data_1" xfId="0"/>
    <cellStyle name="_Proview_WR_TREATMENT_Sheet1_Clean Data_1 2" xfId="0"/>
    <cellStyle name="_Proview_WR_TREATMENT_Sheet1_Clean Data_Clean Data" xfId="0"/>
    <cellStyle name="_Proview_WR_TREATMENT_Sheet1_Clean Data_Clean Data 2" xfId="0"/>
    <cellStyle name="_Proview_WR_TREATMENT_Sheet1_Sheet1" xfId="0"/>
    <cellStyle name="_Proview_WR_TREATMENT_Sheet1_Sheet1 2" xfId="0"/>
    <cellStyle name="_Provision 0708 A stock" xfId="0"/>
    <cellStyle name="_Provision 0708 A stock 2" xfId="0"/>
    <cellStyle name="_Qisda" xfId="0"/>
    <cellStyle name="_Qisda 2" xfId="0"/>
    <cellStyle name="_Qisda Corp" xfId="0"/>
    <cellStyle name="_Qisda Corp 2" xfId="0"/>
    <cellStyle name="_Qisda Corporation" xfId="0"/>
    <cellStyle name="_Qisda Corporation 2" xfId="0"/>
    <cellStyle name="_Qisda Corporation 2 2" xfId="0"/>
    <cellStyle name="_Qisda Corporation 2_cash balance" xfId="0"/>
    <cellStyle name="_Qisda Corporation 2_cash balance 2" xfId="0"/>
    <cellStyle name="_Qisda Corporation 3" xfId="0"/>
    <cellStyle name="_Qisda Corporation 3 2" xfId="0"/>
    <cellStyle name="_Qisda Corporation 3_cash balance" xfId="0"/>
    <cellStyle name="_Qisda Corporation 3_cash balance 2" xfId="0"/>
    <cellStyle name="_Qisda Corporation 4" xfId="0"/>
    <cellStyle name="_Qisda Corporation 4 2" xfId="0"/>
    <cellStyle name="_Qisda Corporation 4_cash balance" xfId="0"/>
    <cellStyle name="_Qisda Corporation 4_cash balance 2" xfId="0"/>
    <cellStyle name="_Qisda Corporation 5" xfId="0"/>
    <cellStyle name="_Qisda Corporation 5 2" xfId="0"/>
    <cellStyle name="_Qisda Corporation 6" xfId="0"/>
    <cellStyle name="_Raw data" xfId="0"/>
    <cellStyle name="_Raw data 2" xfId="0"/>
    <cellStyle name="_Raw data_13-wk VSI_Revised" xfId="0"/>
    <cellStyle name="_Raw data_13-wk VSI_Revised 2" xfId="0"/>
    <cellStyle name="_Raw data_DCR" xfId="0"/>
    <cellStyle name="_Raw data_DCR 2" xfId="0"/>
    <cellStyle name="_Raw data_VSE DCR Planning Model and Trend Charts 20100118" xfId="0"/>
    <cellStyle name="_Raw data_VSE DCR Planning Model and Trend Charts 20100118 2" xfId="0"/>
    <cellStyle name="_Raw data_VSE DCR Planning Model and Trend Charts 20100315" xfId="0"/>
    <cellStyle name="_Raw data_VSE DCR Planning Model and Trend Charts 20100315 2" xfId="0"/>
    <cellStyle name="_Raw data_WMR VSI" xfId="0"/>
    <cellStyle name="_Raw data_WMR VSI 2" xfId="0"/>
    <cellStyle name="_RETIREMEN vsi" xfId="0"/>
    <cellStyle name="_RETIREMEN vsi 2" xfId="0"/>
    <cellStyle name="_RETIREMEN vsi_2011 FA (TWD) vsi" xfId="0"/>
    <cellStyle name="_RETIREMEN vsi_2011 FA (TWD) vsi 2" xfId="0"/>
    <cellStyle name="_RETIREMEN vsi_2011 FA (TWD) vsi_RETIREMEN vsi" xfId="0"/>
    <cellStyle name="_RETIREMEN vsi_2011 FA (TWD) vsi_RETIREMEN vsi 2" xfId="0"/>
    <cellStyle name="_RETIREMEN vsi_2011 FA (USD) vsi " xfId="0"/>
    <cellStyle name="_RETIREMEN vsi_2011 FA (USD) vsi  2" xfId="0"/>
    <cellStyle name="_RETIREMEN vsi_2012 FA (TWD) vsi" xfId="0"/>
    <cellStyle name="_RETIREMEN vsi_2012 FA (TWD) vsi 2" xfId="0"/>
    <cellStyle name="_RETIREMEN vsi_2012 FA (USD) vsi " xfId="0"/>
    <cellStyle name="_RETIREMEN vsi_2012 FA (USD) vsi  2" xfId="0"/>
    <cellStyle name="_RETIREMEN vsi_RETIREMEN vsi" xfId="0"/>
    <cellStyle name="_RETIREMEN vsi_RETIREMEN vsi 2" xfId="0"/>
    <cellStyle name="_RETIREMEN vsi_TB-TWD" xfId="0"/>
    <cellStyle name="_RETIREMEN vsi_TB-TWD 2" xfId="0"/>
    <cellStyle name="_RETIREMEN vsi_VSI FA Rollforward 1003" xfId="0"/>
    <cellStyle name="_RETIREMEN vsi_VSI FA Rollforward 1003 2" xfId="0"/>
    <cellStyle name="_RETIREMEN vsi_VSI FA Rollforward 1003_RETIREMEN vsi" xfId="0"/>
    <cellStyle name="_RETIREMEN vsi_VSI FA Rollforward 1003_RETIREMEN vsi 2" xfId="0"/>
    <cellStyle name="_RMA report May" xfId="0"/>
    <cellStyle name="_RMA report May 2" xfId="0"/>
    <cellStyle name="_RMA report May_Clean Data" xfId="0"/>
    <cellStyle name="_RMA report May_Clean Data 2" xfId="0"/>
    <cellStyle name="_rollforwrd ytd AUG08(NTD)" xfId="0"/>
    <cellStyle name="_rollforwrd ytd AUG08(NTD) 2" xfId="0"/>
    <cellStyle name="_rollforwrd ytd NOV08(NTD)" xfId="0"/>
    <cellStyle name="_rollforwrd ytd NOV08(NTD) 2" xfId="0"/>
    <cellStyle name="_Sales 0808" xfId="0"/>
    <cellStyle name="_Sales 0808 2" xfId="0"/>
    <cellStyle name="_SEK" xfId="0"/>
    <cellStyle name="_SEK 2" xfId="0"/>
    <cellStyle name="_SEP-10 VSI Consolidated BS" xfId="0"/>
    <cellStyle name="_SEP-10 VSI Consolidated BS 2" xfId="0"/>
    <cellStyle name="_SEP-10 VSI Consolidated P&amp;L" xfId="0"/>
    <cellStyle name="_SEP-10 VSI Consolidated P&amp;L 2" xfId="0"/>
    <cellStyle name="_SEP-10 VSI Consolidated SG&amp;A" xfId="0"/>
    <cellStyle name="_SEP-10 VSI Consolidated SG&amp;A 2" xfId="0"/>
    <cellStyle name="_Sheet1" xfId="0"/>
    <cellStyle name="_Sheet1 2" xfId="0"/>
    <cellStyle name="_Sheet1 2 2" xfId="0"/>
    <cellStyle name="_Sheet1 2 3" xfId="0"/>
    <cellStyle name="_Sheet1 3" xfId="0"/>
    <cellStyle name="_Sheet1 4" xfId="0"/>
    <cellStyle name="_Sheet1_1" xfId="0"/>
    <cellStyle name="_Sheet1_1 2" xfId="0"/>
    <cellStyle name="_Sheet1_1_Andrei" xfId="0"/>
    <cellStyle name="_Sheet1_1_Andrei 2" xfId="0"/>
    <cellStyle name="_Sheet1_1_CBB" xfId="0"/>
    <cellStyle name="_Sheet1_1_CBB 2" xfId="0"/>
    <cellStyle name="_Sheet1_1_Clean Data" xfId="0"/>
    <cellStyle name="_Sheet1_1_Clean Data 2" xfId="0"/>
    <cellStyle name="_Sheet1_1_Clean Data_Duplication" xfId="0"/>
    <cellStyle name="_Sheet1_1_Clean Data_Duplication 2" xfId="0"/>
    <cellStyle name="_Sheet1_1_Clean Data_Repair Cost %" xfId="0"/>
    <cellStyle name="_Sheet1_1_Clean Data_Repair Cost % 2" xfId="0"/>
    <cellStyle name="_Sheet1_1_Clean Data_Sheet3" xfId="0"/>
    <cellStyle name="_Sheet1_1_Clean Data_Sheet3 2" xfId="0"/>
    <cellStyle name="_Sheet1_1_Clean Data_Sheet4" xfId="0"/>
    <cellStyle name="_Sheet1_1_Clean Data_Sheet4 2" xfId="0"/>
    <cellStyle name="_Sheet1_1_Clean Data_T_90dAYS_Duplicates_Clean" xfId="0"/>
    <cellStyle name="_Sheet1_1_Clean Data_T_90dAYS_Duplicates_Clean 2" xfId="0"/>
    <cellStyle name="_Sheet1_1_Clean Data_validation" xfId="0"/>
    <cellStyle name="_Sheet1_1_Clean Data_validation 2" xfId="0"/>
    <cellStyle name="_Sheet1_1_Duplication" xfId="0"/>
    <cellStyle name="_Sheet1_1_Duplication 2" xfId="0"/>
    <cellStyle name="_Sheet1_1_Repair Cost %" xfId="0"/>
    <cellStyle name="_Sheet1_1_Repair Cost % 2" xfId="0"/>
    <cellStyle name="_Sheet1_1_Sheet1" xfId="0"/>
    <cellStyle name="_Sheet1_1_Sheet1 2" xfId="0"/>
    <cellStyle name="_Sheet1_1_Sheet1_1" xfId="0"/>
    <cellStyle name="_Sheet1_1_Sheet1_1 2" xfId="0"/>
    <cellStyle name="_Sheet1_1_Sheet3" xfId="0"/>
    <cellStyle name="_Sheet1_1_Sheet3 2" xfId="0"/>
    <cellStyle name="_Sheet1_1_Sheet4" xfId="0"/>
    <cellStyle name="_Sheet1_1_Sheet4 2" xfId="0"/>
    <cellStyle name="_Sheet1_1_T_90dAYS_Duplicates_Clean" xfId="0"/>
    <cellStyle name="_Sheet1_1_T_90dAYS_Duplicates_Clean 2" xfId="0"/>
    <cellStyle name="_Sheet1_1_validation" xfId="0"/>
    <cellStyle name="_Sheet1_1_validation 2" xfId="0"/>
    <cellStyle name="_Sheet1_2" xfId="0"/>
    <cellStyle name="_Sheet1_2 2" xfId="0"/>
    <cellStyle name="_Sheet1_3" xfId="0"/>
    <cellStyle name="_Sheet1_3 2" xfId="0"/>
    <cellStyle name="_Sheet1_3_Clean Data" xfId="0"/>
    <cellStyle name="_Sheet1_3_Clean Data 2" xfId="0"/>
    <cellStyle name="_Sheet1_3_Clean Data_1" xfId="0"/>
    <cellStyle name="_Sheet1_3_Clean Data_1 2" xfId="0"/>
    <cellStyle name="_Sheet1_3_Clean Data_Clean Data" xfId="0"/>
    <cellStyle name="_Sheet1_3_Clean Data_Clean Data 2" xfId="0"/>
    <cellStyle name="_Sheet1_3_Sheet1" xfId="0"/>
    <cellStyle name="_Sheet1_3_Sheet1 2" xfId="0"/>
    <cellStyle name="_Sheet1_Andrei" xfId="0"/>
    <cellStyle name="_Sheet1_Andrei 2" xfId="0"/>
    <cellStyle name="_Sheet1_Berd approved" xfId="0"/>
    <cellStyle name="_Sheet1_Berd approved 2" xfId="0"/>
    <cellStyle name="_Sheet1_Berd approved by Jessie" xfId="0"/>
    <cellStyle name="_Sheet1_Berd approved by Jessie 2" xfId="0"/>
    <cellStyle name="_Sheet1_CBB" xfId="0"/>
    <cellStyle name="_Sheet1_CBB 2" xfId="0"/>
    <cellStyle name="_Sheet1_Clean Data" xfId="0"/>
    <cellStyle name="_Sheet1_Clean Data 2" xfId="0"/>
    <cellStyle name="_Sheet1_Sheet1" xfId="0"/>
    <cellStyle name="_Sheet1_Sheet1 2" xfId="0"/>
    <cellStyle name="_Sheet1_Sheet1_Clean Data" xfId="0"/>
    <cellStyle name="_Sheet1_Sheet1_Clean Data 2" xfId="0"/>
    <cellStyle name="_Sheet1_Sheet1_Repair Cost %" xfId="0"/>
    <cellStyle name="_Sheet1_Sheet1_Repair Cost % 2" xfId="0"/>
    <cellStyle name="_Sheet1_Sheet1_Sheet1" xfId="0"/>
    <cellStyle name="_Sheet1_Sheet1_Sheet1 2" xfId="0"/>
    <cellStyle name="_Sheet1_Sheet1_T_90dAYS_Duplicates_Clean" xfId="0"/>
    <cellStyle name="_Sheet1_Sheet1_T_90dAYS_Duplicates_Clean 2" xfId="0"/>
    <cellStyle name="_Sheet1_Sheet2" xfId="0"/>
    <cellStyle name="_Sheet1_Sheet2 2" xfId="0"/>
    <cellStyle name="_Sheet1_Sheet3" xfId="0"/>
    <cellStyle name="_Sheet1_Sheet3 2" xfId="0"/>
    <cellStyle name="_Sheet1_Sheet4" xfId="0"/>
    <cellStyle name="_Sheet1_Sheet4 2" xfId="0"/>
    <cellStyle name="_Sheet1_Sheet5" xfId="0"/>
    <cellStyle name="_Sheet1_Sheet5 2" xfId="0"/>
    <cellStyle name="_Sheet1_Sheet6" xfId="0"/>
    <cellStyle name="_Sheet1_Sheet6 2" xfId="0"/>
    <cellStyle name="_Sheet1_T_90dAYS_Duplicates_Clean" xfId="0"/>
    <cellStyle name="_Sheet1_T_90dAYS_Duplicates_Clean 2" xfId="0"/>
    <cellStyle name="_Sheet1_validation" xfId="0"/>
    <cellStyle name="_Sheet1_validation 2" xfId="0"/>
    <cellStyle name="_Sheet1_Warranty_Data" xfId="0"/>
    <cellStyle name="_Sheet1_Warranty_Data 2" xfId="0"/>
    <cellStyle name="_sheet2" xfId="0"/>
    <cellStyle name="_sheet2 2" xfId="0"/>
    <cellStyle name="_Sheet2 3" xfId="0"/>
    <cellStyle name="_Sheet2_Before Allocation" xfId="0"/>
    <cellStyle name="_Sheet2_Duplication" xfId="0"/>
    <cellStyle name="_Sheet2_Duplication 2" xfId="0"/>
    <cellStyle name="_Sheet2_Repair Cost %" xfId="0"/>
    <cellStyle name="_Sheet2_Repair Cost % 2" xfId="0"/>
    <cellStyle name="_Sheet2_Sheet3" xfId="0"/>
    <cellStyle name="_Sheet2_Sheet3 2" xfId="0"/>
    <cellStyle name="_Sheet2_Sheet4" xfId="0"/>
    <cellStyle name="_Sheet2_Sheet4 2" xfId="0"/>
    <cellStyle name="_Sheet2_Simulation 03-14" xfId="0"/>
    <cellStyle name="_Sheet2_T_90dAYS_Duplicates_Clean" xfId="0"/>
    <cellStyle name="_Sheet2_T_90dAYS_Duplicates_Clean 2" xfId="0"/>
    <cellStyle name="_Sheet2_validation" xfId="0"/>
    <cellStyle name="_Sheet2_validation 2" xfId="0"/>
    <cellStyle name="_Sheet3" xfId="0"/>
    <cellStyle name="_Sheet3 2" xfId="0"/>
    <cellStyle name="_Sheet3 3" xfId="0"/>
    <cellStyle name="_sheet4" xfId="0"/>
    <cellStyle name="_sheet4 2" xfId="0"/>
    <cellStyle name="_Sheet4 3" xfId="0"/>
    <cellStyle name="_Sheet5" xfId="0"/>
    <cellStyle name="_Sheet5 2" xfId="0"/>
    <cellStyle name="_Sheet6" xfId="0"/>
    <cellStyle name="_Sheet6 2" xfId="0"/>
    <cellStyle name="_Simulation 03-14" xfId="0"/>
    <cellStyle name="_T_90dAYS_Duplicates_Clean" xfId="0"/>
    <cellStyle name="_T_90dAYS_Duplicates_Clean 2" xfId="0"/>
    <cellStyle name="_T_90dAYS_Duplicates_Clean_1" xfId="0"/>
    <cellStyle name="_T_90dAYS_Duplicates_Clean_1 2" xfId="0"/>
    <cellStyle name="_TB-09(charges)" xfId="0"/>
    <cellStyle name="_TB-09(charges) 2" xfId="0"/>
    <cellStyle name="_TB-09(charges) 2 2" xfId="0"/>
    <cellStyle name="_TB-09(charges) 2_Analysis " xfId="0"/>
    <cellStyle name="_TB-09(charges) 2_Analysis  2" xfId="0"/>
    <cellStyle name="_TB-09(charges) 2_Analysis _CORP SG&amp;A" xfId="0"/>
    <cellStyle name="_TB-09(charges) 2_CORP SG&amp;A" xfId="0"/>
    <cellStyle name="_TB-09(charges) 2_TB-2011(charges)" xfId="0"/>
    <cellStyle name="_TB-09(charges) 2_TB-2011(charges) 2" xfId="0"/>
    <cellStyle name="_TB-09(charges) 2_TB-2011(charges)_CORP SG&amp;A" xfId="0"/>
    <cellStyle name="_TB-09(charges) 2_TB-2012(charges)" xfId="0"/>
    <cellStyle name="_TB-09(charges) 2_TB-2012(charges) 2" xfId="0"/>
    <cellStyle name="_TB-09(charges) 2_TB-2012(charges)_CORP SG&amp;A" xfId="0"/>
    <cellStyle name="_TB-09(charges) 3" xfId="0"/>
    <cellStyle name="_TB-09(charges) 3 2" xfId="0"/>
    <cellStyle name="_TB-09(charges) 3_Analysis " xfId="0"/>
    <cellStyle name="_TB-09(charges) 3_Analysis  2" xfId="0"/>
    <cellStyle name="_TB-09(charges) 3_Analysis _CORP SG&amp;A" xfId="0"/>
    <cellStyle name="_TB-09(charges) 3_CORP SG&amp;A" xfId="0"/>
    <cellStyle name="_TB-09(charges) 3_TB-2011(charges)" xfId="0"/>
    <cellStyle name="_TB-09(charges) 3_TB-2011(charges) 2" xfId="0"/>
    <cellStyle name="_TB-09(charges) 3_TB-2011(charges)_CORP SG&amp;A" xfId="0"/>
    <cellStyle name="_TB-09(charges) 3_TB-2012(charges)" xfId="0"/>
    <cellStyle name="_TB-09(charges) 3_TB-2012(charges) 2" xfId="0"/>
    <cellStyle name="_TB-09(charges) 3_TB-2012(charges)_CORP SG&amp;A" xfId="0"/>
    <cellStyle name="_TB-09(charges) 4" xfId="0"/>
    <cellStyle name="_TB-09(charges)_CORP SG&amp;A" xfId="0"/>
    <cellStyle name="_TechView" xfId="0"/>
    <cellStyle name="_TechView 2" xfId="0"/>
    <cellStyle name="_Top Victory" xfId="0"/>
    <cellStyle name="_Top Victory 2" xfId="0"/>
    <cellStyle name="_U VSKR RMA report - HVT 2007_FEB" xfId="0"/>
    <cellStyle name="_U VSKR RMA report - HVT 2007_FEB 2" xfId="0"/>
    <cellStyle name="_Unity Sales" xfId="0"/>
    <cellStyle name="_Unity Sales 2" xfId="0"/>
    <cellStyle name="_validation" xfId="0"/>
    <cellStyle name="_validation 2" xfId="0"/>
    <cellStyle name="_VALUE_WWFMaster2006Q1_Final" xfId="0"/>
    <cellStyle name="_VALUE_WWFMaster2006Q1_Final_DS_2008Q2_LCDCostForecast_DataTables" xfId="0"/>
    <cellStyle name="_VALUE_WWFMaster2006Q1_Final_DS_2008Q2_LCDCostForecast_DataTables_DS_2008Q4_LCDCostForecast_DataTables" xfId="0"/>
    <cellStyle name="_VDL" xfId="0"/>
    <cellStyle name="_VDL 2" xfId="0"/>
    <cellStyle name="_VDL_080822 WMR-VSC" xfId="0"/>
    <cellStyle name="_VDL_080822 WMR-VSC 2" xfId="0"/>
    <cellStyle name="_VDL_080829 WMR" xfId="0"/>
    <cellStyle name="_VDL_080829 WMR 2" xfId="0"/>
    <cellStyle name="_VDL_080905 WMR-VSC" xfId="0"/>
    <cellStyle name="_VDL_080905 WMR-VSC 2" xfId="0"/>
    <cellStyle name="_VDL_080912 WMR-VSC" xfId="0"/>
    <cellStyle name="_VDL_080912 WMR-VSC 2" xfId="0"/>
    <cellStyle name="_VDL_080919 WMR-VSC" xfId="0"/>
    <cellStyle name="_VDL_080919 WMR-VSC 2" xfId="0"/>
    <cellStyle name="_VDL_080926 WMR-VSC" xfId="0"/>
    <cellStyle name="_VDL_080926 WMR-VSC 2" xfId="0"/>
    <cellStyle name="_VDL_081003 WMR-VSC_1" xfId="0"/>
    <cellStyle name="_VDL_081003 WMR-VSC_1 2" xfId="0"/>
    <cellStyle name="_VDL_081010 WMR-VSC" xfId="0"/>
    <cellStyle name="_VDL_081010 WMR-VSC 2" xfId="0"/>
    <cellStyle name="_VDL_081017 WMR-VSC_1" xfId="0"/>
    <cellStyle name="_VDL_081017 WMR-VSC_1 2" xfId="0"/>
    <cellStyle name="_VDL_081024 WMR-VSC" xfId="0"/>
    <cellStyle name="_VDL_081024 WMR-VSC 2" xfId="0"/>
    <cellStyle name="_VDL_081031 WMR-VSC" xfId="0"/>
    <cellStyle name="_VDL_081031 WMR-VSC 2" xfId="0"/>
    <cellStyle name="_VDL_081107 WMR-VSC (2)" xfId="0"/>
    <cellStyle name="_VDL_081107 WMR-VSC (2) 2" xfId="0"/>
    <cellStyle name="_VDL_081107 WMR-VSC_1" xfId="0"/>
    <cellStyle name="_VDL_081107 WMR-VSC_1 2" xfId="0"/>
    <cellStyle name="_VDL_081114 WMR-VSC" xfId="0"/>
    <cellStyle name="_VDL_081114 WMR-VSC 2" xfId="0"/>
    <cellStyle name="_VDL_081121 WMR-VSC" xfId="0"/>
    <cellStyle name="_VDL_081121 WMR-VSC 2" xfId="0"/>
    <cellStyle name="_VDL_081128 WMR-VSC" xfId="0"/>
    <cellStyle name="_VDL_081128 WMR-VSC 2" xfId="0"/>
    <cellStyle name="_VDL_081128 WMR-VSC_1" xfId="0"/>
    <cellStyle name="_VDL_081128 WMR-VSC_1 2" xfId="0"/>
    <cellStyle name="_VDL_081205 WMR-VSC" xfId="0"/>
    <cellStyle name="_VDL_081205 WMR-VSC 2" xfId="0"/>
    <cellStyle name="_VDL_081212 WMR-VSC" xfId="0"/>
    <cellStyle name="_VDL_081212 WMR-VSC 2" xfId="0"/>
    <cellStyle name="_VDL_081219 WMR-VSC" xfId="0"/>
    <cellStyle name="_VDL_081219 WMR-VSC 2" xfId="0"/>
    <cellStyle name="_VDL_090102 WMR-VSC" xfId="0"/>
    <cellStyle name="_VDL_090102 WMR-VSC 2" xfId="0"/>
    <cellStyle name="_VDL_090424 WMR_VSE (2)" xfId="0"/>
    <cellStyle name="_VDL_090424 WMR_VSE (2) 2" xfId="0"/>
    <cellStyle name="_VDL_090703 WMR-VSC" xfId="0"/>
    <cellStyle name="_VDL_090703 WMR-VSC 2" xfId="0"/>
    <cellStyle name="_VDL_AP Turn Days old" xfId="0"/>
    <cellStyle name="_VDL_AP Turn Days old 2" xfId="0"/>
    <cellStyle name="_VDL_Charts" xfId="0"/>
    <cellStyle name="_VDL_Charts 2" xfId="0"/>
    <cellStyle name="_VDL_NEW WMR" xfId="0"/>
    <cellStyle name="_VDL_NEW WMR 2" xfId="0"/>
    <cellStyle name="_VDL_VDL" xfId="0"/>
    <cellStyle name="_VDL_VDL 2" xfId="0"/>
    <cellStyle name="_VDL_VSA" xfId="0"/>
    <cellStyle name="_VDL_VSA 2" xfId="0"/>
    <cellStyle name="_VDL_VSA Cash Flow Model (6-4-07)" xfId="0"/>
    <cellStyle name="_VDL_VSA Cash Flow Model (6-4-07) 2" xfId="0"/>
    <cellStyle name="_VDL_VSACE" xfId="0"/>
    <cellStyle name="_VDL_VSACE 2" xfId="0"/>
    <cellStyle name="_VDL_VSC" xfId="0"/>
    <cellStyle name="_VDL_VSC 2" xfId="0"/>
    <cellStyle name="_VDL_VSCN" xfId="0"/>
    <cellStyle name="_VDL_VSCN 2" xfId="0"/>
    <cellStyle name="_VDL_VSE" xfId="0"/>
    <cellStyle name="_VDL_VSE 2" xfId="0"/>
    <cellStyle name="_VDL_VSI" xfId="0"/>
    <cellStyle name="_VDL_VSI 2" xfId="0"/>
    <cellStyle name="_VDL_WMR" xfId="0"/>
    <cellStyle name="_VDL_WMR (by QTY)" xfId="0"/>
    <cellStyle name="_VDL_WMR (by QTY) 2" xfId="0"/>
    <cellStyle name="_VDL_WMR 2" xfId="0"/>
    <cellStyle name="_VDL_WMR 3" xfId="0"/>
    <cellStyle name="_VDL_WMR 4" xfId="0"/>
    <cellStyle name="_VSA" xfId="0"/>
    <cellStyle name="_VSA 091113" xfId="0"/>
    <cellStyle name="_VSA 091113 2" xfId="0"/>
    <cellStyle name="_VSA 2" xfId="0"/>
    <cellStyle name="_VSA Cash Flow Forecast 12-12-08 Test" xfId="0"/>
    <cellStyle name="_VSA Cash Flow Forecast 12-12-08 Test 2" xfId="0"/>
    <cellStyle name="_VSA15" xfId="0"/>
    <cellStyle name="_VSA15 2" xfId="0"/>
    <cellStyle name="_VSA17" xfId="0"/>
    <cellStyle name="_VSA17 2" xfId="0"/>
    <cellStyle name="_VSA19" xfId="0"/>
    <cellStyle name="_VSA19 2" xfId="0"/>
    <cellStyle name="_VSA19_CORP SG&amp;A" xfId="0"/>
    <cellStyle name="_VSA19W" xfId="0"/>
    <cellStyle name="_VSA19W 2" xfId="0"/>
    <cellStyle name="_VSA_Charts" xfId="0"/>
    <cellStyle name="_VSA_Charts 2" xfId="0"/>
    <cellStyle name="_VSCN" xfId="0"/>
    <cellStyle name="_VSCN 2" xfId="0"/>
    <cellStyle name="_VSCN15" xfId="0"/>
    <cellStyle name="_VSCN15 2" xfId="0"/>
    <cellStyle name="_VSCN17" xfId="0"/>
    <cellStyle name="_VSCN17 2" xfId="0"/>
    <cellStyle name="_VSCN17_CORP SG&amp;A" xfId="0"/>
    <cellStyle name="_VSCN19" xfId="0"/>
    <cellStyle name="_VSCN19 2" xfId="0"/>
    <cellStyle name="_VSCN19W" xfId="0"/>
    <cellStyle name="_VSCN19W 2" xfId="0"/>
    <cellStyle name="_VSCN_080822 WMR-VSC" xfId="0"/>
    <cellStyle name="_VSCN_080822 WMR-VSC 2" xfId="0"/>
    <cellStyle name="_VSCN_080829 WMR" xfId="0"/>
    <cellStyle name="_VSCN_080829 WMR 2" xfId="0"/>
    <cellStyle name="_VSCN_080905 WMR-VSC" xfId="0"/>
    <cellStyle name="_VSCN_080905 WMR-VSC 2" xfId="0"/>
    <cellStyle name="_VSCN_080912 WMR-VSC" xfId="0"/>
    <cellStyle name="_VSCN_080912 WMR-VSC 2" xfId="0"/>
    <cellStyle name="_VSCN_080919 WMR-VSC" xfId="0"/>
    <cellStyle name="_VSCN_080919 WMR-VSC 2" xfId="0"/>
    <cellStyle name="_VSCN_080926 WMR-VSC" xfId="0"/>
    <cellStyle name="_VSCN_080926 WMR-VSC 2" xfId="0"/>
    <cellStyle name="_VSCN_081003 WMR-VSC_1" xfId="0"/>
    <cellStyle name="_VSCN_081003 WMR-VSC_1 2" xfId="0"/>
    <cellStyle name="_VSCN_081010 WMR-VSC" xfId="0"/>
    <cellStyle name="_VSCN_081010 WMR-VSC 2" xfId="0"/>
    <cellStyle name="_VSCN_081017 WMR-VSC_1" xfId="0"/>
    <cellStyle name="_VSCN_081017 WMR-VSC_1 2" xfId="0"/>
    <cellStyle name="_VSCN_081024 WMR-VSC" xfId="0"/>
    <cellStyle name="_VSCN_081024 WMR-VSC 2" xfId="0"/>
    <cellStyle name="_VSCN_081031 WMR-VSC" xfId="0"/>
    <cellStyle name="_VSCN_081031 WMR-VSC 2" xfId="0"/>
    <cellStyle name="_VSCN_081107 WMR-VSC (2)" xfId="0"/>
    <cellStyle name="_VSCN_081107 WMR-VSC (2) 2" xfId="0"/>
    <cellStyle name="_VSCN_081107 WMR-VSC_1" xfId="0"/>
    <cellStyle name="_VSCN_081107 WMR-VSC_1 2" xfId="0"/>
    <cellStyle name="_VSCN_081114 WMR-VSC" xfId="0"/>
    <cellStyle name="_VSCN_081114 WMR-VSC 2" xfId="0"/>
    <cellStyle name="_VSCN_081121 WMR-VSC" xfId="0"/>
    <cellStyle name="_VSCN_081121 WMR-VSC 2" xfId="0"/>
    <cellStyle name="_VSCN_081128 WMR-VSC" xfId="0"/>
    <cellStyle name="_VSCN_081128 WMR-VSC 2" xfId="0"/>
    <cellStyle name="_VSCN_081128 WMR-VSC_1" xfId="0"/>
    <cellStyle name="_VSCN_081128 WMR-VSC_1 2" xfId="0"/>
    <cellStyle name="_VSCN_081205 WMR-VSC" xfId="0"/>
    <cellStyle name="_VSCN_081205 WMR-VSC 2" xfId="0"/>
    <cellStyle name="_VSCN_081212 WMR-VSC" xfId="0"/>
    <cellStyle name="_VSCN_081212 WMR-VSC 2" xfId="0"/>
    <cellStyle name="_VSCN_081219 WMR-VSC" xfId="0"/>
    <cellStyle name="_VSCN_081219 WMR-VSC 2" xfId="0"/>
    <cellStyle name="_VSCN_090102 WMR-VSC" xfId="0"/>
    <cellStyle name="_VSCN_090102 WMR-VSC 2" xfId="0"/>
    <cellStyle name="_VSCN_090424 WMR_VSE (2)" xfId="0"/>
    <cellStyle name="_VSCN_090424 WMR_VSE (2) 2" xfId="0"/>
    <cellStyle name="_VSCN_090703 WMR-VSC" xfId="0"/>
    <cellStyle name="_VSCN_090703 WMR-VSC 2" xfId="0"/>
    <cellStyle name="_VSCN_AP Turn Days old" xfId="0"/>
    <cellStyle name="_VSCN_AP Turn Days old 2" xfId="0"/>
    <cellStyle name="_VSCN_Charts" xfId="0"/>
    <cellStyle name="_VSCN_Charts 2" xfId="0"/>
    <cellStyle name="_VSCN_NEW WMR" xfId="0"/>
    <cellStyle name="_VSCN_NEW WMR 2" xfId="0"/>
    <cellStyle name="_VSCN_VDL" xfId="0"/>
    <cellStyle name="_VSCN_VDL 2" xfId="0"/>
    <cellStyle name="_VSCN_VSA" xfId="0"/>
    <cellStyle name="_VSCN_VSA 2" xfId="0"/>
    <cellStyle name="_VSCN_VSA Cash Flow Model (6-4-07)" xfId="0"/>
    <cellStyle name="_VSCN_VSA Cash Flow Model (6-4-07) 2" xfId="0"/>
    <cellStyle name="_VSCN_VSACE" xfId="0"/>
    <cellStyle name="_VSCN_VSACE 2" xfId="0"/>
    <cellStyle name="_VSCN_VSC" xfId="0"/>
    <cellStyle name="_VSCN_VSC 2" xfId="0"/>
    <cellStyle name="_VSCN_VSCN" xfId="0"/>
    <cellStyle name="_VSCN_VSCN 2" xfId="0"/>
    <cellStyle name="_VSCN_VSE" xfId="0"/>
    <cellStyle name="_VSCN_VSE 2" xfId="0"/>
    <cellStyle name="_VSCN_VSI" xfId="0"/>
    <cellStyle name="_VSCN_VSI 2" xfId="0"/>
    <cellStyle name="_VSCN_WMR" xfId="0"/>
    <cellStyle name="_VSCN_WMR (by QTY)" xfId="0"/>
    <cellStyle name="_VSCN_WMR (by QTY) 2" xfId="0"/>
    <cellStyle name="_VSCN_WMR 2" xfId="0"/>
    <cellStyle name="_VSCN_WMR 3" xfId="0"/>
    <cellStyle name="_VSCN_WMR 4" xfId="0"/>
    <cellStyle name="_VSE 11-05-2010" xfId="0"/>
    <cellStyle name="_VSE 11-05-2010 2" xfId="0"/>
    <cellStyle name="_VSE Repair Records P12-2003 NLewis 12-01-2003" xfId="0"/>
    <cellStyle name="_VSE Repair Records P12-2003 NLewis 12-01-2003 2" xfId="0"/>
    <cellStyle name="_VSE15" xfId="0"/>
    <cellStyle name="_VSE15 2" xfId="0"/>
    <cellStyle name="_VSE17" xfId="0"/>
    <cellStyle name="_VSE17 2" xfId="0"/>
    <cellStyle name="_VSE17_1" xfId="0"/>
    <cellStyle name="_VSE17_1 2" xfId="0"/>
    <cellStyle name="_VSE17_1_CORP SG&amp;A" xfId="0"/>
    <cellStyle name="_VSE19" xfId="0"/>
    <cellStyle name="_VSE19 2" xfId="0"/>
    <cellStyle name="_VSE19_1" xfId="0"/>
    <cellStyle name="_VSE19_1 2" xfId="0"/>
    <cellStyle name="_VSE19_2007 CPC COGS LCD TV 0711-A" xfId="0"/>
    <cellStyle name="_VSE19_2007 CPC COGS LCD TV 0711-A 2" xfId="0"/>
    <cellStyle name="_VSE19_2007 CPC COGS LCD TV 0711-A_CORP SG&amp;A" xfId="0"/>
    <cellStyle name="_VSE19_2007 CPC COGS LCD TV 0712 -V0116" xfId="0"/>
    <cellStyle name="_VSE19_2007 CPC COGS LCD TV 0712 -V0116 2" xfId="0"/>
    <cellStyle name="_VSE19_2007 CPC COGS LCD TV 0712 -V0116_CORP SG&amp;A" xfId="0"/>
    <cellStyle name="_VSE19_VSA19" xfId="0"/>
    <cellStyle name="_VSE19_VSA19 2" xfId="0"/>
    <cellStyle name="_VSE19W" xfId="0"/>
    <cellStyle name="_VSE19W 2" xfId="0"/>
    <cellStyle name="_VSI" xfId="0"/>
    <cellStyle name="_VSI 2" xfId="0"/>
    <cellStyle name="_VSI Cash Forecast 08-22-2008" xfId="0"/>
    <cellStyle name="_VSI Cash Forecast 08-22-2008 2" xfId="0"/>
    <cellStyle name="_VSI Cash Forecast 08-22-2008_VSA Cash Forecast 04-4-10" xfId="0"/>
    <cellStyle name="_VSI Cash Forecast 08-22-2008_VSA Cash Forecast 04-4-10 2" xfId="0"/>
    <cellStyle name="_VSI DCR" xfId="0"/>
    <cellStyle name="_VSI DCR 2" xfId="0"/>
    <cellStyle name="_VSI DCR_13-wk VSI_Revised" xfId="0"/>
    <cellStyle name="_VSI DCR_13-wk VSI_Revised 2" xfId="0"/>
    <cellStyle name="_VSI DCR_DCR" xfId="0"/>
    <cellStyle name="_VSI DCR_DCR 2" xfId="0"/>
    <cellStyle name="_VSI DCR_WMR VSI" xfId="0"/>
    <cellStyle name="_VSI DCR_WMR VSI 2" xfId="0"/>
    <cellStyle name="_VSI15" xfId="0"/>
    <cellStyle name="_VSI15 2" xfId="0"/>
    <cellStyle name="_VSI17" xfId="0"/>
    <cellStyle name="_VSI17 2" xfId="0"/>
    <cellStyle name="_VSI19" xfId="0"/>
    <cellStyle name="_VSI19 2" xfId="0"/>
    <cellStyle name="_VSI19W" xfId="0"/>
    <cellStyle name="_VSI19W 2" xfId="0"/>
    <cellStyle name="_VSI_080822 WMR-VSC" xfId="0"/>
    <cellStyle name="_VSI_080822 WMR-VSC 2" xfId="0"/>
    <cellStyle name="_VSI_080829 WMR" xfId="0"/>
    <cellStyle name="_VSI_080829 WMR 2" xfId="0"/>
    <cellStyle name="_VSI_080905 WMR-VSC" xfId="0"/>
    <cellStyle name="_VSI_080905 WMR-VSC 2" xfId="0"/>
    <cellStyle name="_VSI_080912 WMR-VSC" xfId="0"/>
    <cellStyle name="_VSI_080912 WMR-VSC 2" xfId="0"/>
    <cellStyle name="_VSI_080919 WMR-VSC" xfId="0"/>
    <cellStyle name="_VSI_080919 WMR-VSC 2" xfId="0"/>
    <cellStyle name="_VSI_080926 WMR-VSC" xfId="0"/>
    <cellStyle name="_VSI_080926 WMR-VSC 2" xfId="0"/>
    <cellStyle name="_VSI_081003 WMR-VSC_1" xfId="0"/>
    <cellStyle name="_VSI_081003 WMR-VSC_1 2" xfId="0"/>
    <cellStyle name="_VSI_081010 WMR-VSC" xfId="0"/>
    <cellStyle name="_VSI_081010 WMR-VSC 2" xfId="0"/>
    <cellStyle name="_VSI_081017 WMR-VSC_1" xfId="0"/>
    <cellStyle name="_VSI_081017 WMR-VSC_1 2" xfId="0"/>
    <cellStyle name="_VSI_081024 WMR-VSC" xfId="0"/>
    <cellStyle name="_VSI_081024 WMR-VSC 2" xfId="0"/>
    <cellStyle name="_VSI_081031 WMR-VSC" xfId="0"/>
    <cellStyle name="_VSI_081031 WMR-VSC 2" xfId="0"/>
    <cellStyle name="_VSI_081107 WMR-VSC (2)" xfId="0"/>
    <cellStyle name="_VSI_081107 WMR-VSC (2) 2" xfId="0"/>
    <cellStyle name="_VSI_081107 WMR-VSC_1" xfId="0"/>
    <cellStyle name="_VSI_081107 WMR-VSC_1 2" xfId="0"/>
    <cellStyle name="_VSI_081114 WMR-VSC" xfId="0"/>
    <cellStyle name="_VSI_081114 WMR-VSC 2" xfId="0"/>
    <cellStyle name="_VSI_081121 WMR-VSC" xfId="0"/>
    <cellStyle name="_VSI_081121 WMR-VSC 2" xfId="0"/>
    <cellStyle name="_VSI_081128 WMR-VSC" xfId="0"/>
    <cellStyle name="_VSI_081128 WMR-VSC 2" xfId="0"/>
    <cellStyle name="_VSI_081128 WMR-VSC_1" xfId="0"/>
    <cellStyle name="_VSI_081128 WMR-VSC_1 2" xfId="0"/>
    <cellStyle name="_VSI_081205 WMR-VSC" xfId="0"/>
    <cellStyle name="_VSI_081205 WMR-VSC 2" xfId="0"/>
    <cellStyle name="_VSI_081212 WMR-VSC" xfId="0"/>
    <cellStyle name="_VSI_081212 WMR-VSC 2" xfId="0"/>
    <cellStyle name="_VSI_081219 WMR-VSC" xfId="0"/>
    <cellStyle name="_VSI_081219 WMR-VSC 2" xfId="0"/>
    <cellStyle name="_VSI_090102 WMR-VSC" xfId="0"/>
    <cellStyle name="_VSI_090102 WMR-VSC 2" xfId="0"/>
    <cellStyle name="_VSI_090424 WMR_VSE (2)" xfId="0"/>
    <cellStyle name="_VSI_090424 WMR_VSE (2) 2" xfId="0"/>
    <cellStyle name="_VSI_090703 WMR-VSC" xfId="0"/>
    <cellStyle name="_VSI_090703 WMR-VSC 2" xfId="0"/>
    <cellStyle name="_VSI_AP Turn Days old" xfId="0"/>
    <cellStyle name="_VSI_AP Turn Days old 2" xfId="0"/>
    <cellStyle name="_VSI_Charts" xfId="0"/>
    <cellStyle name="_VSI_Charts 2" xfId="0"/>
    <cellStyle name="_VSI_NEW WMR" xfId="0"/>
    <cellStyle name="_VSI_NEW WMR 2" xfId="0"/>
    <cellStyle name="_VSI_System Product Oracle models_SW checking_20091204" xfId="0"/>
    <cellStyle name="_VSI_System Product Oracle models_SW checking_20091204 2" xfId="0"/>
    <cellStyle name="_VSI_VDL" xfId="0"/>
    <cellStyle name="_VSI_VDL 2" xfId="0"/>
    <cellStyle name="_VSI_VSA" xfId="0"/>
    <cellStyle name="_VSI_VSA 2" xfId="0"/>
    <cellStyle name="_VSI_VSA Cash Flow Model (6-4-07)" xfId="0"/>
    <cellStyle name="_VSI_VSA Cash Flow Model (6-4-07) 2" xfId="0"/>
    <cellStyle name="_VSI_VSACE" xfId="0"/>
    <cellStyle name="_VSI_VSACE 2" xfId="0"/>
    <cellStyle name="_VSI_VSC" xfId="0"/>
    <cellStyle name="_VSI_VSC 2" xfId="0"/>
    <cellStyle name="_VSI_VSCN" xfId="0"/>
    <cellStyle name="_VSI_VSCN 2" xfId="0"/>
    <cellStyle name="_VSI_VSE" xfId="0"/>
    <cellStyle name="_VSI_VSE 2" xfId="0"/>
    <cellStyle name="_VSI_VSI" xfId="0"/>
    <cellStyle name="_VSI_VSI 2" xfId="0"/>
    <cellStyle name="_VSI_WMR" xfId="0"/>
    <cellStyle name="_VSI_WMR (by QTY)" xfId="0"/>
    <cellStyle name="_VSI_WMR (by QTY) 2" xfId="0"/>
    <cellStyle name="_VSI_WMR 2" xfId="0"/>
    <cellStyle name="_VSI_WMR 3" xfId="0"/>
    <cellStyle name="_VSI_WMR 4" xfId="0"/>
    <cellStyle name="_Warranty revise_1" xfId="0"/>
    <cellStyle name="_Warranty revise_1 2" xfId="0"/>
    <cellStyle name="_Warranty revise_2" xfId="0"/>
    <cellStyle name="_Warranty revise_2 2" xfId="0"/>
    <cellStyle name="_Warranty_Data" xfId="0"/>
    <cellStyle name="_Warranty_Data 2" xfId="0"/>
    <cellStyle name="_Warranty_Data_1" xfId="0"/>
    <cellStyle name="_Warranty_Data_1 2" xfId="0"/>
    <cellStyle name="_Weekly  Report" xfId="0"/>
    <cellStyle name="_Weekly  Report 2" xfId="0"/>
    <cellStyle name="_WFP" xfId="0"/>
    <cellStyle name="_WFP 2" xfId="0"/>
    <cellStyle name="_WFP_13-wk VSI_Revised" xfId="0"/>
    <cellStyle name="_WFP_13-wk VSI_Revised 2" xfId="0"/>
    <cellStyle name="_WFP_DCR" xfId="0"/>
    <cellStyle name="_WFP_DCR 2" xfId="0"/>
    <cellStyle name="_WFP_WMR VSI" xfId="0"/>
    <cellStyle name="_WFP_WMR VSI 2" xfId="0"/>
    <cellStyle name="_WWF_DB" xfId="0"/>
    <cellStyle name="_WWF_DB_DS_2008Q2_LCDCostForecast_DataTables" xfId="0"/>
    <cellStyle name="_WWF_DB_DS_2008Q2_LCDCostForecast_DataTables_DS_2008Q4_LCDCostForecast_DataTables" xfId="0"/>
    <cellStyle name="_Провью" xfId="0"/>
    <cellStyle name="_Провью 0801" xfId="0"/>
    <cellStyle name="_Провью 0801 2" xfId="0"/>
    <cellStyle name="_Провью 2" xfId="0"/>
    <cellStyle name="Accent1" xfId="0"/>
    <cellStyle name="Accent1 - 20%" xfId="0"/>
    <cellStyle name="Accent1 - 20% 2" xfId="0"/>
    <cellStyle name="Accent1 - 20% 2 2" xfId="0"/>
    <cellStyle name="Accent1 - 20% 2 2 2" xfId="0"/>
    <cellStyle name="Accent1 - 20% 2_Market Fresh Cost" xfId="0"/>
    <cellStyle name="Accent1 - 20% 3" xfId="0"/>
    <cellStyle name="Accent1 - 20% 3 2" xfId="0"/>
    <cellStyle name="Accent1 - 20% 4" xfId="0"/>
    <cellStyle name="Accent1 - 20% 4 2" xfId="0"/>
    <cellStyle name="Accent1 - 20% 5" xfId="0"/>
    <cellStyle name="Accent1 - 20% 6" xfId="0"/>
    <cellStyle name="Accent1 - 20% 7" xfId="0"/>
    <cellStyle name="Accent1 - 20%_Market Fresh Cost" xfId="0"/>
    <cellStyle name="Accent1 - 40%" xfId="0"/>
    <cellStyle name="Accent1 - 40% 2" xfId="0"/>
    <cellStyle name="Accent1 - 40% 2 2" xfId="0"/>
    <cellStyle name="Accent1 - 40% 2 2 2" xfId="0"/>
    <cellStyle name="Accent1 - 40% 2_Market Fresh Cost" xfId="0"/>
    <cellStyle name="Accent1 - 40% 3" xfId="0"/>
    <cellStyle name="Accent1 - 40% 3 2" xfId="0"/>
    <cellStyle name="Accent1 - 40% 4" xfId="0"/>
    <cellStyle name="Accent1 - 40% 4 2" xfId="0"/>
    <cellStyle name="Accent1 - 40% 5" xfId="0"/>
    <cellStyle name="Accent1 - 40% 6" xfId="0"/>
    <cellStyle name="Accent1 - 40% 7" xfId="0"/>
    <cellStyle name="Accent1 - 40%_Market Fresh Cost" xfId="0"/>
    <cellStyle name="Accent1 - 60%" xfId="0"/>
    <cellStyle name="Accent1 - 60% 2" xfId="0"/>
    <cellStyle name="Accent1 - 60% 2 2" xfId="0"/>
    <cellStyle name="Accent1 - 60% 2 2 2" xfId="0"/>
    <cellStyle name="Accent1 - 60% 2 3" xfId="0"/>
    <cellStyle name="Accent1 - 60% 2_Market Fresh Cost" xfId="0"/>
    <cellStyle name="Accent1 - 60% 3" xfId="0"/>
    <cellStyle name="Accent1 - 60% 3 2" xfId="0"/>
    <cellStyle name="Accent1 - 60% 3 3" xfId="0"/>
    <cellStyle name="Accent1 - 60% 4" xfId="0"/>
    <cellStyle name="Accent1 - 60% 5" xfId="0"/>
    <cellStyle name="Accent1 - 60% 6" xfId="0"/>
    <cellStyle name="Accent1 - 60% 7" xfId="0"/>
    <cellStyle name="Accent1 - 60% 8" xfId="0"/>
    <cellStyle name="Accent1 - 60%_LCD" xfId="0"/>
    <cellStyle name="Accent1 10" xfId="0"/>
    <cellStyle name="Accent1 10 2" xfId="0"/>
    <cellStyle name="Accent1 10 2 2" xfId="0"/>
    <cellStyle name="Accent1 10 3" xfId="0"/>
    <cellStyle name="Accent1 10 4" xfId="0"/>
    <cellStyle name="Accent1 100" xfId="0"/>
    <cellStyle name="Accent1 101" xfId="0"/>
    <cellStyle name="Accent1 102" xfId="0"/>
    <cellStyle name="Accent1 103" xfId="0"/>
    <cellStyle name="Accent1 104" xfId="0"/>
    <cellStyle name="Accent1 105" xfId="0"/>
    <cellStyle name="Accent1 106" xfId="0"/>
    <cellStyle name="Accent1 107" xfId="0"/>
    <cellStyle name="Accent1 108" xfId="0"/>
    <cellStyle name="Accent1 109" xfId="0"/>
    <cellStyle name="Accent1 11" xfId="0"/>
    <cellStyle name="Accent1 11 2" xfId="0"/>
    <cellStyle name="Accent1 11 2 2" xfId="0"/>
    <cellStyle name="Accent1 11 3" xfId="0"/>
    <cellStyle name="Accent1 11 4" xfId="0"/>
    <cellStyle name="Accent1 110" xfId="0"/>
    <cellStyle name="Accent1 111" xfId="0"/>
    <cellStyle name="Accent1 112" xfId="0"/>
    <cellStyle name="Accent1 113" xfId="0"/>
    <cellStyle name="Accent1 114" xfId="0"/>
    <cellStyle name="Accent1 115" xfId="0"/>
    <cellStyle name="Accent1 116" xfId="0"/>
    <cellStyle name="Accent1 117" xfId="0"/>
    <cellStyle name="Accent1 118" xfId="0"/>
    <cellStyle name="Accent1 119" xfId="0"/>
    <cellStyle name="Accent1 12" xfId="0"/>
    <cellStyle name="Accent1 12 2" xfId="0"/>
    <cellStyle name="Accent1 12 2 2" xfId="0"/>
    <cellStyle name="Accent1 12 3" xfId="0"/>
    <cellStyle name="Accent1 12 4" xfId="0"/>
    <cellStyle name="Accent1 120" xfId="0"/>
    <cellStyle name="Accent1 121" xfId="0"/>
    <cellStyle name="Accent1 122" xfId="0"/>
    <cellStyle name="Accent1 123" xfId="0"/>
    <cellStyle name="Accent1 124" xfId="0"/>
    <cellStyle name="Accent1 125" xfId="0"/>
    <cellStyle name="Accent1 126" xfId="0"/>
    <cellStyle name="Accent1 127" xfId="0"/>
    <cellStyle name="Accent1 128" xfId="0"/>
    <cellStyle name="Accent1 129" xfId="0"/>
    <cellStyle name="Accent1 13" xfId="0"/>
    <cellStyle name="Accent1 13 2" xfId="0"/>
    <cellStyle name="Accent1 13 2 2" xfId="0"/>
    <cellStyle name="Accent1 13 3" xfId="0"/>
    <cellStyle name="Accent1 13 4" xfId="0"/>
    <cellStyle name="Accent1 130" xfId="0"/>
    <cellStyle name="Accent1 131" xfId="0"/>
    <cellStyle name="Accent1 132" xfId="0"/>
    <cellStyle name="Accent1 133" xfId="0"/>
    <cellStyle name="Accent1 134" xfId="0"/>
    <cellStyle name="Accent1 135" xfId="0"/>
    <cellStyle name="Accent1 136" xfId="0"/>
    <cellStyle name="Accent1 137" xfId="0"/>
    <cellStyle name="Accent1 138" xfId="0"/>
    <cellStyle name="Accent1 139" xfId="0"/>
    <cellStyle name="Accent1 14" xfId="0"/>
    <cellStyle name="Accent1 14 2" xfId="0"/>
    <cellStyle name="Accent1 14 2 2" xfId="0"/>
    <cellStyle name="Accent1 14 3" xfId="0"/>
    <cellStyle name="Accent1 14 4" xfId="0"/>
    <cellStyle name="Accent1 140" xfId="0"/>
    <cellStyle name="Accent1 141" xfId="0"/>
    <cellStyle name="Accent1 142" xfId="0"/>
    <cellStyle name="Accent1 143" xfId="0"/>
    <cellStyle name="Accent1 144" xfId="0"/>
    <cellStyle name="Accent1 145" xfId="0"/>
    <cellStyle name="Accent1 146" xfId="0"/>
    <cellStyle name="Accent1 147" xfId="0"/>
    <cellStyle name="Accent1 148" xfId="0"/>
    <cellStyle name="Accent1 149" xfId="0"/>
    <cellStyle name="Accent1 15" xfId="0"/>
    <cellStyle name="Accent1 15 2" xfId="0"/>
    <cellStyle name="Accent1 15 2 2" xfId="0"/>
    <cellStyle name="Accent1 15 3" xfId="0"/>
    <cellStyle name="Accent1 15 4" xfId="0"/>
    <cellStyle name="Accent1 150" xfId="0"/>
    <cellStyle name="Accent1 151" xfId="0"/>
    <cellStyle name="Accent1 152" xfId="0"/>
    <cellStyle name="Accent1 153" xfId="0"/>
    <cellStyle name="Accent1 154" xfId="0"/>
    <cellStyle name="Accent1 155" xfId="0"/>
    <cellStyle name="Accent1 156" xfId="0"/>
    <cellStyle name="Accent1 157" xfId="0"/>
    <cellStyle name="Accent1 158" xfId="0"/>
    <cellStyle name="Accent1 159" xfId="0"/>
    <cellStyle name="Accent1 16" xfId="0"/>
    <cellStyle name="Accent1 16 2" xfId="0"/>
    <cellStyle name="Accent1 16 2 2" xfId="0"/>
    <cellStyle name="Accent1 16 3" xfId="0"/>
    <cellStyle name="Accent1 16 4" xfId="0"/>
    <cellStyle name="Accent1 160" xfId="0"/>
    <cellStyle name="Accent1 161" xfId="0"/>
    <cellStyle name="Accent1 162" xfId="0"/>
    <cellStyle name="Accent1 163" xfId="0"/>
    <cellStyle name="Accent1 164" xfId="0"/>
    <cellStyle name="Accent1 165" xfId="0"/>
    <cellStyle name="Accent1 166" xfId="0"/>
    <cellStyle name="Accent1 167" xfId="0"/>
    <cellStyle name="Accent1 168" xfId="0"/>
    <cellStyle name="Accent1 169" xfId="0"/>
    <cellStyle name="Accent1 17" xfId="0"/>
    <cellStyle name="Accent1 17 2" xfId="0"/>
    <cellStyle name="Accent1 17 2 2" xfId="0"/>
    <cellStyle name="Accent1 17 3" xfId="0"/>
    <cellStyle name="Accent1 17 4" xfId="0"/>
    <cellStyle name="Accent1 170" xfId="0"/>
    <cellStyle name="Accent1 171" xfId="0"/>
    <cellStyle name="Accent1 172" xfId="0"/>
    <cellStyle name="Accent1 173" xfId="0"/>
    <cellStyle name="Accent1 174" xfId="0"/>
    <cellStyle name="Accent1 175" xfId="0"/>
    <cellStyle name="Accent1 176" xfId="0"/>
    <cellStyle name="Accent1 177" xfId="0"/>
    <cellStyle name="Accent1 178" xfId="0"/>
    <cellStyle name="Accent1 179" xfId="0"/>
    <cellStyle name="Accent1 18" xfId="0"/>
    <cellStyle name="Accent1 18 2" xfId="0"/>
    <cellStyle name="Accent1 18 2 2" xfId="0"/>
    <cellStyle name="Accent1 18 3" xfId="0"/>
    <cellStyle name="Accent1 18 4" xfId="0"/>
    <cellStyle name="Accent1 180" xfId="0"/>
    <cellStyle name="Accent1 181" xfId="0"/>
    <cellStyle name="Accent1 182" xfId="0"/>
    <cellStyle name="Accent1 183" xfId="0"/>
    <cellStyle name="Accent1 184" xfId="0"/>
    <cellStyle name="Accent1 185" xfId="0"/>
    <cellStyle name="Accent1 186" xfId="0"/>
    <cellStyle name="Accent1 187" xfId="0"/>
    <cellStyle name="Accent1 188" xfId="0"/>
    <cellStyle name="Accent1 189" xfId="0"/>
    <cellStyle name="Accent1 19" xfId="0"/>
    <cellStyle name="Accent1 19 2" xfId="0"/>
    <cellStyle name="Accent1 19 2 2" xfId="0"/>
    <cellStyle name="Accent1 19 3" xfId="0"/>
    <cellStyle name="Accent1 19 4" xfId="0"/>
    <cellStyle name="Accent1 190" xfId="0"/>
    <cellStyle name="Accent1 191" xfId="0"/>
    <cellStyle name="Accent1 192" xfId="0"/>
    <cellStyle name="Accent1 193" xfId="0"/>
    <cellStyle name="Accent1 194" xfId="0"/>
    <cellStyle name="Accent1 195" xfId="0"/>
    <cellStyle name="Accent1 196" xfId="0"/>
    <cellStyle name="Accent1 197" xfId="0"/>
    <cellStyle name="Accent1 198" xfId="0"/>
    <cellStyle name="Accent1 199" xfId="0"/>
    <cellStyle name="Accent1 2" xfId="0"/>
    <cellStyle name="Accent1 2 2" xfId="0"/>
    <cellStyle name="Accent1 2 2 2" xfId="0"/>
    <cellStyle name="Accent1 2 2 2 2" xfId="0"/>
    <cellStyle name="Accent1 2 2 3" xfId="0"/>
    <cellStyle name="Accent1 2 3" xfId="0"/>
    <cellStyle name="Accent1 2 3 2" xfId="0"/>
    <cellStyle name="Accent1 2 3 3" xfId="0"/>
    <cellStyle name="Accent1 2 4" xfId="0"/>
    <cellStyle name="Accent1 2 4 2" xfId="0"/>
    <cellStyle name="Accent1 2 4 3" xfId="0"/>
    <cellStyle name="Accent1 2 5" xfId="0"/>
    <cellStyle name="Accent1 2 5 2" xfId="0"/>
    <cellStyle name="Accent1 2 6" xfId="0"/>
    <cellStyle name="Accent1 2 7" xfId="0"/>
    <cellStyle name="Accent1 2 8" xfId="0"/>
    <cellStyle name="Accent1 2 9" xfId="0"/>
    <cellStyle name="Accent1 20" xfId="0"/>
    <cellStyle name="Accent1 20 2" xfId="0"/>
    <cellStyle name="Accent1 20 2 2" xfId="0"/>
    <cellStyle name="Accent1 20 3" xfId="0"/>
    <cellStyle name="Accent1 20 4" xfId="0"/>
    <cellStyle name="Accent1 200" xfId="0"/>
    <cellStyle name="Accent1 201" xfId="0"/>
    <cellStyle name="Accent1 202" xfId="0"/>
    <cellStyle name="Accent1 203" xfId="0"/>
    <cellStyle name="Accent1 204" xfId="0"/>
    <cellStyle name="Accent1 205" xfId="0"/>
    <cellStyle name="Accent1 206" xfId="0"/>
    <cellStyle name="Accent1 207" xfId="0"/>
    <cellStyle name="Accent1 208" xfId="0"/>
    <cellStyle name="Accent1 209" xfId="0"/>
    <cellStyle name="Accent1 21" xfId="0"/>
    <cellStyle name="Accent1 21 2" xfId="0"/>
    <cellStyle name="Accent1 21 2 2" xfId="0"/>
    <cellStyle name="Accent1 21 3" xfId="0"/>
    <cellStyle name="Accent1 210" xfId="0"/>
    <cellStyle name="Accent1 211" xfId="0"/>
    <cellStyle name="Accent1 212" xfId="0"/>
    <cellStyle name="Accent1 213" xfId="0"/>
    <cellStyle name="Accent1 214" xfId="0"/>
    <cellStyle name="Accent1 215" xfId="0"/>
    <cellStyle name="Accent1 216" xfId="0"/>
    <cellStyle name="Accent1 217" xfId="0"/>
    <cellStyle name="Accent1 218" xfId="0"/>
    <cellStyle name="Accent1 219" xfId="0"/>
    <cellStyle name="Accent1 22" xfId="0"/>
    <cellStyle name="Accent1 22 2" xfId="0"/>
    <cellStyle name="Accent1 22 2 2" xfId="0"/>
    <cellStyle name="Accent1 22 3" xfId="0"/>
    <cellStyle name="Accent1 220" xfId="0"/>
    <cellStyle name="Accent1 221" xfId="0"/>
    <cellStyle name="Accent1 222" xfId="0"/>
    <cellStyle name="Accent1 223" xfId="0"/>
    <cellStyle name="Accent1 224" xfId="0"/>
    <cellStyle name="Accent1 225" xfId="0"/>
    <cellStyle name="Accent1 226" xfId="0"/>
    <cellStyle name="Accent1 227" xfId="0"/>
    <cellStyle name="Accent1 228" xfId="0"/>
    <cellStyle name="Accent1 229" xfId="0"/>
    <cellStyle name="Accent1 23" xfId="0"/>
    <cellStyle name="Accent1 23 2" xfId="0"/>
    <cellStyle name="Accent1 23 2 2" xfId="0"/>
    <cellStyle name="Accent1 23 3" xfId="0"/>
    <cellStyle name="Accent1 230" xfId="0"/>
    <cellStyle name="Accent1 231" xfId="0"/>
    <cellStyle name="Accent1 232" xfId="0"/>
    <cellStyle name="Accent1 233" xfId="0"/>
    <cellStyle name="Accent1 234" xfId="0"/>
    <cellStyle name="Accent1 235" xfId="0"/>
    <cellStyle name="Accent1 236" xfId="0"/>
    <cellStyle name="Accent1 237" xfId="0"/>
    <cellStyle name="Accent1 238" xfId="0"/>
    <cellStyle name="Accent1 239" xfId="0"/>
    <cellStyle name="Accent1 24" xfId="0"/>
    <cellStyle name="Accent1 24 2" xfId="0"/>
    <cellStyle name="Accent1 24 2 2" xfId="0"/>
    <cellStyle name="Accent1 240" xfId="0"/>
    <cellStyle name="Accent1 241" xfId="0"/>
    <cellStyle name="Accent1 242" xfId="0"/>
    <cellStyle name="Accent1 243" xfId="0"/>
    <cellStyle name="Accent1 244" xfId="0"/>
    <cellStyle name="Accent1 245" xfId="0"/>
    <cellStyle name="Accent1 246" xfId="0"/>
    <cellStyle name="Accent1 247" xfId="0"/>
    <cellStyle name="Accent1 248" xfId="0"/>
    <cellStyle name="Accent1 249" xfId="0"/>
    <cellStyle name="Accent1 25" xfId="0"/>
    <cellStyle name="Accent1 25 2" xfId="0"/>
    <cellStyle name="Accent1 25 2 2" xfId="0"/>
    <cellStyle name="Accent1 250" xfId="0"/>
    <cellStyle name="Accent1 251" xfId="0"/>
    <cellStyle name="Accent1 252" xfId="0"/>
    <cellStyle name="Accent1 253" xfId="0"/>
    <cellStyle name="Accent1 254" xfId="0"/>
    <cellStyle name="Accent1 255" xfId="0"/>
    <cellStyle name="Accent1 256" xfId="0"/>
    <cellStyle name="Accent1 257" xfId="0"/>
    <cellStyle name="Accent1 258" xfId="0"/>
    <cellStyle name="Accent1 259" xfId="0"/>
    <cellStyle name="Accent1 26" xfId="0"/>
    <cellStyle name="Accent1 26 2" xfId="0"/>
    <cellStyle name="Accent1 26 2 2" xfId="0"/>
    <cellStyle name="Accent1 26 3" xfId="0"/>
    <cellStyle name="Accent1 260" xfId="0"/>
    <cellStyle name="Accent1 261" xfId="0"/>
    <cellStyle name="Accent1 262" xfId="0"/>
    <cellStyle name="Accent1 263" xfId="0"/>
    <cellStyle name="Accent1 264" xfId="0"/>
    <cellStyle name="Accent1 265" xfId="0"/>
    <cellStyle name="Accent1 266" xfId="0"/>
    <cellStyle name="Accent1 267" xfId="0"/>
    <cellStyle name="Accent1 268" xfId="0"/>
    <cellStyle name="Accent1 269" xfId="0"/>
    <cellStyle name="Accent1 27" xfId="0"/>
    <cellStyle name="Accent1 27 2" xfId="0"/>
    <cellStyle name="Accent1 27 2 2" xfId="0"/>
    <cellStyle name="Accent1 27 3" xfId="0"/>
    <cellStyle name="Accent1 270" xfId="0"/>
    <cellStyle name="Accent1 271" xfId="0"/>
    <cellStyle name="Accent1 272" xfId="0"/>
    <cellStyle name="Accent1 273" xfId="0"/>
    <cellStyle name="Accent1 274" xfId="0"/>
    <cellStyle name="Accent1 275" xfId="0"/>
    <cellStyle name="Accent1 28" xfId="0"/>
    <cellStyle name="Accent1 28 2" xfId="0"/>
    <cellStyle name="Accent1 28 2 2" xfId="0"/>
    <cellStyle name="Accent1 28 3" xfId="0"/>
    <cellStyle name="Accent1 29" xfId="0"/>
    <cellStyle name="Accent1 29 2" xfId="0"/>
    <cellStyle name="Accent1 29 2 2" xfId="0"/>
    <cellStyle name="Accent1 29 3" xfId="0"/>
    <cellStyle name="Accent1 2_Market Fresh Cost" xfId="0"/>
    <cellStyle name="Accent1 3" xfId="0"/>
    <cellStyle name="Accent1 3 2" xfId="0"/>
    <cellStyle name="Accent1 3 2 2" xfId="0"/>
    <cellStyle name="Accent1 3 2 3" xfId="0"/>
    <cellStyle name="Accent1 3 3" xfId="0"/>
    <cellStyle name="Accent1 3 3 2" xfId="0"/>
    <cellStyle name="Accent1 3 3 3" xfId="0"/>
    <cellStyle name="Accent1 3 4" xfId="0"/>
    <cellStyle name="Accent1 3 4 2" xfId="0"/>
    <cellStyle name="Accent1 3 5" xfId="0"/>
    <cellStyle name="Accent1 3 5 2" xfId="0"/>
    <cellStyle name="Accent1 3 6" xfId="0"/>
    <cellStyle name="Accent1 3 7" xfId="0"/>
    <cellStyle name="Accent1 3 8" xfId="0"/>
    <cellStyle name="Accent1 3 9" xfId="0"/>
    <cellStyle name="Accent1 30" xfId="0"/>
    <cellStyle name="Accent1 30 2" xfId="0"/>
    <cellStyle name="Accent1 30 2 2" xfId="0"/>
    <cellStyle name="Accent1 30 3" xfId="0"/>
    <cellStyle name="Accent1 31" xfId="0"/>
    <cellStyle name="Accent1 31 2" xfId="0"/>
    <cellStyle name="Accent1 31 2 2" xfId="0"/>
    <cellStyle name="Accent1 31 3" xfId="0"/>
    <cellStyle name="Accent1 32" xfId="0"/>
    <cellStyle name="Accent1 32 2" xfId="0"/>
    <cellStyle name="Accent1 32 2 2" xfId="0"/>
    <cellStyle name="Accent1 32 3" xfId="0"/>
    <cellStyle name="Accent1 33" xfId="0"/>
    <cellStyle name="Accent1 33 2" xfId="0"/>
    <cellStyle name="Accent1 33 2 2" xfId="0"/>
    <cellStyle name="Accent1 33 3" xfId="0"/>
    <cellStyle name="Accent1 34" xfId="0"/>
    <cellStyle name="Accent1 34 2" xfId="0"/>
    <cellStyle name="Accent1 34 2 2" xfId="0"/>
    <cellStyle name="Accent1 34 3" xfId="0"/>
    <cellStyle name="Accent1 35" xfId="0"/>
    <cellStyle name="Accent1 35 2" xfId="0"/>
    <cellStyle name="Accent1 35 2 2" xfId="0"/>
    <cellStyle name="Accent1 35 3" xfId="0"/>
    <cellStyle name="Accent1 36" xfId="0"/>
    <cellStyle name="Accent1 36 2" xfId="0"/>
    <cellStyle name="Accent1 36 3" xfId="0"/>
    <cellStyle name="Accent1 37" xfId="0"/>
    <cellStyle name="Accent1 37 2" xfId="0"/>
    <cellStyle name="Accent1 37 3" xfId="0"/>
    <cellStyle name="Accent1 38" xfId="0"/>
    <cellStyle name="Accent1 38 2" xfId="0"/>
    <cellStyle name="Accent1 38 3" xfId="0"/>
    <cellStyle name="Accent1 39" xfId="0"/>
    <cellStyle name="Accent1 39 2" xfId="0"/>
    <cellStyle name="Accent1 39 3" xfId="0"/>
    <cellStyle name="Accent1 3_Profitability Detail NT$ Sep-12" xfId="0"/>
    <cellStyle name="Accent1 4" xfId="0"/>
    <cellStyle name="Accent1 4 2" xfId="0"/>
    <cellStyle name="Accent1 4 2 2" xfId="0"/>
    <cellStyle name="Accent1 4 2 3" xfId="0"/>
    <cellStyle name="Accent1 4 3" xfId="0"/>
    <cellStyle name="Accent1 4 3 2" xfId="0"/>
    <cellStyle name="Accent1 4 3 3" xfId="0"/>
    <cellStyle name="Accent1 4 4" xfId="0"/>
    <cellStyle name="Accent1 4 4 2" xfId="0"/>
    <cellStyle name="Accent1 4 5" xfId="0"/>
    <cellStyle name="Accent1 4 5 2" xfId="0"/>
    <cellStyle name="Accent1 4 6" xfId="0"/>
    <cellStyle name="Accent1 4 7" xfId="0"/>
    <cellStyle name="Accent1 4 8" xfId="0"/>
    <cellStyle name="Accent1 4 9" xfId="0"/>
    <cellStyle name="Accent1 40" xfId="0"/>
    <cellStyle name="Accent1 40 2" xfId="0"/>
    <cellStyle name="Accent1 40 3" xfId="0"/>
    <cellStyle name="Accent1 41" xfId="0"/>
    <cellStyle name="Accent1 41 2" xfId="0"/>
    <cellStyle name="Accent1 41 3" xfId="0"/>
    <cellStyle name="Accent1 42" xfId="0"/>
    <cellStyle name="Accent1 42 2" xfId="0"/>
    <cellStyle name="Accent1 42 3" xfId="0"/>
    <cellStyle name="Accent1 43" xfId="0"/>
    <cellStyle name="Accent1 43 2" xfId="0"/>
    <cellStyle name="Accent1 43 3" xfId="0"/>
    <cellStyle name="Accent1 44" xfId="0"/>
    <cellStyle name="Accent1 44 2" xfId="0"/>
    <cellStyle name="Accent1 45" xfId="0"/>
    <cellStyle name="Accent1 45 2" xfId="0"/>
    <cellStyle name="Accent1 46" xfId="0"/>
    <cellStyle name="Accent1 46 2" xfId="0"/>
    <cellStyle name="Accent1 47" xfId="0"/>
    <cellStyle name="Accent1 47 2" xfId="0"/>
    <cellStyle name="Accent1 48" xfId="0"/>
    <cellStyle name="Accent1 48 2" xfId="0"/>
    <cellStyle name="Accent1 49" xfId="0"/>
    <cellStyle name="Accent1 49 2" xfId="0"/>
    <cellStyle name="Accent1 4_Profitability Detail NT$ Sep-12" xfId="0"/>
    <cellStyle name="Accent1 5" xfId="0"/>
    <cellStyle name="Accent1 5 2" xfId="0"/>
    <cellStyle name="Accent1 5 3" xfId="0"/>
    <cellStyle name="Accent1 5 3 2" xfId="0"/>
    <cellStyle name="Accent1 5 4" xfId="0"/>
    <cellStyle name="Accent1 5 5" xfId="0"/>
    <cellStyle name="Accent1 50" xfId="0"/>
    <cellStyle name="Accent1 50 2" xfId="0"/>
    <cellStyle name="Accent1 51" xfId="0"/>
    <cellStyle name="Accent1 51 2" xfId="0"/>
    <cellStyle name="Accent1 52" xfId="0"/>
    <cellStyle name="Accent1 52 2" xfId="0"/>
    <cellStyle name="Accent1 53" xfId="0"/>
    <cellStyle name="Accent1 53 2" xfId="0"/>
    <cellStyle name="Accent1 54" xfId="0"/>
    <cellStyle name="Accent1 54 2" xfId="0"/>
    <cellStyle name="Accent1 55" xfId="0"/>
    <cellStyle name="Accent1 56" xfId="0"/>
    <cellStyle name="Accent1 56 2" xfId="0"/>
    <cellStyle name="Accent1 57" xfId="0"/>
    <cellStyle name="Accent1 57 2" xfId="0"/>
    <cellStyle name="Accent1 58" xfId="0"/>
    <cellStyle name="Accent1 58 2" xfId="0"/>
    <cellStyle name="Accent1 59" xfId="0"/>
    <cellStyle name="Accent1 59 2" xfId="0"/>
    <cellStyle name="Accent1 6" xfId="0"/>
    <cellStyle name="Accent1 6 2" xfId="0"/>
    <cellStyle name="Accent1 6 3" xfId="0"/>
    <cellStyle name="Accent1 6 3 2" xfId="0"/>
    <cellStyle name="Accent1 6 4" xfId="0"/>
    <cellStyle name="Accent1 6 5" xfId="0"/>
    <cellStyle name="Accent1 60" xfId="0"/>
    <cellStyle name="Accent1 60 2" xfId="0"/>
    <cellStyle name="Accent1 61" xfId="0"/>
    <cellStyle name="Accent1 61 2" xfId="0"/>
    <cellStyle name="Accent1 62" xfId="0"/>
    <cellStyle name="Accent1 62 2" xfId="0"/>
    <cellStyle name="Accent1 63" xfId="0"/>
    <cellStyle name="Accent1 63 2" xfId="0"/>
    <cellStyle name="Accent1 64" xfId="0"/>
    <cellStyle name="Accent1 64 2" xfId="0"/>
    <cellStyle name="Accent1 65" xfId="0"/>
    <cellStyle name="Accent1 65 2" xfId="0"/>
    <cellStyle name="Accent1 66" xfId="0"/>
    <cellStyle name="Accent1 66 2" xfId="0"/>
    <cellStyle name="Accent1 67" xfId="0"/>
    <cellStyle name="Accent1 67 2" xfId="0"/>
    <cellStyle name="Accent1 68" xfId="0"/>
    <cellStyle name="Accent1 68 2" xfId="0"/>
    <cellStyle name="Accent1 69" xfId="0"/>
    <cellStyle name="Accent1 69 2" xfId="0"/>
    <cellStyle name="Accent1 7" xfId="0"/>
    <cellStyle name="Accent1 7 2" xfId="0"/>
    <cellStyle name="Accent1 7 3" xfId="0"/>
    <cellStyle name="Accent1 7 3 2" xfId="0"/>
    <cellStyle name="Accent1 7 4" xfId="0"/>
    <cellStyle name="Accent1 7 5" xfId="0"/>
    <cellStyle name="Accent1 70" xfId="0"/>
    <cellStyle name="Accent1 70 2" xfId="0"/>
    <cellStyle name="Accent1 71" xfId="0"/>
    <cellStyle name="Accent1 71 2" xfId="0"/>
    <cellStyle name="Accent1 72" xfId="0"/>
    <cellStyle name="Accent1 72 2" xfId="0"/>
    <cellStyle name="Accent1 73" xfId="0"/>
    <cellStyle name="Accent1 74" xfId="0"/>
    <cellStyle name="Accent1 75" xfId="0"/>
    <cellStyle name="Accent1 76" xfId="0"/>
    <cellStyle name="Accent1 77" xfId="0"/>
    <cellStyle name="Accent1 78" xfId="0"/>
    <cellStyle name="Accent1 79" xfId="0"/>
    <cellStyle name="Accent1 8" xfId="0"/>
    <cellStyle name="Accent1 8 2" xfId="0"/>
    <cellStyle name="Accent1 8 3" xfId="0"/>
    <cellStyle name="Accent1 8 3 2" xfId="0"/>
    <cellStyle name="Accent1 8 4" xfId="0"/>
    <cellStyle name="Accent1 8 5" xfId="0"/>
    <cellStyle name="Accent1 80" xfId="0"/>
    <cellStyle name="Accent1 81" xfId="0"/>
    <cellStyle name="Accent1 82" xfId="0"/>
    <cellStyle name="Accent1 83" xfId="0"/>
    <cellStyle name="Accent1 84" xfId="0"/>
    <cellStyle name="Accent1 85" xfId="0"/>
    <cellStyle name="Accent1 86" xfId="0"/>
    <cellStyle name="Accent1 87" xfId="0"/>
    <cellStyle name="Accent1 88" xfId="0"/>
    <cellStyle name="Accent1 89" xfId="0"/>
    <cellStyle name="Accent1 9" xfId="0"/>
    <cellStyle name="Accent1 9 2" xfId="0"/>
    <cellStyle name="Accent1 9 2 2" xfId="0"/>
    <cellStyle name="Accent1 9 3" xfId="0"/>
    <cellStyle name="Accent1 9 4" xfId="0"/>
    <cellStyle name="Accent1 90" xfId="0"/>
    <cellStyle name="Accent1 91" xfId="0"/>
    <cellStyle name="Accent1 92" xfId="0"/>
    <cellStyle name="Accent1 93" xfId="0"/>
    <cellStyle name="Accent1 94" xfId="0"/>
    <cellStyle name="Accent1 95" xfId="0"/>
    <cellStyle name="Accent1 96" xfId="0"/>
    <cellStyle name="Accent1 97" xfId="0"/>
    <cellStyle name="Accent1 98" xfId="0"/>
    <cellStyle name="Accent1 99" xfId="0"/>
    <cellStyle name="Accent1_13-wk VSA_Revised" xfId="0"/>
    <cellStyle name="Accent2" xfId="0"/>
    <cellStyle name="Accent2 - 20%" xfId="0"/>
    <cellStyle name="Accent2 - 20% 2" xfId="0"/>
    <cellStyle name="Accent2 - 20% 2 2" xfId="0"/>
    <cellStyle name="Accent2 - 20% 2_Market Fresh Cost" xfId="0"/>
    <cellStyle name="Accent2 - 20% 3" xfId="0"/>
    <cellStyle name="Accent2 - 20% 3 2" xfId="0"/>
    <cellStyle name="Accent2 - 20% 4" xfId="0"/>
    <cellStyle name="Accent2 - 20% 5" xfId="0"/>
    <cellStyle name="Accent2 - 20% 6" xfId="0"/>
    <cellStyle name="Accent2 - 20% 7" xfId="0"/>
    <cellStyle name="Accent2 - 20%_Market Fresh Cost" xfId="0"/>
    <cellStyle name="Accent2 - 40%" xfId="0"/>
    <cellStyle name="Accent2 - 40% 2" xfId="0"/>
    <cellStyle name="Accent2 - 40% 2 2" xfId="0"/>
    <cellStyle name="Accent2 - 40% 2_Market Fresh Cost" xfId="0"/>
    <cellStyle name="Accent2 - 40% 3" xfId="0"/>
    <cellStyle name="Accent2 - 40% 3 2" xfId="0"/>
    <cellStyle name="Accent2 - 40% 4" xfId="0"/>
    <cellStyle name="Accent2 - 40% 5" xfId="0"/>
    <cellStyle name="Accent2 - 40% 6" xfId="0"/>
    <cellStyle name="Accent2 - 40% 7" xfId="0"/>
    <cellStyle name="Accent2 - 40%_Market Fresh Cost" xfId="0"/>
    <cellStyle name="Accent2 - 60%" xfId="0"/>
    <cellStyle name="Accent2 - 60% 2" xfId="0"/>
    <cellStyle name="Accent2 - 60% 2 2" xfId="0"/>
    <cellStyle name="Accent2 - 60% 2_Market Fresh Cost" xfId="0"/>
    <cellStyle name="Accent2 - 60% 3" xfId="0"/>
    <cellStyle name="Accent2 - 60% 3 2" xfId="0"/>
    <cellStyle name="Accent2 - 60% 4" xfId="0"/>
    <cellStyle name="Accent2 - 60% 5" xfId="0"/>
    <cellStyle name="Accent2 - 60% 6" xfId="0"/>
    <cellStyle name="Accent2 - 60% 7" xfId="0"/>
    <cellStyle name="Accent2 - 60% 8" xfId="0"/>
    <cellStyle name="Accent2 - 60%_LCD" xfId="0"/>
    <cellStyle name="Accent2 10" xfId="0"/>
    <cellStyle name="Accent2 10 2" xfId="0"/>
    <cellStyle name="Accent2 10 2 2" xfId="0"/>
    <cellStyle name="Accent2 10 3" xfId="0"/>
    <cellStyle name="Accent2 10 4" xfId="0"/>
    <cellStyle name="Accent2 100" xfId="0"/>
    <cellStyle name="Accent2 101" xfId="0"/>
    <cellStyle name="Accent2 102" xfId="0"/>
    <cellStyle name="Accent2 103" xfId="0"/>
    <cellStyle name="Accent2 104" xfId="0"/>
    <cellStyle name="Accent2 105" xfId="0"/>
    <cellStyle name="Accent2 106" xfId="0"/>
    <cellStyle name="Accent2 107" xfId="0"/>
    <cellStyle name="Accent2 108" xfId="0"/>
    <cellStyle name="Accent2 109" xfId="0"/>
    <cellStyle name="Accent2 11" xfId="0"/>
    <cellStyle name="Accent2 11 2" xfId="0"/>
    <cellStyle name="Accent2 11 2 2" xfId="0"/>
    <cellStyle name="Accent2 11 3" xfId="0"/>
    <cellStyle name="Accent2 11 4" xfId="0"/>
    <cellStyle name="Accent2 110" xfId="0"/>
    <cellStyle name="Accent2 111" xfId="0"/>
    <cellStyle name="Accent2 112" xfId="0"/>
    <cellStyle name="Accent2 113" xfId="0"/>
    <cellStyle name="Accent2 114" xfId="0"/>
    <cellStyle name="Accent2 115" xfId="0"/>
    <cellStyle name="Accent2 116" xfId="0"/>
    <cellStyle name="Accent2 117" xfId="0"/>
    <cellStyle name="Accent2 118" xfId="0"/>
    <cellStyle name="Accent2 119" xfId="0"/>
    <cellStyle name="Accent2 12" xfId="0"/>
    <cellStyle name="Accent2 12 2" xfId="0"/>
    <cellStyle name="Accent2 12 2 2" xfId="0"/>
    <cellStyle name="Accent2 12 3" xfId="0"/>
    <cellStyle name="Accent2 12 4" xfId="0"/>
    <cellStyle name="Accent2 120" xfId="0"/>
    <cellStyle name="Accent2 121" xfId="0"/>
    <cellStyle name="Accent2 122" xfId="0"/>
    <cellStyle name="Accent2 123" xfId="0"/>
    <cellStyle name="Accent2 124" xfId="0"/>
    <cellStyle name="Accent2 125" xfId="0"/>
    <cellStyle name="Accent2 126" xfId="0"/>
    <cellStyle name="Accent2 127" xfId="0"/>
    <cellStyle name="Accent2 128" xfId="0"/>
    <cellStyle name="Accent2 129" xfId="0"/>
    <cellStyle name="Accent2 13" xfId="0"/>
    <cellStyle name="Accent2 13 2" xfId="0"/>
    <cellStyle name="Accent2 13 2 2" xfId="0"/>
    <cellStyle name="Accent2 13 3" xfId="0"/>
    <cellStyle name="Accent2 13 4" xfId="0"/>
    <cellStyle name="Accent2 130" xfId="0"/>
    <cellStyle name="Accent2 131" xfId="0"/>
    <cellStyle name="Accent2 132" xfId="0"/>
    <cellStyle name="Accent2 133" xfId="0"/>
    <cellStyle name="Accent2 134" xfId="0"/>
    <cellStyle name="Accent2 135" xfId="0"/>
    <cellStyle name="Accent2 136" xfId="0"/>
    <cellStyle name="Accent2 137" xfId="0"/>
    <cellStyle name="Accent2 138" xfId="0"/>
    <cellStyle name="Accent2 139" xfId="0"/>
    <cellStyle name="Accent2 14" xfId="0"/>
    <cellStyle name="Accent2 14 2" xfId="0"/>
    <cellStyle name="Accent2 14 2 2" xfId="0"/>
    <cellStyle name="Accent2 14 3" xfId="0"/>
    <cellStyle name="Accent2 14 4" xfId="0"/>
    <cellStyle name="Accent2 140" xfId="0"/>
    <cellStyle name="Accent2 141" xfId="0"/>
    <cellStyle name="Accent2 142" xfId="0"/>
    <cellStyle name="Accent2 143" xfId="0"/>
    <cellStyle name="Accent2 144" xfId="0"/>
    <cellStyle name="Accent2 145" xfId="0"/>
    <cellStyle name="Accent2 146" xfId="0"/>
    <cellStyle name="Accent2 147" xfId="0"/>
    <cellStyle name="Accent2 148" xfId="0"/>
    <cellStyle name="Accent2 149" xfId="0"/>
    <cellStyle name="Accent2 15" xfId="0"/>
    <cellStyle name="Accent2 15 2" xfId="0"/>
    <cellStyle name="Accent2 15 2 2" xfId="0"/>
    <cellStyle name="Accent2 15 3" xfId="0"/>
    <cellStyle name="Accent2 15 4" xfId="0"/>
    <cellStyle name="Accent2 150" xfId="0"/>
    <cellStyle name="Accent2 151" xfId="0"/>
    <cellStyle name="Accent2 152" xfId="0"/>
    <cellStyle name="Accent2 153" xfId="0"/>
    <cellStyle name="Accent2 154" xfId="0"/>
    <cellStyle name="Accent2 155" xfId="0"/>
    <cellStyle name="Accent2 156" xfId="0"/>
    <cellStyle name="Accent2 157" xfId="0"/>
    <cellStyle name="Accent2 158" xfId="0"/>
    <cellStyle name="Accent2 159" xfId="0"/>
    <cellStyle name="Accent2 16" xfId="0"/>
    <cellStyle name="Accent2 16 2" xfId="0"/>
    <cellStyle name="Accent2 16 2 2" xfId="0"/>
    <cellStyle name="Accent2 16 3" xfId="0"/>
    <cellStyle name="Accent2 16 4" xfId="0"/>
    <cellStyle name="Accent2 160" xfId="0"/>
    <cellStyle name="Accent2 161" xfId="0"/>
    <cellStyle name="Accent2 162" xfId="0"/>
    <cellStyle name="Accent2 163" xfId="0"/>
    <cellStyle name="Accent2 164" xfId="0"/>
    <cellStyle name="Accent2 165" xfId="0"/>
    <cellStyle name="Accent2 166" xfId="0"/>
    <cellStyle name="Accent2 167" xfId="0"/>
    <cellStyle name="Accent2 168" xfId="0"/>
    <cellStyle name="Accent2 169" xfId="0"/>
    <cellStyle name="Accent2 17" xfId="0"/>
    <cellStyle name="Accent2 17 2" xfId="0"/>
    <cellStyle name="Accent2 17 2 2" xfId="0"/>
    <cellStyle name="Accent2 17 3" xfId="0"/>
    <cellStyle name="Accent2 17 4" xfId="0"/>
    <cellStyle name="Accent2 170" xfId="0"/>
    <cellStyle name="Accent2 171" xfId="0"/>
    <cellStyle name="Accent2 172" xfId="0"/>
    <cellStyle name="Accent2 173" xfId="0"/>
    <cellStyle name="Accent2 174" xfId="0"/>
    <cellStyle name="Accent2 175" xfId="0"/>
    <cellStyle name="Accent2 176" xfId="0"/>
    <cellStyle name="Accent2 177" xfId="0"/>
    <cellStyle name="Accent2 178" xfId="0"/>
    <cellStyle name="Accent2 179" xfId="0"/>
    <cellStyle name="Accent2 18" xfId="0"/>
    <cellStyle name="Accent2 18 2" xfId="0"/>
    <cellStyle name="Accent2 18 2 2" xfId="0"/>
    <cellStyle name="Accent2 18 3" xfId="0"/>
    <cellStyle name="Accent2 18 4" xfId="0"/>
    <cellStyle name="Accent2 180" xfId="0"/>
    <cellStyle name="Accent2 181" xfId="0"/>
    <cellStyle name="Accent2 182" xfId="0"/>
    <cellStyle name="Accent2 183" xfId="0"/>
    <cellStyle name="Accent2 184" xfId="0"/>
    <cellStyle name="Accent2 185" xfId="0"/>
    <cellStyle name="Accent2 186" xfId="0"/>
    <cellStyle name="Accent2 187" xfId="0"/>
    <cellStyle name="Accent2 188" xfId="0"/>
    <cellStyle name="Accent2 189" xfId="0"/>
    <cellStyle name="Accent2 19" xfId="0"/>
    <cellStyle name="Accent2 19 2" xfId="0"/>
    <cellStyle name="Accent2 19 2 2" xfId="0"/>
    <cellStyle name="Accent2 19 3" xfId="0"/>
    <cellStyle name="Accent2 19 4" xfId="0"/>
    <cellStyle name="Accent2 190" xfId="0"/>
    <cellStyle name="Accent2 191" xfId="0"/>
    <cellStyle name="Accent2 192" xfId="0"/>
    <cellStyle name="Accent2 193" xfId="0"/>
    <cellStyle name="Accent2 194" xfId="0"/>
    <cellStyle name="Accent2 195" xfId="0"/>
    <cellStyle name="Accent2 196" xfId="0"/>
    <cellStyle name="Accent2 197" xfId="0"/>
    <cellStyle name="Accent2 198" xfId="0"/>
    <cellStyle name="Accent2 199" xfId="0"/>
    <cellStyle name="Accent2 2" xfId="0"/>
    <cellStyle name="Accent2 2 2" xfId="0"/>
    <cellStyle name="Accent2 2 2 2" xfId="0"/>
    <cellStyle name="Accent2 2 2 2 2" xfId="0"/>
    <cellStyle name="Accent2 2 2 3" xfId="0"/>
    <cellStyle name="Accent2 2 3" xfId="0"/>
    <cellStyle name="Accent2 2 3 2" xfId="0"/>
    <cellStyle name="Accent2 2 3 3" xfId="0"/>
    <cellStyle name="Accent2 2 4" xfId="0"/>
    <cellStyle name="Accent2 2 4 2" xfId="0"/>
    <cellStyle name="Accent2 2 5" xfId="0"/>
    <cellStyle name="Accent2 2 5 2" xfId="0"/>
    <cellStyle name="Accent2 2 6" xfId="0"/>
    <cellStyle name="Accent2 2 7" xfId="0"/>
    <cellStyle name="Accent2 2 8" xfId="0"/>
    <cellStyle name="Accent2 20" xfId="0"/>
    <cellStyle name="Accent2 20 2" xfId="0"/>
    <cellStyle name="Accent2 20 2 2" xfId="0"/>
    <cellStyle name="Accent2 20 3" xfId="0"/>
    <cellStyle name="Accent2 20 4" xfId="0"/>
    <cellStyle name="Accent2 200" xfId="0"/>
    <cellStyle name="Accent2 201" xfId="0"/>
    <cellStyle name="Accent2 202" xfId="0"/>
    <cellStyle name="Accent2 203" xfId="0"/>
    <cellStyle name="Accent2 204" xfId="0"/>
    <cellStyle name="Accent2 205" xfId="0"/>
    <cellStyle name="Accent2 206" xfId="0"/>
    <cellStyle name="Accent2 207" xfId="0"/>
    <cellStyle name="Accent2 208" xfId="0"/>
    <cellStyle name="Accent2 209" xfId="0"/>
    <cellStyle name="Accent2 21" xfId="0"/>
    <cellStyle name="Accent2 21 2" xfId="0"/>
    <cellStyle name="Accent2 21 2 2" xfId="0"/>
    <cellStyle name="Accent2 21 3" xfId="0"/>
    <cellStyle name="Accent2 210" xfId="0"/>
    <cellStyle name="Accent2 211" xfId="0"/>
    <cellStyle name="Accent2 212" xfId="0"/>
    <cellStyle name="Accent2 213" xfId="0"/>
    <cellStyle name="Accent2 214" xfId="0"/>
    <cellStyle name="Accent2 215" xfId="0"/>
    <cellStyle name="Accent2 216" xfId="0"/>
    <cellStyle name="Accent2 217" xfId="0"/>
    <cellStyle name="Accent2 218" xfId="0"/>
    <cellStyle name="Accent2 219" xfId="0"/>
    <cellStyle name="Accent2 22" xfId="0"/>
    <cellStyle name="Accent2 22 2" xfId="0"/>
    <cellStyle name="Accent2 22 2 2" xfId="0"/>
    <cellStyle name="Accent2 22 3" xfId="0"/>
    <cellStyle name="Accent2 220" xfId="0"/>
    <cellStyle name="Accent2 221" xfId="0"/>
    <cellStyle name="Accent2 222" xfId="0"/>
    <cellStyle name="Accent2 223" xfId="0"/>
    <cellStyle name="Accent2 224" xfId="0"/>
    <cellStyle name="Accent2 225" xfId="0"/>
    <cellStyle name="Accent2 226" xfId="0"/>
    <cellStyle name="Accent2 227" xfId="0"/>
    <cellStyle name="Accent2 228" xfId="0"/>
    <cellStyle name="Accent2 229" xfId="0"/>
    <cellStyle name="Accent2 23" xfId="0"/>
    <cellStyle name="Accent2 23 2" xfId="0"/>
    <cellStyle name="Accent2 23 2 2" xfId="0"/>
    <cellStyle name="Accent2 23 3" xfId="0"/>
    <cellStyle name="Accent2 230" xfId="0"/>
    <cellStyle name="Accent2 231" xfId="0"/>
    <cellStyle name="Accent2 232" xfId="0"/>
    <cellStyle name="Accent2 233" xfId="0"/>
    <cellStyle name="Accent2 234" xfId="0"/>
    <cellStyle name="Accent2 235" xfId="0"/>
    <cellStyle name="Accent2 236" xfId="0"/>
    <cellStyle name="Accent2 237" xfId="0"/>
    <cellStyle name="Accent2 238" xfId="0"/>
    <cellStyle name="Accent2 239" xfId="0"/>
    <cellStyle name="Accent2 24" xfId="0"/>
    <cellStyle name="Accent2 24 2" xfId="0"/>
    <cellStyle name="Accent2 24 2 2" xfId="0"/>
    <cellStyle name="Accent2 240" xfId="0"/>
    <cellStyle name="Accent2 241" xfId="0"/>
    <cellStyle name="Accent2 242" xfId="0"/>
    <cellStyle name="Accent2 243" xfId="0"/>
    <cellStyle name="Accent2 244" xfId="0"/>
    <cellStyle name="Accent2 245" xfId="0"/>
    <cellStyle name="Accent2 246" xfId="0"/>
    <cellStyle name="Accent2 247" xfId="0"/>
    <cellStyle name="Accent2 248" xfId="0"/>
    <cellStyle name="Accent2 249" xfId="0"/>
    <cellStyle name="Accent2 25" xfId="0"/>
    <cellStyle name="Accent2 25 2" xfId="0"/>
    <cellStyle name="Accent2 25 2 2" xfId="0"/>
    <cellStyle name="Accent2 250" xfId="0"/>
    <cellStyle name="Accent2 251" xfId="0"/>
    <cellStyle name="Accent2 252" xfId="0"/>
    <cellStyle name="Accent2 253" xfId="0"/>
    <cellStyle name="Accent2 254" xfId="0"/>
    <cellStyle name="Accent2 255" xfId="0"/>
    <cellStyle name="Accent2 256" xfId="0"/>
    <cellStyle name="Accent2 257" xfId="0"/>
    <cellStyle name="Accent2 258" xfId="0"/>
    <cellStyle name="Accent2 259" xfId="0"/>
    <cellStyle name="Accent2 26" xfId="0"/>
    <cellStyle name="Accent2 26 2" xfId="0"/>
    <cellStyle name="Accent2 26 2 2" xfId="0"/>
    <cellStyle name="Accent2 26 3" xfId="0"/>
    <cellStyle name="Accent2 260" xfId="0"/>
    <cellStyle name="Accent2 261" xfId="0"/>
    <cellStyle name="Accent2 262" xfId="0"/>
    <cellStyle name="Accent2 263" xfId="0"/>
    <cellStyle name="Accent2 264" xfId="0"/>
    <cellStyle name="Accent2 265" xfId="0"/>
    <cellStyle name="Accent2 266" xfId="0"/>
    <cellStyle name="Accent2 267" xfId="0"/>
    <cellStyle name="Accent2 268" xfId="0"/>
    <cellStyle name="Accent2 269" xfId="0"/>
    <cellStyle name="Accent2 27" xfId="0"/>
    <cellStyle name="Accent2 27 2" xfId="0"/>
    <cellStyle name="Accent2 27 2 2" xfId="0"/>
    <cellStyle name="Accent2 27 3" xfId="0"/>
    <cellStyle name="Accent2 270" xfId="0"/>
    <cellStyle name="Accent2 271" xfId="0"/>
    <cellStyle name="Accent2 272" xfId="0"/>
    <cellStyle name="Accent2 273" xfId="0"/>
    <cellStyle name="Accent2 274" xfId="0"/>
    <cellStyle name="Accent2 275" xfId="0"/>
    <cellStyle name="Accent2 28" xfId="0"/>
    <cellStyle name="Accent2 28 2" xfId="0"/>
    <cellStyle name="Accent2 28 2 2" xfId="0"/>
    <cellStyle name="Accent2 28 3" xfId="0"/>
    <cellStyle name="Accent2 29" xfId="0"/>
    <cellStyle name="Accent2 29 2" xfId="0"/>
    <cellStyle name="Accent2 29 2 2" xfId="0"/>
    <cellStyle name="Accent2 29 3" xfId="0"/>
    <cellStyle name="Accent2 2_Market Fresh Cost" xfId="0"/>
    <cellStyle name="Accent2 3" xfId="0"/>
    <cellStyle name="Accent2 3 2" xfId="0"/>
    <cellStyle name="Accent2 3 2 2" xfId="0"/>
    <cellStyle name="Accent2 3 2 3" xfId="0"/>
    <cellStyle name="Accent2 3 3" xfId="0"/>
    <cellStyle name="Accent2 3 3 2" xfId="0"/>
    <cellStyle name="Accent2 3 3 3" xfId="0"/>
    <cellStyle name="Accent2 3 4" xfId="0"/>
    <cellStyle name="Accent2 3 4 2" xfId="0"/>
    <cellStyle name="Accent2 3 5" xfId="0"/>
    <cellStyle name="Accent2 3 5 2" xfId="0"/>
    <cellStyle name="Accent2 3 6" xfId="0"/>
    <cellStyle name="Accent2 3 7" xfId="0"/>
    <cellStyle name="Accent2 3 8" xfId="0"/>
    <cellStyle name="Accent2 30" xfId="0"/>
    <cellStyle name="Accent2 30 2" xfId="0"/>
    <cellStyle name="Accent2 30 2 2" xfId="0"/>
    <cellStyle name="Accent2 30 3" xfId="0"/>
    <cellStyle name="Accent2 31" xfId="0"/>
    <cellStyle name="Accent2 31 2" xfId="0"/>
    <cellStyle name="Accent2 31 2 2" xfId="0"/>
    <cellStyle name="Accent2 31 3" xfId="0"/>
    <cellStyle name="Accent2 32" xfId="0"/>
    <cellStyle name="Accent2 32 2" xfId="0"/>
    <cellStyle name="Accent2 32 2 2" xfId="0"/>
    <cellStyle name="Accent2 32 3" xfId="0"/>
    <cellStyle name="Accent2 33" xfId="0"/>
    <cellStyle name="Accent2 33 2" xfId="0"/>
    <cellStyle name="Accent2 33 2 2" xfId="0"/>
    <cellStyle name="Accent2 33 3" xfId="0"/>
    <cellStyle name="Accent2 34" xfId="0"/>
    <cellStyle name="Accent2 34 2" xfId="0"/>
    <cellStyle name="Accent2 34 2 2" xfId="0"/>
    <cellStyle name="Accent2 34 3" xfId="0"/>
    <cellStyle name="Accent2 35" xfId="0"/>
    <cellStyle name="Accent2 35 2" xfId="0"/>
    <cellStyle name="Accent2 35 2 2" xfId="0"/>
    <cellStyle name="Accent2 35 3" xfId="0"/>
    <cellStyle name="Accent2 36" xfId="0"/>
    <cellStyle name="Accent2 36 2" xfId="0"/>
    <cellStyle name="Accent2 36 3" xfId="0"/>
    <cellStyle name="Accent2 37" xfId="0"/>
    <cellStyle name="Accent2 37 2" xfId="0"/>
    <cellStyle name="Accent2 37 3" xfId="0"/>
    <cellStyle name="Accent2 38" xfId="0"/>
    <cellStyle name="Accent2 38 2" xfId="0"/>
    <cellStyle name="Accent2 38 3" xfId="0"/>
    <cellStyle name="Accent2 39" xfId="0"/>
    <cellStyle name="Accent2 39 2" xfId="0"/>
    <cellStyle name="Accent2 39 3" xfId="0"/>
    <cellStyle name="Accent2 3_Profitability Detail NT$ Sep-12" xfId="0"/>
    <cellStyle name="Accent2 4" xfId="0"/>
    <cellStyle name="Accent2 4 2" xfId="0"/>
    <cellStyle name="Accent2 4 2 2" xfId="0"/>
    <cellStyle name="Accent2 4 2 3" xfId="0"/>
    <cellStyle name="Accent2 4 3" xfId="0"/>
    <cellStyle name="Accent2 4 3 2" xfId="0"/>
    <cellStyle name="Accent2 4 3 3" xfId="0"/>
    <cellStyle name="Accent2 4 4" xfId="0"/>
    <cellStyle name="Accent2 4 4 2" xfId="0"/>
    <cellStyle name="Accent2 4 5" xfId="0"/>
    <cellStyle name="Accent2 4 5 2" xfId="0"/>
    <cellStyle name="Accent2 4 6" xfId="0"/>
    <cellStyle name="Accent2 4 7" xfId="0"/>
    <cellStyle name="Accent2 4 8" xfId="0"/>
    <cellStyle name="Accent2 40" xfId="0"/>
    <cellStyle name="Accent2 40 2" xfId="0"/>
    <cellStyle name="Accent2 40 3" xfId="0"/>
    <cellStyle name="Accent2 41" xfId="0"/>
    <cellStyle name="Accent2 41 2" xfId="0"/>
    <cellStyle name="Accent2 41 3" xfId="0"/>
    <cellStyle name="Accent2 42" xfId="0"/>
    <cellStyle name="Accent2 42 2" xfId="0"/>
    <cellStyle name="Accent2 42 3" xfId="0"/>
    <cellStyle name="Accent2 43" xfId="0"/>
    <cellStyle name="Accent2 43 2" xfId="0"/>
    <cellStyle name="Accent2 43 3" xfId="0"/>
    <cellStyle name="Accent2 44" xfId="0"/>
    <cellStyle name="Accent2 44 2" xfId="0"/>
    <cellStyle name="Accent2 45" xfId="0"/>
    <cellStyle name="Accent2 45 2" xfId="0"/>
    <cellStyle name="Accent2 46" xfId="0"/>
    <cellStyle name="Accent2 46 2" xfId="0"/>
    <cellStyle name="Accent2 47" xfId="0"/>
    <cellStyle name="Accent2 47 2" xfId="0"/>
    <cellStyle name="Accent2 48" xfId="0"/>
    <cellStyle name="Accent2 48 2" xfId="0"/>
    <cellStyle name="Accent2 49" xfId="0"/>
    <cellStyle name="Accent2 49 2" xfId="0"/>
    <cellStyle name="Accent2 4_Profitability Detail NT$ Sep-12" xfId="0"/>
    <cellStyle name="Accent2 5" xfId="0"/>
    <cellStyle name="Accent2 5 2" xfId="0"/>
    <cellStyle name="Accent2 5 3" xfId="0"/>
    <cellStyle name="Accent2 5 4" xfId="0"/>
    <cellStyle name="Accent2 50" xfId="0"/>
    <cellStyle name="Accent2 50 2" xfId="0"/>
    <cellStyle name="Accent2 51" xfId="0"/>
    <cellStyle name="Accent2 51 2" xfId="0"/>
    <cellStyle name="Accent2 52" xfId="0"/>
    <cellStyle name="Accent2 52 2" xfId="0"/>
    <cellStyle name="Accent2 53" xfId="0"/>
    <cellStyle name="Accent2 53 2" xfId="0"/>
    <cellStyle name="Accent2 54" xfId="0"/>
    <cellStyle name="Accent2 54 2" xfId="0"/>
    <cellStyle name="Accent2 55" xfId="0"/>
    <cellStyle name="Accent2 56" xfId="0"/>
    <cellStyle name="Accent2 56 2" xfId="0"/>
    <cellStyle name="Accent2 57" xfId="0"/>
    <cellStyle name="Accent2 57 2" xfId="0"/>
    <cellStyle name="Accent2 58" xfId="0"/>
    <cellStyle name="Accent2 58 2" xfId="0"/>
    <cellStyle name="Accent2 59" xfId="0"/>
    <cellStyle name="Accent2 59 2" xfId="0"/>
    <cellStyle name="Accent2 6" xfId="0"/>
    <cellStyle name="Accent2 6 2" xfId="0"/>
    <cellStyle name="Accent2 6 3" xfId="0"/>
    <cellStyle name="Accent2 6 4" xfId="0"/>
    <cellStyle name="Accent2 60" xfId="0"/>
    <cellStyle name="Accent2 60 2" xfId="0"/>
    <cellStyle name="Accent2 61" xfId="0"/>
    <cellStyle name="Accent2 61 2" xfId="0"/>
    <cellStyle name="Accent2 62" xfId="0"/>
    <cellStyle name="Accent2 62 2" xfId="0"/>
    <cellStyle name="Accent2 63" xfId="0"/>
    <cellStyle name="Accent2 63 2" xfId="0"/>
    <cellStyle name="Accent2 64" xfId="0"/>
    <cellStyle name="Accent2 64 2" xfId="0"/>
    <cellStyle name="Accent2 65" xfId="0"/>
    <cellStyle name="Accent2 65 2" xfId="0"/>
    <cellStyle name="Accent2 66" xfId="0"/>
    <cellStyle name="Accent2 66 2" xfId="0"/>
    <cellStyle name="Accent2 67" xfId="0"/>
    <cellStyle name="Accent2 67 2" xfId="0"/>
    <cellStyle name="Accent2 68" xfId="0"/>
    <cellStyle name="Accent2 68 2" xfId="0"/>
    <cellStyle name="Accent2 69" xfId="0"/>
    <cellStyle name="Accent2 69 2" xfId="0"/>
    <cellStyle name="Accent2 7" xfId="0"/>
    <cellStyle name="Accent2 7 2" xfId="0"/>
    <cellStyle name="Accent2 7 3" xfId="0"/>
    <cellStyle name="Accent2 7 4" xfId="0"/>
    <cellStyle name="Accent2 70" xfId="0"/>
    <cellStyle name="Accent2 70 2" xfId="0"/>
    <cellStyle name="Accent2 71" xfId="0"/>
    <cellStyle name="Accent2 71 2" xfId="0"/>
    <cellStyle name="Accent2 72" xfId="0"/>
    <cellStyle name="Accent2 72 2" xfId="0"/>
    <cellStyle name="Accent2 73" xfId="0"/>
    <cellStyle name="Accent2 74" xfId="0"/>
    <cellStyle name="Accent2 75" xfId="0"/>
    <cellStyle name="Accent2 76" xfId="0"/>
    <cellStyle name="Accent2 77" xfId="0"/>
    <cellStyle name="Accent2 78" xfId="0"/>
    <cellStyle name="Accent2 79" xfId="0"/>
    <cellStyle name="Accent2 8" xfId="0"/>
    <cellStyle name="Accent2 8 2" xfId="0"/>
    <cellStyle name="Accent2 8 3" xfId="0"/>
    <cellStyle name="Accent2 8 4" xfId="0"/>
    <cellStyle name="Accent2 80" xfId="0"/>
    <cellStyle name="Accent2 81" xfId="0"/>
    <cellStyle name="Accent2 82" xfId="0"/>
    <cellStyle name="Accent2 83" xfId="0"/>
    <cellStyle name="Accent2 84" xfId="0"/>
    <cellStyle name="Accent2 85" xfId="0"/>
    <cellStyle name="Accent2 86" xfId="0"/>
    <cellStyle name="Accent2 87" xfId="0"/>
    <cellStyle name="Accent2 88" xfId="0"/>
    <cellStyle name="Accent2 89" xfId="0"/>
    <cellStyle name="Accent2 9" xfId="0"/>
    <cellStyle name="Accent2 9 2" xfId="0"/>
    <cellStyle name="Accent2 9 2 2" xfId="0"/>
    <cellStyle name="Accent2 9 3" xfId="0"/>
    <cellStyle name="Accent2 9 4" xfId="0"/>
    <cellStyle name="Accent2 90" xfId="0"/>
    <cellStyle name="Accent2 91" xfId="0"/>
    <cellStyle name="Accent2 92" xfId="0"/>
    <cellStyle name="Accent2 93" xfId="0"/>
    <cellStyle name="Accent2 94" xfId="0"/>
    <cellStyle name="Accent2 95" xfId="0"/>
    <cellStyle name="Accent2 96" xfId="0"/>
    <cellStyle name="Accent2 97" xfId="0"/>
    <cellStyle name="Accent2 98" xfId="0"/>
    <cellStyle name="Accent2 99" xfId="0"/>
    <cellStyle name="Accent2_13-wk VSA_Revised" xfId="0"/>
    <cellStyle name="Accent3" xfId="0"/>
    <cellStyle name="Accent3 - 20%" xfId="0"/>
    <cellStyle name="Accent3 - 20% 2" xfId="0"/>
    <cellStyle name="Accent3 - 20% 2 2" xfId="0"/>
    <cellStyle name="Accent3 - 20% 2 2 2" xfId="0"/>
    <cellStyle name="Accent3 - 20% 2_Market Fresh Cost" xfId="0"/>
    <cellStyle name="Accent3 - 20% 3" xfId="0"/>
    <cellStyle name="Accent3 - 20% 3 2" xfId="0"/>
    <cellStyle name="Accent3 - 20% 4" xfId="0"/>
    <cellStyle name="Accent3 - 20% 4 2" xfId="0"/>
    <cellStyle name="Accent3 - 20% 5" xfId="0"/>
    <cellStyle name="Accent3 - 20% 6" xfId="0"/>
    <cellStyle name="Accent3 - 20% 7" xfId="0"/>
    <cellStyle name="Accent3 - 20%_Market Fresh Cost" xfId="0"/>
    <cellStyle name="Accent3 - 40%" xfId="0"/>
    <cellStyle name="Accent3 - 40% 2" xfId="0"/>
    <cellStyle name="Accent3 - 40% 2 2" xfId="0"/>
    <cellStyle name="Accent3 - 40% 2_Market Fresh Cost" xfId="0"/>
    <cellStyle name="Accent3 - 40% 3" xfId="0"/>
    <cellStyle name="Accent3 - 40% 3 2" xfId="0"/>
    <cellStyle name="Accent3 - 40% 4" xfId="0"/>
    <cellStyle name="Accent3 - 40% 5" xfId="0"/>
    <cellStyle name="Accent3 - 40% 6" xfId="0"/>
    <cellStyle name="Accent3 - 40% 7" xfId="0"/>
    <cellStyle name="Accent3 - 40%_Market Fresh Cost" xfId="0"/>
    <cellStyle name="Accent3 - 60%" xfId="0"/>
    <cellStyle name="Accent3 - 60% 2" xfId="0"/>
    <cellStyle name="Accent3 - 60% 2 2" xfId="0"/>
    <cellStyle name="Accent3 - 60% 2_Market Fresh Cost" xfId="0"/>
    <cellStyle name="Accent3 - 60% 3" xfId="0"/>
    <cellStyle name="Accent3 - 60% 3 2" xfId="0"/>
    <cellStyle name="Accent3 - 60% 4" xfId="0"/>
    <cellStyle name="Accent3 - 60% 5" xfId="0"/>
    <cellStyle name="Accent3 - 60% 6" xfId="0"/>
    <cellStyle name="Accent3 - 60% 7" xfId="0"/>
    <cellStyle name="Accent3 - 60% 8" xfId="0"/>
    <cellStyle name="Accent3 - 60%_LCD" xfId="0"/>
    <cellStyle name="Accent3 10" xfId="0"/>
    <cellStyle name="Accent3 10 2" xfId="0"/>
    <cellStyle name="Accent3 10 2 2" xfId="0"/>
    <cellStyle name="Accent3 10 3" xfId="0"/>
    <cellStyle name="Accent3 10 4" xfId="0"/>
    <cellStyle name="Accent3 100" xfId="0"/>
    <cellStyle name="Accent3 101" xfId="0"/>
    <cellStyle name="Accent3 102" xfId="0"/>
    <cellStyle name="Accent3 103" xfId="0"/>
    <cellStyle name="Accent3 104" xfId="0"/>
    <cellStyle name="Accent3 105" xfId="0"/>
    <cellStyle name="Accent3 106" xfId="0"/>
    <cellStyle name="Accent3 107" xfId="0"/>
    <cellStyle name="Accent3 108" xfId="0"/>
    <cellStyle name="Accent3 109" xfId="0"/>
    <cellStyle name="Accent3 11" xfId="0"/>
    <cellStyle name="Accent3 11 2" xfId="0"/>
    <cellStyle name="Accent3 11 2 2" xfId="0"/>
    <cellStyle name="Accent3 11 3" xfId="0"/>
    <cellStyle name="Accent3 11 4" xfId="0"/>
    <cellStyle name="Accent3 110" xfId="0"/>
    <cellStyle name="Accent3 111" xfId="0"/>
    <cellStyle name="Accent3 112" xfId="0"/>
    <cellStyle name="Accent3 113" xfId="0"/>
    <cellStyle name="Accent3 114" xfId="0"/>
    <cellStyle name="Accent3 115" xfId="0"/>
    <cellStyle name="Accent3 116" xfId="0"/>
    <cellStyle name="Accent3 117" xfId="0"/>
    <cellStyle name="Accent3 118" xfId="0"/>
    <cellStyle name="Accent3 119" xfId="0"/>
    <cellStyle name="Accent3 12" xfId="0"/>
    <cellStyle name="Accent3 12 2" xfId="0"/>
    <cellStyle name="Accent3 12 2 2" xfId="0"/>
    <cellStyle name="Accent3 12 3" xfId="0"/>
    <cellStyle name="Accent3 12 4" xfId="0"/>
    <cellStyle name="Accent3 120" xfId="0"/>
    <cellStyle name="Accent3 121" xfId="0"/>
    <cellStyle name="Accent3 122" xfId="0"/>
    <cellStyle name="Accent3 123" xfId="0"/>
    <cellStyle name="Accent3 124" xfId="0"/>
    <cellStyle name="Accent3 125" xfId="0"/>
    <cellStyle name="Accent3 126" xfId="0"/>
    <cellStyle name="Accent3 127" xfId="0"/>
    <cellStyle name="Accent3 128" xfId="0"/>
    <cellStyle name="Accent3 129" xfId="0"/>
    <cellStyle name="Accent3 13" xfId="0"/>
    <cellStyle name="Accent3 13 2" xfId="0"/>
    <cellStyle name="Accent3 13 2 2" xfId="0"/>
    <cellStyle name="Accent3 13 3" xfId="0"/>
    <cellStyle name="Accent3 13 4" xfId="0"/>
    <cellStyle name="Accent3 130" xfId="0"/>
    <cellStyle name="Accent3 131" xfId="0"/>
    <cellStyle name="Accent3 132" xfId="0"/>
    <cellStyle name="Accent3 133" xfId="0"/>
    <cellStyle name="Accent3 134" xfId="0"/>
    <cellStyle name="Accent3 135" xfId="0"/>
    <cellStyle name="Accent3 136" xfId="0"/>
    <cellStyle name="Accent3 137" xfId="0"/>
    <cellStyle name="Accent3 138" xfId="0"/>
    <cellStyle name="Accent3 139" xfId="0"/>
    <cellStyle name="Accent3 14" xfId="0"/>
    <cellStyle name="Accent3 14 2" xfId="0"/>
    <cellStyle name="Accent3 14 2 2" xfId="0"/>
    <cellStyle name="Accent3 14 3" xfId="0"/>
    <cellStyle name="Accent3 14 4" xfId="0"/>
    <cellStyle name="Accent3 140" xfId="0"/>
    <cellStyle name="Accent3 141" xfId="0"/>
    <cellStyle name="Accent3 142" xfId="0"/>
    <cellStyle name="Accent3 143" xfId="0"/>
    <cellStyle name="Accent3 144" xfId="0"/>
    <cellStyle name="Accent3 145" xfId="0"/>
    <cellStyle name="Accent3 146" xfId="0"/>
    <cellStyle name="Accent3 147" xfId="0"/>
    <cellStyle name="Accent3 148" xfId="0"/>
    <cellStyle name="Accent3 149" xfId="0"/>
    <cellStyle name="Accent3 15" xfId="0"/>
    <cellStyle name="Accent3 15 2" xfId="0"/>
    <cellStyle name="Accent3 15 2 2" xfId="0"/>
    <cellStyle name="Accent3 15 3" xfId="0"/>
    <cellStyle name="Accent3 15 4" xfId="0"/>
    <cellStyle name="Accent3 150" xfId="0"/>
    <cellStyle name="Accent3 151" xfId="0"/>
    <cellStyle name="Accent3 152" xfId="0"/>
    <cellStyle name="Accent3 153" xfId="0"/>
    <cellStyle name="Accent3 154" xfId="0"/>
    <cellStyle name="Accent3 155" xfId="0"/>
    <cellStyle name="Accent3 156" xfId="0"/>
    <cellStyle name="Accent3 157" xfId="0"/>
    <cellStyle name="Accent3 158" xfId="0"/>
    <cellStyle name="Accent3 159" xfId="0"/>
    <cellStyle name="Accent3 16" xfId="0"/>
    <cellStyle name="Accent3 16 2" xfId="0"/>
    <cellStyle name="Accent3 16 2 2" xfId="0"/>
    <cellStyle name="Accent3 16 3" xfId="0"/>
    <cellStyle name="Accent3 16 4" xfId="0"/>
    <cellStyle name="Accent3 160" xfId="0"/>
    <cellStyle name="Accent3 161" xfId="0"/>
    <cellStyle name="Accent3 162" xfId="0"/>
    <cellStyle name="Accent3 163" xfId="0"/>
    <cellStyle name="Accent3 164" xfId="0"/>
    <cellStyle name="Accent3 165" xfId="0"/>
    <cellStyle name="Accent3 166" xfId="0"/>
    <cellStyle name="Accent3 167" xfId="0"/>
    <cellStyle name="Accent3 168" xfId="0"/>
    <cellStyle name="Accent3 169" xfId="0"/>
    <cellStyle name="Accent3 17" xfId="0"/>
    <cellStyle name="Accent3 17 2" xfId="0"/>
    <cellStyle name="Accent3 17 2 2" xfId="0"/>
    <cellStyle name="Accent3 17 3" xfId="0"/>
    <cellStyle name="Accent3 17 4" xfId="0"/>
    <cellStyle name="Accent3 170" xfId="0"/>
    <cellStyle name="Accent3 171" xfId="0"/>
    <cellStyle name="Accent3 172" xfId="0"/>
    <cellStyle name="Accent3 173" xfId="0"/>
    <cellStyle name="Accent3 174" xfId="0"/>
    <cellStyle name="Accent3 175" xfId="0"/>
    <cellStyle name="Accent3 176" xfId="0"/>
    <cellStyle name="Accent3 177" xfId="0"/>
    <cellStyle name="Accent3 178" xfId="0"/>
    <cellStyle name="Accent3 179" xfId="0"/>
    <cellStyle name="Accent3 18" xfId="0"/>
    <cellStyle name="Accent3 18 2" xfId="0"/>
    <cellStyle name="Accent3 18 2 2" xfId="0"/>
    <cellStyle name="Accent3 18 3" xfId="0"/>
    <cellStyle name="Accent3 18 4" xfId="0"/>
    <cellStyle name="Accent3 180" xfId="0"/>
    <cellStyle name="Accent3 181" xfId="0"/>
    <cellStyle name="Accent3 182" xfId="0"/>
    <cellStyle name="Accent3 183" xfId="0"/>
    <cellStyle name="Accent3 184" xfId="0"/>
    <cellStyle name="Accent3 185" xfId="0"/>
    <cellStyle name="Accent3 186" xfId="0"/>
    <cellStyle name="Accent3 187" xfId="0"/>
    <cellStyle name="Accent3 188" xfId="0"/>
    <cellStyle name="Accent3 189" xfId="0"/>
    <cellStyle name="Accent3 19" xfId="0"/>
    <cellStyle name="Accent3 19 2" xfId="0"/>
    <cellStyle name="Accent3 19 2 2" xfId="0"/>
    <cellStyle name="Accent3 19 3" xfId="0"/>
    <cellStyle name="Accent3 19 4" xfId="0"/>
    <cellStyle name="Accent3 190" xfId="0"/>
    <cellStyle name="Accent3 191" xfId="0"/>
    <cellStyle name="Accent3 192" xfId="0"/>
    <cellStyle name="Accent3 193" xfId="0"/>
    <cellStyle name="Accent3 194" xfId="0"/>
    <cellStyle name="Accent3 195" xfId="0"/>
    <cellStyle name="Accent3 196" xfId="0"/>
    <cellStyle name="Accent3 197" xfId="0"/>
    <cellStyle name="Accent3 198" xfId="0"/>
    <cellStyle name="Accent3 199" xfId="0"/>
    <cellStyle name="Accent3 2" xfId="0"/>
    <cellStyle name="Accent3 2 2" xfId="0"/>
    <cellStyle name="Accent3 2 2 2" xfId="0"/>
    <cellStyle name="Accent3 2 2 2 2" xfId="0"/>
    <cellStyle name="Accent3 2 2 3" xfId="0"/>
    <cellStyle name="Accent3 2 3" xfId="0"/>
    <cellStyle name="Accent3 2 3 2" xfId="0"/>
    <cellStyle name="Accent3 2 3 3" xfId="0"/>
    <cellStyle name="Accent3 2 4" xfId="0"/>
    <cellStyle name="Accent3 2 4 2" xfId="0"/>
    <cellStyle name="Accent3 2 5" xfId="0"/>
    <cellStyle name="Accent3 2 5 2" xfId="0"/>
    <cellStyle name="Accent3 2 6" xfId="0"/>
    <cellStyle name="Accent3 2 7" xfId="0"/>
    <cellStyle name="Accent3 2 8" xfId="0"/>
    <cellStyle name="Accent3 20" xfId="0"/>
    <cellStyle name="Accent3 20 2" xfId="0"/>
    <cellStyle name="Accent3 20 2 2" xfId="0"/>
    <cellStyle name="Accent3 20 3" xfId="0"/>
    <cellStyle name="Accent3 20 4" xfId="0"/>
    <cellStyle name="Accent3 200" xfId="0"/>
    <cellStyle name="Accent3 201" xfId="0"/>
    <cellStyle name="Accent3 202" xfId="0"/>
    <cellStyle name="Accent3 203" xfId="0"/>
    <cellStyle name="Accent3 204" xfId="0"/>
    <cellStyle name="Accent3 205" xfId="0"/>
    <cellStyle name="Accent3 206" xfId="0"/>
    <cellStyle name="Accent3 207" xfId="0"/>
    <cellStyle name="Accent3 208" xfId="0"/>
    <cellStyle name="Accent3 209" xfId="0"/>
    <cellStyle name="Accent3 21" xfId="0"/>
    <cellStyle name="Accent3 21 2" xfId="0"/>
    <cellStyle name="Accent3 21 2 2" xfId="0"/>
    <cellStyle name="Accent3 21 3" xfId="0"/>
    <cellStyle name="Accent3 210" xfId="0"/>
    <cellStyle name="Accent3 211" xfId="0"/>
    <cellStyle name="Accent3 212" xfId="0"/>
    <cellStyle name="Accent3 213" xfId="0"/>
    <cellStyle name="Accent3 214" xfId="0"/>
    <cellStyle name="Accent3 215" xfId="0"/>
    <cellStyle name="Accent3 216" xfId="0"/>
    <cellStyle name="Accent3 217" xfId="0"/>
    <cellStyle name="Accent3 218" xfId="0"/>
    <cellStyle name="Accent3 219" xfId="0"/>
    <cellStyle name="Accent3 22" xfId="0"/>
    <cellStyle name="Accent3 22 2" xfId="0"/>
    <cellStyle name="Accent3 22 2 2" xfId="0"/>
    <cellStyle name="Accent3 22 3" xfId="0"/>
    <cellStyle name="Accent3 220" xfId="0"/>
    <cellStyle name="Accent3 221" xfId="0"/>
    <cellStyle name="Accent3 222" xfId="0"/>
    <cellStyle name="Accent3 223" xfId="0"/>
    <cellStyle name="Accent3 224" xfId="0"/>
    <cellStyle name="Accent3 225" xfId="0"/>
    <cellStyle name="Accent3 226" xfId="0"/>
    <cellStyle name="Accent3 227" xfId="0"/>
    <cellStyle name="Accent3 228" xfId="0"/>
    <cellStyle name="Accent3 229" xfId="0"/>
    <cellStyle name="Accent3 23" xfId="0"/>
    <cellStyle name="Accent3 23 2" xfId="0"/>
    <cellStyle name="Accent3 23 2 2" xfId="0"/>
    <cellStyle name="Accent3 23 3" xfId="0"/>
    <cellStyle name="Accent3 230" xfId="0"/>
    <cellStyle name="Accent3 231" xfId="0"/>
    <cellStyle name="Accent3 232" xfId="0"/>
    <cellStyle name="Accent3 233" xfId="0"/>
    <cellStyle name="Accent3 234" xfId="0"/>
    <cellStyle name="Accent3 235" xfId="0"/>
    <cellStyle name="Accent3 236" xfId="0"/>
    <cellStyle name="Accent3 237" xfId="0"/>
    <cellStyle name="Accent3 238" xfId="0"/>
    <cellStyle name="Accent3 239" xfId="0"/>
    <cellStyle name="Accent3 24" xfId="0"/>
    <cellStyle name="Accent3 24 2" xfId="0"/>
    <cellStyle name="Accent3 24 2 2" xfId="0"/>
    <cellStyle name="Accent3 240" xfId="0"/>
    <cellStyle name="Accent3 241" xfId="0"/>
    <cellStyle name="Accent3 242" xfId="0"/>
    <cellStyle name="Accent3 243" xfId="0"/>
    <cellStyle name="Accent3 244" xfId="0"/>
    <cellStyle name="Accent3 245" xfId="0"/>
    <cellStyle name="Accent3 246" xfId="0"/>
    <cellStyle name="Accent3 247" xfId="0"/>
    <cellStyle name="Accent3 248" xfId="0"/>
    <cellStyle name="Accent3 249" xfId="0"/>
    <cellStyle name="Accent3 25" xfId="0"/>
    <cellStyle name="Accent3 25 2" xfId="0"/>
    <cellStyle name="Accent3 25 2 2" xfId="0"/>
    <cellStyle name="Accent3 250" xfId="0"/>
    <cellStyle name="Accent3 251" xfId="0"/>
    <cellStyle name="Accent3 252" xfId="0"/>
    <cellStyle name="Accent3 253" xfId="0"/>
    <cellStyle name="Accent3 254" xfId="0"/>
    <cellStyle name="Accent3 255" xfId="0"/>
    <cellStyle name="Accent3 256" xfId="0"/>
    <cellStyle name="Accent3 257" xfId="0"/>
    <cellStyle name="Accent3 258" xfId="0"/>
    <cellStyle name="Accent3 259" xfId="0"/>
    <cellStyle name="Accent3 26" xfId="0"/>
    <cellStyle name="Accent3 26 2" xfId="0"/>
    <cellStyle name="Accent3 26 2 2" xfId="0"/>
    <cellStyle name="Accent3 26 3" xfId="0"/>
    <cellStyle name="Accent3 260" xfId="0"/>
    <cellStyle name="Accent3 261" xfId="0"/>
    <cellStyle name="Accent3 262" xfId="0"/>
    <cellStyle name="Accent3 263" xfId="0"/>
    <cellStyle name="Accent3 264" xfId="0"/>
    <cellStyle name="Accent3 265" xfId="0"/>
    <cellStyle name="Accent3 266" xfId="0"/>
    <cellStyle name="Accent3 267" xfId="0"/>
    <cellStyle name="Accent3 268" xfId="0"/>
    <cellStyle name="Accent3 269" xfId="0"/>
    <cellStyle name="Accent3 27" xfId="0"/>
    <cellStyle name="Accent3 27 2" xfId="0"/>
    <cellStyle name="Accent3 27 2 2" xfId="0"/>
    <cellStyle name="Accent3 27 3" xfId="0"/>
    <cellStyle name="Accent3 270" xfId="0"/>
    <cellStyle name="Accent3 271" xfId="0"/>
    <cellStyle name="Accent3 272" xfId="0"/>
    <cellStyle name="Accent3 273" xfId="0"/>
    <cellStyle name="Accent3 274" xfId="0"/>
    <cellStyle name="Accent3 275" xfId="0"/>
    <cellStyle name="Accent3 28" xfId="0"/>
    <cellStyle name="Accent3 28 2" xfId="0"/>
    <cellStyle name="Accent3 28 2 2" xfId="0"/>
    <cellStyle name="Accent3 28 3" xfId="0"/>
    <cellStyle name="Accent3 29" xfId="0"/>
    <cellStyle name="Accent3 29 2" xfId="0"/>
    <cellStyle name="Accent3 29 2 2" xfId="0"/>
    <cellStyle name="Accent3 29 3" xfId="0"/>
    <cellStyle name="Accent3 2_Market Fresh Cost" xfId="0"/>
    <cellStyle name="Accent3 3" xfId="0"/>
    <cellStyle name="Accent3 3 2" xfId="0"/>
    <cellStyle name="Accent3 3 2 2" xfId="0"/>
    <cellStyle name="Accent3 3 2 3" xfId="0"/>
    <cellStyle name="Accent3 3 3" xfId="0"/>
    <cellStyle name="Accent3 3 3 2" xfId="0"/>
    <cellStyle name="Accent3 3 3 3" xfId="0"/>
    <cellStyle name="Accent3 3 4" xfId="0"/>
    <cellStyle name="Accent3 3 4 2" xfId="0"/>
    <cellStyle name="Accent3 3 5" xfId="0"/>
    <cellStyle name="Accent3 3 5 2" xfId="0"/>
    <cellStyle name="Accent3 3 6" xfId="0"/>
    <cellStyle name="Accent3 3 7" xfId="0"/>
    <cellStyle name="Accent3 3 8" xfId="0"/>
    <cellStyle name="Accent3 30" xfId="0"/>
    <cellStyle name="Accent3 30 2" xfId="0"/>
    <cellStyle name="Accent3 30 2 2" xfId="0"/>
    <cellStyle name="Accent3 30 3" xfId="0"/>
    <cellStyle name="Accent3 31" xfId="0"/>
    <cellStyle name="Accent3 31 2" xfId="0"/>
    <cellStyle name="Accent3 31 2 2" xfId="0"/>
    <cellStyle name="Accent3 31 3" xfId="0"/>
    <cellStyle name="Accent3 32" xfId="0"/>
    <cellStyle name="Accent3 32 2" xfId="0"/>
    <cellStyle name="Accent3 32 2 2" xfId="0"/>
    <cellStyle name="Accent3 32 3" xfId="0"/>
    <cellStyle name="Accent3 33" xfId="0"/>
    <cellStyle name="Accent3 33 2" xfId="0"/>
    <cellStyle name="Accent3 33 2 2" xfId="0"/>
    <cellStyle name="Accent3 33 3" xfId="0"/>
    <cellStyle name="Accent3 34" xfId="0"/>
    <cellStyle name="Accent3 34 2" xfId="0"/>
    <cellStyle name="Accent3 34 2 2" xfId="0"/>
    <cellStyle name="Accent3 34 3" xfId="0"/>
    <cellStyle name="Accent3 35" xfId="0"/>
    <cellStyle name="Accent3 35 2" xfId="0"/>
    <cellStyle name="Accent3 35 2 2" xfId="0"/>
    <cellStyle name="Accent3 35 3" xfId="0"/>
    <cellStyle name="Accent3 36" xfId="0"/>
    <cellStyle name="Accent3 36 2" xfId="0"/>
    <cellStyle name="Accent3 36 3" xfId="0"/>
    <cellStyle name="Accent3 37" xfId="0"/>
    <cellStyle name="Accent3 37 2" xfId="0"/>
    <cellStyle name="Accent3 37 3" xfId="0"/>
    <cellStyle name="Accent3 38" xfId="0"/>
    <cellStyle name="Accent3 38 2" xfId="0"/>
    <cellStyle name="Accent3 38 3" xfId="0"/>
    <cellStyle name="Accent3 39" xfId="0"/>
    <cellStyle name="Accent3 39 2" xfId="0"/>
    <cellStyle name="Accent3 39 3" xfId="0"/>
    <cellStyle name="Accent3 3_Profitability Detail NT$ Sep-12" xfId="0"/>
    <cellStyle name="Accent3 4" xfId="0"/>
    <cellStyle name="Accent3 4 2" xfId="0"/>
    <cellStyle name="Accent3 4 2 2" xfId="0"/>
    <cellStyle name="Accent3 4 2 3" xfId="0"/>
    <cellStyle name="Accent3 4 3" xfId="0"/>
    <cellStyle name="Accent3 4 3 2" xfId="0"/>
    <cellStyle name="Accent3 4 3 3" xfId="0"/>
    <cellStyle name="Accent3 4 4" xfId="0"/>
    <cellStyle name="Accent3 4 4 2" xfId="0"/>
    <cellStyle name="Accent3 4 5" xfId="0"/>
    <cellStyle name="Accent3 4 5 2" xfId="0"/>
    <cellStyle name="Accent3 4 6" xfId="0"/>
    <cellStyle name="Accent3 4 7" xfId="0"/>
    <cellStyle name="Accent3 4 8" xfId="0"/>
    <cellStyle name="Accent3 40" xfId="0"/>
    <cellStyle name="Accent3 40 2" xfId="0"/>
    <cellStyle name="Accent3 40 3" xfId="0"/>
    <cellStyle name="Accent3 41" xfId="0"/>
    <cellStyle name="Accent3 41 2" xfId="0"/>
    <cellStyle name="Accent3 41 3" xfId="0"/>
    <cellStyle name="Accent3 42" xfId="0"/>
    <cellStyle name="Accent3 42 2" xfId="0"/>
    <cellStyle name="Accent3 42 3" xfId="0"/>
    <cellStyle name="Accent3 43" xfId="0"/>
    <cellStyle name="Accent3 43 2" xfId="0"/>
    <cellStyle name="Accent3 43 3" xfId="0"/>
    <cellStyle name="Accent3 44" xfId="0"/>
    <cellStyle name="Accent3 44 2" xfId="0"/>
    <cellStyle name="Accent3 45" xfId="0"/>
    <cellStyle name="Accent3 45 2" xfId="0"/>
    <cellStyle name="Accent3 46" xfId="0"/>
    <cellStyle name="Accent3 46 2" xfId="0"/>
    <cellStyle name="Accent3 47" xfId="0"/>
    <cellStyle name="Accent3 47 2" xfId="0"/>
    <cellStyle name="Accent3 48" xfId="0"/>
    <cellStyle name="Accent3 48 2" xfId="0"/>
    <cellStyle name="Accent3 49" xfId="0"/>
    <cellStyle name="Accent3 49 2" xfId="0"/>
    <cellStyle name="Accent3 4_Profitability Detail NT$ Sep-12" xfId="0"/>
    <cellStyle name="Accent3 5" xfId="0"/>
    <cellStyle name="Accent3 5 2" xfId="0"/>
    <cellStyle name="Accent3 5 3" xfId="0"/>
    <cellStyle name="Accent3 5 4" xfId="0"/>
    <cellStyle name="Accent3 50" xfId="0"/>
    <cellStyle name="Accent3 50 2" xfId="0"/>
    <cellStyle name="Accent3 51" xfId="0"/>
    <cellStyle name="Accent3 51 2" xfId="0"/>
    <cellStyle name="Accent3 52" xfId="0"/>
    <cellStyle name="Accent3 52 2" xfId="0"/>
    <cellStyle name="Accent3 53" xfId="0"/>
    <cellStyle name="Accent3 53 2" xfId="0"/>
    <cellStyle name="Accent3 54" xfId="0"/>
    <cellStyle name="Accent3 54 2" xfId="0"/>
    <cellStyle name="Accent3 55" xfId="0"/>
    <cellStyle name="Accent3 56" xfId="0"/>
    <cellStyle name="Accent3 56 2" xfId="0"/>
    <cellStyle name="Accent3 57" xfId="0"/>
    <cellStyle name="Accent3 57 2" xfId="0"/>
    <cellStyle name="Accent3 58" xfId="0"/>
    <cellStyle name="Accent3 58 2" xfId="0"/>
    <cellStyle name="Accent3 59" xfId="0"/>
    <cellStyle name="Accent3 59 2" xfId="0"/>
    <cellStyle name="Accent3 6" xfId="0"/>
    <cellStyle name="Accent3 6 2" xfId="0"/>
    <cellStyle name="Accent3 6 3" xfId="0"/>
    <cellStyle name="Accent3 6 4" xfId="0"/>
    <cellStyle name="Accent3 60" xfId="0"/>
    <cellStyle name="Accent3 60 2" xfId="0"/>
    <cellStyle name="Accent3 61" xfId="0"/>
    <cellStyle name="Accent3 61 2" xfId="0"/>
    <cellStyle name="Accent3 62" xfId="0"/>
    <cellStyle name="Accent3 62 2" xfId="0"/>
    <cellStyle name="Accent3 63" xfId="0"/>
    <cellStyle name="Accent3 63 2" xfId="0"/>
    <cellStyle name="Accent3 64" xfId="0"/>
    <cellStyle name="Accent3 64 2" xfId="0"/>
    <cellStyle name="Accent3 65" xfId="0"/>
    <cellStyle name="Accent3 65 2" xfId="0"/>
    <cellStyle name="Accent3 66" xfId="0"/>
    <cellStyle name="Accent3 66 2" xfId="0"/>
    <cellStyle name="Accent3 67" xfId="0"/>
    <cellStyle name="Accent3 67 2" xfId="0"/>
    <cellStyle name="Accent3 68" xfId="0"/>
    <cellStyle name="Accent3 68 2" xfId="0"/>
    <cellStyle name="Accent3 69" xfId="0"/>
    <cellStyle name="Accent3 69 2" xfId="0"/>
    <cellStyle name="Accent3 7" xfId="0"/>
    <cellStyle name="Accent3 7 2" xfId="0"/>
    <cellStyle name="Accent3 7 3" xfId="0"/>
    <cellStyle name="Accent3 7 4" xfId="0"/>
    <cellStyle name="Accent3 70" xfId="0"/>
    <cellStyle name="Accent3 70 2" xfId="0"/>
    <cellStyle name="Accent3 71" xfId="0"/>
    <cellStyle name="Accent3 71 2" xfId="0"/>
    <cellStyle name="Accent3 72" xfId="0"/>
    <cellStyle name="Accent3 72 2" xfId="0"/>
    <cellStyle name="Accent3 73" xfId="0"/>
    <cellStyle name="Accent3 74" xfId="0"/>
    <cellStyle name="Accent3 75" xfId="0"/>
    <cellStyle name="Accent3 76" xfId="0"/>
    <cellStyle name="Accent3 77" xfId="0"/>
    <cellStyle name="Accent3 78" xfId="0"/>
    <cellStyle name="Accent3 79" xfId="0"/>
    <cellStyle name="Accent3 8" xfId="0"/>
    <cellStyle name="Accent3 8 2" xfId="0"/>
    <cellStyle name="Accent3 8 3" xfId="0"/>
    <cellStyle name="Accent3 8 4" xfId="0"/>
    <cellStyle name="Accent3 80" xfId="0"/>
    <cellStyle name="Accent3 81" xfId="0"/>
    <cellStyle name="Accent3 82" xfId="0"/>
    <cellStyle name="Accent3 83" xfId="0"/>
    <cellStyle name="Accent3 84" xfId="0"/>
    <cellStyle name="Accent3 85" xfId="0"/>
    <cellStyle name="Accent3 86" xfId="0"/>
    <cellStyle name="Accent3 87" xfId="0"/>
    <cellStyle name="Accent3 88" xfId="0"/>
    <cellStyle name="Accent3 89" xfId="0"/>
    <cellStyle name="Accent3 9" xfId="0"/>
    <cellStyle name="Accent3 9 2" xfId="0"/>
    <cellStyle name="Accent3 9 2 2" xfId="0"/>
    <cellStyle name="Accent3 9 3" xfId="0"/>
    <cellStyle name="Accent3 9 4" xfId="0"/>
    <cellStyle name="Accent3 90" xfId="0"/>
    <cellStyle name="Accent3 91" xfId="0"/>
    <cellStyle name="Accent3 92" xfId="0"/>
    <cellStyle name="Accent3 93" xfId="0"/>
    <cellStyle name="Accent3 94" xfId="0"/>
    <cellStyle name="Accent3 95" xfId="0"/>
    <cellStyle name="Accent3 96" xfId="0"/>
    <cellStyle name="Accent3 97" xfId="0"/>
    <cellStyle name="Accent3 98" xfId="0"/>
    <cellStyle name="Accent3 99" xfId="0"/>
    <cellStyle name="Accent3_13-wk VSA_Revised" xfId="0"/>
    <cellStyle name="Accent4" xfId="0"/>
    <cellStyle name="Accent4 - 20%" xfId="0"/>
    <cellStyle name="Accent4 - 20% 2" xfId="0"/>
    <cellStyle name="Accent4 - 20% 2 2" xfId="0"/>
    <cellStyle name="Accent4 - 20% 2 2 2" xfId="0"/>
    <cellStyle name="Accent4 - 20% 2_Market Fresh Cost" xfId="0"/>
    <cellStyle name="Accent4 - 20% 3" xfId="0"/>
    <cellStyle name="Accent4 - 20% 3 2" xfId="0"/>
    <cellStyle name="Accent4 - 20% 4" xfId="0"/>
    <cellStyle name="Accent4 - 20% 4 2" xfId="0"/>
    <cellStyle name="Accent4 - 20% 5" xfId="0"/>
    <cellStyle name="Accent4 - 20% 6" xfId="0"/>
    <cellStyle name="Accent4 - 20% 7" xfId="0"/>
    <cellStyle name="Accent4 - 20%_Market Fresh Cost" xfId="0"/>
    <cellStyle name="Accent4 - 40%" xfId="0"/>
    <cellStyle name="Accent4 - 40% 2" xfId="0"/>
    <cellStyle name="Accent4 - 40% 2 2" xfId="0"/>
    <cellStyle name="Accent4 - 40% 2_Market Fresh Cost" xfId="0"/>
    <cellStyle name="Accent4 - 40% 3" xfId="0"/>
    <cellStyle name="Accent4 - 40% 3 2" xfId="0"/>
    <cellStyle name="Accent4 - 40% 4" xfId="0"/>
    <cellStyle name="Accent4 - 40% 5" xfId="0"/>
    <cellStyle name="Accent4 - 40% 6" xfId="0"/>
    <cellStyle name="Accent4 - 40% 7" xfId="0"/>
    <cellStyle name="Accent4 - 40%_Market Fresh Cost" xfId="0"/>
    <cellStyle name="Accent4 - 60%" xfId="0"/>
    <cellStyle name="Accent4 - 60% 2" xfId="0"/>
    <cellStyle name="Accent4 - 60% 2 2" xfId="0"/>
    <cellStyle name="Accent4 - 60% 2 2 2" xfId="0"/>
    <cellStyle name="Accent4 - 60% 2 3" xfId="0"/>
    <cellStyle name="Accent4 - 60% 2_Market Fresh Cost" xfId="0"/>
    <cellStyle name="Accent4 - 60% 3" xfId="0"/>
    <cellStyle name="Accent4 - 60% 3 2" xfId="0"/>
    <cellStyle name="Accent4 - 60% 3 3" xfId="0"/>
    <cellStyle name="Accent4 - 60% 4" xfId="0"/>
    <cellStyle name="Accent4 - 60% 5" xfId="0"/>
    <cellStyle name="Accent4 - 60% 6" xfId="0"/>
    <cellStyle name="Accent4 - 60% 7" xfId="0"/>
    <cellStyle name="Accent4 - 60% 8" xfId="0"/>
    <cellStyle name="Accent4 - 60%_LCD" xfId="0"/>
    <cellStyle name="Accent4 10" xfId="0"/>
    <cellStyle name="Accent4 10 2" xfId="0"/>
    <cellStyle name="Accent4 10 2 2" xfId="0"/>
    <cellStyle name="Accent4 10 3" xfId="0"/>
    <cellStyle name="Accent4 10 4" xfId="0"/>
    <cellStyle name="Accent4 100" xfId="0"/>
    <cellStyle name="Accent4 101" xfId="0"/>
    <cellStyle name="Accent4 102" xfId="0"/>
    <cellStyle name="Accent4 103" xfId="0"/>
    <cellStyle name="Accent4 104" xfId="0"/>
    <cellStyle name="Accent4 105" xfId="0"/>
    <cellStyle name="Accent4 106" xfId="0"/>
    <cellStyle name="Accent4 107" xfId="0"/>
    <cellStyle name="Accent4 108" xfId="0"/>
    <cellStyle name="Accent4 109" xfId="0"/>
    <cellStyle name="Accent4 11" xfId="0"/>
    <cellStyle name="Accent4 11 2" xfId="0"/>
    <cellStyle name="Accent4 11 2 2" xfId="0"/>
    <cellStyle name="Accent4 11 3" xfId="0"/>
    <cellStyle name="Accent4 11 4" xfId="0"/>
    <cellStyle name="Accent4 110" xfId="0"/>
    <cellStyle name="Accent4 111" xfId="0"/>
    <cellStyle name="Accent4 112" xfId="0"/>
    <cellStyle name="Accent4 113" xfId="0"/>
    <cellStyle name="Accent4 114" xfId="0"/>
    <cellStyle name="Accent4 115" xfId="0"/>
    <cellStyle name="Accent4 116" xfId="0"/>
    <cellStyle name="Accent4 117" xfId="0"/>
    <cellStyle name="Accent4 118" xfId="0"/>
    <cellStyle name="Accent4 119" xfId="0"/>
    <cellStyle name="Accent4 12" xfId="0"/>
    <cellStyle name="Accent4 12 2" xfId="0"/>
    <cellStyle name="Accent4 12 2 2" xfId="0"/>
    <cellStyle name="Accent4 12 3" xfId="0"/>
    <cellStyle name="Accent4 12 4" xfId="0"/>
    <cellStyle name="Accent4 120" xfId="0"/>
    <cellStyle name="Accent4 121" xfId="0"/>
    <cellStyle name="Accent4 122" xfId="0"/>
    <cellStyle name="Accent4 123" xfId="0"/>
    <cellStyle name="Accent4 124" xfId="0"/>
    <cellStyle name="Accent4 125" xfId="0"/>
    <cellStyle name="Accent4 126" xfId="0"/>
    <cellStyle name="Accent4 127" xfId="0"/>
    <cellStyle name="Accent4 128" xfId="0"/>
    <cellStyle name="Accent4 129" xfId="0"/>
    <cellStyle name="Accent4 13" xfId="0"/>
    <cellStyle name="Accent4 13 2" xfId="0"/>
    <cellStyle name="Accent4 13 2 2" xfId="0"/>
    <cellStyle name="Accent4 13 3" xfId="0"/>
    <cellStyle name="Accent4 13 4" xfId="0"/>
    <cellStyle name="Accent4 130" xfId="0"/>
    <cellStyle name="Accent4 131" xfId="0"/>
    <cellStyle name="Accent4 132" xfId="0"/>
    <cellStyle name="Accent4 133" xfId="0"/>
    <cellStyle name="Accent4 134" xfId="0"/>
    <cellStyle name="Accent4 135" xfId="0"/>
    <cellStyle name="Accent4 136" xfId="0"/>
    <cellStyle name="Accent4 137" xfId="0"/>
    <cellStyle name="Accent4 138" xfId="0"/>
    <cellStyle name="Accent4 139" xfId="0"/>
    <cellStyle name="Accent4 14" xfId="0"/>
    <cellStyle name="Accent4 14 2" xfId="0"/>
    <cellStyle name="Accent4 14 2 2" xfId="0"/>
    <cellStyle name="Accent4 14 3" xfId="0"/>
    <cellStyle name="Accent4 14 4" xfId="0"/>
    <cellStyle name="Accent4 140" xfId="0"/>
    <cellStyle name="Accent4 141" xfId="0"/>
    <cellStyle name="Accent4 142" xfId="0"/>
    <cellStyle name="Accent4 143" xfId="0"/>
    <cellStyle name="Accent4 144" xfId="0"/>
    <cellStyle name="Accent4 145" xfId="0"/>
    <cellStyle name="Accent4 146" xfId="0"/>
    <cellStyle name="Accent4 147" xfId="0"/>
    <cellStyle name="Accent4 148" xfId="0"/>
    <cellStyle name="Accent4 149" xfId="0"/>
    <cellStyle name="Accent4 15" xfId="0"/>
    <cellStyle name="Accent4 15 2" xfId="0"/>
    <cellStyle name="Accent4 15 2 2" xfId="0"/>
    <cellStyle name="Accent4 15 3" xfId="0"/>
    <cellStyle name="Accent4 15 4" xfId="0"/>
    <cellStyle name="Accent4 150" xfId="0"/>
    <cellStyle name="Accent4 151" xfId="0"/>
    <cellStyle name="Accent4 152" xfId="0"/>
    <cellStyle name="Accent4 153" xfId="0"/>
    <cellStyle name="Accent4 154" xfId="0"/>
    <cellStyle name="Accent4 155" xfId="0"/>
    <cellStyle name="Accent4 156" xfId="0"/>
    <cellStyle name="Accent4 157" xfId="0"/>
    <cellStyle name="Accent4 158" xfId="0"/>
    <cellStyle name="Accent4 159" xfId="0"/>
    <cellStyle name="Accent4 16" xfId="0"/>
    <cellStyle name="Accent4 16 2" xfId="0"/>
    <cellStyle name="Accent4 16 2 2" xfId="0"/>
    <cellStyle name="Accent4 16 3" xfId="0"/>
    <cellStyle name="Accent4 16 4" xfId="0"/>
    <cellStyle name="Accent4 160" xfId="0"/>
    <cellStyle name="Accent4 161" xfId="0"/>
    <cellStyle name="Accent4 162" xfId="0"/>
    <cellStyle name="Accent4 163" xfId="0"/>
    <cellStyle name="Accent4 164" xfId="0"/>
    <cellStyle name="Accent4 165" xfId="0"/>
    <cellStyle name="Accent4 166" xfId="0"/>
    <cellStyle name="Accent4 167" xfId="0"/>
    <cellStyle name="Accent4 168" xfId="0"/>
    <cellStyle name="Accent4 169" xfId="0"/>
    <cellStyle name="Accent4 17" xfId="0"/>
    <cellStyle name="Accent4 17 2" xfId="0"/>
    <cellStyle name="Accent4 17 2 2" xfId="0"/>
    <cellStyle name="Accent4 17 3" xfId="0"/>
    <cellStyle name="Accent4 17 4" xfId="0"/>
    <cellStyle name="Accent4 170" xfId="0"/>
    <cellStyle name="Accent4 171" xfId="0"/>
    <cellStyle name="Accent4 172" xfId="0"/>
    <cellStyle name="Accent4 173" xfId="0"/>
    <cellStyle name="Accent4 174" xfId="0"/>
    <cellStyle name="Accent4 175" xfId="0"/>
    <cellStyle name="Accent4 176" xfId="0"/>
    <cellStyle name="Accent4 177" xfId="0"/>
    <cellStyle name="Accent4 178" xfId="0"/>
    <cellStyle name="Accent4 179" xfId="0"/>
    <cellStyle name="Accent4 18" xfId="0"/>
    <cellStyle name="Accent4 18 2" xfId="0"/>
    <cellStyle name="Accent4 18 2 2" xfId="0"/>
    <cellStyle name="Accent4 18 3" xfId="0"/>
    <cellStyle name="Accent4 18 4" xfId="0"/>
    <cellStyle name="Accent4 180" xfId="0"/>
    <cellStyle name="Accent4 181" xfId="0"/>
    <cellStyle name="Accent4 182" xfId="0"/>
    <cellStyle name="Accent4 183" xfId="0"/>
    <cellStyle name="Accent4 184" xfId="0"/>
    <cellStyle name="Accent4 185" xfId="0"/>
    <cellStyle name="Accent4 186" xfId="0"/>
    <cellStyle name="Accent4 187" xfId="0"/>
    <cellStyle name="Accent4 188" xfId="0"/>
    <cellStyle name="Accent4 189" xfId="0"/>
    <cellStyle name="Accent4 19" xfId="0"/>
    <cellStyle name="Accent4 19 2" xfId="0"/>
    <cellStyle name="Accent4 19 2 2" xfId="0"/>
    <cellStyle name="Accent4 19 3" xfId="0"/>
    <cellStyle name="Accent4 19 4" xfId="0"/>
    <cellStyle name="Accent4 190" xfId="0"/>
    <cellStyle name="Accent4 191" xfId="0"/>
    <cellStyle name="Accent4 192" xfId="0"/>
    <cellStyle name="Accent4 193" xfId="0"/>
    <cellStyle name="Accent4 194" xfId="0"/>
    <cellStyle name="Accent4 195" xfId="0"/>
    <cellStyle name="Accent4 196" xfId="0"/>
    <cellStyle name="Accent4 197" xfId="0"/>
    <cellStyle name="Accent4 198" xfId="0"/>
    <cellStyle name="Accent4 199" xfId="0"/>
    <cellStyle name="Accent4 2" xfId="0"/>
    <cellStyle name="Accent4 2 2" xfId="0"/>
    <cellStyle name="Accent4 2 2 2" xfId="0"/>
    <cellStyle name="Accent4 2 2 2 2" xfId="0"/>
    <cellStyle name="Accent4 2 2 3" xfId="0"/>
    <cellStyle name="Accent4 2 3" xfId="0"/>
    <cellStyle name="Accent4 2 3 2" xfId="0"/>
    <cellStyle name="Accent4 2 3 3" xfId="0"/>
    <cellStyle name="Accent4 2 4" xfId="0"/>
    <cellStyle name="Accent4 2 4 2" xfId="0"/>
    <cellStyle name="Accent4 2 5" xfId="0"/>
    <cellStyle name="Accent4 2 5 2" xfId="0"/>
    <cellStyle name="Accent4 2 6" xfId="0"/>
    <cellStyle name="Accent4 2 7" xfId="0"/>
    <cellStyle name="Accent4 2 8" xfId="0"/>
    <cellStyle name="Accent4 2 9" xfId="0"/>
    <cellStyle name="Accent4 20" xfId="0"/>
    <cellStyle name="Accent4 20 2" xfId="0"/>
    <cellStyle name="Accent4 20 2 2" xfId="0"/>
    <cellStyle name="Accent4 20 3" xfId="0"/>
    <cellStyle name="Accent4 20 4" xfId="0"/>
    <cellStyle name="Accent4 200" xfId="0"/>
    <cellStyle name="Accent4 201" xfId="0"/>
    <cellStyle name="Accent4 202" xfId="0"/>
    <cellStyle name="Accent4 203" xfId="0"/>
    <cellStyle name="Accent4 204" xfId="0"/>
    <cellStyle name="Accent4 205" xfId="0"/>
    <cellStyle name="Accent4 206" xfId="0"/>
    <cellStyle name="Accent4 207" xfId="0"/>
    <cellStyle name="Accent4 208" xfId="0"/>
    <cellStyle name="Accent4 209" xfId="0"/>
    <cellStyle name="Accent4 21" xfId="0"/>
    <cellStyle name="Accent4 21 2" xfId="0"/>
    <cellStyle name="Accent4 21 2 2" xfId="0"/>
    <cellStyle name="Accent4 21 3" xfId="0"/>
    <cellStyle name="Accent4 210" xfId="0"/>
    <cellStyle name="Accent4 211" xfId="0"/>
    <cellStyle name="Accent4 212" xfId="0"/>
    <cellStyle name="Accent4 213" xfId="0"/>
    <cellStyle name="Accent4 214" xfId="0"/>
    <cellStyle name="Accent4 215" xfId="0"/>
    <cellStyle name="Accent4 216" xfId="0"/>
    <cellStyle name="Accent4 217" xfId="0"/>
    <cellStyle name="Accent4 218" xfId="0"/>
    <cellStyle name="Accent4 219" xfId="0"/>
    <cellStyle name="Accent4 22" xfId="0"/>
    <cellStyle name="Accent4 22 2" xfId="0"/>
    <cellStyle name="Accent4 22 2 2" xfId="0"/>
    <cellStyle name="Accent4 22 3" xfId="0"/>
    <cellStyle name="Accent4 220" xfId="0"/>
    <cellStyle name="Accent4 221" xfId="0"/>
    <cellStyle name="Accent4 222" xfId="0"/>
    <cellStyle name="Accent4 223" xfId="0"/>
    <cellStyle name="Accent4 224" xfId="0"/>
    <cellStyle name="Accent4 225" xfId="0"/>
    <cellStyle name="Accent4 226" xfId="0"/>
    <cellStyle name="Accent4 227" xfId="0"/>
    <cellStyle name="Accent4 228" xfId="0"/>
    <cellStyle name="Accent4 229" xfId="0"/>
    <cellStyle name="Accent4 23" xfId="0"/>
    <cellStyle name="Accent4 23 2" xfId="0"/>
    <cellStyle name="Accent4 23 2 2" xfId="0"/>
    <cellStyle name="Accent4 23 3" xfId="0"/>
    <cellStyle name="Accent4 230" xfId="0"/>
    <cellStyle name="Accent4 231" xfId="0"/>
    <cellStyle name="Accent4 232" xfId="0"/>
    <cellStyle name="Accent4 233" xfId="0"/>
    <cellStyle name="Accent4 234" xfId="0"/>
    <cellStyle name="Accent4 235" xfId="0"/>
    <cellStyle name="Accent4 236" xfId="0"/>
    <cellStyle name="Accent4 237" xfId="0"/>
    <cellStyle name="Accent4 238" xfId="0"/>
    <cellStyle name="Accent4 239" xfId="0"/>
    <cellStyle name="Accent4 24" xfId="0"/>
    <cellStyle name="Accent4 24 2" xfId="0"/>
    <cellStyle name="Accent4 24 2 2" xfId="0"/>
    <cellStyle name="Accent4 240" xfId="0"/>
    <cellStyle name="Accent4 241" xfId="0"/>
    <cellStyle name="Accent4 242" xfId="0"/>
    <cellStyle name="Accent4 243" xfId="0"/>
    <cellStyle name="Accent4 244" xfId="0"/>
    <cellStyle name="Accent4 245" xfId="0"/>
    <cellStyle name="Accent4 246" xfId="0"/>
    <cellStyle name="Accent4 247" xfId="0"/>
    <cellStyle name="Accent4 248" xfId="0"/>
    <cellStyle name="Accent4 249" xfId="0"/>
    <cellStyle name="Accent4 25" xfId="0"/>
    <cellStyle name="Accent4 25 2" xfId="0"/>
    <cellStyle name="Accent4 25 2 2" xfId="0"/>
    <cellStyle name="Accent4 250" xfId="0"/>
    <cellStyle name="Accent4 251" xfId="0"/>
    <cellStyle name="Accent4 252" xfId="0"/>
    <cellStyle name="Accent4 253" xfId="0"/>
    <cellStyle name="Accent4 254" xfId="0"/>
    <cellStyle name="Accent4 255" xfId="0"/>
    <cellStyle name="Accent4 256" xfId="0"/>
    <cellStyle name="Accent4 257" xfId="0"/>
    <cellStyle name="Accent4 258" xfId="0"/>
    <cellStyle name="Accent4 259" xfId="0"/>
    <cellStyle name="Accent4 26" xfId="0"/>
    <cellStyle name="Accent4 26 2" xfId="0"/>
    <cellStyle name="Accent4 26 2 2" xfId="0"/>
    <cellStyle name="Accent4 26 3" xfId="0"/>
    <cellStyle name="Accent4 260" xfId="0"/>
    <cellStyle name="Accent4 261" xfId="0"/>
    <cellStyle name="Accent4 262" xfId="0"/>
    <cellStyle name="Accent4 263" xfId="0"/>
    <cellStyle name="Accent4 264" xfId="0"/>
    <cellStyle name="Accent4 265" xfId="0"/>
    <cellStyle name="Accent4 266" xfId="0"/>
    <cellStyle name="Accent4 267" xfId="0"/>
    <cellStyle name="Accent4 268" xfId="0"/>
    <cellStyle name="Accent4 269" xfId="0"/>
    <cellStyle name="Accent4 27" xfId="0"/>
    <cellStyle name="Accent4 27 2" xfId="0"/>
    <cellStyle name="Accent4 27 2 2" xfId="0"/>
    <cellStyle name="Accent4 27 3" xfId="0"/>
    <cellStyle name="Accent4 270" xfId="0"/>
    <cellStyle name="Accent4 271" xfId="0"/>
    <cellStyle name="Accent4 272" xfId="0"/>
    <cellStyle name="Accent4 273" xfId="0"/>
    <cellStyle name="Accent4 274" xfId="0"/>
    <cellStyle name="Accent4 275" xfId="0"/>
    <cellStyle name="Accent4 28" xfId="0"/>
    <cellStyle name="Accent4 28 2" xfId="0"/>
    <cellStyle name="Accent4 28 2 2" xfId="0"/>
    <cellStyle name="Accent4 28 3" xfId="0"/>
    <cellStyle name="Accent4 29" xfId="0"/>
    <cellStyle name="Accent4 29 2" xfId="0"/>
    <cellStyle name="Accent4 29 2 2" xfId="0"/>
    <cellStyle name="Accent4 29 3" xfId="0"/>
    <cellStyle name="Accent4 2_Market Fresh Cost" xfId="0"/>
    <cellStyle name="Accent4 3" xfId="0"/>
    <cellStyle name="Accent4 3 2" xfId="0"/>
    <cellStyle name="Accent4 3 2 2" xfId="0"/>
    <cellStyle name="Accent4 3 2 3" xfId="0"/>
    <cellStyle name="Accent4 3 3" xfId="0"/>
    <cellStyle name="Accent4 3 3 2" xfId="0"/>
    <cellStyle name="Accent4 3 3 3" xfId="0"/>
    <cellStyle name="Accent4 3 4" xfId="0"/>
    <cellStyle name="Accent4 3 4 2" xfId="0"/>
    <cellStyle name="Accent4 3 5" xfId="0"/>
    <cellStyle name="Accent4 3 5 2" xfId="0"/>
    <cellStyle name="Accent4 3 6" xfId="0"/>
    <cellStyle name="Accent4 3 7" xfId="0"/>
    <cellStyle name="Accent4 3 8" xfId="0"/>
    <cellStyle name="Accent4 3 9" xfId="0"/>
    <cellStyle name="Accent4 30" xfId="0"/>
    <cellStyle name="Accent4 30 2" xfId="0"/>
    <cellStyle name="Accent4 30 2 2" xfId="0"/>
    <cellStyle name="Accent4 30 3" xfId="0"/>
    <cellStyle name="Accent4 31" xfId="0"/>
    <cellStyle name="Accent4 31 2" xfId="0"/>
    <cellStyle name="Accent4 31 2 2" xfId="0"/>
    <cellStyle name="Accent4 31 3" xfId="0"/>
    <cellStyle name="Accent4 32" xfId="0"/>
    <cellStyle name="Accent4 32 2" xfId="0"/>
    <cellStyle name="Accent4 32 2 2" xfId="0"/>
    <cellStyle name="Accent4 32 3" xfId="0"/>
    <cellStyle name="Accent4 33" xfId="0"/>
    <cellStyle name="Accent4 33 2" xfId="0"/>
    <cellStyle name="Accent4 33 2 2" xfId="0"/>
    <cellStyle name="Accent4 33 3" xfId="0"/>
    <cellStyle name="Accent4 34" xfId="0"/>
    <cellStyle name="Accent4 34 2" xfId="0"/>
    <cellStyle name="Accent4 34 2 2" xfId="0"/>
    <cellStyle name="Accent4 34 3" xfId="0"/>
    <cellStyle name="Accent4 35" xfId="0"/>
    <cellStyle name="Accent4 35 2" xfId="0"/>
    <cellStyle name="Accent4 35 2 2" xfId="0"/>
    <cellStyle name="Accent4 35 3" xfId="0"/>
    <cellStyle name="Accent4 36" xfId="0"/>
    <cellStyle name="Accent4 36 2" xfId="0"/>
    <cellStyle name="Accent4 36 3" xfId="0"/>
    <cellStyle name="Accent4 37" xfId="0"/>
    <cellStyle name="Accent4 37 2" xfId="0"/>
    <cellStyle name="Accent4 37 3" xfId="0"/>
    <cellStyle name="Accent4 38" xfId="0"/>
    <cellStyle name="Accent4 38 2" xfId="0"/>
    <cellStyle name="Accent4 38 3" xfId="0"/>
    <cellStyle name="Accent4 39" xfId="0"/>
    <cellStyle name="Accent4 39 2" xfId="0"/>
    <cellStyle name="Accent4 39 3" xfId="0"/>
    <cellStyle name="Accent4 3_Profitability Detail NT$ Sep-12" xfId="0"/>
    <cellStyle name="Accent4 4" xfId="0"/>
    <cellStyle name="Accent4 4 2" xfId="0"/>
    <cellStyle name="Accent4 4 2 2" xfId="0"/>
    <cellStyle name="Accent4 4 2 3" xfId="0"/>
    <cellStyle name="Accent4 4 3" xfId="0"/>
    <cellStyle name="Accent4 4 3 2" xfId="0"/>
    <cellStyle name="Accent4 4 3 3" xfId="0"/>
    <cellStyle name="Accent4 4 4" xfId="0"/>
    <cellStyle name="Accent4 4 4 2" xfId="0"/>
    <cellStyle name="Accent4 4 5" xfId="0"/>
    <cellStyle name="Accent4 4 5 2" xfId="0"/>
    <cellStyle name="Accent4 4 6" xfId="0"/>
    <cellStyle name="Accent4 4 7" xfId="0"/>
    <cellStyle name="Accent4 4 8" xfId="0"/>
    <cellStyle name="Accent4 4 9" xfId="0"/>
    <cellStyle name="Accent4 40" xfId="0"/>
    <cellStyle name="Accent4 40 2" xfId="0"/>
    <cellStyle name="Accent4 40 3" xfId="0"/>
    <cellStyle name="Accent4 41" xfId="0"/>
    <cellStyle name="Accent4 41 2" xfId="0"/>
    <cellStyle name="Accent4 41 3" xfId="0"/>
    <cellStyle name="Accent4 42" xfId="0"/>
    <cellStyle name="Accent4 42 2" xfId="0"/>
    <cellStyle name="Accent4 42 3" xfId="0"/>
    <cellStyle name="Accent4 43" xfId="0"/>
    <cellStyle name="Accent4 43 2" xfId="0"/>
    <cellStyle name="Accent4 43 3" xfId="0"/>
    <cellStyle name="Accent4 44" xfId="0"/>
    <cellStyle name="Accent4 44 2" xfId="0"/>
    <cellStyle name="Accent4 45" xfId="0"/>
    <cellStyle name="Accent4 45 2" xfId="0"/>
    <cellStyle name="Accent4 46" xfId="0"/>
    <cellStyle name="Accent4 46 2" xfId="0"/>
    <cellStyle name="Accent4 47" xfId="0"/>
    <cellStyle name="Accent4 47 2" xfId="0"/>
    <cellStyle name="Accent4 48" xfId="0"/>
    <cellStyle name="Accent4 48 2" xfId="0"/>
    <cellStyle name="Accent4 49" xfId="0"/>
    <cellStyle name="Accent4 49 2" xfId="0"/>
    <cellStyle name="Accent4 4_Profitability Detail NT$ Sep-12" xfId="0"/>
    <cellStyle name="Accent4 5" xfId="0"/>
    <cellStyle name="Accent4 5 2" xfId="0"/>
    <cellStyle name="Accent4 5 3" xfId="0"/>
    <cellStyle name="Accent4 5 3 2" xfId="0"/>
    <cellStyle name="Accent4 5 4" xfId="0"/>
    <cellStyle name="Accent4 5 5" xfId="0"/>
    <cellStyle name="Accent4 50" xfId="0"/>
    <cellStyle name="Accent4 50 2" xfId="0"/>
    <cellStyle name="Accent4 51" xfId="0"/>
    <cellStyle name="Accent4 51 2" xfId="0"/>
    <cellStyle name="Accent4 52" xfId="0"/>
    <cellStyle name="Accent4 52 2" xfId="0"/>
    <cellStyle name="Accent4 53" xfId="0"/>
    <cellStyle name="Accent4 53 2" xfId="0"/>
    <cellStyle name="Accent4 54" xfId="0"/>
    <cellStyle name="Accent4 54 2" xfId="0"/>
    <cellStyle name="Accent4 55" xfId="0"/>
    <cellStyle name="Accent4 56" xfId="0"/>
    <cellStyle name="Accent4 56 2" xfId="0"/>
    <cellStyle name="Accent4 57" xfId="0"/>
    <cellStyle name="Accent4 57 2" xfId="0"/>
    <cellStyle name="Accent4 58" xfId="0"/>
    <cellStyle name="Accent4 58 2" xfId="0"/>
    <cellStyle name="Accent4 59" xfId="0"/>
    <cellStyle name="Accent4 59 2" xfId="0"/>
    <cellStyle name="Accent4 6" xfId="0"/>
    <cellStyle name="Accent4 6 2" xfId="0"/>
    <cellStyle name="Accent4 6 3" xfId="0"/>
    <cellStyle name="Accent4 6 3 2" xfId="0"/>
    <cellStyle name="Accent4 6 4" xfId="0"/>
    <cellStyle name="Accent4 6 5" xfId="0"/>
    <cellStyle name="Accent4 60" xfId="0"/>
    <cellStyle name="Accent4 60 2" xfId="0"/>
    <cellStyle name="Accent4 61" xfId="0"/>
    <cellStyle name="Accent4 61 2" xfId="0"/>
    <cellStyle name="Accent4 62" xfId="0"/>
    <cellStyle name="Accent4 62 2" xfId="0"/>
    <cellStyle name="Accent4 63" xfId="0"/>
    <cellStyle name="Accent4 63 2" xfId="0"/>
    <cellStyle name="Accent4 64" xfId="0"/>
    <cellStyle name="Accent4 64 2" xfId="0"/>
    <cellStyle name="Accent4 65" xfId="0"/>
    <cellStyle name="Accent4 65 2" xfId="0"/>
    <cellStyle name="Accent4 66" xfId="0"/>
    <cellStyle name="Accent4 66 2" xfId="0"/>
    <cellStyle name="Accent4 67" xfId="0"/>
    <cellStyle name="Accent4 67 2" xfId="0"/>
    <cellStyle name="Accent4 68" xfId="0"/>
    <cellStyle name="Accent4 68 2" xfId="0"/>
    <cellStyle name="Accent4 69" xfId="0"/>
    <cellStyle name="Accent4 69 2" xfId="0"/>
    <cellStyle name="Accent4 7" xfId="0"/>
    <cellStyle name="Accent4 7 2" xfId="0"/>
    <cellStyle name="Accent4 7 3" xfId="0"/>
    <cellStyle name="Accent4 7 3 2" xfId="0"/>
    <cellStyle name="Accent4 7 4" xfId="0"/>
    <cellStyle name="Accent4 7 5" xfId="0"/>
    <cellStyle name="Accent4 70" xfId="0"/>
    <cellStyle name="Accent4 70 2" xfId="0"/>
    <cellStyle name="Accent4 71" xfId="0"/>
    <cellStyle name="Accent4 71 2" xfId="0"/>
    <cellStyle name="Accent4 72" xfId="0"/>
    <cellStyle name="Accent4 72 2" xfId="0"/>
    <cellStyle name="Accent4 73" xfId="0"/>
    <cellStyle name="Accent4 74" xfId="0"/>
    <cellStyle name="Accent4 75" xfId="0"/>
    <cellStyle name="Accent4 76" xfId="0"/>
    <cellStyle name="Accent4 77" xfId="0"/>
    <cellStyle name="Accent4 78" xfId="0"/>
    <cellStyle name="Accent4 79" xfId="0"/>
    <cellStyle name="Accent4 8" xfId="0"/>
    <cellStyle name="Accent4 8 2" xfId="0"/>
    <cellStyle name="Accent4 8 3" xfId="0"/>
    <cellStyle name="Accent4 8 3 2" xfId="0"/>
    <cellStyle name="Accent4 8 4" xfId="0"/>
    <cellStyle name="Accent4 8 5" xfId="0"/>
    <cellStyle name="Accent4 80" xfId="0"/>
    <cellStyle name="Accent4 81" xfId="0"/>
    <cellStyle name="Accent4 82" xfId="0"/>
    <cellStyle name="Accent4 83" xfId="0"/>
    <cellStyle name="Accent4 84" xfId="0"/>
    <cellStyle name="Accent4 85" xfId="0"/>
    <cellStyle name="Accent4 86" xfId="0"/>
    <cellStyle name="Accent4 87" xfId="0"/>
    <cellStyle name="Accent4 88" xfId="0"/>
    <cellStyle name="Accent4 89" xfId="0"/>
    <cellStyle name="Accent4 9" xfId="0"/>
    <cellStyle name="Accent4 9 2" xfId="0"/>
    <cellStyle name="Accent4 9 2 2" xfId="0"/>
    <cellStyle name="Accent4 9 3" xfId="0"/>
    <cellStyle name="Accent4 9 4" xfId="0"/>
    <cellStyle name="Accent4 90" xfId="0"/>
    <cellStyle name="Accent4 91" xfId="0"/>
    <cellStyle name="Accent4 92" xfId="0"/>
    <cellStyle name="Accent4 93" xfId="0"/>
    <cellStyle name="Accent4 94" xfId="0"/>
    <cellStyle name="Accent4 95" xfId="0"/>
    <cellStyle name="Accent4 96" xfId="0"/>
    <cellStyle name="Accent4 97" xfId="0"/>
    <cellStyle name="Accent4 98" xfId="0"/>
    <cellStyle name="Accent4 99" xfId="0"/>
    <cellStyle name="Accent4_13-wk VSA_Revised" xfId="0"/>
    <cellStyle name="Accent5" xfId="0"/>
    <cellStyle name="Accent5 - 20%" xfId="0"/>
    <cellStyle name="Accent5 - 20% 2" xfId="0"/>
    <cellStyle name="Accent5 - 20% 2 2" xfId="0"/>
    <cellStyle name="Accent5 - 20% 2 2 2" xfId="0"/>
    <cellStyle name="Accent5 - 20% 2_Market Fresh Cost" xfId="0"/>
    <cellStyle name="Accent5 - 20% 3" xfId="0"/>
    <cellStyle name="Accent5 - 20% 3 2" xfId="0"/>
    <cellStyle name="Accent5 - 20% 4" xfId="0"/>
    <cellStyle name="Accent5 - 20% 4 2" xfId="0"/>
    <cellStyle name="Accent5 - 20% 5" xfId="0"/>
    <cellStyle name="Accent5 - 20% 6" xfId="0"/>
    <cellStyle name="Accent5 - 20% 7" xfId="0"/>
    <cellStyle name="Accent5 - 20%_Market Fresh Cost" xfId="0"/>
    <cellStyle name="Accent5 - 40%" xfId="0"/>
    <cellStyle name="Accent5 - 40% 2" xfId="0"/>
    <cellStyle name="Accent5 - 40% 2 2" xfId="0"/>
    <cellStyle name="Accent5 - 40% 2 2 2" xfId="0"/>
    <cellStyle name="Accent5 - 40% 2_Market Fresh Cost" xfId="0"/>
    <cellStyle name="Accent5 - 40% 3" xfId="0"/>
    <cellStyle name="Accent5 - 40% 3 2" xfId="0"/>
    <cellStyle name="Accent5 - 40% 4" xfId="0"/>
    <cellStyle name="Accent5 - 40% 4 2" xfId="0"/>
    <cellStyle name="Accent5 - 40% 5" xfId="0"/>
    <cellStyle name="Accent5 - 40% 6" xfId="0"/>
    <cellStyle name="Accent5 - 40% 7" xfId="0"/>
    <cellStyle name="Accent5 - 40%_Market Fresh Cost" xfId="0"/>
    <cellStyle name="Accent5 - 60%" xfId="0"/>
    <cellStyle name="Accent5 - 60% 2" xfId="0"/>
    <cellStyle name="Accent5 - 60% 2 2" xfId="0"/>
    <cellStyle name="Accent5 - 60% 2 2 2" xfId="0"/>
    <cellStyle name="Accent5 - 60% 2 3" xfId="0"/>
    <cellStyle name="Accent5 - 60% 2_Market Fresh Cost" xfId="0"/>
    <cellStyle name="Accent5 - 60% 3" xfId="0"/>
    <cellStyle name="Accent5 - 60% 3 2" xfId="0"/>
    <cellStyle name="Accent5 - 60% 3 3" xfId="0"/>
    <cellStyle name="Accent5 - 60% 4" xfId="0"/>
    <cellStyle name="Accent5 - 60% 5" xfId="0"/>
    <cellStyle name="Accent5 - 60% 6" xfId="0"/>
    <cellStyle name="Accent5 - 60% 7" xfId="0"/>
    <cellStyle name="Accent5 - 60% 8" xfId="0"/>
    <cellStyle name="Accent5 - 60%_LCD" xfId="0"/>
    <cellStyle name="Accent5 10" xfId="0"/>
    <cellStyle name="Accent5 10 2" xfId="0"/>
    <cellStyle name="Accent5 10 2 2" xfId="0"/>
    <cellStyle name="Accent5 100" xfId="0"/>
    <cellStyle name="Accent5 101" xfId="0"/>
    <cellStyle name="Accent5 102" xfId="0"/>
    <cellStyle name="Accent5 103" xfId="0"/>
    <cellStyle name="Accent5 104" xfId="0"/>
    <cellStyle name="Accent5 105" xfId="0"/>
    <cellStyle name="Accent5 106" xfId="0"/>
    <cellStyle name="Accent5 107" xfId="0"/>
    <cellStyle name="Accent5 108" xfId="0"/>
    <cellStyle name="Accent5 109" xfId="0"/>
    <cellStyle name="Accent5 11" xfId="0"/>
    <cellStyle name="Accent5 11 2" xfId="0"/>
    <cellStyle name="Accent5 11 2 2" xfId="0"/>
    <cellStyle name="Accent5 110" xfId="0"/>
    <cellStyle name="Accent5 111" xfId="0"/>
    <cellStyle name="Accent5 112" xfId="0"/>
    <cellStyle name="Accent5 113" xfId="0"/>
    <cellStyle name="Accent5 114" xfId="0"/>
    <cellStyle name="Accent5 115" xfId="0"/>
    <cellStyle name="Accent5 116" xfId="0"/>
    <cellStyle name="Accent5 117" xfId="0"/>
    <cellStyle name="Accent5 118" xfId="0"/>
    <cellStyle name="Accent5 119" xfId="0"/>
    <cellStyle name="Accent5 12" xfId="0"/>
    <cellStyle name="Accent5 12 2" xfId="0"/>
    <cellStyle name="Accent5 12 2 2" xfId="0"/>
    <cellStyle name="Accent5 120" xfId="0"/>
    <cellStyle name="Accent5 121" xfId="0"/>
    <cellStyle name="Accent5 122" xfId="0"/>
    <cellStyle name="Accent5 123" xfId="0"/>
    <cellStyle name="Accent5 124" xfId="0"/>
    <cellStyle name="Accent5 125" xfId="0"/>
    <cellStyle name="Accent5 126" xfId="0"/>
    <cellStyle name="Accent5 127" xfId="0"/>
    <cellStyle name="Accent5 128" xfId="0"/>
    <cellStyle name="Accent5 129" xfId="0"/>
    <cellStyle name="Accent5 13" xfId="0"/>
    <cellStyle name="Accent5 13 2" xfId="0"/>
    <cellStyle name="Accent5 13 2 2" xfId="0"/>
    <cellStyle name="Accent5 130" xfId="0"/>
    <cellStyle name="Accent5 131" xfId="0"/>
    <cellStyle name="Accent5 132" xfId="0"/>
    <cellStyle name="Accent5 133" xfId="0"/>
    <cellStyle name="Accent5 134" xfId="0"/>
    <cellStyle name="Accent5 135" xfId="0"/>
    <cellStyle name="Accent5 136" xfId="0"/>
    <cellStyle name="Accent5 137" xfId="0"/>
    <cellStyle name="Accent5 138" xfId="0"/>
    <cellStyle name="Accent5 139" xfId="0"/>
    <cellStyle name="Accent5 14" xfId="0"/>
    <cellStyle name="Accent5 14 2" xfId="0"/>
    <cellStyle name="Accent5 14 2 2" xfId="0"/>
    <cellStyle name="Accent5 140" xfId="0"/>
    <cellStyle name="Accent5 141" xfId="0"/>
    <cellStyle name="Accent5 142" xfId="0"/>
    <cellStyle name="Accent5 143" xfId="0"/>
    <cellStyle name="Accent5 144" xfId="0"/>
    <cellStyle name="Accent5 145" xfId="0"/>
    <cellStyle name="Accent5 146" xfId="0"/>
    <cellStyle name="Accent5 147" xfId="0"/>
    <cellStyle name="Accent5 148" xfId="0"/>
    <cellStyle name="Accent5 149" xfId="0"/>
    <cellStyle name="Accent5 15" xfId="0"/>
    <cellStyle name="Accent5 15 2" xfId="0"/>
    <cellStyle name="Accent5 15 2 2" xfId="0"/>
    <cellStyle name="Accent5 150" xfId="0"/>
    <cellStyle name="Accent5 151" xfId="0"/>
    <cellStyle name="Accent5 152" xfId="0"/>
    <cellStyle name="Accent5 153" xfId="0"/>
    <cellStyle name="Accent5 154" xfId="0"/>
    <cellStyle name="Accent5 155" xfId="0"/>
    <cellStyle name="Accent5 156" xfId="0"/>
    <cellStyle name="Accent5 157" xfId="0"/>
    <cellStyle name="Accent5 158" xfId="0"/>
    <cellStyle name="Accent5 159" xfId="0"/>
    <cellStyle name="Accent5 16" xfId="0"/>
    <cellStyle name="Accent5 16 2" xfId="0"/>
    <cellStyle name="Accent5 16 2 2" xfId="0"/>
    <cellStyle name="Accent5 160" xfId="0"/>
    <cellStyle name="Accent5 161" xfId="0"/>
    <cellStyle name="Accent5 162" xfId="0"/>
    <cellStyle name="Accent5 163" xfId="0"/>
    <cellStyle name="Accent5 164" xfId="0"/>
    <cellStyle name="Accent5 165" xfId="0"/>
    <cellStyle name="Accent5 166" xfId="0"/>
    <cellStyle name="Accent5 167" xfId="0"/>
    <cellStyle name="Accent5 168" xfId="0"/>
    <cellStyle name="Accent5 169" xfId="0"/>
    <cellStyle name="Accent5 17" xfId="0"/>
    <cellStyle name="Accent5 17 2" xfId="0"/>
    <cellStyle name="Accent5 17 2 2" xfId="0"/>
    <cellStyle name="Accent5 170" xfId="0"/>
    <cellStyle name="Accent5 171" xfId="0"/>
    <cellStyle name="Accent5 172" xfId="0"/>
    <cellStyle name="Accent5 173" xfId="0"/>
    <cellStyle name="Accent5 174" xfId="0"/>
    <cellStyle name="Accent5 175" xfId="0"/>
    <cellStyle name="Accent5 176" xfId="0"/>
    <cellStyle name="Accent5 177" xfId="0"/>
    <cellStyle name="Accent5 178" xfId="0"/>
    <cellStyle name="Accent5 179" xfId="0"/>
    <cellStyle name="Accent5 18" xfId="0"/>
    <cellStyle name="Accent5 18 2" xfId="0"/>
    <cellStyle name="Accent5 18 2 2" xfId="0"/>
    <cellStyle name="Accent5 180" xfId="0"/>
    <cellStyle name="Accent5 181" xfId="0"/>
    <cellStyle name="Accent5 182" xfId="0"/>
    <cellStyle name="Accent5 183" xfId="0"/>
    <cellStyle name="Accent5 184" xfId="0"/>
    <cellStyle name="Accent5 185" xfId="0"/>
    <cellStyle name="Accent5 186" xfId="0"/>
    <cellStyle name="Accent5 187" xfId="0"/>
    <cellStyle name="Accent5 188" xfId="0"/>
    <cellStyle name="Accent5 189" xfId="0"/>
    <cellStyle name="Accent5 19" xfId="0"/>
    <cellStyle name="Accent5 19 2" xfId="0"/>
    <cellStyle name="Accent5 19 2 2" xfId="0"/>
    <cellStyle name="Accent5 190" xfId="0"/>
    <cellStyle name="Accent5 191" xfId="0"/>
    <cellStyle name="Accent5 192" xfId="0"/>
    <cellStyle name="Accent5 193" xfId="0"/>
    <cellStyle name="Accent5 194" xfId="0"/>
    <cellStyle name="Accent5 195" xfId="0"/>
    <cellStyle name="Accent5 196" xfId="0"/>
    <cellStyle name="Accent5 197" xfId="0"/>
    <cellStyle name="Accent5 198" xfId="0"/>
    <cellStyle name="Accent5 199" xfId="0"/>
    <cellStyle name="Accent5 2" xfId="0"/>
    <cellStyle name="Accent5 2 2" xfId="0"/>
    <cellStyle name="Accent5 2 2 2" xfId="0"/>
    <cellStyle name="Accent5 2 2 3" xfId="0"/>
    <cellStyle name="Accent5 2 3" xfId="0"/>
    <cellStyle name="Accent5 2 3 2" xfId="0"/>
    <cellStyle name="Accent5 2 3 3" xfId="0"/>
    <cellStyle name="Accent5 2 4" xfId="0"/>
    <cellStyle name="Accent5 2 4 2" xfId="0"/>
    <cellStyle name="Accent5 2 5" xfId="0"/>
    <cellStyle name="Accent5 2 5 2" xfId="0"/>
    <cellStyle name="Accent5 2 6" xfId="0"/>
    <cellStyle name="Accent5 20" xfId="0"/>
    <cellStyle name="Accent5 20 2" xfId="0"/>
    <cellStyle name="Accent5 20 2 2" xfId="0"/>
    <cellStyle name="Accent5 200" xfId="0"/>
    <cellStyle name="Accent5 201" xfId="0"/>
    <cellStyle name="Accent5 202" xfId="0"/>
    <cellStyle name="Accent5 203" xfId="0"/>
    <cellStyle name="Accent5 204" xfId="0"/>
    <cellStyle name="Accent5 205" xfId="0"/>
    <cellStyle name="Accent5 206" xfId="0"/>
    <cellStyle name="Accent5 207" xfId="0"/>
    <cellStyle name="Accent5 208" xfId="0"/>
    <cellStyle name="Accent5 209" xfId="0"/>
    <cellStyle name="Accent5 21" xfId="0"/>
    <cellStyle name="Accent5 21 2" xfId="0"/>
    <cellStyle name="Accent5 21 2 2" xfId="0"/>
    <cellStyle name="Accent5 210" xfId="0"/>
    <cellStyle name="Accent5 211" xfId="0"/>
    <cellStyle name="Accent5 212" xfId="0"/>
    <cellStyle name="Accent5 213" xfId="0"/>
    <cellStyle name="Accent5 214" xfId="0"/>
    <cellStyle name="Accent5 215" xfId="0"/>
    <cellStyle name="Accent5 216" xfId="0"/>
    <cellStyle name="Accent5 217" xfId="0"/>
    <cellStyle name="Accent5 218" xfId="0"/>
    <cellStyle name="Accent5 219" xfId="0"/>
    <cellStyle name="Accent5 22" xfId="0"/>
    <cellStyle name="Accent5 22 2" xfId="0"/>
    <cellStyle name="Accent5 22 2 2" xfId="0"/>
    <cellStyle name="Accent5 220" xfId="0"/>
    <cellStyle name="Accent5 221" xfId="0"/>
    <cellStyle name="Accent5 222" xfId="0"/>
    <cellStyle name="Accent5 223" xfId="0"/>
    <cellStyle name="Accent5 224" xfId="0"/>
    <cellStyle name="Accent5 225" xfId="0"/>
    <cellStyle name="Accent5 226" xfId="0"/>
    <cellStyle name="Accent5 227" xfId="0"/>
    <cellStyle name="Accent5 228" xfId="0"/>
    <cellStyle name="Accent5 229" xfId="0"/>
    <cellStyle name="Accent5 23" xfId="0"/>
    <cellStyle name="Accent5 23 2" xfId="0"/>
    <cellStyle name="Accent5 23 2 2" xfId="0"/>
    <cellStyle name="Accent5 230" xfId="0"/>
    <cellStyle name="Accent5 231" xfId="0"/>
    <cellStyle name="Accent5 232" xfId="0"/>
    <cellStyle name="Accent5 233" xfId="0"/>
    <cellStyle name="Accent5 234" xfId="0"/>
    <cellStyle name="Accent5 235" xfId="0"/>
    <cellStyle name="Accent5 236" xfId="0"/>
    <cellStyle name="Accent5 237" xfId="0"/>
    <cellStyle name="Accent5 238" xfId="0"/>
    <cellStyle name="Accent5 239" xfId="0"/>
    <cellStyle name="Accent5 24" xfId="0"/>
    <cellStyle name="Accent5 24 2" xfId="0"/>
    <cellStyle name="Accent5 24 2 2" xfId="0"/>
    <cellStyle name="Accent5 240" xfId="0"/>
    <cellStyle name="Accent5 241" xfId="0"/>
    <cellStyle name="Accent5 242" xfId="0"/>
    <cellStyle name="Accent5 243" xfId="0"/>
    <cellStyle name="Accent5 244" xfId="0"/>
    <cellStyle name="Accent5 245" xfId="0"/>
    <cellStyle name="Accent5 246" xfId="0"/>
    <cellStyle name="Accent5 247" xfId="0"/>
    <cellStyle name="Accent5 248" xfId="0"/>
    <cellStyle name="Accent5 249" xfId="0"/>
    <cellStyle name="Accent5 25" xfId="0"/>
    <cellStyle name="Accent5 25 2" xfId="0"/>
    <cellStyle name="Accent5 25 2 2" xfId="0"/>
    <cellStyle name="Accent5 250" xfId="0"/>
    <cellStyle name="Accent5 251" xfId="0"/>
    <cellStyle name="Accent5 252" xfId="0"/>
    <cellStyle name="Accent5 253" xfId="0"/>
    <cellStyle name="Accent5 254" xfId="0"/>
    <cellStyle name="Accent5 255" xfId="0"/>
    <cellStyle name="Accent5 256" xfId="0"/>
    <cellStyle name="Accent5 257" xfId="0"/>
    <cellStyle name="Accent5 258" xfId="0"/>
    <cellStyle name="Accent5 259" xfId="0"/>
    <cellStyle name="Accent5 26" xfId="0"/>
    <cellStyle name="Accent5 26 2" xfId="0"/>
    <cellStyle name="Accent5 26 2 2" xfId="0"/>
    <cellStyle name="Accent5 260" xfId="0"/>
    <cellStyle name="Accent5 261" xfId="0"/>
    <cellStyle name="Accent5 262" xfId="0"/>
    <cellStyle name="Accent5 263" xfId="0"/>
    <cellStyle name="Accent5 264" xfId="0"/>
    <cellStyle name="Accent5 265" xfId="0"/>
    <cellStyle name="Accent5 266" xfId="0"/>
    <cellStyle name="Accent5 267" xfId="0"/>
    <cellStyle name="Accent5 268" xfId="0"/>
    <cellStyle name="Accent5 269" xfId="0"/>
    <cellStyle name="Accent5 27" xfId="0"/>
    <cellStyle name="Accent5 27 2" xfId="0"/>
    <cellStyle name="Accent5 27 2 2" xfId="0"/>
    <cellStyle name="Accent5 270" xfId="0"/>
    <cellStyle name="Accent5 271" xfId="0"/>
    <cellStyle name="Accent5 272" xfId="0"/>
    <cellStyle name="Accent5 273" xfId="0"/>
    <cellStyle name="Accent5 274" xfId="0"/>
    <cellStyle name="Accent5 275" xfId="0"/>
    <cellStyle name="Accent5 28" xfId="0"/>
    <cellStyle name="Accent5 28 2" xfId="0"/>
    <cellStyle name="Accent5 28 2 2" xfId="0"/>
    <cellStyle name="Accent5 29" xfId="0"/>
    <cellStyle name="Accent5 29 2" xfId="0"/>
    <cellStyle name="Accent5 29 2 2" xfId="0"/>
    <cellStyle name="Accent5 2_Market Fresh Cost" xfId="0"/>
    <cellStyle name="Accent5 3" xfId="0"/>
    <cellStyle name="Accent5 3 2" xfId="0"/>
    <cellStyle name="Accent5 3 2 2" xfId="0"/>
    <cellStyle name="Accent5 3 2 3" xfId="0"/>
    <cellStyle name="Accent5 3 3" xfId="0"/>
    <cellStyle name="Accent5 3 3 2" xfId="0"/>
    <cellStyle name="Accent5 3 4" xfId="0"/>
    <cellStyle name="Accent5 3 4 2" xfId="0"/>
    <cellStyle name="Accent5 3 5" xfId="0"/>
    <cellStyle name="Accent5 3 5 2" xfId="0"/>
    <cellStyle name="Accent5 3 6" xfId="0"/>
    <cellStyle name="Accent5 30" xfId="0"/>
    <cellStyle name="Accent5 30 2" xfId="0"/>
    <cellStyle name="Accent5 30 2 2" xfId="0"/>
    <cellStyle name="Accent5 31" xfId="0"/>
    <cellStyle name="Accent5 31 2" xfId="0"/>
    <cellStyle name="Accent5 31 2 2" xfId="0"/>
    <cellStyle name="Accent5 32" xfId="0"/>
    <cellStyle name="Accent5 32 2" xfId="0"/>
    <cellStyle name="Accent5 32 2 2" xfId="0"/>
    <cellStyle name="Accent5 33" xfId="0"/>
    <cellStyle name="Accent5 33 2" xfId="0"/>
    <cellStyle name="Accent5 33 2 2" xfId="0"/>
    <cellStyle name="Accent5 34" xfId="0"/>
    <cellStyle name="Accent5 34 2" xfId="0"/>
    <cellStyle name="Accent5 34 2 2" xfId="0"/>
    <cellStyle name="Accent5 35" xfId="0"/>
    <cellStyle name="Accent5 35 2" xfId="0"/>
    <cellStyle name="Accent5 35 2 2" xfId="0"/>
    <cellStyle name="Accent5 36" xfId="0"/>
    <cellStyle name="Accent5 36 2" xfId="0"/>
    <cellStyle name="Accent5 36 3" xfId="0"/>
    <cellStyle name="Accent5 37" xfId="0"/>
    <cellStyle name="Accent5 37 2" xfId="0"/>
    <cellStyle name="Accent5 37 3" xfId="0"/>
    <cellStyle name="Accent5 38" xfId="0"/>
    <cellStyle name="Accent5 38 2" xfId="0"/>
    <cellStyle name="Accent5 38 3" xfId="0"/>
    <cellStyle name="Accent5 39" xfId="0"/>
    <cellStyle name="Accent5 39 2" xfId="0"/>
    <cellStyle name="Accent5 39 3" xfId="0"/>
    <cellStyle name="Accent5 3_Profitability Detail NT$ Sep-12" xfId="0"/>
    <cellStyle name="Accent5 4" xfId="0"/>
    <cellStyle name="Accent5 4 2" xfId="0"/>
    <cellStyle name="Accent5 4 2 2" xfId="0"/>
    <cellStyle name="Accent5 4 2 3" xfId="0"/>
    <cellStyle name="Accent5 4 3" xfId="0"/>
    <cellStyle name="Accent5 4 3 2" xfId="0"/>
    <cellStyle name="Accent5 4 4" xfId="0"/>
    <cellStyle name="Accent5 4 4 2" xfId="0"/>
    <cellStyle name="Accent5 4 5" xfId="0"/>
    <cellStyle name="Accent5 4 5 2" xfId="0"/>
    <cellStyle name="Accent5 4 6" xfId="0"/>
    <cellStyle name="Accent5 40" xfId="0"/>
    <cellStyle name="Accent5 40 2" xfId="0"/>
    <cellStyle name="Accent5 40 3" xfId="0"/>
    <cellStyle name="Accent5 41" xfId="0"/>
    <cellStyle name="Accent5 41 2" xfId="0"/>
    <cellStyle name="Accent5 41 3" xfId="0"/>
    <cellStyle name="Accent5 42" xfId="0"/>
    <cellStyle name="Accent5 42 2" xfId="0"/>
    <cellStyle name="Accent5 42 3" xfId="0"/>
    <cellStyle name="Accent5 43" xfId="0"/>
    <cellStyle name="Accent5 43 2" xfId="0"/>
    <cellStyle name="Accent5 43 3" xfId="0"/>
    <cellStyle name="Accent5 44" xfId="0"/>
    <cellStyle name="Accent5 44 2" xfId="0"/>
    <cellStyle name="Accent5 45" xfId="0"/>
    <cellStyle name="Accent5 45 2" xfId="0"/>
    <cellStyle name="Accent5 46" xfId="0"/>
    <cellStyle name="Accent5 46 2" xfId="0"/>
    <cellStyle name="Accent5 47" xfId="0"/>
    <cellStyle name="Accent5 47 2" xfId="0"/>
    <cellStyle name="Accent5 48" xfId="0"/>
    <cellStyle name="Accent5 48 2" xfId="0"/>
    <cellStyle name="Accent5 49" xfId="0"/>
    <cellStyle name="Accent5 49 2" xfId="0"/>
    <cellStyle name="Accent5 4_Profitability Detail NT$ Sep-12" xfId="0"/>
    <cellStyle name="Accent5 5" xfId="0"/>
    <cellStyle name="Accent5 5 2" xfId="0"/>
    <cellStyle name="Accent5 5 2 2" xfId="0"/>
    <cellStyle name="Accent5 50" xfId="0"/>
    <cellStyle name="Accent5 50 2" xfId="0"/>
    <cellStyle name="Accent5 51" xfId="0"/>
    <cellStyle name="Accent5 51 2" xfId="0"/>
    <cellStyle name="Accent5 52" xfId="0"/>
    <cellStyle name="Accent5 52 2" xfId="0"/>
    <cellStyle name="Accent5 53" xfId="0"/>
    <cellStyle name="Accent5 53 2" xfId="0"/>
    <cellStyle name="Accent5 54" xfId="0"/>
    <cellStyle name="Accent5 54 2" xfId="0"/>
    <cellStyle name="Accent5 55" xfId="0"/>
    <cellStyle name="Accent5 56" xfId="0"/>
    <cellStyle name="Accent5 56 2" xfId="0"/>
    <cellStyle name="Accent5 57" xfId="0"/>
    <cellStyle name="Accent5 57 2" xfId="0"/>
    <cellStyle name="Accent5 58" xfId="0"/>
    <cellStyle name="Accent5 58 2" xfId="0"/>
    <cellStyle name="Accent5 59" xfId="0"/>
    <cellStyle name="Accent5 59 2" xfId="0"/>
    <cellStyle name="Accent5 6" xfId="0"/>
    <cellStyle name="Accent5 6 2" xfId="0"/>
    <cellStyle name="Accent5 6 2 2" xfId="0"/>
    <cellStyle name="Accent5 60" xfId="0"/>
    <cellStyle name="Accent5 60 2" xfId="0"/>
    <cellStyle name="Accent5 61" xfId="0"/>
    <cellStyle name="Accent5 61 2" xfId="0"/>
    <cellStyle name="Accent5 62" xfId="0"/>
    <cellStyle name="Accent5 62 2" xfId="0"/>
    <cellStyle name="Accent5 63" xfId="0"/>
    <cellStyle name="Accent5 63 2" xfId="0"/>
    <cellStyle name="Accent5 64" xfId="0"/>
    <cellStyle name="Accent5 64 2" xfId="0"/>
    <cellStyle name="Accent5 65" xfId="0"/>
    <cellStyle name="Accent5 65 2" xfId="0"/>
    <cellStyle name="Accent5 66" xfId="0"/>
    <cellStyle name="Accent5 66 2" xfId="0"/>
    <cellStyle name="Accent5 67" xfId="0"/>
    <cellStyle name="Accent5 67 2" xfId="0"/>
    <cellStyle name="Accent5 68" xfId="0"/>
    <cellStyle name="Accent5 68 2" xfId="0"/>
    <cellStyle name="Accent5 69" xfId="0"/>
    <cellStyle name="Accent5 69 2" xfId="0"/>
    <cellStyle name="Accent5 7" xfId="0"/>
    <cellStyle name="Accent5 7 2" xfId="0"/>
    <cellStyle name="Accent5 7 2 2" xfId="0"/>
    <cellStyle name="Accent5 70" xfId="0"/>
    <cellStyle name="Accent5 70 2" xfId="0"/>
    <cellStyle name="Accent5 71" xfId="0"/>
    <cellStyle name="Accent5 71 2" xfId="0"/>
    <cellStyle name="Accent5 72" xfId="0"/>
    <cellStyle name="Accent5 72 2" xfId="0"/>
    <cellStyle name="Accent5 73" xfId="0"/>
    <cellStyle name="Accent5 74" xfId="0"/>
    <cellStyle name="Accent5 75" xfId="0"/>
    <cellStyle name="Accent5 76" xfId="0"/>
    <cellStyle name="Accent5 77" xfId="0"/>
    <cellStyle name="Accent5 78" xfId="0"/>
    <cellStyle name="Accent5 79" xfId="0"/>
    <cellStyle name="Accent5 8" xfId="0"/>
    <cellStyle name="Accent5 8 2" xfId="0"/>
    <cellStyle name="Accent5 8 2 2" xfId="0"/>
    <cellStyle name="Accent5 80" xfId="0"/>
    <cellStyle name="Accent5 81" xfId="0"/>
    <cellStyle name="Accent5 82" xfId="0"/>
    <cellStyle name="Accent5 83" xfId="0"/>
    <cellStyle name="Accent5 84" xfId="0"/>
    <cellStyle name="Accent5 85" xfId="0"/>
    <cellStyle name="Accent5 86" xfId="0"/>
    <cellStyle name="Accent5 87" xfId="0"/>
    <cellStyle name="Accent5 88" xfId="0"/>
    <cellStyle name="Accent5 89" xfId="0"/>
    <cellStyle name="Accent5 9" xfId="0"/>
    <cellStyle name="Accent5 9 2" xfId="0"/>
    <cellStyle name="Accent5 9 2 2" xfId="0"/>
    <cellStyle name="Accent5 90" xfId="0"/>
    <cellStyle name="Accent5 91" xfId="0"/>
    <cellStyle name="Accent5 92" xfId="0"/>
    <cellStyle name="Accent5 93" xfId="0"/>
    <cellStyle name="Accent5 94" xfId="0"/>
    <cellStyle name="Accent5 95" xfId="0"/>
    <cellStyle name="Accent5 96" xfId="0"/>
    <cellStyle name="Accent5 97" xfId="0"/>
    <cellStyle name="Accent5 98" xfId="0"/>
    <cellStyle name="Accent5 99" xfId="0"/>
    <cellStyle name="Accent5_13-wk VSA_Revised" xfId="0"/>
    <cellStyle name="Accent6" xfId="0"/>
    <cellStyle name="Accent6 - 20%" xfId="0"/>
    <cellStyle name="Accent6 - 20% 2" xfId="0"/>
    <cellStyle name="Accent6 - 20% 2 2" xfId="0"/>
    <cellStyle name="Accent6 - 20% 2_Market Fresh Cost" xfId="0"/>
    <cellStyle name="Accent6 - 20% 3" xfId="0"/>
    <cellStyle name="Accent6 - 20% 3 2" xfId="0"/>
    <cellStyle name="Accent6 - 20% 4" xfId="0"/>
    <cellStyle name="Accent6 - 20% 5" xfId="0"/>
    <cellStyle name="Accent6 - 20% 6" xfId="0"/>
    <cellStyle name="Accent6 - 20% 7" xfId="0"/>
    <cellStyle name="Accent6 - 20%_Market Fresh Cost" xfId="0"/>
    <cellStyle name="Accent6 - 40%" xfId="0"/>
    <cellStyle name="Accent6 - 40% 2" xfId="0"/>
    <cellStyle name="Accent6 - 40% 2 2" xfId="0"/>
    <cellStyle name="Accent6 - 40% 2_Market Fresh Cost" xfId="0"/>
    <cellStyle name="Accent6 - 40% 3" xfId="0"/>
    <cellStyle name="Accent6 - 40% 3 2" xfId="0"/>
    <cellStyle name="Accent6 - 40% 4" xfId="0"/>
    <cellStyle name="Accent6 - 40% 5" xfId="0"/>
    <cellStyle name="Accent6 - 40% 6" xfId="0"/>
    <cellStyle name="Accent6 - 40% 7" xfId="0"/>
    <cellStyle name="Accent6 - 40%_Market Fresh Cost" xfId="0"/>
    <cellStyle name="Accent6 - 60%" xfId="0"/>
    <cellStyle name="Accent6 - 60% 2" xfId="0"/>
    <cellStyle name="Accent6 - 60% 2 2" xfId="0"/>
    <cellStyle name="Accent6 - 60% 2_Market Fresh Cost" xfId="0"/>
    <cellStyle name="Accent6 - 60% 3" xfId="0"/>
    <cellStyle name="Accent6 - 60% 3 2" xfId="0"/>
    <cellStyle name="Accent6 - 60% 4" xfId="0"/>
    <cellStyle name="Accent6 - 60% 5" xfId="0"/>
    <cellStyle name="Accent6 - 60% 6" xfId="0"/>
    <cellStyle name="Accent6 - 60% 7" xfId="0"/>
    <cellStyle name="Accent6 - 60% 8" xfId="0"/>
    <cellStyle name="Accent6 - 60%_LCD" xfId="0"/>
    <cellStyle name="Accent6 10" xfId="0"/>
    <cellStyle name="Accent6 10 2" xfId="0"/>
    <cellStyle name="Accent6 10 2 2" xfId="0"/>
    <cellStyle name="Accent6 10 3" xfId="0"/>
    <cellStyle name="Accent6 10 4" xfId="0"/>
    <cellStyle name="Accent6 100" xfId="0"/>
    <cellStyle name="Accent6 101" xfId="0"/>
    <cellStyle name="Accent6 102" xfId="0"/>
    <cellStyle name="Accent6 103" xfId="0"/>
    <cellStyle name="Accent6 104" xfId="0"/>
    <cellStyle name="Accent6 105" xfId="0"/>
    <cellStyle name="Accent6 106" xfId="0"/>
    <cellStyle name="Accent6 107" xfId="0"/>
    <cellStyle name="Accent6 108" xfId="0"/>
    <cellStyle name="Accent6 109" xfId="0"/>
    <cellStyle name="Accent6 11" xfId="0"/>
    <cellStyle name="Accent6 11 2" xfId="0"/>
    <cellStyle name="Accent6 11 2 2" xfId="0"/>
    <cellStyle name="Accent6 11 3" xfId="0"/>
    <cellStyle name="Accent6 11 4" xfId="0"/>
    <cellStyle name="Accent6 110" xfId="0"/>
    <cellStyle name="Accent6 111" xfId="0"/>
    <cellStyle name="Accent6 112" xfId="0"/>
    <cellStyle name="Accent6 113" xfId="0"/>
    <cellStyle name="Accent6 114" xfId="0"/>
    <cellStyle name="Accent6 115" xfId="0"/>
    <cellStyle name="Accent6 116" xfId="0"/>
    <cellStyle name="Accent6 117" xfId="0"/>
    <cellStyle name="Accent6 118" xfId="0"/>
    <cellStyle name="Accent6 119" xfId="0"/>
    <cellStyle name="Accent6 12" xfId="0"/>
    <cellStyle name="Accent6 12 2" xfId="0"/>
    <cellStyle name="Accent6 12 2 2" xfId="0"/>
    <cellStyle name="Accent6 12 3" xfId="0"/>
    <cellStyle name="Accent6 12 4" xfId="0"/>
    <cellStyle name="Accent6 120" xfId="0"/>
    <cellStyle name="Accent6 121" xfId="0"/>
    <cellStyle name="Accent6 122" xfId="0"/>
    <cellStyle name="Accent6 123" xfId="0"/>
    <cellStyle name="Accent6 124" xfId="0"/>
    <cellStyle name="Accent6 125" xfId="0"/>
    <cellStyle name="Accent6 126" xfId="0"/>
    <cellStyle name="Accent6 127" xfId="0"/>
    <cellStyle name="Accent6 128" xfId="0"/>
    <cellStyle name="Accent6 129" xfId="0"/>
    <cellStyle name="Accent6 13" xfId="0"/>
    <cellStyle name="Accent6 13 2" xfId="0"/>
    <cellStyle name="Accent6 13 2 2" xfId="0"/>
    <cellStyle name="Accent6 13 3" xfId="0"/>
    <cellStyle name="Accent6 13 4" xfId="0"/>
    <cellStyle name="Accent6 130" xfId="0"/>
    <cellStyle name="Accent6 131" xfId="0"/>
    <cellStyle name="Accent6 132" xfId="0"/>
    <cellStyle name="Accent6 133" xfId="0"/>
    <cellStyle name="Accent6 134" xfId="0"/>
    <cellStyle name="Accent6 135" xfId="0"/>
    <cellStyle name="Accent6 136" xfId="0"/>
    <cellStyle name="Accent6 137" xfId="0"/>
    <cellStyle name="Accent6 138" xfId="0"/>
    <cellStyle name="Accent6 139" xfId="0"/>
    <cellStyle name="Accent6 14" xfId="0"/>
    <cellStyle name="Accent6 14 2" xfId="0"/>
    <cellStyle name="Accent6 14 2 2" xfId="0"/>
    <cellStyle name="Accent6 14 3" xfId="0"/>
    <cellStyle name="Accent6 14 4" xfId="0"/>
    <cellStyle name="Accent6 140" xfId="0"/>
    <cellStyle name="Accent6 141" xfId="0"/>
    <cellStyle name="Accent6 142" xfId="0"/>
    <cellStyle name="Accent6 143" xfId="0"/>
    <cellStyle name="Accent6 144" xfId="0"/>
    <cellStyle name="Accent6 145" xfId="0"/>
    <cellStyle name="Accent6 146" xfId="0"/>
    <cellStyle name="Accent6 147" xfId="0"/>
    <cellStyle name="Accent6 148" xfId="0"/>
    <cellStyle name="Accent6 149" xfId="0"/>
    <cellStyle name="Accent6 15" xfId="0"/>
    <cellStyle name="Accent6 15 2" xfId="0"/>
    <cellStyle name="Accent6 15 2 2" xfId="0"/>
    <cellStyle name="Accent6 15 3" xfId="0"/>
    <cellStyle name="Accent6 15 4" xfId="0"/>
    <cellStyle name="Accent6 150" xfId="0"/>
    <cellStyle name="Accent6 151" xfId="0"/>
    <cellStyle name="Accent6 152" xfId="0"/>
    <cellStyle name="Accent6 153" xfId="0"/>
    <cellStyle name="Accent6 154" xfId="0"/>
    <cellStyle name="Accent6 155" xfId="0"/>
    <cellStyle name="Accent6 156" xfId="0"/>
    <cellStyle name="Accent6 157" xfId="0"/>
    <cellStyle name="Accent6 158" xfId="0"/>
    <cellStyle name="Accent6 159" xfId="0"/>
    <cellStyle name="Accent6 16" xfId="0"/>
    <cellStyle name="Accent6 16 2" xfId="0"/>
    <cellStyle name="Accent6 16 2 2" xfId="0"/>
    <cellStyle name="Accent6 16 3" xfId="0"/>
    <cellStyle name="Accent6 16 4" xfId="0"/>
    <cellStyle name="Accent6 160" xfId="0"/>
    <cellStyle name="Accent6 161" xfId="0"/>
    <cellStyle name="Accent6 162" xfId="0"/>
    <cellStyle name="Accent6 163" xfId="0"/>
    <cellStyle name="Accent6 164" xfId="0"/>
    <cellStyle name="Accent6 165" xfId="0"/>
    <cellStyle name="Accent6 166" xfId="0"/>
    <cellStyle name="Accent6 167" xfId="0"/>
    <cellStyle name="Accent6 168" xfId="0"/>
    <cellStyle name="Accent6 169" xfId="0"/>
    <cellStyle name="Accent6 17" xfId="0"/>
    <cellStyle name="Accent6 17 2" xfId="0"/>
    <cellStyle name="Accent6 17 2 2" xfId="0"/>
    <cellStyle name="Accent6 17 3" xfId="0"/>
    <cellStyle name="Accent6 17 4" xfId="0"/>
    <cellStyle name="Accent6 170" xfId="0"/>
    <cellStyle name="Accent6 171" xfId="0"/>
    <cellStyle name="Accent6 172" xfId="0"/>
    <cellStyle name="Accent6 173" xfId="0"/>
    <cellStyle name="Accent6 174" xfId="0"/>
    <cellStyle name="Accent6 175" xfId="0"/>
    <cellStyle name="Accent6 176" xfId="0"/>
    <cellStyle name="Accent6 177" xfId="0"/>
    <cellStyle name="Accent6 178" xfId="0"/>
    <cellStyle name="Accent6 179" xfId="0"/>
    <cellStyle name="Accent6 18" xfId="0"/>
    <cellStyle name="Accent6 18 2" xfId="0"/>
    <cellStyle name="Accent6 18 2 2" xfId="0"/>
    <cellStyle name="Accent6 18 3" xfId="0"/>
    <cellStyle name="Accent6 18 4" xfId="0"/>
    <cellStyle name="Accent6 180" xfId="0"/>
    <cellStyle name="Accent6 181" xfId="0"/>
    <cellStyle name="Accent6 182" xfId="0"/>
    <cellStyle name="Accent6 183" xfId="0"/>
    <cellStyle name="Accent6 184" xfId="0"/>
    <cellStyle name="Accent6 185" xfId="0"/>
    <cellStyle name="Accent6 186" xfId="0"/>
    <cellStyle name="Accent6 187" xfId="0"/>
    <cellStyle name="Accent6 188" xfId="0"/>
    <cellStyle name="Accent6 189" xfId="0"/>
    <cellStyle name="Accent6 19" xfId="0"/>
    <cellStyle name="Accent6 19 2" xfId="0"/>
    <cellStyle name="Accent6 19 2 2" xfId="0"/>
    <cellStyle name="Accent6 19 3" xfId="0"/>
    <cellStyle name="Accent6 19 4" xfId="0"/>
    <cellStyle name="Accent6 190" xfId="0"/>
    <cellStyle name="Accent6 191" xfId="0"/>
    <cellStyle name="Accent6 192" xfId="0"/>
    <cellStyle name="Accent6 193" xfId="0"/>
    <cellStyle name="Accent6 194" xfId="0"/>
    <cellStyle name="Accent6 195" xfId="0"/>
    <cellStyle name="Accent6 196" xfId="0"/>
    <cellStyle name="Accent6 197" xfId="0"/>
    <cellStyle name="Accent6 198" xfId="0"/>
    <cellStyle name="Accent6 199" xfId="0"/>
    <cellStyle name="Accent6 2" xfId="0"/>
    <cellStyle name="Accent6 2 2" xfId="0"/>
    <cellStyle name="Accent6 2 2 2" xfId="0"/>
    <cellStyle name="Accent6 2 2 2 2" xfId="0"/>
    <cellStyle name="Accent6 2 2 3" xfId="0"/>
    <cellStyle name="Accent6 2 3" xfId="0"/>
    <cellStyle name="Accent6 2 3 2" xfId="0"/>
    <cellStyle name="Accent6 2 3 3" xfId="0"/>
    <cellStyle name="Accent6 2 4" xfId="0"/>
    <cellStyle name="Accent6 2 4 2" xfId="0"/>
    <cellStyle name="Accent6 2 5" xfId="0"/>
    <cellStyle name="Accent6 2 5 2" xfId="0"/>
    <cellStyle name="Accent6 2 6" xfId="0"/>
    <cellStyle name="Accent6 2 7" xfId="0"/>
    <cellStyle name="Accent6 2 8" xfId="0"/>
    <cellStyle name="Accent6 20" xfId="0"/>
    <cellStyle name="Accent6 20 2" xfId="0"/>
    <cellStyle name="Accent6 20 2 2" xfId="0"/>
    <cellStyle name="Accent6 20 3" xfId="0"/>
    <cellStyle name="Accent6 20 4" xfId="0"/>
    <cellStyle name="Accent6 200" xfId="0"/>
    <cellStyle name="Accent6 201" xfId="0"/>
    <cellStyle name="Accent6 202" xfId="0"/>
    <cellStyle name="Accent6 203" xfId="0"/>
    <cellStyle name="Accent6 204" xfId="0"/>
    <cellStyle name="Accent6 205" xfId="0"/>
    <cellStyle name="Accent6 206" xfId="0"/>
    <cellStyle name="Accent6 207" xfId="0"/>
    <cellStyle name="Accent6 208" xfId="0"/>
    <cellStyle name="Accent6 209" xfId="0"/>
    <cellStyle name="Accent6 21" xfId="0"/>
    <cellStyle name="Accent6 21 2" xfId="0"/>
    <cellStyle name="Accent6 21 2 2" xfId="0"/>
    <cellStyle name="Accent6 21 3" xfId="0"/>
    <cellStyle name="Accent6 210" xfId="0"/>
    <cellStyle name="Accent6 211" xfId="0"/>
    <cellStyle name="Accent6 212" xfId="0"/>
    <cellStyle name="Accent6 213" xfId="0"/>
    <cellStyle name="Accent6 214" xfId="0"/>
    <cellStyle name="Accent6 215" xfId="0"/>
    <cellStyle name="Accent6 216" xfId="0"/>
    <cellStyle name="Accent6 217" xfId="0"/>
    <cellStyle name="Accent6 218" xfId="0"/>
    <cellStyle name="Accent6 219" xfId="0"/>
    <cellStyle name="Accent6 22" xfId="0"/>
    <cellStyle name="Accent6 22 2" xfId="0"/>
    <cellStyle name="Accent6 22 2 2" xfId="0"/>
    <cellStyle name="Accent6 22 3" xfId="0"/>
    <cellStyle name="Accent6 220" xfId="0"/>
    <cellStyle name="Accent6 221" xfId="0"/>
    <cellStyle name="Accent6 222" xfId="0"/>
    <cellStyle name="Accent6 223" xfId="0"/>
    <cellStyle name="Accent6 224" xfId="0"/>
    <cellStyle name="Accent6 225" xfId="0"/>
    <cellStyle name="Accent6 226" xfId="0"/>
    <cellStyle name="Accent6 227" xfId="0"/>
    <cellStyle name="Accent6 228" xfId="0"/>
    <cellStyle name="Accent6 229" xfId="0"/>
    <cellStyle name="Accent6 23" xfId="0"/>
    <cellStyle name="Accent6 23 2" xfId="0"/>
    <cellStyle name="Accent6 23 2 2" xfId="0"/>
    <cellStyle name="Accent6 23 3" xfId="0"/>
    <cellStyle name="Accent6 230" xfId="0"/>
    <cellStyle name="Accent6 231" xfId="0"/>
    <cellStyle name="Accent6 232" xfId="0"/>
    <cellStyle name="Accent6 233" xfId="0"/>
    <cellStyle name="Accent6 234" xfId="0"/>
    <cellStyle name="Accent6 235" xfId="0"/>
    <cellStyle name="Accent6 236" xfId="0"/>
    <cellStyle name="Accent6 237" xfId="0"/>
    <cellStyle name="Accent6 238" xfId="0"/>
    <cellStyle name="Accent6 239" xfId="0"/>
    <cellStyle name="Accent6 24" xfId="0"/>
    <cellStyle name="Accent6 24 2" xfId="0"/>
    <cellStyle name="Accent6 24 2 2" xfId="0"/>
    <cellStyle name="Accent6 240" xfId="0"/>
    <cellStyle name="Accent6 241" xfId="0"/>
    <cellStyle name="Accent6 242" xfId="0"/>
    <cellStyle name="Accent6 243" xfId="0"/>
    <cellStyle name="Accent6 244" xfId="0"/>
    <cellStyle name="Accent6 245" xfId="0"/>
    <cellStyle name="Accent6 246" xfId="0"/>
    <cellStyle name="Accent6 247" xfId="0"/>
    <cellStyle name="Accent6 248" xfId="0"/>
    <cellStyle name="Accent6 249" xfId="0"/>
    <cellStyle name="Accent6 25" xfId="0"/>
    <cellStyle name="Accent6 25 2" xfId="0"/>
    <cellStyle name="Accent6 25 2 2" xfId="0"/>
    <cellStyle name="Accent6 250" xfId="0"/>
    <cellStyle name="Accent6 251" xfId="0"/>
    <cellStyle name="Accent6 252" xfId="0"/>
    <cellStyle name="Accent6 253" xfId="0"/>
    <cellStyle name="Accent6 254" xfId="0"/>
    <cellStyle name="Accent6 255" xfId="0"/>
    <cellStyle name="Accent6 256" xfId="0"/>
    <cellStyle name="Accent6 257" xfId="0"/>
    <cellStyle name="Accent6 258" xfId="0"/>
    <cellStyle name="Accent6 259" xfId="0"/>
    <cellStyle name="Accent6 26" xfId="0"/>
    <cellStyle name="Accent6 26 2" xfId="0"/>
    <cellStyle name="Accent6 26 2 2" xfId="0"/>
    <cellStyle name="Accent6 26 3" xfId="0"/>
    <cellStyle name="Accent6 260" xfId="0"/>
    <cellStyle name="Accent6 261" xfId="0"/>
    <cellStyle name="Accent6 262" xfId="0"/>
    <cellStyle name="Accent6 263" xfId="0"/>
    <cellStyle name="Accent6 264" xfId="0"/>
    <cellStyle name="Accent6 265" xfId="0"/>
    <cellStyle name="Accent6 266" xfId="0"/>
    <cellStyle name="Accent6 267" xfId="0"/>
    <cellStyle name="Accent6 268" xfId="0"/>
    <cellStyle name="Accent6 269" xfId="0"/>
    <cellStyle name="Accent6 27" xfId="0"/>
    <cellStyle name="Accent6 27 2" xfId="0"/>
    <cellStyle name="Accent6 27 2 2" xfId="0"/>
    <cellStyle name="Accent6 27 3" xfId="0"/>
    <cellStyle name="Accent6 270" xfId="0"/>
    <cellStyle name="Accent6 271" xfId="0"/>
    <cellStyle name="Accent6 272" xfId="0"/>
    <cellStyle name="Accent6 273" xfId="0"/>
    <cellStyle name="Accent6 274" xfId="0"/>
    <cellStyle name="Accent6 275" xfId="0"/>
    <cellStyle name="Accent6 28" xfId="0"/>
    <cellStyle name="Accent6 28 2" xfId="0"/>
    <cellStyle name="Accent6 28 2 2" xfId="0"/>
    <cellStyle name="Accent6 28 3" xfId="0"/>
    <cellStyle name="Accent6 29" xfId="0"/>
    <cellStyle name="Accent6 29 2" xfId="0"/>
    <cellStyle name="Accent6 29 2 2" xfId="0"/>
    <cellStyle name="Accent6 29 3" xfId="0"/>
    <cellStyle name="Accent6 2_Market Fresh Cost" xfId="0"/>
    <cellStyle name="Accent6 3" xfId="0"/>
    <cellStyle name="Accent6 3 2" xfId="0"/>
    <cellStyle name="Accent6 3 2 2" xfId="0"/>
    <cellStyle name="Accent6 3 2 3" xfId="0"/>
    <cellStyle name="Accent6 3 3" xfId="0"/>
    <cellStyle name="Accent6 3 3 2" xfId="0"/>
    <cellStyle name="Accent6 3 3 3" xfId="0"/>
    <cellStyle name="Accent6 3 4" xfId="0"/>
    <cellStyle name="Accent6 3 4 2" xfId="0"/>
    <cellStyle name="Accent6 3 5" xfId="0"/>
    <cellStyle name="Accent6 3 5 2" xfId="0"/>
    <cellStyle name="Accent6 3 6" xfId="0"/>
    <cellStyle name="Accent6 3 7" xfId="0"/>
    <cellStyle name="Accent6 3 8" xfId="0"/>
    <cellStyle name="Accent6 30" xfId="0"/>
    <cellStyle name="Accent6 30 2" xfId="0"/>
    <cellStyle name="Accent6 30 2 2" xfId="0"/>
    <cellStyle name="Accent6 30 3" xfId="0"/>
    <cellStyle name="Accent6 31" xfId="0"/>
    <cellStyle name="Accent6 31 2" xfId="0"/>
    <cellStyle name="Accent6 31 2 2" xfId="0"/>
    <cellStyle name="Accent6 31 3" xfId="0"/>
    <cellStyle name="Accent6 32" xfId="0"/>
    <cellStyle name="Accent6 32 2" xfId="0"/>
    <cellStyle name="Accent6 32 2 2" xfId="0"/>
    <cellStyle name="Accent6 32 3" xfId="0"/>
    <cellStyle name="Accent6 33" xfId="0"/>
    <cellStyle name="Accent6 33 2" xfId="0"/>
    <cellStyle name="Accent6 33 2 2" xfId="0"/>
    <cellStyle name="Accent6 33 3" xfId="0"/>
    <cellStyle name="Accent6 34" xfId="0"/>
    <cellStyle name="Accent6 34 2" xfId="0"/>
    <cellStyle name="Accent6 34 2 2" xfId="0"/>
    <cellStyle name="Accent6 34 3" xfId="0"/>
    <cellStyle name="Accent6 35" xfId="0"/>
    <cellStyle name="Accent6 35 2" xfId="0"/>
    <cellStyle name="Accent6 35 2 2" xfId="0"/>
    <cellStyle name="Accent6 35 3" xfId="0"/>
    <cellStyle name="Accent6 36" xfId="0"/>
    <cellStyle name="Accent6 36 2" xfId="0"/>
    <cellStyle name="Accent6 36 3" xfId="0"/>
    <cellStyle name="Accent6 37" xfId="0"/>
    <cellStyle name="Accent6 37 2" xfId="0"/>
    <cellStyle name="Accent6 37 3" xfId="0"/>
    <cellStyle name="Accent6 38" xfId="0"/>
    <cellStyle name="Accent6 38 2" xfId="0"/>
    <cellStyle name="Accent6 38 3" xfId="0"/>
    <cellStyle name="Accent6 39" xfId="0"/>
    <cellStyle name="Accent6 39 2" xfId="0"/>
    <cellStyle name="Accent6 39 3" xfId="0"/>
    <cellStyle name="Accent6 3_Profitability Detail NT$ Sep-12" xfId="0"/>
    <cellStyle name="Accent6 4" xfId="0"/>
    <cellStyle name="Accent6 4 2" xfId="0"/>
    <cellStyle name="Accent6 4 2 2" xfId="0"/>
    <cellStyle name="Accent6 4 2 3" xfId="0"/>
    <cellStyle name="Accent6 4 3" xfId="0"/>
    <cellStyle name="Accent6 4 3 2" xfId="0"/>
    <cellStyle name="Accent6 4 3 3" xfId="0"/>
    <cellStyle name="Accent6 4 4" xfId="0"/>
    <cellStyle name="Accent6 4 4 2" xfId="0"/>
    <cellStyle name="Accent6 4 5" xfId="0"/>
    <cellStyle name="Accent6 4 5 2" xfId="0"/>
    <cellStyle name="Accent6 4 6" xfId="0"/>
    <cellStyle name="Accent6 4 7" xfId="0"/>
    <cellStyle name="Accent6 4 8" xfId="0"/>
    <cellStyle name="Accent6 40" xfId="0"/>
    <cellStyle name="Accent6 40 2" xfId="0"/>
    <cellStyle name="Accent6 40 3" xfId="0"/>
    <cellStyle name="Accent6 41" xfId="0"/>
    <cellStyle name="Accent6 41 2" xfId="0"/>
    <cellStyle name="Accent6 41 3" xfId="0"/>
    <cellStyle name="Accent6 42" xfId="0"/>
    <cellStyle name="Accent6 42 2" xfId="0"/>
    <cellStyle name="Accent6 42 3" xfId="0"/>
    <cellStyle name="Accent6 43" xfId="0"/>
    <cellStyle name="Accent6 43 2" xfId="0"/>
    <cellStyle name="Accent6 43 3" xfId="0"/>
    <cellStyle name="Accent6 44" xfId="0"/>
    <cellStyle name="Accent6 44 2" xfId="0"/>
    <cellStyle name="Accent6 45" xfId="0"/>
    <cellStyle name="Accent6 45 2" xfId="0"/>
    <cellStyle name="Accent6 46" xfId="0"/>
    <cellStyle name="Accent6 46 2" xfId="0"/>
    <cellStyle name="Accent6 47" xfId="0"/>
    <cellStyle name="Accent6 47 2" xfId="0"/>
    <cellStyle name="Accent6 48" xfId="0"/>
    <cellStyle name="Accent6 48 2" xfId="0"/>
    <cellStyle name="Accent6 49" xfId="0"/>
    <cellStyle name="Accent6 49 2" xfId="0"/>
    <cellStyle name="Accent6 4_Profitability Detail NT$ Sep-12" xfId="0"/>
    <cellStyle name="Accent6 5" xfId="0"/>
    <cellStyle name="Accent6 5 2" xfId="0"/>
    <cellStyle name="Accent6 5 3" xfId="0"/>
    <cellStyle name="Accent6 5 4" xfId="0"/>
    <cellStyle name="Accent6 50" xfId="0"/>
    <cellStyle name="Accent6 50 2" xfId="0"/>
    <cellStyle name="Accent6 51" xfId="0"/>
    <cellStyle name="Accent6 51 2" xfId="0"/>
    <cellStyle name="Accent6 52" xfId="0"/>
    <cellStyle name="Accent6 52 2" xfId="0"/>
    <cellStyle name="Accent6 53" xfId="0"/>
    <cellStyle name="Accent6 53 2" xfId="0"/>
    <cellStyle name="Accent6 54" xfId="0"/>
    <cellStyle name="Accent6 54 2" xfId="0"/>
    <cellStyle name="Accent6 55" xfId="0"/>
    <cellStyle name="Accent6 56" xfId="0"/>
    <cellStyle name="Accent6 56 2" xfId="0"/>
    <cellStyle name="Accent6 57" xfId="0"/>
    <cellStyle name="Accent6 57 2" xfId="0"/>
    <cellStyle name="Accent6 58" xfId="0"/>
    <cellStyle name="Accent6 58 2" xfId="0"/>
    <cellStyle name="Accent6 59" xfId="0"/>
    <cellStyle name="Accent6 59 2" xfId="0"/>
    <cellStyle name="Accent6 6" xfId="0"/>
    <cellStyle name="Accent6 6 2" xfId="0"/>
    <cellStyle name="Accent6 6 3" xfId="0"/>
    <cellStyle name="Accent6 6 4" xfId="0"/>
    <cellStyle name="Accent6 60" xfId="0"/>
    <cellStyle name="Accent6 60 2" xfId="0"/>
    <cellStyle name="Accent6 61" xfId="0"/>
    <cellStyle name="Accent6 61 2" xfId="0"/>
    <cellStyle name="Accent6 62" xfId="0"/>
    <cellStyle name="Accent6 62 2" xfId="0"/>
    <cellStyle name="Accent6 63" xfId="0"/>
    <cellStyle name="Accent6 63 2" xfId="0"/>
    <cellStyle name="Accent6 64" xfId="0"/>
    <cellStyle name="Accent6 64 2" xfId="0"/>
    <cellStyle name="Accent6 65" xfId="0"/>
    <cellStyle name="Accent6 65 2" xfId="0"/>
    <cellStyle name="Accent6 66" xfId="0"/>
    <cellStyle name="Accent6 66 2" xfId="0"/>
    <cellStyle name="Accent6 67" xfId="0"/>
    <cellStyle name="Accent6 67 2" xfId="0"/>
    <cellStyle name="Accent6 68" xfId="0"/>
    <cellStyle name="Accent6 68 2" xfId="0"/>
    <cellStyle name="Accent6 69" xfId="0"/>
    <cellStyle name="Accent6 69 2" xfId="0"/>
    <cellStyle name="Accent6 7" xfId="0"/>
    <cellStyle name="Accent6 7 2" xfId="0"/>
    <cellStyle name="Accent6 7 3" xfId="0"/>
    <cellStyle name="Accent6 7 4" xfId="0"/>
    <cellStyle name="Accent6 70" xfId="0"/>
    <cellStyle name="Accent6 70 2" xfId="0"/>
    <cellStyle name="Accent6 71" xfId="0"/>
    <cellStyle name="Accent6 71 2" xfId="0"/>
    <cellStyle name="Accent6 72" xfId="0"/>
    <cellStyle name="Accent6 72 2" xfId="0"/>
    <cellStyle name="Accent6 73" xfId="0"/>
    <cellStyle name="Accent6 74" xfId="0"/>
    <cellStyle name="Accent6 75" xfId="0"/>
    <cellStyle name="Accent6 76" xfId="0"/>
    <cellStyle name="Accent6 77" xfId="0"/>
    <cellStyle name="Accent6 78" xfId="0"/>
    <cellStyle name="Accent6 79" xfId="0"/>
    <cellStyle name="Accent6 8" xfId="0"/>
    <cellStyle name="Accent6 8 2" xfId="0"/>
    <cellStyle name="Accent6 8 3" xfId="0"/>
    <cellStyle name="Accent6 8 4" xfId="0"/>
    <cellStyle name="Accent6 80" xfId="0"/>
    <cellStyle name="Accent6 81" xfId="0"/>
    <cellStyle name="Accent6 82" xfId="0"/>
    <cellStyle name="Accent6 83" xfId="0"/>
    <cellStyle name="Accent6 84" xfId="0"/>
    <cellStyle name="Accent6 85" xfId="0"/>
    <cellStyle name="Accent6 86" xfId="0"/>
    <cellStyle name="Accent6 87" xfId="0"/>
    <cellStyle name="Accent6 88" xfId="0"/>
    <cellStyle name="Accent6 89" xfId="0"/>
    <cellStyle name="Accent6 9" xfId="0"/>
    <cellStyle name="Accent6 9 2" xfId="0"/>
    <cellStyle name="Accent6 9 2 2" xfId="0"/>
    <cellStyle name="Accent6 9 3" xfId="0"/>
    <cellStyle name="Accent6 9 4" xfId="0"/>
    <cellStyle name="Accent6 90" xfId="0"/>
    <cellStyle name="Accent6 91" xfId="0"/>
    <cellStyle name="Accent6 92" xfId="0"/>
    <cellStyle name="Accent6 93" xfId="0"/>
    <cellStyle name="Accent6 94" xfId="0"/>
    <cellStyle name="Accent6 95" xfId="0"/>
    <cellStyle name="Accent6 96" xfId="0"/>
    <cellStyle name="Accent6 97" xfId="0"/>
    <cellStyle name="Accent6 98" xfId="0"/>
    <cellStyle name="Accent6 99" xfId="0"/>
    <cellStyle name="Accent6_13-wk VSA_Revised" xfId="0"/>
    <cellStyle name="Akzent1" xfId="0"/>
    <cellStyle name="Akzent1 2" xfId="0"/>
    <cellStyle name="Akzent2" xfId="0"/>
    <cellStyle name="Akzent2 2" xfId="0"/>
    <cellStyle name="Akzent3" xfId="0"/>
    <cellStyle name="Akzent3 2" xfId="0"/>
    <cellStyle name="Akzent4" xfId="0"/>
    <cellStyle name="Akzent4 2" xfId="0"/>
    <cellStyle name="Akzent5" xfId="0"/>
    <cellStyle name="Akzent5 2" xfId="0"/>
    <cellStyle name="Akzent6" xfId="0"/>
    <cellStyle name="Akzent6 2" xfId="0"/>
    <cellStyle name="args.style" xfId="0"/>
    <cellStyle name="args.style 2" xfId="0"/>
    <cellStyle name="args.style 2 2" xfId="0"/>
    <cellStyle name="args.style 3" xfId="0"/>
    <cellStyle name="args.style_Prod Line MTD" xfId="0"/>
    <cellStyle name="Ausgabe" xfId="0"/>
    <cellStyle name="Ausgabe 2" xfId="0"/>
    <cellStyle name="Bad 1" xfId="0"/>
    <cellStyle name="Bad 10" xfId="0"/>
    <cellStyle name="Bad 10 2" xfId="0"/>
    <cellStyle name="Bad 11" xfId="0"/>
    <cellStyle name="Bad 11 2" xfId="0"/>
    <cellStyle name="Bad 12" xfId="0"/>
    <cellStyle name="Bad 12 2" xfId="0"/>
    <cellStyle name="Bad 13" xfId="0"/>
    <cellStyle name="Bad 13 2" xfId="0"/>
    <cellStyle name="Bad 14" xfId="0"/>
    <cellStyle name="Bad 14 2" xfId="0"/>
    <cellStyle name="Bad 15" xfId="0"/>
    <cellStyle name="Bad 15 2" xfId="0"/>
    <cellStyle name="Bad 16" xfId="0"/>
    <cellStyle name="Bad 16 2" xfId="0"/>
    <cellStyle name="Bad 17" xfId="0"/>
    <cellStyle name="Bad 17 2" xfId="0"/>
    <cellStyle name="Bad 18" xfId="0"/>
    <cellStyle name="Bad 18 2" xfId="0"/>
    <cellStyle name="Bad 19" xfId="0"/>
    <cellStyle name="Bad 19 2" xfId="0"/>
    <cellStyle name="Bad 2" xfId="0"/>
    <cellStyle name="Bad 2 2" xfId="0"/>
    <cellStyle name="Bad 2 2 2" xfId="0"/>
    <cellStyle name="Bad 2 2 3" xfId="0"/>
    <cellStyle name="Bad 2 3" xfId="0"/>
    <cellStyle name="Bad 2 3 2" xfId="0"/>
    <cellStyle name="Bad 2 3 3" xfId="0"/>
    <cellStyle name="Bad 2 4" xfId="0"/>
    <cellStyle name="Bad 2 4 2" xfId="0"/>
    <cellStyle name="Bad 2 5" xfId="0"/>
    <cellStyle name="Bad 2 5 2" xfId="0"/>
    <cellStyle name="Bad 2 6" xfId="0"/>
    <cellStyle name="Bad 2 7" xfId="0"/>
    <cellStyle name="Bad 2 8" xfId="0"/>
    <cellStyle name="Bad 20" xfId="0"/>
    <cellStyle name="Bad 20 2" xfId="0"/>
    <cellStyle name="Bad 21" xfId="0"/>
    <cellStyle name="Bad 21 2" xfId="0"/>
    <cellStyle name="Bad 22" xfId="0"/>
    <cellStyle name="Bad 22 2" xfId="0"/>
    <cellStyle name="Bad 23" xfId="0"/>
    <cellStyle name="Bad 23 2" xfId="0"/>
    <cellStyle name="Bad 24" xfId="0"/>
    <cellStyle name="Bad 25" xfId="0"/>
    <cellStyle name="Bad 26" xfId="0"/>
    <cellStyle name="Bad 27" xfId="0"/>
    <cellStyle name="Bad 28" xfId="0"/>
    <cellStyle name="Bad 29" xfId="0"/>
    <cellStyle name="Bad 2_Profitability Detail NT$ Sep-12" xfId="0"/>
    <cellStyle name="Bad 3" xfId="0"/>
    <cellStyle name="Bad 3 2" xfId="0"/>
    <cellStyle name="Bad 3 2 2" xfId="0"/>
    <cellStyle name="Bad 3 3" xfId="0"/>
    <cellStyle name="Bad 3 3 2" xfId="0"/>
    <cellStyle name="Bad 3 4" xfId="0"/>
    <cellStyle name="Bad 3 4 2" xfId="0"/>
    <cellStyle name="Bad 3 5" xfId="0"/>
    <cellStyle name="Bad 3 5 2" xfId="0"/>
    <cellStyle name="Bad 3 6" xfId="0"/>
    <cellStyle name="Bad 3 7" xfId="0"/>
    <cellStyle name="Bad 30" xfId="0"/>
    <cellStyle name="Bad 31" xfId="0"/>
    <cellStyle name="Bad 32" xfId="0"/>
    <cellStyle name="Bad 33" xfId="0"/>
    <cellStyle name="Bad 34" xfId="0"/>
    <cellStyle name="Bad 35" xfId="0"/>
    <cellStyle name="Bad 3_Profitability Detail NT$ Sep-12" xfId="0"/>
    <cellStyle name="Bad 4" xfId="0"/>
    <cellStyle name="Bad 4 2" xfId="0"/>
    <cellStyle name="Bad 4 2 2" xfId="0"/>
    <cellStyle name="Bad 4 3" xfId="0"/>
    <cellStyle name="Bad 4 3 2" xfId="0"/>
    <cellStyle name="Bad 4 4" xfId="0"/>
    <cellStyle name="Bad 4 4 2" xfId="0"/>
    <cellStyle name="Bad 4 5" xfId="0"/>
    <cellStyle name="Bad 4 5 2" xfId="0"/>
    <cellStyle name="Bad 4 6" xfId="0"/>
    <cellStyle name="Bad 4 7" xfId="0"/>
    <cellStyle name="Bad 4_Profitability Detail NT$ Sep-12" xfId="0"/>
    <cellStyle name="Bad 5" xfId="0"/>
    <cellStyle name="Bad 5 2" xfId="0"/>
    <cellStyle name="Bad 5 3" xfId="0"/>
    <cellStyle name="Bad 5 4" xfId="0"/>
    <cellStyle name="Bad 6" xfId="0"/>
    <cellStyle name="Bad 6 2" xfId="0"/>
    <cellStyle name="Bad 6 3" xfId="0"/>
    <cellStyle name="Bad 7" xfId="0"/>
    <cellStyle name="Bad 7 2" xfId="0"/>
    <cellStyle name="Bad 8" xfId="0"/>
    <cellStyle name="Bad 8 2" xfId="0"/>
    <cellStyle name="Bad 9" xfId="0"/>
    <cellStyle name="Bad 9 2" xfId="0"/>
    <cellStyle name="Bad_13-wk VSA_Revised" xfId="0"/>
    <cellStyle name="Berechnung" xfId="0"/>
    <cellStyle name="Berechnung 2" xfId="0"/>
    <cellStyle name="Calc Currency (0)" xfId="0"/>
    <cellStyle name="Calc Currency (0) 2" xfId="0"/>
    <cellStyle name="Calc Currency (0)_090424 WMR_VSE (2)" xfId="0"/>
    <cellStyle name="Calc Currency (2)" xfId="0"/>
    <cellStyle name="Calc Percent (0)" xfId="0"/>
    <cellStyle name="Calc Percent (1)" xfId="0"/>
    <cellStyle name="Calc Percent (2)" xfId="0"/>
    <cellStyle name="Calc Units (0)" xfId="0"/>
    <cellStyle name="Calc Units (1)" xfId="0"/>
    <cellStyle name="Calc Units (2)" xfId="0"/>
    <cellStyle name="Calculation" xfId="0"/>
    <cellStyle name="Calculation 10" xfId="0"/>
    <cellStyle name="Calculation 10 2" xfId="0"/>
    <cellStyle name="Calculation 10 3" xfId="0"/>
    <cellStyle name="Calculation 11" xfId="0"/>
    <cellStyle name="Calculation 11 2" xfId="0"/>
    <cellStyle name="Calculation 12" xfId="0"/>
    <cellStyle name="Calculation 12 2" xfId="0"/>
    <cellStyle name="Calculation 13" xfId="0"/>
    <cellStyle name="Calculation 13 2" xfId="0"/>
    <cellStyle name="Calculation 14" xfId="0"/>
    <cellStyle name="Calculation 14 2" xfId="0"/>
    <cellStyle name="Calculation 15" xfId="0"/>
    <cellStyle name="Calculation 15 2" xfId="0"/>
    <cellStyle name="Calculation 16" xfId="0"/>
    <cellStyle name="Calculation 16 2" xfId="0"/>
    <cellStyle name="Calculation 17" xfId="0"/>
    <cellStyle name="Calculation 17 2" xfId="0"/>
    <cellStyle name="Calculation 18" xfId="0"/>
    <cellStyle name="Calculation 18 2" xfId="0"/>
    <cellStyle name="Calculation 19" xfId="0"/>
    <cellStyle name="Calculation 19 2" xfId="0"/>
    <cellStyle name="Calculation 2" xfId="0"/>
    <cellStyle name="Calculation 2 2" xfId="0"/>
    <cellStyle name="Calculation 2 2 2" xfId="0"/>
    <cellStyle name="Calculation 2 2 2 2" xfId="0"/>
    <cellStyle name="Calculation 2 2 3" xfId="0"/>
    <cellStyle name="Calculation 2 3" xfId="0"/>
    <cellStyle name="Calculation 2 3 2" xfId="0"/>
    <cellStyle name="Calculation 2 3 3" xfId="0"/>
    <cellStyle name="Calculation 2 4" xfId="0"/>
    <cellStyle name="Calculation 2 4 2" xfId="0"/>
    <cellStyle name="Calculation 2 5" xfId="0"/>
    <cellStyle name="Calculation 2 5 2" xfId="0"/>
    <cellStyle name="Calculation 2 6" xfId="0"/>
    <cellStyle name="Calculation 2 7" xfId="0"/>
    <cellStyle name="Calculation 2 8" xfId="0"/>
    <cellStyle name="Calculation 20" xfId="0"/>
    <cellStyle name="Calculation 20 2" xfId="0"/>
    <cellStyle name="Calculation 21" xfId="0"/>
    <cellStyle name="Calculation 21 2" xfId="0"/>
    <cellStyle name="Calculation 22" xfId="0"/>
    <cellStyle name="Calculation 22 2" xfId="0"/>
    <cellStyle name="Calculation 23" xfId="0"/>
    <cellStyle name="Calculation 23 2" xfId="0"/>
    <cellStyle name="Calculation 24" xfId="0"/>
    <cellStyle name="Calculation 25" xfId="0"/>
    <cellStyle name="Calculation 26" xfId="0"/>
    <cellStyle name="Calculation 27" xfId="0"/>
    <cellStyle name="Calculation 28" xfId="0"/>
    <cellStyle name="Calculation 29" xfId="0"/>
    <cellStyle name="Calculation 2_Market Fresh Cost" xfId="0"/>
    <cellStyle name="Calculation 3" xfId="0"/>
    <cellStyle name="Calculation 3 2" xfId="0"/>
    <cellStyle name="Calculation 3 2 2" xfId="0"/>
    <cellStyle name="Calculation 3 3" xfId="0"/>
    <cellStyle name="Calculation 3 3 2" xfId="0"/>
    <cellStyle name="Calculation 3 4" xfId="0"/>
    <cellStyle name="Calculation 3 4 2" xfId="0"/>
    <cellStyle name="Calculation 3 5" xfId="0"/>
    <cellStyle name="Calculation 3 5 2" xfId="0"/>
    <cellStyle name="Calculation 3 6" xfId="0"/>
    <cellStyle name="Calculation 3 7" xfId="0"/>
    <cellStyle name="Calculation 30" xfId="0"/>
    <cellStyle name="Calculation 31" xfId="0"/>
    <cellStyle name="Calculation 32" xfId="0"/>
    <cellStyle name="Calculation 33" xfId="0"/>
    <cellStyle name="Calculation 34" xfId="0"/>
    <cellStyle name="Calculation 35" xfId="0"/>
    <cellStyle name="Calculation 3_Profitability Detail NT$ Sep-12" xfId="0"/>
    <cellStyle name="Calculation 4" xfId="0"/>
    <cellStyle name="Calculation 4 2" xfId="0"/>
    <cellStyle name="Calculation 4 2 2" xfId="0"/>
    <cellStyle name="Calculation 4 3" xfId="0"/>
    <cellStyle name="Calculation 4 3 2" xfId="0"/>
    <cellStyle name="Calculation 4 4" xfId="0"/>
    <cellStyle name="Calculation 4 4 2" xfId="0"/>
    <cellStyle name="Calculation 4 5" xfId="0"/>
    <cellStyle name="Calculation 4 5 2" xfId="0"/>
    <cellStyle name="Calculation 4 6" xfId="0"/>
    <cellStyle name="Calculation 4 7" xfId="0"/>
    <cellStyle name="Calculation 4_Profitability Detail NT$ Sep-12" xfId="0"/>
    <cellStyle name="Calculation 5" xfId="0"/>
    <cellStyle name="Calculation 5 2" xfId="0"/>
    <cellStyle name="Calculation 5 3" xfId="0"/>
    <cellStyle name="Calculation 5 4" xfId="0"/>
    <cellStyle name="Calculation 6" xfId="0"/>
    <cellStyle name="Calculation 6 2" xfId="0"/>
    <cellStyle name="Calculation 6 3" xfId="0"/>
    <cellStyle name="Calculation 7" xfId="0"/>
    <cellStyle name="Calculation 7 2" xfId="0"/>
    <cellStyle name="Calculation 7 3" xfId="0"/>
    <cellStyle name="Calculation 8" xfId="0"/>
    <cellStyle name="Calculation 8 2" xfId="0"/>
    <cellStyle name="Calculation 8 3" xfId="0"/>
    <cellStyle name="Calculation 9" xfId="0"/>
    <cellStyle name="Calculation 9 2" xfId="0"/>
    <cellStyle name="Calculation 9 3" xfId="0"/>
    <cellStyle name="Calculation_13-wk VSA_Revised" xfId="0"/>
    <cellStyle name="Centered Heading" xfId="0"/>
    <cellStyle name="Centered Heading 2" xfId="0"/>
    <cellStyle name="Check Cell" xfId="0"/>
    <cellStyle name="Check Cell 10" xfId="0"/>
    <cellStyle name="Check Cell 10 2" xfId="0"/>
    <cellStyle name="Check Cell 10 3" xfId="0"/>
    <cellStyle name="Check Cell 11" xfId="0"/>
    <cellStyle name="Check Cell 11 2" xfId="0"/>
    <cellStyle name="Check Cell 12" xfId="0"/>
    <cellStyle name="Check Cell 12 2" xfId="0"/>
    <cellStyle name="Check Cell 13" xfId="0"/>
    <cellStyle name="Check Cell 13 2" xfId="0"/>
    <cellStyle name="Check Cell 14" xfId="0"/>
    <cellStyle name="Check Cell 14 2" xfId="0"/>
    <cellStyle name="Check Cell 15" xfId="0"/>
    <cellStyle name="Check Cell 15 2" xfId="0"/>
    <cellStyle name="Check Cell 16" xfId="0"/>
    <cellStyle name="Check Cell 16 2" xfId="0"/>
    <cellStyle name="Check Cell 17" xfId="0"/>
    <cellStyle name="Check Cell 17 2" xfId="0"/>
    <cellStyle name="Check Cell 18" xfId="0"/>
    <cellStyle name="Check Cell 18 2" xfId="0"/>
    <cellStyle name="Check Cell 19" xfId="0"/>
    <cellStyle name="Check Cell 19 2" xfId="0"/>
    <cellStyle name="Check Cell 2" xfId="0"/>
    <cellStyle name="Check Cell 2 10" xfId="0"/>
    <cellStyle name="Check Cell 2 2" xfId="0"/>
    <cellStyle name="Check Cell 2 2 2" xfId="0"/>
    <cellStyle name="Check Cell 2 2 3" xfId="0"/>
    <cellStyle name="Check Cell 2 2 4" xfId="0"/>
    <cellStyle name="Check Cell 2 2 5" xfId="0"/>
    <cellStyle name="Check Cell 2 2 6" xfId="0"/>
    <cellStyle name="Check Cell 2 2 7" xfId="0"/>
    <cellStyle name="Check Cell 2 2 8" xfId="0"/>
    <cellStyle name="Check Cell 2 3" xfId="0"/>
    <cellStyle name="Check Cell 2 3 2" xfId="0"/>
    <cellStyle name="Check Cell 2 3 3" xfId="0"/>
    <cellStyle name="Check Cell 2 4" xfId="0"/>
    <cellStyle name="Check Cell 2 4 2" xfId="0"/>
    <cellStyle name="Check Cell 2 5" xfId="0"/>
    <cellStyle name="Check Cell 2 5 2" xfId="0"/>
    <cellStyle name="Check Cell 2 6" xfId="0"/>
    <cellStyle name="Check Cell 2 6 2" xfId="0"/>
    <cellStyle name="Check Cell 2 7" xfId="0"/>
    <cellStyle name="Check Cell 2 8" xfId="0"/>
    <cellStyle name="Check Cell 2 9" xfId="0"/>
    <cellStyle name="Check Cell 20" xfId="0"/>
    <cellStyle name="Check Cell 20 2" xfId="0"/>
    <cellStyle name="Check Cell 21" xfId="0"/>
    <cellStyle name="Check Cell 21 2" xfId="0"/>
    <cellStyle name="Check Cell 22" xfId="0"/>
    <cellStyle name="Check Cell 22 2" xfId="0"/>
    <cellStyle name="Check Cell 23" xfId="0"/>
    <cellStyle name="Check Cell 23 2" xfId="0"/>
    <cellStyle name="Check Cell 24" xfId="0"/>
    <cellStyle name="Check Cell 25" xfId="0"/>
    <cellStyle name="Check Cell 26" xfId="0"/>
    <cellStyle name="Check Cell 27" xfId="0"/>
    <cellStyle name="Check Cell 28" xfId="0"/>
    <cellStyle name="Check Cell 29" xfId="0"/>
    <cellStyle name="Check Cell 2_Market Fresh Cost" xfId="0"/>
    <cellStyle name="Check Cell 3" xfId="0"/>
    <cellStyle name="Check Cell 3 10" xfId="0"/>
    <cellStyle name="Check Cell 3 2" xfId="0"/>
    <cellStyle name="Check Cell 3 2 2" xfId="0"/>
    <cellStyle name="Check Cell 3 2 3" xfId="0"/>
    <cellStyle name="Check Cell 3 2 4" xfId="0"/>
    <cellStyle name="Check Cell 3 2 5" xfId="0"/>
    <cellStyle name="Check Cell 3 2 6" xfId="0"/>
    <cellStyle name="Check Cell 3 2 7" xfId="0"/>
    <cellStyle name="Check Cell 3 3" xfId="0"/>
    <cellStyle name="Check Cell 3 3 2" xfId="0"/>
    <cellStyle name="Check Cell 3 4" xfId="0"/>
    <cellStyle name="Check Cell 3 4 2" xfId="0"/>
    <cellStyle name="Check Cell 3 5" xfId="0"/>
    <cellStyle name="Check Cell 3 5 2" xfId="0"/>
    <cellStyle name="Check Cell 3 6" xfId="0"/>
    <cellStyle name="Check Cell 3 6 2" xfId="0"/>
    <cellStyle name="Check Cell 3 7" xfId="0"/>
    <cellStyle name="Check Cell 3 7 2" xfId="0"/>
    <cellStyle name="Check Cell 3 8" xfId="0"/>
    <cellStyle name="Check Cell 3 9" xfId="0"/>
    <cellStyle name="Check Cell 30" xfId="0"/>
    <cellStyle name="Check Cell 3_Profitability Detail NT$ Sep-12" xfId="0"/>
    <cellStyle name="Check Cell 4" xfId="0"/>
    <cellStyle name="Check Cell 4 10" xfId="0"/>
    <cellStyle name="Check Cell 4 2" xfId="0"/>
    <cellStyle name="Check Cell 4 2 2" xfId="0"/>
    <cellStyle name="Check Cell 4 2 3" xfId="0"/>
    <cellStyle name="Check Cell 4 2 4" xfId="0"/>
    <cellStyle name="Check Cell 4 2 5" xfId="0"/>
    <cellStyle name="Check Cell 4 2 6" xfId="0"/>
    <cellStyle name="Check Cell 4 2 7" xfId="0"/>
    <cellStyle name="Check Cell 4 3" xfId="0"/>
    <cellStyle name="Check Cell 4 3 2" xfId="0"/>
    <cellStyle name="Check Cell 4 4" xfId="0"/>
    <cellStyle name="Check Cell 4 4 2" xfId="0"/>
    <cellStyle name="Check Cell 4 5" xfId="0"/>
    <cellStyle name="Check Cell 4 5 2" xfId="0"/>
    <cellStyle name="Check Cell 4 6" xfId="0"/>
    <cellStyle name="Check Cell 4 6 2" xfId="0"/>
    <cellStyle name="Check Cell 4 7" xfId="0"/>
    <cellStyle name="Check Cell 4 7 2" xfId="0"/>
    <cellStyle name="Check Cell 4 8" xfId="0"/>
    <cellStyle name="Check Cell 4 9" xfId="0"/>
    <cellStyle name="Check Cell 4_Profitability Detail NT$ Sep-12" xfId="0"/>
    <cellStyle name="Check Cell 5" xfId="0"/>
    <cellStyle name="Check Cell 5 2" xfId="0"/>
    <cellStyle name="Check Cell 5 3" xfId="0"/>
    <cellStyle name="Check Cell 6" xfId="0"/>
    <cellStyle name="Check Cell 6 2" xfId="0"/>
    <cellStyle name="Check Cell 6 3" xfId="0"/>
    <cellStyle name="Check Cell 7" xfId="0"/>
    <cellStyle name="Check Cell 7 2" xfId="0"/>
    <cellStyle name="Check Cell 7 3" xfId="0"/>
    <cellStyle name="Check Cell 8" xfId="0"/>
    <cellStyle name="Check Cell 8 2" xfId="0"/>
    <cellStyle name="Check Cell 8 3" xfId="0"/>
    <cellStyle name="Check Cell 9" xfId="0"/>
    <cellStyle name="Check Cell 9 2" xfId="0"/>
    <cellStyle name="Check Cell 9 3" xfId="0"/>
    <cellStyle name="Check Cell_13-wk VSA_Revised" xfId="0"/>
    <cellStyle name="Column Header" xfId="0"/>
    <cellStyle name="Column Header 2" xfId="0"/>
    <cellStyle name="Column_Title" xfId="0"/>
    <cellStyle name="ColumnHeading" xfId="0"/>
    <cellStyle name="ColumnHeading 2" xfId="0"/>
    <cellStyle name="ColumnHeading 3" xfId="0"/>
    <cellStyle name="Comma %" xfId="0"/>
    <cellStyle name="Comma % 2" xfId="0"/>
    <cellStyle name="Comma % 3" xfId="0"/>
    <cellStyle name="Comma (0)" xfId="0"/>
    <cellStyle name="Comma 0.0" xfId="0"/>
    <cellStyle name="Comma 0.0%" xfId="0"/>
    <cellStyle name="Comma 0.00" xfId="0"/>
    <cellStyle name="Comma 0.00%" xfId="0"/>
    <cellStyle name="Comma 0.000" xfId="0"/>
    <cellStyle name="Comma 0.000%" xfId="0"/>
    <cellStyle name="Comma 0.0000" xfId="0"/>
    <cellStyle name="Comma 10" xfId="0"/>
    <cellStyle name="Comma 10 2" xfId="0"/>
    <cellStyle name="Comma 10 3" xfId="0"/>
    <cellStyle name="Comma 11" xfId="0"/>
    <cellStyle name="Comma 12" xfId="0"/>
    <cellStyle name="Comma 13" xfId="0"/>
    <cellStyle name="Comma 14" xfId="0"/>
    <cellStyle name="Comma 15" xfId="0"/>
    <cellStyle name="Comma 16" xfId="0"/>
    <cellStyle name="Comma 17" xfId="0"/>
    <cellStyle name="Comma 18" xfId="0"/>
    <cellStyle name="Comma 19" xfId="0"/>
    <cellStyle name="Comma 2" xfId="0"/>
    <cellStyle name="Comma 2 2" xfId="0"/>
    <cellStyle name="Comma 2 2 2" xfId="0"/>
    <cellStyle name="Comma 2 2 2 2" xfId="0"/>
    <cellStyle name="Comma 2 2 3" xfId="0"/>
    <cellStyle name="Comma 2 3" xfId="0"/>
    <cellStyle name="Comma 2 3 2" xfId="0"/>
    <cellStyle name="Comma 2 4" xfId="0"/>
    <cellStyle name="Comma 2 4 2" xfId="0"/>
    <cellStyle name="Comma 2 5" xfId="0"/>
    <cellStyle name="Comma 2 5 2" xfId="0"/>
    <cellStyle name="Comma 2 6" xfId="0"/>
    <cellStyle name="Comma 2 7" xfId="0"/>
    <cellStyle name="Comma 20" xfId="0"/>
    <cellStyle name="Comma 21" xfId="0"/>
    <cellStyle name="Comma 22" xfId="0"/>
    <cellStyle name="Comma 23" xfId="0"/>
    <cellStyle name="Comma 24" xfId="0"/>
    <cellStyle name="Comma 25" xfId="0"/>
    <cellStyle name="Comma 26" xfId="0"/>
    <cellStyle name="Comma 27" xfId="0"/>
    <cellStyle name="Comma 28" xfId="0"/>
    <cellStyle name="Comma 29" xfId="0"/>
    <cellStyle name="Comma 2_BU Allocation" xfId="0"/>
    <cellStyle name="Comma 3" xfId="0"/>
    <cellStyle name="Comma 3 2" xfId="0"/>
    <cellStyle name="Comma 3 2 2" xfId="0"/>
    <cellStyle name="Comma 3 3" xfId="0"/>
    <cellStyle name="Comma 30" xfId="0"/>
    <cellStyle name="Comma 31" xfId="0"/>
    <cellStyle name="Comma 32" xfId="0"/>
    <cellStyle name="Comma 33" xfId="0"/>
    <cellStyle name="Comma 34" xfId="0"/>
    <cellStyle name="Comma 4" xfId="0"/>
    <cellStyle name="Comma 4 2" xfId="0"/>
    <cellStyle name="Comma 4 2 2" xfId="0"/>
    <cellStyle name="Comma 4 3" xfId="0"/>
    <cellStyle name="Comma 5" xfId="0"/>
    <cellStyle name="Comma 5 2" xfId="0"/>
    <cellStyle name="Comma 5 2 2" xfId="0"/>
    <cellStyle name="Comma 5 3" xfId="0"/>
    <cellStyle name="Comma 5 3 2" xfId="0"/>
    <cellStyle name="Comma 5 4" xfId="0"/>
    <cellStyle name="Comma 5 4 2" xfId="0"/>
    <cellStyle name="Comma 5 5" xfId="0"/>
    <cellStyle name="Comma 6" xfId="0"/>
    <cellStyle name="Comma 6 2" xfId="0"/>
    <cellStyle name="Comma 6 2 2" xfId="0"/>
    <cellStyle name="Comma 6 3" xfId="0"/>
    <cellStyle name="Comma 7" xfId="0"/>
    <cellStyle name="Comma 7 2" xfId="0"/>
    <cellStyle name="Comma 7 2 2" xfId="0"/>
    <cellStyle name="Comma 7 3" xfId="0"/>
    <cellStyle name="Comma 7 4" xfId="0"/>
    <cellStyle name="Comma 8" xfId="0"/>
    <cellStyle name="Comma 8 2" xfId="0"/>
    <cellStyle name="Comma 8 2 2" xfId="0"/>
    <cellStyle name="Comma 8 2 2 2" xfId="0"/>
    <cellStyle name="Comma 8 2 2 2 2" xfId="0"/>
    <cellStyle name="Comma 8 2 2 2 2 2" xfId="0"/>
    <cellStyle name="Comma 8 2 2 2 2 2 2" xfId="0"/>
    <cellStyle name="Comma 8 2 2 2 2 3" xfId="0"/>
    <cellStyle name="Comma 8 2 2 2 3" xfId="0"/>
    <cellStyle name="Comma 8 2 2 2 3 2" xfId="0"/>
    <cellStyle name="Comma 8 2 2 2 4" xfId="0"/>
    <cellStyle name="Comma 8 2 2 3" xfId="0"/>
    <cellStyle name="Comma 8 2 2 3 2" xfId="0"/>
    <cellStyle name="Comma 8 2 2 3 2 2" xfId="0"/>
    <cellStyle name="Comma 8 2 2 3 3" xfId="0"/>
    <cellStyle name="Comma 8 2 2 4" xfId="0"/>
    <cellStyle name="Comma 8 2 2 4 2" xfId="0"/>
    <cellStyle name="Comma 8 2 2 5" xfId="0"/>
    <cellStyle name="Comma 8 2 3" xfId="0"/>
    <cellStyle name="Comma 8 2 3 2" xfId="0"/>
    <cellStyle name="Comma 8 2 3 2 2" xfId="0"/>
    <cellStyle name="Comma 8 2 3 2 2 2" xfId="0"/>
    <cellStyle name="Comma 8 2 3 2 3" xfId="0"/>
    <cellStyle name="Comma 8 2 3 3" xfId="0"/>
    <cellStyle name="Comma 8 2 3 3 2" xfId="0"/>
    <cellStyle name="Comma 8 2 3 4" xfId="0"/>
    <cellStyle name="Comma 8 2 4" xfId="0"/>
    <cellStyle name="Comma 8 2 4 2" xfId="0"/>
    <cellStyle name="Comma 8 2 4 2 2" xfId="0"/>
    <cellStyle name="Comma 8 2 4 3" xfId="0"/>
    <cellStyle name="Comma 8 2 5" xfId="0"/>
    <cellStyle name="Comma 8 2 5 2" xfId="0"/>
    <cellStyle name="Comma 8 2 6" xfId="0"/>
    <cellStyle name="Comma 8 2 7" xfId="0"/>
    <cellStyle name="Comma 8 3" xfId="0"/>
    <cellStyle name="Comma 8 3 2" xfId="0"/>
    <cellStyle name="Comma 8 3 2 2" xfId="0"/>
    <cellStyle name="Comma 8 3 2 2 2" xfId="0"/>
    <cellStyle name="Comma 8 3 2 2 2 2" xfId="0"/>
    <cellStyle name="Comma 8 3 2 2 3" xfId="0"/>
    <cellStyle name="Comma 8 3 2 3" xfId="0"/>
    <cellStyle name="Comma 8 3 2 3 2" xfId="0"/>
    <cellStyle name="Comma 8 3 2 4" xfId="0"/>
    <cellStyle name="Comma 8 3 3" xfId="0"/>
    <cellStyle name="Comma 8 3 3 2" xfId="0"/>
    <cellStyle name="Comma 8 3 3 2 2" xfId="0"/>
    <cellStyle name="Comma 8 3 3 3" xfId="0"/>
    <cellStyle name="Comma 8 3 4" xfId="0"/>
    <cellStyle name="Comma 8 3 4 2" xfId="0"/>
    <cellStyle name="Comma 8 3 5" xfId="0"/>
    <cellStyle name="Comma 8 4" xfId="0"/>
    <cellStyle name="Comma 8 4 2" xfId="0"/>
    <cellStyle name="Comma 8 4 2 2" xfId="0"/>
    <cellStyle name="Comma 8 4 2 2 2" xfId="0"/>
    <cellStyle name="Comma 8 4 2 3" xfId="0"/>
    <cellStyle name="Comma 8 4 3" xfId="0"/>
    <cellStyle name="Comma 8 4 3 2" xfId="0"/>
    <cellStyle name="Comma 8 4 4" xfId="0"/>
    <cellStyle name="Comma 8 5" xfId="0"/>
    <cellStyle name="Comma 8 5 2" xfId="0"/>
    <cellStyle name="Comma 8 5 2 2" xfId="0"/>
    <cellStyle name="Comma 8 5 3" xfId="0"/>
    <cellStyle name="Comma 8 6" xfId="0"/>
    <cellStyle name="Comma 8 6 2" xfId="0"/>
    <cellStyle name="Comma 8 7" xfId="0"/>
    <cellStyle name="Comma 8 8" xfId="0"/>
    <cellStyle name="Comma 9" xfId="0"/>
    <cellStyle name="Comma 9 2" xfId="0"/>
    <cellStyle name="Comma 9 3" xfId="0"/>
    <cellStyle name="Comma [00]" xfId="0"/>
    <cellStyle name="Company Name" xfId="0"/>
    <cellStyle name="Company Name 2" xfId="0"/>
    <cellStyle name="Copied" xfId="0"/>
    <cellStyle name="Copied 10" xfId="0"/>
    <cellStyle name="Copied 10 2" xfId="0"/>
    <cellStyle name="Copied 11" xfId="0"/>
    <cellStyle name="Copied 11 2" xfId="0"/>
    <cellStyle name="Copied 12" xfId="0"/>
    <cellStyle name="Copied 2" xfId="0"/>
    <cellStyle name="Copied 2 2" xfId="0"/>
    <cellStyle name="Copied 3" xfId="0"/>
    <cellStyle name="Copied 3 2" xfId="0"/>
    <cellStyle name="Copied 4" xfId="0"/>
    <cellStyle name="Copied 4 2" xfId="0"/>
    <cellStyle name="Copied 5" xfId="0"/>
    <cellStyle name="Copied 5 2" xfId="0"/>
    <cellStyle name="Copied 6" xfId="0"/>
    <cellStyle name="Copied 6 2" xfId="0"/>
    <cellStyle name="Copied 7" xfId="0"/>
    <cellStyle name="Copied 7 2" xfId="0"/>
    <cellStyle name="Copied 8" xfId="0"/>
    <cellStyle name="Copied 8 2" xfId="0"/>
    <cellStyle name="Copied 9" xfId="0"/>
    <cellStyle name="Copied 9 2" xfId="0"/>
    <cellStyle name="COST1" xfId="0"/>
    <cellStyle name="COST1 2" xfId="0"/>
    <cellStyle name="COST1 2 2" xfId="0"/>
    <cellStyle name="COST1 3" xfId="0"/>
    <cellStyle name="CR Comma" xfId="0"/>
    <cellStyle name="CR Currency" xfId="0"/>
    <cellStyle name="Credit" xfId="0"/>
    <cellStyle name="Credit subtotal" xfId="0"/>
    <cellStyle name="Credit subtotal 2" xfId="0"/>
    <cellStyle name="Credit Total" xfId="0"/>
    <cellStyle name="Currency %" xfId="0"/>
    <cellStyle name="Currency % 2" xfId="0"/>
    <cellStyle name="Currency % 3" xfId="0"/>
    <cellStyle name="Currency 0.0" xfId="0"/>
    <cellStyle name="Currency 0.0%" xfId="0"/>
    <cellStyle name="Currency 0.00" xfId="0"/>
    <cellStyle name="Currency 0.00%" xfId="0"/>
    <cellStyle name="Currency 0.000" xfId="0"/>
    <cellStyle name="Currency 0.000%" xfId="0"/>
    <cellStyle name="Currency 0.0000" xfId="0"/>
    <cellStyle name="Currency 10" xfId="0"/>
    <cellStyle name="Currency 11" xfId="0"/>
    <cellStyle name="Currency 12" xfId="0"/>
    <cellStyle name="Currency 13" xfId="0"/>
    <cellStyle name="Currency 2" xfId="0"/>
    <cellStyle name="Currency 2 2" xfId="0"/>
    <cellStyle name="Currency 3" xfId="0"/>
    <cellStyle name="Currency 3 2" xfId="0"/>
    <cellStyle name="Currency 4" xfId="0"/>
    <cellStyle name="Currency 4 2" xfId="0"/>
    <cellStyle name="Currency 5" xfId="0"/>
    <cellStyle name="Currency 6" xfId="0"/>
    <cellStyle name="Currency 7" xfId="0"/>
    <cellStyle name="Currency 8" xfId="0"/>
    <cellStyle name="Currency 9" xfId="0"/>
    <cellStyle name="Currency [00]" xfId="0"/>
    <cellStyle name="Date" xfId="0"/>
    <cellStyle name="Date 2" xfId="0"/>
    <cellStyle name="Date 3" xfId="0"/>
    <cellStyle name="Date Short" xfId="0"/>
    <cellStyle name="Debit" xfId="0"/>
    <cellStyle name="Debit subtotal" xfId="0"/>
    <cellStyle name="Debit subtotal 2" xfId="0"/>
    <cellStyle name="Debit Total" xfId="0"/>
    <cellStyle name="Dziesietny [0]_PLDT" xfId="0"/>
    <cellStyle name="Dziesietny [0]_PLDT 10" xfId="0"/>
    <cellStyle name="Dziesietny [0]_PLDT 11" xfId="0"/>
    <cellStyle name="Dziesietny [0]_PLDT 12" xfId="0"/>
    <cellStyle name="Dziesietny [0]_PLDT 2" xfId="0"/>
    <cellStyle name="Dziesietny [0]_PLDT 2 2" xfId="0"/>
    <cellStyle name="Dziesietny [0]_PLDT 2 2 2" xfId="0"/>
    <cellStyle name="Dziesietny [0]_PLDT 2 2 3" xfId="0"/>
    <cellStyle name="Dziesietny [0]_PLDT 2 2 4" xfId="0"/>
    <cellStyle name="Dziesietny [0]_PLDT 2 2 5" xfId="0"/>
    <cellStyle name="Dziesietny [0]_PLDT 3" xfId="0"/>
    <cellStyle name="Dziesietny [0]_PLDT 3 2" xfId="0"/>
    <cellStyle name="Dziesietny [0]_PLDT 3 3" xfId="0"/>
    <cellStyle name="Dziesietny [0]_PLDT 3 4" xfId="0"/>
    <cellStyle name="Dziesietny [0]_PLDT 3 5" xfId="0"/>
    <cellStyle name="Dziesietny [0]_PLDT 4" xfId="0"/>
    <cellStyle name="Dziesietny [0]_PLDT 4 2" xfId="0"/>
    <cellStyle name="Dziesietny [0]_PLDT 4 3" xfId="0"/>
    <cellStyle name="Dziesietny [0]_PLDT 4 4" xfId="0"/>
    <cellStyle name="Dziesietny [0]_PLDT 4 5" xfId="0"/>
    <cellStyle name="Dziesietny [0]_PLDT 5" xfId="0"/>
    <cellStyle name="Dziesietny [0]_PLDT 5 2" xfId="0"/>
    <cellStyle name="Dziesietny [0]_PLDT 5 3" xfId="0"/>
    <cellStyle name="Dziesietny [0]_PLDT 5 4" xfId="0"/>
    <cellStyle name="Dziesietny [0]_PLDT 5 5" xfId="0"/>
    <cellStyle name="Dziesietny [0]_PLDT 6" xfId="0"/>
    <cellStyle name="Dziesietny [0]_PLDT 6 2" xfId="0"/>
    <cellStyle name="Dziesietny [0]_PLDT 6 3" xfId="0"/>
    <cellStyle name="Dziesietny [0]_PLDT 6 4" xfId="0"/>
    <cellStyle name="Dziesietny [0]_PLDT 6 5" xfId="0"/>
    <cellStyle name="Dziesietny [0]_PLDT 7" xfId="0"/>
    <cellStyle name="Dziesietny [0]_PLDT 8" xfId="0"/>
    <cellStyle name="Dziesietny [0]_PLDT 9" xfId="0"/>
    <cellStyle name="Dziesietny_PLDT" xfId="0"/>
    <cellStyle name="Dziesietny_PLDT 10" xfId="0"/>
    <cellStyle name="Dziesietny_PLDT 11" xfId="0"/>
    <cellStyle name="Dziesietny_PLDT 12" xfId="0"/>
    <cellStyle name="Dziesietny_PLDT 2" xfId="0"/>
    <cellStyle name="Dziesietny_PLDT 2 2" xfId="0"/>
    <cellStyle name="Dziesietny_PLDT 2 2 2" xfId="0"/>
    <cellStyle name="Dziesietny_PLDT 2 2 3" xfId="0"/>
    <cellStyle name="Dziesietny_PLDT 2 2 4" xfId="0"/>
    <cellStyle name="Dziesietny_PLDT 2 2 5" xfId="0"/>
    <cellStyle name="Dziesietny_PLDT 3" xfId="0"/>
    <cellStyle name="Dziesietny_PLDT 3 2" xfId="0"/>
    <cellStyle name="Dziesietny_PLDT 3 3" xfId="0"/>
    <cellStyle name="Dziesietny_PLDT 3 4" xfId="0"/>
    <cellStyle name="Dziesietny_PLDT 3 5" xfId="0"/>
    <cellStyle name="Dziesietny_PLDT 4" xfId="0"/>
    <cellStyle name="Dziesietny_PLDT 4 2" xfId="0"/>
    <cellStyle name="Dziesietny_PLDT 4 3" xfId="0"/>
    <cellStyle name="Dziesietny_PLDT 4 4" xfId="0"/>
    <cellStyle name="Dziesietny_PLDT 4 5" xfId="0"/>
    <cellStyle name="Dziesietny_PLDT 5" xfId="0"/>
    <cellStyle name="Dziesietny_PLDT 5 2" xfId="0"/>
    <cellStyle name="Dziesietny_PLDT 5 3" xfId="0"/>
    <cellStyle name="Dziesietny_PLDT 5 4" xfId="0"/>
    <cellStyle name="Dziesietny_PLDT 5 5" xfId="0"/>
    <cellStyle name="Dziesietny_PLDT 6" xfId="0"/>
    <cellStyle name="Dziesietny_PLDT 6 2" xfId="0"/>
    <cellStyle name="Dziesietny_PLDT 6 3" xfId="0"/>
    <cellStyle name="Dziesietny_PLDT 6 4" xfId="0"/>
    <cellStyle name="Dziesietny_PLDT 6 5" xfId="0"/>
    <cellStyle name="Dziesietny_PLDT 7" xfId="0"/>
    <cellStyle name="Dziesietny_PLDT 8" xfId="0"/>
    <cellStyle name="Dziesietny_PLDT 9" xfId="0"/>
    <cellStyle name="Dziesiętny [0]_PLDT" xfId="0"/>
    <cellStyle name="Dziesiętny [0]_PLDT 10" xfId="0"/>
    <cellStyle name="Dziesiętny [0]_PLDT 11" xfId="0"/>
    <cellStyle name="Dziesiętny [0]_PLDT 12" xfId="0"/>
    <cellStyle name="Dziesiętny [0]_PLDT 2" xfId="0"/>
    <cellStyle name="Dziesiętny [0]_PLDT 2 2" xfId="0"/>
    <cellStyle name="Dziesiętny [0]_PLDT 2 2 2" xfId="0"/>
    <cellStyle name="Dziesiętny [0]_PLDT 2 2 3" xfId="0"/>
    <cellStyle name="Dziesiętny [0]_PLDT 2 2 4" xfId="0"/>
    <cellStyle name="Dziesiętny [0]_PLDT 2 2 5" xfId="0"/>
    <cellStyle name="Dziesiętny [0]_PLDT 3" xfId="0"/>
    <cellStyle name="Dziesiętny [0]_PLDT 3 2" xfId="0"/>
    <cellStyle name="Dziesiętny [0]_PLDT 3 3" xfId="0"/>
    <cellStyle name="Dziesiętny [0]_PLDT 3 4" xfId="0"/>
    <cellStyle name="Dziesiętny [0]_PLDT 3 5" xfId="0"/>
    <cellStyle name="Dziesiętny [0]_PLDT 4" xfId="0"/>
    <cellStyle name="Dziesiętny [0]_PLDT 4 2" xfId="0"/>
    <cellStyle name="Dziesiętny [0]_PLDT 4 3" xfId="0"/>
    <cellStyle name="Dziesiętny [0]_PLDT 4 4" xfId="0"/>
    <cellStyle name="Dziesiętny [0]_PLDT 4 5" xfId="0"/>
    <cellStyle name="Dziesiętny [0]_PLDT 5" xfId="0"/>
    <cellStyle name="Dziesiętny [0]_PLDT 5 2" xfId="0"/>
    <cellStyle name="Dziesiętny [0]_PLDT 5 3" xfId="0"/>
    <cellStyle name="Dziesiętny [0]_PLDT 5 4" xfId="0"/>
    <cellStyle name="Dziesiętny [0]_PLDT 5 5" xfId="0"/>
    <cellStyle name="Dziesiętny [0]_PLDT 6" xfId="0"/>
    <cellStyle name="Dziesiętny [0]_PLDT 6 2" xfId="0"/>
    <cellStyle name="Dziesiętny [0]_PLDT 6 3" xfId="0"/>
    <cellStyle name="Dziesiętny [0]_PLDT 6 4" xfId="0"/>
    <cellStyle name="Dziesiętny [0]_PLDT 6 5" xfId="0"/>
    <cellStyle name="Dziesiętny [0]_PLDT 7" xfId="0"/>
    <cellStyle name="Dziesiętny [0]_PLDT 8" xfId="0"/>
    <cellStyle name="Dziesiętny [0]_PLDT 9" xfId="0"/>
    <cellStyle name="Dziesiętny_PLDT" xfId="0"/>
    <cellStyle name="Dziesiętny_PLDT 10" xfId="0"/>
    <cellStyle name="Dziesiętny_PLDT 11" xfId="0"/>
    <cellStyle name="Dziesiętny_PLDT 12" xfId="0"/>
    <cellStyle name="Dziesiętny_PLDT 2" xfId="0"/>
    <cellStyle name="Dziesiętny_PLDT 2 2" xfId="0"/>
    <cellStyle name="Dziesiętny_PLDT 2 2 2" xfId="0"/>
    <cellStyle name="Dziesiętny_PLDT 2 2 3" xfId="0"/>
    <cellStyle name="Dziesiętny_PLDT 2 2 4" xfId="0"/>
    <cellStyle name="Dziesiętny_PLDT 2 2 5" xfId="0"/>
    <cellStyle name="Dziesiętny_PLDT 3" xfId="0"/>
    <cellStyle name="Dziesiętny_PLDT 3 2" xfId="0"/>
    <cellStyle name="Dziesiętny_PLDT 3 3" xfId="0"/>
    <cellStyle name="Dziesiętny_PLDT 3 4" xfId="0"/>
    <cellStyle name="Dziesiętny_PLDT 3 5" xfId="0"/>
    <cellStyle name="Dziesiętny_PLDT 4" xfId="0"/>
    <cellStyle name="Dziesiętny_PLDT 4 2" xfId="0"/>
    <cellStyle name="Dziesiętny_PLDT 4 3" xfId="0"/>
    <cellStyle name="Dziesiętny_PLDT 4 4" xfId="0"/>
    <cellStyle name="Dziesiętny_PLDT 4 5" xfId="0"/>
    <cellStyle name="Dziesiętny_PLDT 5" xfId="0"/>
    <cellStyle name="Dziesiętny_PLDT 5 2" xfId="0"/>
    <cellStyle name="Dziesiętny_PLDT 5 3" xfId="0"/>
    <cellStyle name="Dziesiętny_PLDT 5 4" xfId="0"/>
    <cellStyle name="Dziesiętny_PLDT 5 5" xfId="0"/>
    <cellStyle name="Dziesiętny_PLDT 6" xfId="0"/>
    <cellStyle name="Dziesiętny_PLDT 6 2" xfId="0"/>
    <cellStyle name="Dziesiętny_PLDT 6 3" xfId="0"/>
    <cellStyle name="Dziesiętny_PLDT 6 4" xfId="0"/>
    <cellStyle name="Dziesiętny_PLDT 6 5" xfId="0"/>
    <cellStyle name="Dziesiętny_PLDT 7" xfId="0"/>
    <cellStyle name="Dziesiętny_PLDT 8" xfId="0"/>
    <cellStyle name="Dziesiętny_PLDT 9" xfId="0"/>
    <cellStyle name="Eingabe" xfId="0"/>
    <cellStyle name="Eingabe 2" xfId="0"/>
    <cellStyle name="Emphasis 1" xfId="0"/>
    <cellStyle name="Emphasis 1 2" xfId="0"/>
    <cellStyle name="Emphasis 1 2 2" xfId="0"/>
    <cellStyle name="Emphasis 1 2_Market Fresh Cost" xfId="0"/>
    <cellStyle name="Emphasis 1 3" xfId="0"/>
    <cellStyle name="Emphasis 1 3 2" xfId="0"/>
    <cellStyle name="Emphasis 1 4" xfId="0"/>
    <cellStyle name="Emphasis 1 5" xfId="0"/>
    <cellStyle name="Emphasis 1 6" xfId="0"/>
    <cellStyle name="Emphasis 1_Market Fresh Cost" xfId="0"/>
    <cellStyle name="Emphasis 2" xfId="0"/>
    <cellStyle name="Emphasis 2 2" xfId="0"/>
    <cellStyle name="Emphasis 2 2 2" xfId="0"/>
    <cellStyle name="Emphasis 2 2 2 2" xfId="0"/>
    <cellStyle name="Emphasis 2 2_Market Fresh Cost" xfId="0"/>
    <cellStyle name="Emphasis 2 3" xfId="0"/>
    <cellStyle name="Emphasis 2 3 2" xfId="0"/>
    <cellStyle name="Emphasis 2 4" xfId="0"/>
    <cellStyle name="Emphasis 2 4 2" xfId="0"/>
    <cellStyle name="Emphasis 2 5" xfId="0"/>
    <cellStyle name="Emphasis 2 6" xfId="0"/>
    <cellStyle name="Emphasis 2_Market Fresh Cost" xfId="0"/>
    <cellStyle name="Emphasis 3" xfId="0"/>
    <cellStyle name="Emphasis 3 2" xfId="0"/>
    <cellStyle name="Emphasis 3 2 2" xfId="0"/>
    <cellStyle name="Emphasis 3 2_Market Fresh Cost" xfId="0"/>
    <cellStyle name="Emphasis 3 3" xfId="0"/>
    <cellStyle name="Emphasis 3 3 2" xfId="0"/>
    <cellStyle name="Emphasis 3 4" xfId="0"/>
    <cellStyle name="Emphasis 3 5" xfId="0"/>
    <cellStyle name="Emphasis 3 6" xfId="0"/>
    <cellStyle name="Emphasis 3_Market Fresh Cost" xfId="0"/>
    <cellStyle name="Enter Currency (0)" xfId="0"/>
    <cellStyle name="Enter Currency (2)" xfId="0"/>
    <cellStyle name="Enter Units (0)" xfId="0"/>
    <cellStyle name="Enter Units (1)" xfId="0"/>
    <cellStyle name="Enter Units (2)" xfId="0"/>
    <cellStyle name="Entered" xfId="0"/>
    <cellStyle name="Entered 10" xfId="0"/>
    <cellStyle name="Entered 10 2" xfId="0"/>
    <cellStyle name="Entered 11" xfId="0"/>
    <cellStyle name="Entered 11 2" xfId="0"/>
    <cellStyle name="Entered 12" xfId="0"/>
    <cellStyle name="Entered 2" xfId="0"/>
    <cellStyle name="Entered 2 2" xfId="0"/>
    <cellStyle name="Entered 3" xfId="0"/>
    <cellStyle name="Entered 3 2" xfId="0"/>
    <cellStyle name="Entered 4" xfId="0"/>
    <cellStyle name="Entered 4 2" xfId="0"/>
    <cellStyle name="Entered 5" xfId="0"/>
    <cellStyle name="Entered 5 2" xfId="0"/>
    <cellStyle name="Entered 6" xfId="0"/>
    <cellStyle name="Entered 6 2" xfId="0"/>
    <cellStyle name="Entered 7" xfId="0"/>
    <cellStyle name="Entered 7 2" xfId="0"/>
    <cellStyle name="Entered 8" xfId="0"/>
    <cellStyle name="Entered 8 2" xfId="0"/>
    <cellStyle name="Entered 9" xfId="0"/>
    <cellStyle name="Entered 9 2" xfId="0"/>
    <cellStyle name="Ergebnis" xfId="0"/>
    <cellStyle name="Ergebnis 2" xfId="0"/>
    <cellStyle name="Erklärender Text" xfId="0"/>
    <cellStyle name="Erklärender Text 2" xfId="0"/>
    <cellStyle name="Euro" xfId="0"/>
    <cellStyle name="Euro 2" xfId="0"/>
    <cellStyle name="Euro 2 10" xfId="0"/>
    <cellStyle name="Euro 2 11" xfId="0"/>
    <cellStyle name="Euro 2 12" xfId="0"/>
    <cellStyle name="Euro 2 13" xfId="0"/>
    <cellStyle name="Euro 2 2" xfId="0"/>
    <cellStyle name="Euro 2 2 2" xfId="0"/>
    <cellStyle name="Euro 2 2 2 2" xfId="0"/>
    <cellStyle name="Euro 2 3" xfId="0"/>
    <cellStyle name="Euro 2 4" xfId="0"/>
    <cellStyle name="Euro 2 5" xfId="0"/>
    <cellStyle name="Euro 2 6" xfId="0"/>
    <cellStyle name="Euro 2 7" xfId="0"/>
    <cellStyle name="Euro 2 8" xfId="0"/>
    <cellStyle name="Euro 2 9" xfId="0"/>
    <cellStyle name="Euro 3" xfId="0"/>
    <cellStyle name="Euro 3 10" xfId="0"/>
    <cellStyle name="Euro 3 11" xfId="0"/>
    <cellStyle name="Euro 3 12" xfId="0"/>
    <cellStyle name="Euro 3 13" xfId="0"/>
    <cellStyle name="Euro 3 2" xfId="0"/>
    <cellStyle name="Euro 3 2 2" xfId="0"/>
    <cellStyle name="Euro 3 3" xfId="0"/>
    <cellStyle name="Euro 3 4" xfId="0"/>
    <cellStyle name="Euro 3 5" xfId="0"/>
    <cellStyle name="Euro 3 6" xfId="0"/>
    <cellStyle name="Euro 3 7" xfId="0"/>
    <cellStyle name="Euro 3 8" xfId="0"/>
    <cellStyle name="Euro 3 9" xfId="0"/>
    <cellStyle name="Euro 4" xfId="0"/>
    <cellStyle name="Euro 4 10" xfId="0"/>
    <cellStyle name="Euro 4 11" xfId="0"/>
    <cellStyle name="Euro 4 12" xfId="0"/>
    <cellStyle name="Euro 4 13" xfId="0"/>
    <cellStyle name="Euro 4 2" xfId="0"/>
    <cellStyle name="Euro 4 2 2" xfId="0"/>
    <cellStyle name="Euro 4 3" xfId="0"/>
    <cellStyle name="Euro 4 4" xfId="0"/>
    <cellStyle name="Euro 4 5" xfId="0"/>
    <cellStyle name="Euro 4 6" xfId="0"/>
    <cellStyle name="Euro 4 7" xfId="0"/>
    <cellStyle name="Euro 4 8" xfId="0"/>
    <cellStyle name="Euro 4 9" xfId="0"/>
    <cellStyle name="Euro 5" xfId="0"/>
    <cellStyle name="Euro 5 2" xfId="0"/>
    <cellStyle name="Euro 6" xfId="0"/>
    <cellStyle name="Euro 7" xfId="0"/>
    <cellStyle name="Explanatory Text" xfId="0"/>
    <cellStyle name="Explanatory Text 10" xfId="0"/>
    <cellStyle name="Explanatory Text 10 2" xfId="0"/>
    <cellStyle name="Explanatory Text 11" xfId="0"/>
    <cellStyle name="Explanatory Text 11 2" xfId="0"/>
    <cellStyle name="Explanatory Text 12" xfId="0"/>
    <cellStyle name="Explanatory Text 12 2" xfId="0"/>
    <cellStyle name="Explanatory Text 13" xfId="0"/>
    <cellStyle name="Explanatory Text 13 2" xfId="0"/>
    <cellStyle name="Explanatory Text 14" xfId="0"/>
    <cellStyle name="Explanatory Text 14 2" xfId="0"/>
    <cellStyle name="Explanatory Text 15" xfId="0"/>
    <cellStyle name="Explanatory Text 15 2" xfId="0"/>
    <cellStyle name="Explanatory Text 16" xfId="0"/>
    <cellStyle name="Explanatory Text 16 2" xfId="0"/>
    <cellStyle name="Explanatory Text 17" xfId="0"/>
    <cellStyle name="Explanatory Text 17 2" xfId="0"/>
    <cellStyle name="Explanatory Text 18" xfId="0"/>
    <cellStyle name="Explanatory Text 18 2" xfId="0"/>
    <cellStyle name="Explanatory Text 19" xfId="0"/>
    <cellStyle name="Explanatory Text 19 2" xfId="0"/>
    <cellStyle name="Explanatory Text 2" xfId="0"/>
    <cellStyle name="Explanatory Text 2 2" xfId="0"/>
    <cellStyle name="Explanatory Text 2 2 2" xfId="0"/>
    <cellStyle name="Explanatory Text 2 2 3" xfId="0"/>
    <cellStyle name="Explanatory Text 2 3" xfId="0"/>
    <cellStyle name="Explanatory Text 2 3 2" xfId="0"/>
    <cellStyle name="Explanatory Text 2 3 3" xfId="0"/>
    <cellStyle name="Explanatory Text 2 4" xfId="0"/>
    <cellStyle name="Explanatory Text 2 4 2" xfId="0"/>
    <cellStyle name="Explanatory Text 2 5" xfId="0"/>
    <cellStyle name="Explanatory Text 2 5 2" xfId="0"/>
    <cellStyle name="Explanatory Text 2 6" xfId="0"/>
    <cellStyle name="Explanatory Text 2 7" xfId="0"/>
    <cellStyle name="Explanatory Text 2 8" xfId="0"/>
    <cellStyle name="Explanatory Text 20" xfId="0"/>
    <cellStyle name="Explanatory Text 20 2" xfId="0"/>
    <cellStyle name="Explanatory Text 21" xfId="0"/>
    <cellStyle name="Explanatory Text 21 2" xfId="0"/>
    <cellStyle name="Explanatory Text 22" xfId="0"/>
    <cellStyle name="Explanatory Text 22 2" xfId="0"/>
    <cellStyle name="Explanatory Text 23" xfId="0"/>
    <cellStyle name="Explanatory Text 24" xfId="0"/>
    <cellStyle name="Explanatory Text 25" xfId="0"/>
    <cellStyle name="Explanatory Text 26" xfId="0"/>
    <cellStyle name="Explanatory Text 27" xfId="0"/>
    <cellStyle name="Explanatory Text 28" xfId="0"/>
    <cellStyle name="Explanatory Text 29" xfId="0"/>
    <cellStyle name="Explanatory Text 2_Profitability Detail NT$ Sep-12" xfId="0"/>
    <cellStyle name="Explanatory Text 3" xfId="0"/>
    <cellStyle name="Explanatory Text 3 2" xfId="0"/>
    <cellStyle name="Explanatory Text 3 2 2" xfId="0"/>
    <cellStyle name="Explanatory Text 3 3" xfId="0"/>
    <cellStyle name="Explanatory Text 3 3 2" xfId="0"/>
    <cellStyle name="Explanatory Text 3 4" xfId="0"/>
    <cellStyle name="Explanatory Text 3 4 2" xfId="0"/>
    <cellStyle name="Explanatory Text 3 5" xfId="0"/>
    <cellStyle name="Explanatory Text 3 5 2" xfId="0"/>
    <cellStyle name="Explanatory Text 3 6" xfId="0"/>
    <cellStyle name="Explanatory Text 3 7" xfId="0"/>
    <cellStyle name="Explanatory Text 30" xfId="0"/>
    <cellStyle name="Explanatory Text 31" xfId="0"/>
    <cellStyle name="Explanatory Text 32" xfId="0"/>
    <cellStyle name="Explanatory Text 33" xfId="0"/>
    <cellStyle name="Explanatory Text 34" xfId="0"/>
    <cellStyle name="Explanatory Text 35" xfId="0"/>
    <cellStyle name="Explanatory Text 3_Profitability Detail NT$ Sep-12" xfId="0"/>
    <cellStyle name="Explanatory Text 4" xfId="0"/>
    <cellStyle name="Explanatory Text 4 2" xfId="0"/>
    <cellStyle name="Explanatory Text 4 2 2" xfId="0"/>
    <cellStyle name="Explanatory Text 4 3" xfId="0"/>
    <cellStyle name="Explanatory Text 4 3 2" xfId="0"/>
    <cellStyle name="Explanatory Text 4 4" xfId="0"/>
    <cellStyle name="Explanatory Text 4 4 2" xfId="0"/>
    <cellStyle name="Explanatory Text 4 5" xfId="0"/>
    <cellStyle name="Explanatory Text 4 5 2" xfId="0"/>
    <cellStyle name="Explanatory Text 4 6" xfId="0"/>
    <cellStyle name="Explanatory Text 4 7" xfId="0"/>
    <cellStyle name="Explanatory Text 4_Profitability Detail NT$ Sep-12" xfId="0"/>
    <cellStyle name="Explanatory Text 5" xfId="0"/>
    <cellStyle name="Explanatory Text 5 2" xfId="0"/>
    <cellStyle name="Explanatory Text 5 3" xfId="0"/>
    <cellStyle name="Explanatory Text 6" xfId="0"/>
    <cellStyle name="Explanatory Text 6 2" xfId="0"/>
    <cellStyle name="Explanatory Text 7" xfId="0"/>
    <cellStyle name="Explanatory Text 7 2" xfId="0"/>
    <cellStyle name="Explanatory Text 8" xfId="0"/>
    <cellStyle name="Explanatory Text 8 2" xfId="0"/>
    <cellStyle name="Explanatory Text 9" xfId="0"/>
    <cellStyle name="Explanatory Text 9 2" xfId="0"/>
    <cellStyle name="Explanatory Text_Apr CPC" xfId="0"/>
    <cellStyle name="Good 10" xfId="0"/>
    <cellStyle name="Good 10 2" xfId="0"/>
    <cellStyle name="Good 11" xfId="0"/>
    <cellStyle name="Good 11 2" xfId="0"/>
    <cellStyle name="Good 12" xfId="0"/>
    <cellStyle name="Good 12 2" xfId="0"/>
    <cellStyle name="Good 13" xfId="0"/>
    <cellStyle name="Good 13 2" xfId="0"/>
    <cellStyle name="Good 14" xfId="0"/>
    <cellStyle name="Good 14 2" xfId="0"/>
    <cellStyle name="Good 15" xfId="0"/>
    <cellStyle name="Good 15 2" xfId="0"/>
    <cellStyle name="Good 16" xfId="0"/>
    <cellStyle name="Good 16 2" xfId="0"/>
    <cellStyle name="Good 17" xfId="0"/>
    <cellStyle name="Good 17 2" xfId="0"/>
    <cellStyle name="Good 18" xfId="0"/>
    <cellStyle name="Good 18 2" xfId="0"/>
    <cellStyle name="Good 19" xfId="0"/>
    <cellStyle name="Good 19 2" xfId="0"/>
    <cellStyle name="Good 2" xfId="0"/>
    <cellStyle name="Good 2 2" xfId="0"/>
    <cellStyle name="Good 2 2 2" xfId="0"/>
    <cellStyle name="Good 2 2 3" xfId="0"/>
    <cellStyle name="Good 2 3" xfId="0"/>
    <cellStyle name="Good 2 3 2" xfId="0"/>
    <cellStyle name="Good 2 4" xfId="0"/>
    <cellStyle name="Good 2 4 2" xfId="0"/>
    <cellStyle name="Good 2 5" xfId="0"/>
    <cellStyle name="Good 2 5 2" xfId="0"/>
    <cellStyle name="Good 2 6" xfId="0"/>
    <cellStyle name="Good 20" xfId="0"/>
    <cellStyle name="Good 20 2" xfId="0"/>
    <cellStyle name="Good 21" xfId="0"/>
    <cellStyle name="Good 21 2" xfId="0"/>
    <cellStyle name="Good 22" xfId="0"/>
    <cellStyle name="Good 22 2" xfId="0"/>
    <cellStyle name="Good 23" xfId="0"/>
    <cellStyle name="Good 23 2" xfId="0"/>
    <cellStyle name="Good 24" xfId="0"/>
    <cellStyle name="Good 25" xfId="0"/>
    <cellStyle name="Good 26" xfId="0"/>
    <cellStyle name="Good 27" xfId="0"/>
    <cellStyle name="Good 28" xfId="0"/>
    <cellStyle name="Good 29" xfId="0"/>
    <cellStyle name="Good 2_Profitability Detail NT$ Sep-12" xfId="0"/>
    <cellStyle name="Good 3" xfId="0"/>
    <cellStyle name="Good 3 2" xfId="0"/>
    <cellStyle name="Good 3 2 2" xfId="0"/>
    <cellStyle name="Good 3 3" xfId="0"/>
    <cellStyle name="Good 3 3 2" xfId="0"/>
    <cellStyle name="Good 3 4" xfId="0"/>
    <cellStyle name="Good 3 4 2" xfId="0"/>
    <cellStyle name="Good 3 5" xfId="0"/>
    <cellStyle name="Good 3 5 2" xfId="0"/>
    <cellStyle name="Good 3 6" xfId="0"/>
    <cellStyle name="Good 3 7" xfId="0"/>
    <cellStyle name="Good 30" xfId="0"/>
    <cellStyle name="Good 31" xfId="0"/>
    <cellStyle name="Good 3_Profitability Detail NT$ Sep-12" xfId="0"/>
    <cellStyle name="Good 4" xfId="0"/>
    <cellStyle name="Good 4 2" xfId="0"/>
    <cellStyle name="Good 4 2 2" xfId="0"/>
    <cellStyle name="Good 4 3" xfId="0"/>
    <cellStyle name="Good 4 3 2" xfId="0"/>
    <cellStyle name="Good 4 4" xfId="0"/>
    <cellStyle name="Good 4 4 2" xfId="0"/>
    <cellStyle name="Good 4 5" xfId="0"/>
    <cellStyle name="Good 4 5 2" xfId="0"/>
    <cellStyle name="Good 4 6" xfId="0"/>
    <cellStyle name="Good 4 7" xfId="0"/>
    <cellStyle name="Good 4_Profitability Detail NT$ Sep-12" xfId="0"/>
    <cellStyle name="Good 5" xfId="0"/>
    <cellStyle name="Good 5 2" xfId="0"/>
    <cellStyle name="Good 5 3" xfId="0"/>
    <cellStyle name="Good 6" xfId="0"/>
    <cellStyle name="Good 6 2" xfId="0"/>
    <cellStyle name="Good 6 3" xfId="0"/>
    <cellStyle name="Good 7" xfId="0"/>
    <cellStyle name="Good 7 2" xfId="0"/>
    <cellStyle name="Good 8" xfId="0"/>
    <cellStyle name="Good 8 2" xfId="0"/>
    <cellStyle name="Good 9" xfId="0"/>
    <cellStyle name="Good 9 2" xfId="0"/>
    <cellStyle name="Good_090703 WMR-VSC" xfId="0"/>
    <cellStyle name="Grey" xfId="0"/>
    <cellStyle name="Gut" xfId="0"/>
    <cellStyle name="Gut 2" xfId="0"/>
    <cellStyle name="Header1" xfId="0"/>
    <cellStyle name="Header1 2" xfId="0"/>
    <cellStyle name="Header1 2 2" xfId="0"/>
    <cellStyle name="Header2" xfId="0"/>
    <cellStyle name="Header2 2" xfId="0"/>
    <cellStyle name="Header2 2 2" xfId="0"/>
    <cellStyle name="Header2_Prod Line MTD" xfId="0"/>
    <cellStyle name="Heading 1 10" xfId="0"/>
    <cellStyle name="Heading 1 10 2" xfId="0"/>
    <cellStyle name="Heading 1 11" xfId="0"/>
    <cellStyle name="Heading 1 11 2" xfId="0"/>
    <cellStyle name="Heading 1 12" xfId="0"/>
    <cellStyle name="Heading 1 12 2" xfId="0"/>
    <cellStyle name="Heading 1 13" xfId="0"/>
    <cellStyle name="Heading 1 13 2" xfId="0"/>
    <cellStyle name="Heading 1 14" xfId="0"/>
    <cellStyle name="Heading 1 14 2" xfId="0"/>
    <cellStyle name="Heading 1 15" xfId="0"/>
    <cellStyle name="Heading 1 15 2" xfId="0"/>
    <cellStyle name="Heading 1 16" xfId="0"/>
    <cellStyle name="Heading 1 16 2" xfId="0"/>
    <cellStyle name="Heading 1 17" xfId="0"/>
    <cellStyle name="Heading 1 17 2" xfId="0"/>
    <cellStyle name="Heading 1 18" xfId="0"/>
    <cellStyle name="Heading 1 18 2" xfId="0"/>
    <cellStyle name="Heading 1 19" xfId="0"/>
    <cellStyle name="Heading 1 19 2" xfId="0"/>
    <cellStyle name="Heading 1 2" xfId="0"/>
    <cellStyle name="Heading 1 2 2" xfId="0"/>
    <cellStyle name="Heading 1 2 2 2" xfId="0"/>
    <cellStyle name="Heading 1 2 2 3" xfId="0"/>
    <cellStyle name="Heading 1 2 3" xfId="0"/>
    <cellStyle name="Heading 1 2 3 2" xfId="0"/>
    <cellStyle name="Heading 1 2 3 3" xfId="0"/>
    <cellStyle name="Heading 1 2 4" xfId="0"/>
    <cellStyle name="Heading 1 2 4 2" xfId="0"/>
    <cellStyle name="Heading 1 2 5" xfId="0"/>
    <cellStyle name="Heading 1 2 5 2" xfId="0"/>
    <cellStyle name="Heading 1 2 6" xfId="0"/>
    <cellStyle name="Heading 1 2 7" xfId="0"/>
    <cellStyle name="Heading 1 2 8" xfId="0"/>
    <cellStyle name="Heading 1 20" xfId="0"/>
    <cellStyle name="Heading 1 20 2" xfId="0"/>
    <cellStyle name="Heading 1 21" xfId="0"/>
    <cellStyle name="Heading 1 21 2" xfId="0"/>
    <cellStyle name="Heading 1 22" xfId="0"/>
    <cellStyle name="Heading 1 22 2" xfId="0"/>
    <cellStyle name="Heading 1 23" xfId="0"/>
    <cellStyle name="Heading 1 23 2" xfId="0"/>
    <cellStyle name="Heading 1 24" xfId="0"/>
    <cellStyle name="Heading 1 25" xfId="0"/>
    <cellStyle name="Heading 1 26" xfId="0"/>
    <cellStyle name="Heading 1 27" xfId="0"/>
    <cellStyle name="Heading 1 28" xfId="0"/>
    <cellStyle name="Heading 1 29" xfId="0"/>
    <cellStyle name="Heading 1 2_Profitability Detail NT$ Sep-12" xfId="0"/>
    <cellStyle name="Heading 1 3" xfId="0"/>
    <cellStyle name="Heading 1 3 2" xfId="0"/>
    <cellStyle name="Heading 1 3 2 2" xfId="0"/>
    <cellStyle name="Heading 1 3 3" xfId="0"/>
    <cellStyle name="Heading 1 3 3 2" xfId="0"/>
    <cellStyle name="Heading 1 3 4" xfId="0"/>
    <cellStyle name="Heading 1 3 4 2" xfId="0"/>
    <cellStyle name="Heading 1 3 5" xfId="0"/>
    <cellStyle name="Heading 1 3 5 2" xfId="0"/>
    <cellStyle name="Heading 1 3 6" xfId="0"/>
    <cellStyle name="Heading 1 3 7" xfId="0"/>
    <cellStyle name="Heading 1 3 8" xfId="0"/>
    <cellStyle name="Heading 1 30" xfId="0"/>
    <cellStyle name="Heading 1 31" xfId="0"/>
    <cellStyle name="Heading 1 32" xfId="0"/>
    <cellStyle name="Heading 1 33" xfId="0"/>
    <cellStyle name="Heading 1 34" xfId="0"/>
    <cellStyle name="Heading 1 35" xfId="0"/>
    <cellStyle name="Heading 1 36" xfId="0"/>
    <cellStyle name="Heading 1 3_Profitability Detail NT$ Sep-12" xfId="0"/>
    <cellStyle name="Heading 1 4" xfId="0"/>
    <cellStyle name="Heading 1 4 2" xfId="0"/>
    <cellStyle name="Heading 1 4 2 2" xfId="0"/>
    <cellStyle name="Heading 1 4 3" xfId="0"/>
    <cellStyle name="Heading 1 4 3 2" xfId="0"/>
    <cellStyle name="Heading 1 4 4" xfId="0"/>
    <cellStyle name="Heading 1 4 4 2" xfId="0"/>
    <cellStyle name="Heading 1 4 5" xfId="0"/>
    <cellStyle name="Heading 1 4 5 2" xfId="0"/>
    <cellStyle name="Heading 1 4 6" xfId="0"/>
    <cellStyle name="Heading 1 4 7" xfId="0"/>
    <cellStyle name="Heading 1 4 8" xfId="0"/>
    <cellStyle name="Heading 1 4_Profitability Detail NT$ Sep-12" xfId="0"/>
    <cellStyle name="Heading 1 5" xfId="0"/>
    <cellStyle name="Heading 1 5 2" xfId="0"/>
    <cellStyle name="Heading 1 5 3" xfId="0"/>
    <cellStyle name="Heading 1 6" xfId="0"/>
    <cellStyle name="Heading 1 6 2" xfId="0"/>
    <cellStyle name="Heading 1 7" xfId="0"/>
    <cellStyle name="Heading 1 7 2" xfId="0"/>
    <cellStyle name="Heading 1 8" xfId="0"/>
    <cellStyle name="Heading 1 8 2" xfId="0"/>
    <cellStyle name="Heading 1 9" xfId="0"/>
    <cellStyle name="Heading 1 9 2" xfId="0"/>
    <cellStyle name="Heading 1_13-wk VSA_Revised" xfId="0"/>
    <cellStyle name="Heading 2 10" xfId="0"/>
    <cellStyle name="Heading 2 10 2" xfId="0"/>
    <cellStyle name="Heading 2 11" xfId="0"/>
    <cellStyle name="Heading 2 11 2" xfId="0"/>
    <cellStyle name="Heading 2 12" xfId="0"/>
    <cellStyle name="Heading 2 12 2" xfId="0"/>
    <cellStyle name="Heading 2 13" xfId="0"/>
    <cellStyle name="Heading 2 13 2" xfId="0"/>
    <cellStyle name="Heading 2 14" xfId="0"/>
    <cellStyle name="Heading 2 14 2" xfId="0"/>
    <cellStyle name="Heading 2 15" xfId="0"/>
    <cellStyle name="Heading 2 15 2" xfId="0"/>
    <cellStyle name="Heading 2 16" xfId="0"/>
    <cellStyle name="Heading 2 16 2" xfId="0"/>
    <cellStyle name="Heading 2 17" xfId="0"/>
    <cellStyle name="Heading 2 17 2" xfId="0"/>
    <cellStyle name="Heading 2 18" xfId="0"/>
    <cellStyle name="Heading 2 18 2" xfId="0"/>
    <cellStyle name="Heading 2 19" xfId="0"/>
    <cellStyle name="Heading 2 19 2" xfId="0"/>
    <cellStyle name="Heading 2 2" xfId="0"/>
    <cellStyle name="Heading 2 2 2" xfId="0"/>
    <cellStyle name="Heading 2 2 2 2" xfId="0"/>
    <cellStyle name="Heading 2 2 2 3" xfId="0"/>
    <cellStyle name="Heading 2 2 3" xfId="0"/>
    <cellStyle name="Heading 2 2 3 2" xfId="0"/>
    <cellStyle name="Heading 2 2 3 3" xfId="0"/>
    <cellStyle name="Heading 2 2 4" xfId="0"/>
    <cellStyle name="Heading 2 2 4 2" xfId="0"/>
    <cellStyle name="Heading 2 2 5" xfId="0"/>
    <cellStyle name="Heading 2 2 5 2" xfId="0"/>
    <cellStyle name="Heading 2 2 6" xfId="0"/>
    <cellStyle name="Heading 2 2 7" xfId="0"/>
    <cellStyle name="Heading 2 2 8" xfId="0"/>
    <cellStyle name="Heading 2 2 9" xfId="0"/>
    <cellStyle name="Heading 2 20" xfId="0"/>
    <cellStyle name="Heading 2 20 2" xfId="0"/>
    <cellStyle name="Heading 2 21" xfId="0"/>
    <cellStyle name="Heading 2 21 2" xfId="0"/>
    <cellStyle name="Heading 2 22" xfId="0"/>
    <cellStyle name="Heading 2 22 2" xfId="0"/>
    <cellStyle name="Heading 2 23" xfId="0"/>
    <cellStyle name="Heading 2 23 2" xfId="0"/>
    <cellStyle name="Heading 2 24" xfId="0"/>
    <cellStyle name="Heading 2 25" xfId="0"/>
    <cellStyle name="Heading 2 26" xfId="0"/>
    <cellStyle name="Heading 2 27" xfId="0"/>
    <cellStyle name="Heading 2 28" xfId="0"/>
    <cellStyle name="Heading 2 29" xfId="0"/>
    <cellStyle name="Heading 2 2_Profitability Detail NT$ Sep-12" xfId="0"/>
    <cellStyle name="Heading 2 3" xfId="0"/>
    <cellStyle name="Heading 2 3 2" xfId="0"/>
    <cellStyle name="Heading 2 3 2 2" xfId="0"/>
    <cellStyle name="Heading 2 3 3" xfId="0"/>
    <cellStyle name="Heading 2 3 3 2" xfId="0"/>
    <cellStyle name="Heading 2 3 4" xfId="0"/>
    <cellStyle name="Heading 2 3 4 2" xfId="0"/>
    <cellStyle name="Heading 2 3 5" xfId="0"/>
    <cellStyle name="Heading 2 3 5 2" xfId="0"/>
    <cellStyle name="Heading 2 3 6" xfId="0"/>
    <cellStyle name="Heading 2 3 7" xfId="0"/>
    <cellStyle name="Heading 2 3 8" xfId="0"/>
    <cellStyle name="Heading 2 30" xfId="0"/>
    <cellStyle name="Heading 2 31" xfId="0"/>
    <cellStyle name="Heading 2 32" xfId="0"/>
    <cellStyle name="Heading 2 33" xfId="0"/>
    <cellStyle name="Heading 2 34" xfId="0"/>
    <cellStyle name="Heading 2 35" xfId="0"/>
    <cellStyle name="Heading 2 37" xfId="0"/>
    <cellStyle name="Heading 2 3_Profitability Detail NT$ Sep-12" xfId="0"/>
    <cellStyle name="Heading 2 4" xfId="0"/>
    <cellStyle name="Heading 2 4 2" xfId="0"/>
    <cellStyle name="Heading 2 4 2 2" xfId="0"/>
    <cellStyle name="Heading 2 4 3" xfId="0"/>
    <cellStyle name="Heading 2 4 3 2" xfId="0"/>
    <cellStyle name="Heading 2 4 4" xfId="0"/>
    <cellStyle name="Heading 2 4 4 2" xfId="0"/>
    <cellStyle name="Heading 2 4 5" xfId="0"/>
    <cellStyle name="Heading 2 4 5 2" xfId="0"/>
    <cellStyle name="Heading 2 4 6" xfId="0"/>
    <cellStyle name="Heading 2 4 7" xfId="0"/>
    <cellStyle name="Heading 2 4_Profitability Detail NT$ Sep-12" xfId="0"/>
    <cellStyle name="Heading 2 5" xfId="0"/>
    <cellStyle name="Heading 2 5 2" xfId="0"/>
    <cellStyle name="Heading 2 5 3" xfId="0"/>
    <cellStyle name="Heading 2 6" xfId="0"/>
    <cellStyle name="Heading 2 6 2" xfId="0"/>
    <cellStyle name="Heading 2 7" xfId="0"/>
    <cellStyle name="Heading 2 7 2" xfId="0"/>
    <cellStyle name="Heading 2 8" xfId="0"/>
    <cellStyle name="Heading 2 8 2" xfId="0"/>
    <cellStyle name="Heading 2 9" xfId="0"/>
    <cellStyle name="Heading 2 9 2" xfId="0"/>
    <cellStyle name="Heading 2_13-wk VSA_Revised" xfId="0"/>
    <cellStyle name="Heading 3" xfId="0"/>
    <cellStyle name="Heading 3 10" xfId="0"/>
    <cellStyle name="Heading 3 10 2" xfId="0"/>
    <cellStyle name="Heading 3 10 3" xfId="0"/>
    <cellStyle name="Heading 3 10 4" xfId="0"/>
    <cellStyle name="Heading 3 11" xfId="0"/>
    <cellStyle name="Heading 3 11 2" xfId="0"/>
    <cellStyle name="Heading 3 11 3" xfId="0"/>
    <cellStyle name="Heading 3 11 4" xfId="0"/>
    <cellStyle name="Heading 3 12" xfId="0"/>
    <cellStyle name="Heading 3 12 2" xfId="0"/>
    <cellStyle name="Heading 3 12 3" xfId="0"/>
    <cellStyle name="Heading 3 12 4" xfId="0"/>
    <cellStyle name="Heading 3 13" xfId="0"/>
    <cellStyle name="Heading 3 13 2" xfId="0"/>
    <cellStyle name="Heading 3 13 3" xfId="0"/>
    <cellStyle name="Heading 3 13 4" xfId="0"/>
    <cellStyle name="Heading 3 14" xfId="0"/>
    <cellStyle name="Heading 3 14 2" xfId="0"/>
    <cellStyle name="Heading 3 14 3" xfId="0"/>
    <cellStyle name="Heading 3 14 4" xfId="0"/>
    <cellStyle name="Heading 3 15" xfId="0"/>
    <cellStyle name="Heading 3 15 2" xfId="0"/>
    <cellStyle name="Heading 3 15 3" xfId="0"/>
    <cellStyle name="Heading 3 15 4" xfId="0"/>
    <cellStyle name="Heading 3 16" xfId="0"/>
    <cellStyle name="Heading 3 16 2" xfId="0"/>
    <cellStyle name="Heading 3 16 3" xfId="0"/>
    <cellStyle name="Heading 3 16 4" xfId="0"/>
    <cellStyle name="Heading 3 17" xfId="0"/>
    <cellStyle name="Heading 3 17 2" xfId="0"/>
    <cellStyle name="Heading 3 17 3" xfId="0"/>
    <cellStyle name="Heading 3 17 4" xfId="0"/>
    <cellStyle name="Heading 3 18" xfId="0"/>
    <cellStyle name="Heading 3 18 2" xfId="0"/>
    <cellStyle name="Heading 3 18 3" xfId="0"/>
    <cellStyle name="Heading 3 18 4" xfId="0"/>
    <cellStyle name="Heading 3 19" xfId="0"/>
    <cellStyle name="Heading 3 19 2" xfId="0"/>
    <cellStyle name="Heading 3 19 3" xfId="0"/>
    <cellStyle name="Heading 3 19 4" xfId="0"/>
    <cellStyle name="Heading 3 2" xfId="0"/>
    <cellStyle name="Heading 3 2 10" xfId="0"/>
    <cellStyle name="Heading 3 2 2" xfId="0"/>
    <cellStyle name="Heading 3 2 2 2" xfId="0"/>
    <cellStyle name="Heading 3 2 2 2 2" xfId="0"/>
    <cellStyle name="Heading 3 2 2 2 3" xfId="0"/>
    <cellStyle name="Heading 3 2 2 3" xfId="0"/>
    <cellStyle name="Heading 3 2 2 3 2" xfId="0"/>
    <cellStyle name="Heading 3 2 2 3 3" xfId="0"/>
    <cellStyle name="Heading 3 2 2 4" xfId="0"/>
    <cellStyle name="Heading 3 2 2 5" xfId="0"/>
    <cellStyle name="Heading 3 2 2 6" xfId="0"/>
    <cellStyle name="Heading 3 2 2 7" xfId="0"/>
    <cellStyle name="Heading 3 2 3" xfId="0"/>
    <cellStyle name="Heading 3 2 3 2" xfId="0"/>
    <cellStyle name="Heading 3 2 3 2 2" xfId="0"/>
    <cellStyle name="Heading 3 2 3 3" xfId="0"/>
    <cellStyle name="Heading 3 2 3 3 2" xfId="0"/>
    <cellStyle name="Heading 3 2 3 4" xfId="0"/>
    <cellStyle name="Heading 3 2 3 5" xfId="0"/>
    <cellStyle name="Heading 3 2 3 6" xfId="0"/>
    <cellStyle name="Heading 3 2 4" xfId="0"/>
    <cellStyle name="Heading 3 2 4 2" xfId="0"/>
    <cellStyle name="Heading 3 2 4 2 2" xfId="0"/>
    <cellStyle name="Heading 3 2 4 3" xfId="0"/>
    <cellStyle name="Heading 3 2 4 3 2" xfId="0"/>
    <cellStyle name="Heading 3 2 4 4" xfId="0"/>
    <cellStyle name="Heading 3 2 4 5" xfId="0"/>
    <cellStyle name="Heading 3 2 5" xfId="0"/>
    <cellStyle name="Heading 3 2 5 2" xfId="0"/>
    <cellStyle name="Heading 3 2 5 2 2" xfId="0"/>
    <cellStyle name="Heading 3 2 5 3" xfId="0"/>
    <cellStyle name="Heading 3 2 5 3 2" xfId="0"/>
    <cellStyle name="Heading 3 2 5 4" xfId="0"/>
    <cellStyle name="Heading 3 2 5 5" xfId="0"/>
    <cellStyle name="Heading 3 2 6" xfId="0"/>
    <cellStyle name="Heading 3 2 6 2" xfId="0"/>
    <cellStyle name="Heading 3 2 6 3" xfId="0"/>
    <cellStyle name="Heading 3 2 6 4" xfId="0"/>
    <cellStyle name="Heading 3 2 7" xfId="0"/>
    <cellStyle name="Heading 3 2 7 2" xfId="0"/>
    <cellStyle name="Heading 3 2 7 3" xfId="0"/>
    <cellStyle name="Heading 3 2 7 4" xfId="0"/>
    <cellStyle name="Heading 3 2 8" xfId="0"/>
    <cellStyle name="Heading 3 2 8 2" xfId="0"/>
    <cellStyle name="Heading 3 2 9" xfId="0"/>
    <cellStyle name="Heading 3 20" xfId="0"/>
    <cellStyle name="Heading 3 20 2" xfId="0"/>
    <cellStyle name="Heading 3 20 3" xfId="0"/>
    <cellStyle name="Heading 3 20 4" xfId="0"/>
    <cellStyle name="Heading 3 21" xfId="0"/>
    <cellStyle name="Heading 3 21 2" xfId="0"/>
    <cellStyle name="Heading 3 21 3" xfId="0"/>
    <cellStyle name="Heading 3 21 4" xfId="0"/>
    <cellStyle name="Heading 3 22" xfId="0"/>
    <cellStyle name="Heading 3 22 2" xfId="0"/>
    <cellStyle name="Heading 3 22 3" xfId="0"/>
    <cellStyle name="Heading 3 22 4" xfId="0"/>
    <cellStyle name="Heading 3 23" xfId="0"/>
    <cellStyle name="Heading 3 23 2" xfId="0"/>
    <cellStyle name="Heading 3 23 3" xfId="0"/>
    <cellStyle name="Heading 3 23 4" xfId="0"/>
    <cellStyle name="Heading 3 24" xfId="0"/>
    <cellStyle name="Heading 3 24 2" xfId="0"/>
    <cellStyle name="Heading 3 25" xfId="0"/>
    <cellStyle name="Heading 3 25 2" xfId="0"/>
    <cellStyle name="Heading 3 26" xfId="0"/>
    <cellStyle name="Heading 3 27" xfId="0"/>
    <cellStyle name="Heading 3 28" xfId="0"/>
    <cellStyle name="Heading 3 29" xfId="0"/>
    <cellStyle name="Heading 3 2_Profitability Detail NT$ Sep-12" xfId="0"/>
    <cellStyle name="Heading 3 3" xfId="0"/>
    <cellStyle name="Heading 3 3 10" xfId="0"/>
    <cellStyle name="Heading 3 3 2" xfId="0"/>
    <cellStyle name="Heading 3 3 2 2" xfId="0"/>
    <cellStyle name="Heading 3 3 2 2 2" xfId="0"/>
    <cellStyle name="Heading 3 3 2 2 3" xfId="0"/>
    <cellStyle name="Heading 3 3 2 3" xfId="0"/>
    <cellStyle name="Heading 3 3 2 3 2" xfId="0"/>
    <cellStyle name="Heading 3 3 2 3 3" xfId="0"/>
    <cellStyle name="Heading 3 3 2 4" xfId="0"/>
    <cellStyle name="Heading 3 3 2 5" xfId="0"/>
    <cellStyle name="Heading 3 3 2 6" xfId="0"/>
    <cellStyle name="Heading 3 3 3" xfId="0"/>
    <cellStyle name="Heading 3 3 3 2" xfId="0"/>
    <cellStyle name="Heading 3 3 3 2 2" xfId="0"/>
    <cellStyle name="Heading 3 3 3 3" xfId="0"/>
    <cellStyle name="Heading 3 3 3 3 2" xfId="0"/>
    <cellStyle name="Heading 3 3 3 4" xfId="0"/>
    <cellStyle name="Heading 3 3 3 5" xfId="0"/>
    <cellStyle name="Heading 3 3 4" xfId="0"/>
    <cellStyle name="Heading 3 3 4 2" xfId="0"/>
    <cellStyle name="Heading 3 3 4 2 2" xfId="0"/>
    <cellStyle name="Heading 3 3 4 3" xfId="0"/>
    <cellStyle name="Heading 3 3 4 3 2" xfId="0"/>
    <cellStyle name="Heading 3 3 4 4" xfId="0"/>
    <cellStyle name="Heading 3 3 4 5" xfId="0"/>
    <cellStyle name="Heading 3 3 5" xfId="0"/>
    <cellStyle name="Heading 3 3 5 2" xfId="0"/>
    <cellStyle name="Heading 3 3 5 2 2" xfId="0"/>
    <cellStyle name="Heading 3 3 5 3" xfId="0"/>
    <cellStyle name="Heading 3 3 5 3 2" xfId="0"/>
    <cellStyle name="Heading 3 3 5 4" xfId="0"/>
    <cellStyle name="Heading 3 3 5 5" xfId="0"/>
    <cellStyle name="Heading 3 3 6" xfId="0"/>
    <cellStyle name="Heading 3 3 6 2" xfId="0"/>
    <cellStyle name="Heading 3 3 6 3" xfId="0"/>
    <cellStyle name="Heading 3 3 6 4" xfId="0"/>
    <cellStyle name="Heading 3 3 7" xfId="0"/>
    <cellStyle name="Heading 3 3 7 2" xfId="0"/>
    <cellStyle name="Heading 3 3 7 3" xfId="0"/>
    <cellStyle name="Heading 3 3 7 4" xfId="0"/>
    <cellStyle name="Heading 3 3 8" xfId="0"/>
    <cellStyle name="Heading 3 3 9" xfId="0"/>
    <cellStyle name="Heading 3 30" xfId="0"/>
    <cellStyle name="Heading 3 31" xfId="0"/>
    <cellStyle name="Heading 3 32" xfId="0"/>
    <cellStyle name="Heading 3 33" xfId="0"/>
    <cellStyle name="Heading 3 34" xfId="0"/>
    <cellStyle name="Heading 3 35" xfId="0"/>
    <cellStyle name="Heading 3 3_Profitability Detail NT$ Sep-12" xfId="0"/>
    <cellStyle name="Heading 3 4" xfId="0"/>
    <cellStyle name="Heading 3 4 2" xfId="0"/>
    <cellStyle name="Heading 3 4 2 2" xfId="0"/>
    <cellStyle name="Heading 3 4 2 2 2" xfId="0"/>
    <cellStyle name="Heading 3 4 2 2 3" xfId="0"/>
    <cellStyle name="Heading 3 4 2 3" xfId="0"/>
    <cellStyle name="Heading 3 4 2 3 2" xfId="0"/>
    <cellStyle name="Heading 3 4 2 3 3" xfId="0"/>
    <cellStyle name="Heading 3 4 2 4" xfId="0"/>
    <cellStyle name="Heading 3 4 2 5" xfId="0"/>
    <cellStyle name="Heading 3 4 2 6" xfId="0"/>
    <cellStyle name="Heading 3 4 3" xfId="0"/>
    <cellStyle name="Heading 3 4 3 2" xfId="0"/>
    <cellStyle name="Heading 3 4 3 2 2" xfId="0"/>
    <cellStyle name="Heading 3 4 3 3" xfId="0"/>
    <cellStyle name="Heading 3 4 3 3 2" xfId="0"/>
    <cellStyle name="Heading 3 4 3 4" xfId="0"/>
    <cellStyle name="Heading 3 4 3 5" xfId="0"/>
    <cellStyle name="Heading 3 4 4" xfId="0"/>
    <cellStyle name="Heading 3 4 4 2" xfId="0"/>
    <cellStyle name="Heading 3 4 4 2 2" xfId="0"/>
    <cellStyle name="Heading 3 4 4 3" xfId="0"/>
    <cellStyle name="Heading 3 4 4 3 2" xfId="0"/>
    <cellStyle name="Heading 3 4 4 4" xfId="0"/>
    <cellStyle name="Heading 3 4 4 5" xfId="0"/>
    <cellStyle name="Heading 3 4 5" xfId="0"/>
    <cellStyle name="Heading 3 4 5 2" xfId="0"/>
    <cellStyle name="Heading 3 4 5 2 2" xfId="0"/>
    <cellStyle name="Heading 3 4 5 3" xfId="0"/>
    <cellStyle name="Heading 3 4 5 3 2" xfId="0"/>
    <cellStyle name="Heading 3 4 5 4" xfId="0"/>
    <cellStyle name="Heading 3 4 5 5" xfId="0"/>
    <cellStyle name="Heading 3 4 6" xfId="0"/>
    <cellStyle name="Heading 3 4 6 2" xfId="0"/>
    <cellStyle name="Heading 3 4 6 3" xfId="0"/>
    <cellStyle name="Heading 3 4 6 4" xfId="0"/>
    <cellStyle name="Heading 3 4 7" xfId="0"/>
    <cellStyle name="Heading 3 4 7 2" xfId="0"/>
    <cellStyle name="Heading 3 4 7 3" xfId="0"/>
    <cellStyle name="Heading 3 4 7 4" xfId="0"/>
    <cellStyle name="Heading 3 4 8" xfId="0"/>
    <cellStyle name="Heading 3 4 9" xfId="0"/>
    <cellStyle name="Heading 3 4_Profitability Detail NT$ Sep-12" xfId="0"/>
    <cellStyle name="Heading 3 5" xfId="0"/>
    <cellStyle name="Heading 3 5 2" xfId="0"/>
    <cellStyle name="Heading 3 5 2 2" xfId="0"/>
    <cellStyle name="Heading 3 5 2 3" xfId="0"/>
    <cellStyle name="Heading 3 5 3" xfId="0"/>
    <cellStyle name="Heading 3 5 3 2" xfId="0"/>
    <cellStyle name="Heading 3 5 4" xfId="0"/>
    <cellStyle name="Heading 3 5 5" xfId="0"/>
    <cellStyle name="Heading 3 6" xfId="0"/>
    <cellStyle name="Heading 3 6 2" xfId="0"/>
    <cellStyle name="Heading 3 6 3" xfId="0"/>
    <cellStyle name="Heading 3 6 4" xfId="0"/>
    <cellStyle name="Heading 3 7" xfId="0"/>
    <cellStyle name="Heading 3 7 2" xfId="0"/>
    <cellStyle name="Heading 3 7 3" xfId="0"/>
    <cellStyle name="Heading 3 7 4" xfId="0"/>
    <cellStyle name="Heading 3 8" xfId="0"/>
    <cellStyle name="Heading 3 8 2" xfId="0"/>
    <cellStyle name="Heading 3 8 3" xfId="0"/>
    <cellStyle name="Heading 3 8 4" xfId="0"/>
    <cellStyle name="Heading 3 9" xfId="0"/>
    <cellStyle name="Heading 3 9 2" xfId="0"/>
    <cellStyle name="Heading 3 9 3" xfId="0"/>
    <cellStyle name="Heading 3 9 4" xfId="0"/>
    <cellStyle name="Heading 32" xfId="0"/>
    <cellStyle name="Heading 3_13-wk VSA_Revised" xfId="0"/>
    <cellStyle name="Heading 4" xfId="0"/>
    <cellStyle name="Heading 4 10" xfId="0"/>
    <cellStyle name="Heading 4 10 2" xfId="0"/>
    <cellStyle name="Heading 4 11" xfId="0"/>
    <cellStyle name="Heading 4 11 2" xfId="0"/>
    <cellStyle name="Heading 4 12" xfId="0"/>
    <cellStyle name="Heading 4 12 2" xfId="0"/>
    <cellStyle name="Heading 4 13" xfId="0"/>
    <cellStyle name="Heading 4 13 2" xfId="0"/>
    <cellStyle name="Heading 4 14" xfId="0"/>
    <cellStyle name="Heading 4 14 2" xfId="0"/>
    <cellStyle name="Heading 4 15" xfId="0"/>
    <cellStyle name="Heading 4 15 2" xfId="0"/>
    <cellStyle name="Heading 4 16" xfId="0"/>
    <cellStyle name="Heading 4 16 2" xfId="0"/>
    <cellStyle name="Heading 4 17" xfId="0"/>
    <cellStyle name="Heading 4 17 2" xfId="0"/>
    <cellStyle name="Heading 4 18" xfId="0"/>
    <cellStyle name="Heading 4 18 2" xfId="0"/>
    <cellStyle name="Heading 4 19" xfId="0"/>
    <cellStyle name="Heading 4 19 2" xfId="0"/>
    <cellStyle name="Heading 4 2" xfId="0"/>
    <cellStyle name="Heading 4 2 2" xfId="0"/>
    <cellStyle name="Heading 4 2 2 2" xfId="0"/>
    <cellStyle name="Heading 4 2 2 3" xfId="0"/>
    <cellStyle name="Heading 4 2 3" xfId="0"/>
    <cellStyle name="Heading 4 2 3 2" xfId="0"/>
    <cellStyle name="Heading 4 2 3 3" xfId="0"/>
    <cellStyle name="Heading 4 2 4" xfId="0"/>
    <cellStyle name="Heading 4 2 4 2" xfId="0"/>
    <cellStyle name="Heading 4 2 5" xfId="0"/>
    <cellStyle name="Heading 4 2 5 2" xfId="0"/>
    <cellStyle name="Heading 4 2 6" xfId="0"/>
    <cellStyle name="Heading 4 2 7" xfId="0"/>
    <cellStyle name="Heading 4 20" xfId="0"/>
    <cellStyle name="Heading 4 20 2" xfId="0"/>
    <cellStyle name="Heading 4 21" xfId="0"/>
    <cellStyle name="Heading 4 21 2" xfId="0"/>
    <cellStyle name="Heading 4 22" xfId="0"/>
    <cellStyle name="Heading 4 22 2" xfId="0"/>
    <cellStyle name="Heading 4 23" xfId="0"/>
    <cellStyle name="Heading 4 24" xfId="0"/>
    <cellStyle name="Heading 4 25" xfId="0"/>
    <cellStyle name="Heading 4 26" xfId="0"/>
    <cellStyle name="Heading 4 27" xfId="0"/>
    <cellStyle name="Heading 4 28" xfId="0"/>
    <cellStyle name="Heading 4 29" xfId="0"/>
    <cellStyle name="Heading 4 2_Profitability Detail NT$ Sep-12" xfId="0"/>
    <cellStyle name="Heading 4 3" xfId="0"/>
    <cellStyle name="Heading 4 3 2" xfId="0"/>
    <cellStyle name="Heading 4 3 2 2" xfId="0"/>
    <cellStyle name="Heading 4 3 3" xfId="0"/>
    <cellStyle name="Heading 4 3 3 2" xfId="0"/>
    <cellStyle name="Heading 4 3 4" xfId="0"/>
    <cellStyle name="Heading 4 3 4 2" xfId="0"/>
    <cellStyle name="Heading 4 3 5" xfId="0"/>
    <cellStyle name="Heading 4 3 5 2" xfId="0"/>
    <cellStyle name="Heading 4 3 6" xfId="0"/>
    <cellStyle name="Heading 4 3 7" xfId="0"/>
    <cellStyle name="Heading 4 3 8" xfId="0"/>
    <cellStyle name="Heading 4 3_Profitability Detail NT$ Sep-12" xfId="0"/>
    <cellStyle name="Heading 4 4" xfId="0"/>
    <cellStyle name="Heading 4 4 2" xfId="0"/>
    <cellStyle name="Heading 4 4 2 2" xfId="0"/>
    <cellStyle name="Heading 4 4 3" xfId="0"/>
    <cellStyle name="Heading 4 4 3 2" xfId="0"/>
    <cellStyle name="Heading 4 4 4" xfId="0"/>
    <cellStyle name="Heading 4 4 4 2" xfId="0"/>
    <cellStyle name="Heading 4 4 5" xfId="0"/>
    <cellStyle name="Heading 4 4 5 2" xfId="0"/>
    <cellStyle name="Heading 4 4 6" xfId="0"/>
    <cellStyle name="Heading 4 4 7" xfId="0"/>
    <cellStyle name="Heading 4 4_Profitability Detail NT$ Sep-12" xfId="0"/>
    <cellStyle name="Heading 4 5" xfId="0"/>
    <cellStyle name="Heading 4 5 2" xfId="0"/>
    <cellStyle name="Heading 4 6" xfId="0"/>
    <cellStyle name="Heading 4 6 2" xfId="0"/>
    <cellStyle name="Heading 4 7" xfId="0"/>
    <cellStyle name="Heading 4 7 2" xfId="0"/>
    <cellStyle name="Heading 4 8" xfId="0"/>
    <cellStyle name="Heading 4 8 2" xfId="0"/>
    <cellStyle name="Heading 4 9" xfId="0"/>
    <cellStyle name="Heading 4 9 2" xfId="0"/>
    <cellStyle name="Heading 4_Apr CPC" xfId="0"/>
    <cellStyle name="Heading No Underline" xfId="0"/>
    <cellStyle name="Heading No Underline 2" xfId="0"/>
    <cellStyle name="Heading With Underline" xfId="0"/>
    <cellStyle name="Heading With Underline 2" xfId="0"/>
    <cellStyle name="Heading_RETIREMEN vsi" xfId="0"/>
    <cellStyle name="Hiperlacze" xfId="0"/>
    <cellStyle name="Hiperlacze 2" xfId="0"/>
    <cellStyle name="Hiperlacze 2 2" xfId="0"/>
    <cellStyle name="Hiperlacze 2 2 2" xfId="0"/>
    <cellStyle name="Hiperlacze 2 2 3" xfId="0"/>
    <cellStyle name="Hiperlacze 2 2 4" xfId="0"/>
    <cellStyle name="Hiperlacze 2 3" xfId="0"/>
    <cellStyle name="Hiperlacze 2 3 2" xfId="0"/>
    <cellStyle name="Hiperlacze 2 3 3" xfId="0"/>
    <cellStyle name="Hiperlacze 2 3 4" xfId="0"/>
    <cellStyle name="Hiperlacze 2 4" xfId="0"/>
    <cellStyle name="Hiperlacze 2 4 2" xfId="0"/>
    <cellStyle name="Hiperlacze 2 4 3" xfId="0"/>
    <cellStyle name="Hiperlacze 2 4 4" xfId="0"/>
    <cellStyle name="Hiperlacze 2 5" xfId="0"/>
    <cellStyle name="Hiperlacze 2 5 2" xfId="0"/>
    <cellStyle name="Hiperlacze 2 5 3" xfId="0"/>
    <cellStyle name="Hiperlacze 2 5 4" xfId="0"/>
    <cellStyle name="Hiperlacze 2 6" xfId="0"/>
    <cellStyle name="Hiperlacze 2 7" xfId="0"/>
    <cellStyle name="Hiperlacze 2 8" xfId="0"/>
    <cellStyle name="Hiperlacze 3" xfId="0"/>
    <cellStyle name="Hiperlacze 3 2" xfId="0"/>
    <cellStyle name="Hiperlacze 3 2 2" xfId="0"/>
    <cellStyle name="Hiperlacze 3 2 3" xfId="0"/>
    <cellStyle name="Hiperlacze 3 2 4" xfId="0"/>
    <cellStyle name="Hiperlacze 3 3" xfId="0"/>
    <cellStyle name="Hiperlacze 3 3 2" xfId="0"/>
    <cellStyle name="Hiperlacze 3 3 3" xfId="0"/>
    <cellStyle name="Hiperlacze 3 3 4" xfId="0"/>
    <cellStyle name="Hiperlacze 3 4" xfId="0"/>
    <cellStyle name="Hiperlacze 3 4 2" xfId="0"/>
    <cellStyle name="Hiperlacze 3 4 3" xfId="0"/>
    <cellStyle name="Hiperlacze 3 4 4" xfId="0"/>
    <cellStyle name="Hiperlacze 3 5" xfId="0"/>
    <cellStyle name="Hiperlacze 3 6" xfId="0"/>
    <cellStyle name="Hiperlacze 3 7" xfId="0"/>
    <cellStyle name="Hiperlacze 4" xfId="0"/>
    <cellStyle name="Hiperlacze 5" xfId="0"/>
    <cellStyle name="Hiperlacze 6" xfId="0"/>
    <cellStyle name="Hiperłącze" xfId="0"/>
    <cellStyle name="Hiperłącze 2" xfId="0"/>
    <cellStyle name="Hiperłącze 2 2" xfId="0"/>
    <cellStyle name="Hiperłącze 2 2 2" xfId="0"/>
    <cellStyle name="Hiperłącze 2 2 3" xfId="0"/>
    <cellStyle name="Hiperłącze 2 2 4" xfId="0"/>
    <cellStyle name="Hiperłącze 2 3" xfId="0"/>
    <cellStyle name="Hiperłącze 2 3 2" xfId="0"/>
    <cellStyle name="Hiperłącze 2 3 3" xfId="0"/>
    <cellStyle name="Hiperłącze 2 3 4" xfId="0"/>
    <cellStyle name="Hiperłącze 2 4" xfId="0"/>
    <cellStyle name="Hiperłącze 2 4 2" xfId="0"/>
    <cellStyle name="Hiperłącze 2 4 3" xfId="0"/>
    <cellStyle name="Hiperłącze 2 4 4" xfId="0"/>
    <cellStyle name="Hiperłącze 2 5" xfId="0"/>
    <cellStyle name="Hiperłącze 2 5 2" xfId="0"/>
    <cellStyle name="Hiperłącze 2 5 3" xfId="0"/>
    <cellStyle name="Hiperłącze 2 5 4" xfId="0"/>
    <cellStyle name="Hiperłącze 2 6" xfId="0"/>
    <cellStyle name="Hiperłącze 2 7" xfId="0"/>
    <cellStyle name="Hiperłącze 2 8" xfId="0"/>
    <cellStyle name="Hiperłącze 3" xfId="0"/>
    <cellStyle name="Hiperłącze 3 2" xfId="0"/>
    <cellStyle name="Hiperłącze 3 2 2" xfId="0"/>
    <cellStyle name="Hiperłącze 3 2 3" xfId="0"/>
    <cellStyle name="Hiperłącze 3 2 4" xfId="0"/>
    <cellStyle name="Hiperłącze 3 3" xfId="0"/>
    <cellStyle name="Hiperłącze 3 3 2" xfId="0"/>
    <cellStyle name="Hiperłącze 3 3 3" xfId="0"/>
    <cellStyle name="Hiperłącze 3 3 4" xfId="0"/>
    <cellStyle name="Hiperłącze 3 4" xfId="0"/>
    <cellStyle name="Hiperłącze 3 4 2" xfId="0"/>
    <cellStyle name="Hiperłącze 3 4 3" xfId="0"/>
    <cellStyle name="Hiperłącze 3 4 4" xfId="0"/>
    <cellStyle name="Hiperłącze 3 5" xfId="0"/>
    <cellStyle name="Hiperłącze 3 6" xfId="0"/>
    <cellStyle name="Hiperłącze 3 7" xfId="0"/>
    <cellStyle name="Hiperłącze 4" xfId="0"/>
    <cellStyle name="Hiperłącze 5" xfId="0"/>
    <cellStyle name="Hiperłącze 6" xfId="0"/>
    <cellStyle name="Hyperlink 2" xfId="0"/>
    <cellStyle name="Hyperlink 2 2" xfId="0"/>
    <cellStyle name="Input" xfId="0"/>
    <cellStyle name="Input 10" xfId="0"/>
    <cellStyle name="Input 10 2" xfId="0"/>
    <cellStyle name="Input 10 3" xfId="0"/>
    <cellStyle name="Input 11" xfId="0"/>
    <cellStyle name="Input 11 2" xfId="0"/>
    <cellStyle name="Input 11 3" xfId="0"/>
    <cellStyle name="Input 12" xfId="0"/>
    <cellStyle name="Input 12 2" xfId="0"/>
    <cellStyle name="Input 12 3" xfId="0"/>
    <cellStyle name="Input 13" xfId="0"/>
    <cellStyle name="Input 13 2" xfId="0"/>
    <cellStyle name="Input 13 3" xfId="0"/>
    <cellStyle name="Input 14" xfId="0"/>
    <cellStyle name="Input 14 2" xfId="0"/>
    <cellStyle name="Input 14 3" xfId="0"/>
    <cellStyle name="Input 15" xfId="0"/>
    <cellStyle name="Input 15 2" xfId="0"/>
    <cellStyle name="Input 15 3" xfId="0"/>
    <cellStyle name="Input 16" xfId="0"/>
    <cellStyle name="Input 16 2" xfId="0"/>
    <cellStyle name="Input 16 3" xfId="0"/>
    <cellStyle name="Input 17" xfId="0"/>
    <cellStyle name="Input 17 2" xfId="0"/>
    <cellStyle name="Input 17 3" xfId="0"/>
    <cellStyle name="Input 18" xfId="0"/>
    <cellStyle name="Input 18 2" xfId="0"/>
    <cellStyle name="Input 18 3" xfId="0"/>
    <cellStyle name="Input 19" xfId="0"/>
    <cellStyle name="Input 19 2" xfId="0"/>
    <cellStyle name="Input 2" xfId="0"/>
    <cellStyle name="Input 2 2" xfId="0"/>
    <cellStyle name="Input 2 2 2" xfId="0"/>
    <cellStyle name="Input 2 2 3" xfId="0"/>
    <cellStyle name="Input 2 3" xfId="0"/>
    <cellStyle name="Input 2 3 2" xfId="0"/>
    <cellStyle name="Input 2 3 3" xfId="0"/>
    <cellStyle name="Input 2 4" xfId="0"/>
    <cellStyle name="Input 2 4 2" xfId="0"/>
    <cellStyle name="Input 2 5" xfId="0"/>
    <cellStyle name="Input 2 5 2" xfId="0"/>
    <cellStyle name="Input 2 6" xfId="0"/>
    <cellStyle name="Input 2 7" xfId="0"/>
    <cellStyle name="Input 2 8" xfId="0"/>
    <cellStyle name="Input 2 9" xfId="0"/>
    <cellStyle name="Input 20" xfId="0"/>
    <cellStyle name="Input 20 2" xfId="0"/>
    <cellStyle name="Input 21" xfId="0"/>
    <cellStyle name="Input 21 2" xfId="0"/>
    <cellStyle name="Input 22" xfId="0"/>
    <cellStyle name="Input 22 2" xfId="0"/>
    <cellStyle name="Input 23" xfId="0"/>
    <cellStyle name="Input 23 2" xfId="0"/>
    <cellStyle name="Input 24" xfId="0"/>
    <cellStyle name="Input 25" xfId="0"/>
    <cellStyle name="Input 26" xfId="0"/>
    <cellStyle name="Input 27" xfId="0"/>
    <cellStyle name="Input 28" xfId="0"/>
    <cellStyle name="Input 29" xfId="0"/>
    <cellStyle name="Input 2_Profitability Detail NT$ Sep-12" xfId="0"/>
    <cellStyle name="Input 3" xfId="0"/>
    <cellStyle name="Input 3 2" xfId="0"/>
    <cellStyle name="Input 3 2 2" xfId="0"/>
    <cellStyle name="Input 3 3" xfId="0"/>
    <cellStyle name="Input 3 3 2" xfId="0"/>
    <cellStyle name="Input 3 4" xfId="0"/>
    <cellStyle name="Input 3 4 2" xfId="0"/>
    <cellStyle name="Input 3 5" xfId="0"/>
    <cellStyle name="Input 3 5 2" xfId="0"/>
    <cellStyle name="Input 3 6" xfId="0"/>
    <cellStyle name="Input 3 7" xfId="0"/>
    <cellStyle name="Input 3 8" xfId="0"/>
    <cellStyle name="Input 30" xfId="0"/>
    <cellStyle name="Input 31" xfId="0"/>
    <cellStyle name="Input 32" xfId="0"/>
    <cellStyle name="Input 33" xfId="0"/>
    <cellStyle name="Input 34" xfId="0"/>
    <cellStyle name="Input 35" xfId="0"/>
    <cellStyle name="Input 36" xfId="0"/>
    <cellStyle name="Input 37" xfId="0"/>
    <cellStyle name="Input 38" xfId="0"/>
    <cellStyle name="Input 39" xfId="0"/>
    <cellStyle name="Input 3_Profitability Detail NT$ Sep-12" xfId="0"/>
    <cellStyle name="Input 4" xfId="0"/>
    <cellStyle name="Input 4 2" xfId="0"/>
    <cellStyle name="Input 4 2 2" xfId="0"/>
    <cellStyle name="Input 4 3" xfId="0"/>
    <cellStyle name="Input 4 3 2" xfId="0"/>
    <cellStyle name="Input 4 4" xfId="0"/>
    <cellStyle name="Input 4 4 2" xfId="0"/>
    <cellStyle name="Input 4 5" xfId="0"/>
    <cellStyle name="Input 4 5 2" xfId="0"/>
    <cellStyle name="Input 4 6" xfId="0"/>
    <cellStyle name="Input 4 7" xfId="0"/>
    <cellStyle name="Input 4 8" xfId="0"/>
    <cellStyle name="Input 40" xfId="0"/>
    <cellStyle name="Input 41" xfId="0"/>
    <cellStyle name="Input 42" xfId="0"/>
    <cellStyle name="Input 43" xfId="0"/>
    <cellStyle name="Input 44" xfId="0"/>
    <cellStyle name="Input 45" xfId="0"/>
    <cellStyle name="Input 46" xfId="0"/>
    <cellStyle name="Input 47" xfId="0"/>
    <cellStyle name="Input 48" xfId="0"/>
    <cellStyle name="Input 49" xfId="0"/>
    <cellStyle name="Input 4_Profitability Detail NT$ Sep-12" xfId="0"/>
    <cellStyle name="Input 5" xfId="0"/>
    <cellStyle name="Input 5 2" xfId="0"/>
    <cellStyle name="Input 5 3" xfId="0"/>
    <cellStyle name="Input 5 4" xfId="0"/>
    <cellStyle name="Input 50" xfId="0"/>
    <cellStyle name="Input 51" xfId="0"/>
    <cellStyle name="Input 6" xfId="0"/>
    <cellStyle name="Input 6 2" xfId="0"/>
    <cellStyle name="Input 6 3" xfId="0"/>
    <cellStyle name="Input 7" xfId="0"/>
    <cellStyle name="Input 7 2" xfId="0"/>
    <cellStyle name="Input 7 3" xfId="0"/>
    <cellStyle name="Input 8" xfId="0"/>
    <cellStyle name="Input 8 2" xfId="0"/>
    <cellStyle name="Input 8 3" xfId="0"/>
    <cellStyle name="Input 9" xfId="0"/>
    <cellStyle name="Input 9 2" xfId="0"/>
    <cellStyle name="Input 9 3" xfId="0"/>
    <cellStyle name="Input [yellow]" xfId="0"/>
    <cellStyle name="Input [yellow] 2" xfId="0"/>
    <cellStyle name="Input Cells" xfId="0"/>
    <cellStyle name="Input Cells 10" xfId="0"/>
    <cellStyle name="Input Cells 11" xfId="0"/>
    <cellStyle name="Input Cells 2" xfId="0"/>
    <cellStyle name="Input Cells 3" xfId="0"/>
    <cellStyle name="Input Cells 4" xfId="0"/>
    <cellStyle name="Input Cells 5" xfId="0"/>
    <cellStyle name="Input Cells 6" xfId="0"/>
    <cellStyle name="Input Cells 7" xfId="0"/>
    <cellStyle name="Input Cells 8" xfId="0"/>
    <cellStyle name="Input Cells 9" xfId="0"/>
    <cellStyle name="Input_13-wk VSA_Revised" xfId="0"/>
    <cellStyle name="l]&#13;&#10;Path=h:&#13;&#10;Name=Diana Chang&#13;&#10;DDEApps=nsf,nsg,nsh,ntf,ns2,ors,org&#13;&#10;SmartIcons=Read Message&#13;&#10;&#13;&#10;&#13;&#10;[cc:Edit" xfId="0"/>
    <cellStyle name="l]&#13;&#10;Path=h:&#13;&#10;Name=Diana Chang&#13;&#10;DDEApps=nsf,nsg,nsh,ntf,ns2,ors,org&#13;&#10;SmartIcons=Read Message&#13;&#10;&#13;&#10;&#13;&#10;[cc:Edit 2" xfId="0"/>
    <cellStyle name="Linked Cell" xfId="0"/>
    <cellStyle name="Linked Cell 10" xfId="0"/>
    <cellStyle name="Linked Cell 10 2" xfId="0"/>
    <cellStyle name="Linked Cell 10 3" xfId="0"/>
    <cellStyle name="Linked Cell 11" xfId="0"/>
    <cellStyle name="Linked Cell 11 2" xfId="0"/>
    <cellStyle name="Linked Cell 12" xfId="0"/>
    <cellStyle name="Linked Cell 12 2" xfId="0"/>
    <cellStyle name="Linked Cell 13" xfId="0"/>
    <cellStyle name="Linked Cell 13 2" xfId="0"/>
    <cellStyle name="Linked Cell 14" xfId="0"/>
    <cellStyle name="Linked Cell 14 2" xfId="0"/>
    <cellStyle name="Linked Cell 15" xfId="0"/>
    <cellStyle name="Linked Cell 15 2" xfId="0"/>
    <cellStyle name="Linked Cell 16" xfId="0"/>
    <cellStyle name="Linked Cell 16 2" xfId="0"/>
    <cellStyle name="Linked Cell 17" xfId="0"/>
    <cellStyle name="Linked Cell 17 2" xfId="0"/>
    <cellStyle name="Linked Cell 18" xfId="0"/>
    <cellStyle name="Linked Cell 18 2" xfId="0"/>
    <cellStyle name="Linked Cell 19" xfId="0"/>
    <cellStyle name="Linked Cell 19 2" xfId="0"/>
    <cellStyle name="Linked Cell 2" xfId="0"/>
    <cellStyle name="Linked Cell 2 2" xfId="0"/>
    <cellStyle name="Linked Cell 2 2 2" xfId="0"/>
    <cellStyle name="Linked Cell 2 2 2 2" xfId="0"/>
    <cellStyle name="Linked Cell 2 2 3" xfId="0"/>
    <cellStyle name="Linked Cell 2 2 4" xfId="0"/>
    <cellStyle name="Linked Cell 2 3" xfId="0"/>
    <cellStyle name="Linked Cell 2 3 2" xfId="0"/>
    <cellStyle name="Linked Cell 2 3 3" xfId="0"/>
    <cellStyle name="Linked Cell 2 3 4" xfId="0"/>
    <cellStyle name="Linked Cell 2 4" xfId="0"/>
    <cellStyle name="Linked Cell 2 4 2" xfId="0"/>
    <cellStyle name="Linked Cell 2 4 3" xfId="0"/>
    <cellStyle name="Linked Cell 2 4 4" xfId="0"/>
    <cellStyle name="Linked Cell 2 5" xfId="0"/>
    <cellStyle name="Linked Cell 2 5 2" xfId="0"/>
    <cellStyle name="Linked Cell 2 5 3" xfId="0"/>
    <cellStyle name="Linked Cell 2 6" xfId="0"/>
    <cellStyle name="Linked Cell 2 6 2" xfId="0"/>
    <cellStyle name="Linked Cell 2 7" xfId="0"/>
    <cellStyle name="Linked Cell 2 8" xfId="0"/>
    <cellStyle name="Linked Cell 20" xfId="0"/>
    <cellStyle name="Linked Cell 20 2" xfId="0"/>
    <cellStyle name="Linked Cell 21" xfId="0"/>
    <cellStyle name="Linked Cell 21 2" xfId="0"/>
    <cellStyle name="Linked Cell 22" xfId="0"/>
    <cellStyle name="Linked Cell 22 2" xfId="0"/>
    <cellStyle name="Linked Cell 23" xfId="0"/>
    <cellStyle name="Linked Cell 23 2" xfId="0"/>
    <cellStyle name="Linked Cell 24" xfId="0"/>
    <cellStyle name="Linked Cell 24 2" xfId="0"/>
    <cellStyle name="Linked Cell 25" xfId="0"/>
    <cellStyle name="Linked Cell 25 2" xfId="0"/>
    <cellStyle name="Linked Cell 26" xfId="0"/>
    <cellStyle name="Linked Cell 26 2" xfId="0"/>
    <cellStyle name="Linked Cell 27" xfId="0"/>
    <cellStyle name="Linked Cell 27 2" xfId="0"/>
    <cellStyle name="Linked Cell 28" xfId="0"/>
    <cellStyle name="Linked Cell 29" xfId="0"/>
    <cellStyle name="Linked Cell 2_Market Fresh Cost" xfId="0"/>
    <cellStyle name="Linked Cell 3" xfId="0"/>
    <cellStyle name="Linked Cell 3 2" xfId="0"/>
    <cellStyle name="Linked Cell 3 2 2" xfId="0"/>
    <cellStyle name="Linked Cell 3 2 3" xfId="0"/>
    <cellStyle name="Linked Cell 3 3" xfId="0"/>
    <cellStyle name="Linked Cell 3 3 2" xfId="0"/>
    <cellStyle name="Linked Cell 3 3 3" xfId="0"/>
    <cellStyle name="Linked Cell 3 4" xfId="0"/>
    <cellStyle name="Linked Cell 3 4 2" xfId="0"/>
    <cellStyle name="Linked Cell 3 4 3" xfId="0"/>
    <cellStyle name="Linked Cell 3 5" xfId="0"/>
    <cellStyle name="Linked Cell 3 5 2" xfId="0"/>
    <cellStyle name="Linked Cell 3 5 3" xfId="0"/>
    <cellStyle name="Linked Cell 3 6" xfId="0"/>
    <cellStyle name="Linked Cell 3 6 2" xfId="0"/>
    <cellStyle name="Linked Cell 3 7" xfId="0"/>
    <cellStyle name="Linked Cell 30" xfId="0"/>
    <cellStyle name="Linked Cell 31" xfId="0"/>
    <cellStyle name="Linked Cell 32" xfId="0"/>
    <cellStyle name="Linked Cell 33" xfId="0"/>
    <cellStyle name="Linked Cell 34" xfId="0"/>
    <cellStyle name="Linked Cell 35" xfId="0"/>
    <cellStyle name="Linked Cell 3_Profitability Detail NT$ Sep-12" xfId="0"/>
    <cellStyle name="Linked Cell 4" xfId="0"/>
    <cellStyle name="Linked Cell 4 2" xfId="0"/>
    <cellStyle name="Linked Cell 4 2 2" xfId="0"/>
    <cellStyle name="Linked Cell 4 2 3" xfId="0"/>
    <cellStyle name="Linked Cell 4 3" xfId="0"/>
    <cellStyle name="Linked Cell 4 3 2" xfId="0"/>
    <cellStyle name="Linked Cell 4 3 3" xfId="0"/>
    <cellStyle name="Linked Cell 4 4" xfId="0"/>
    <cellStyle name="Linked Cell 4 4 2" xfId="0"/>
    <cellStyle name="Linked Cell 4 4 3" xfId="0"/>
    <cellStyle name="Linked Cell 4 5" xfId="0"/>
    <cellStyle name="Linked Cell 4 5 2" xfId="0"/>
    <cellStyle name="Linked Cell 4 5 3" xfId="0"/>
    <cellStyle name="Linked Cell 4 6" xfId="0"/>
    <cellStyle name="Linked Cell 4 6 2" xfId="0"/>
    <cellStyle name="Linked Cell 4 7" xfId="0"/>
    <cellStyle name="Linked Cell 4_Profitability Detail NT$ Sep-12" xfId="0"/>
    <cellStyle name="Linked Cell 5" xfId="0"/>
    <cellStyle name="Linked Cell 5 2" xfId="0"/>
    <cellStyle name="Linked Cell 5 2 2" xfId="0"/>
    <cellStyle name="Linked Cell 5 3" xfId="0"/>
    <cellStyle name="Linked Cell 5 4" xfId="0"/>
    <cellStyle name="Linked Cell 6" xfId="0"/>
    <cellStyle name="Linked Cell 6 2" xfId="0"/>
    <cellStyle name="Linked Cell 6 3" xfId="0"/>
    <cellStyle name="Linked Cell 7" xfId="0"/>
    <cellStyle name="Linked Cell 7 2" xfId="0"/>
    <cellStyle name="Linked Cell 7 3" xfId="0"/>
    <cellStyle name="Linked Cell 8" xfId="0"/>
    <cellStyle name="Linked Cell 8 2" xfId="0"/>
    <cellStyle name="Linked Cell 8 3" xfId="0"/>
    <cellStyle name="Linked Cell 9" xfId="0"/>
    <cellStyle name="Linked Cell 9 2" xfId="0"/>
    <cellStyle name="Linked Cell 9 3" xfId="0"/>
    <cellStyle name="Linked Cell_13-wk VSA_Revised" xfId="0"/>
    <cellStyle name="Linked Cells" xfId="0"/>
    <cellStyle name="Linked Cells 10" xfId="0"/>
    <cellStyle name="Linked Cells 11" xfId="0"/>
    <cellStyle name="Linked Cells 2" xfId="0"/>
    <cellStyle name="Linked Cells 3" xfId="0"/>
    <cellStyle name="Linked Cells 4" xfId="0"/>
    <cellStyle name="Linked Cells 5" xfId="0"/>
    <cellStyle name="Linked Cells 6" xfId="0"/>
    <cellStyle name="Linked Cells 7" xfId="0"/>
    <cellStyle name="Linked Cells 8" xfId="0"/>
    <cellStyle name="Linked Cells 9" xfId="0"/>
    <cellStyle name="Milliers [0]_!!!GO" xfId="0"/>
    <cellStyle name="Milliers_!!!GO" xfId="0"/>
    <cellStyle name="Monétaire [0]_!!!GO" xfId="0"/>
    <cellStyle name="Monétaire_!!!GO" xfId="0"/>
    <cellStyle name="Neutral 10" xfId="0"/>
    <cellStyle name="Neutral 10 2" xfId="0"/>
    <cellStyle name="Neutral 11" xfId="0"/>
    <cellStyle name="Neutral 11 2" xfId="0"/>
    <cellStyle name="Neutral 12" xfId="0"/>
    <cellStyle name="Neutral 12 2" xfId="0"/>
    <cellStyle name="Neutral 13" xfId="0"/>
    <cellStyle name="Neutral 13 2" xfId="0"/>
    <cellStyle name="Neutral 14" xfId="0"/>
    <cellStyle name="Neutral 14 2" xfId="0"/>
    <cellStyle name="Neutral 15" xfId="0"/>
    <cellStyle name="Neutral 15 2" xfId="0"/>
    <cellStyle name="Neutral 16" xfId="0"/>
    <cellStyle name="Neutral 16 2" xfId="0"/>
    <cellStyle name="Neutral 17" xfId="0"/>
    <cellStyle name="Neutral 17 2" xfId="0"/>
    <cellStyle name="Neutral 18" xfId="0"/>
    <cellStyle name="Neutral 18 2" xfId="0"/>
    <cellStyle name="Neutral 19" xfId="0"/>
    <cellStyle name="Neutral 19 2" xfId="0"/>
    <cellStyle name="Neutral 2" xfId="0"/>
    <cellStyle name="Neutral 2 2" xfId="0"/>
    <cellStyle name="Neutral 2 2 2" xfId="0"/>
    <cellStyle name="Neutral 2 2 3" xfId="0"/>
    <cellStyle name="Neutral 2 3" xfId="0"/>
    <cellStyle name="Neutral 2 3 2" xfId="0"/>
    <cellStyle name="Neutral 2 3 3" xfId="0"/>
    <cellStyle name="Neutral 2 4" xfId="0"/>
    <cellStyle name="Neutral 2 4 2" xfId="0"/>
    <cellStyle name="Neutral 2 5" xfId="0"/>
    <cellStyle name="Neutral 2 5 2" xfId="0"/>
    <cellStyle name="Neutral 2 6" xfId="0"/>
    <cellStyle name="Neutral 2 7" xfId="0"/>
    <cellStyle name="Neutral 2 8" xfId="0"/>
    <cellStyle name="Neutral 2 9" xfId="0"/>
    <cellStyle name="Neutral 20" xfId="0"/>
    <cellStyle name="Neutral 20 2" xfId="0"/>
    <cellStyle name="Neutral 21" xfId="0"/>
    <cellStyle name="Neutral 21 2" xfId="0"/>
    <cellStyle name="Neutral 22" xfId="0"/>
    <cellStyle name="Neutral 22 2" xfId="0"/>
    <cellStyle name="Neutral 23" xfId="0"/>
    <cellStyle name="Neutral 23 2" xfId="0"/>
    <cellStyle name="Neutral 24" xfId="0"/>
    <cellStyle name="Neutral 25" xfId="0"/>
    <cellStyle name="Neutral 26" xfId="0"/>
    <cellStyle name="Neutral 27" xfId="0"/>
    <cellStyle name="Neutral 28" xfId="0"/>
    <cellStyle name="Neutral 29" xfId="0"/>
    <cellStyle name="Neutral 2_Profitability Detail NT$ Sep-12" xfId="0"/>
    <cellStyle name="Neutral 3" xfId="0"/>
    <cellStyle name="Neutral 3 2" xfId="0"/>
    <cellStyle name="Neutral 3 2 2" xfId="0"/>
    <cellStyle name="Neutral 3 3" xfId="0"/>
    <cellStyle name="Neutral 3 3 2" xfId="0"/>
    <cellStyle name="Neutral 3 4" xfId="0"/>
    <cellStyle name="Neutral 3 4 2" xfId="0"/>
    <cellStyle name="Neutral 3 5" xfId="0"/>
    <cellStyle name="Neutral 3 5 2" xfId="0"/>
    <cellStyle name="Neutral 3 6" xfId="0"/>
    <cellStyle name="Neutral 3 7" xfId="0"/>
    <cellStyle name="Neutral 3 8" xfId="0"/>
    <cellStyle name="Neutral 30" xfId="0"/>
    <cellStyle name="Neutral 31" xfId="0"/>
    <cellStyle name="Neutral 32" xfId="0"/>
    <cellStyle name="Neutral 33" xfId="0"/>
    <cellStyle name="Neutral 34" xfId="0"/>
    <cellStyle name="Neutral 35" xfId="0"/>
    <cellStyle name="Neutral 38" xfId="0"/>
    <cellStyle name="Neutral 3_Profitability Detail NT$ Sep-12" xfId="0"/>
    <cellStyle name="Neutral 4" xfId="0"/>
    <cellStyle name="Neutral 4 2" xfId="0"/>
    <cellStyle name="Neutral 4 2 2" xfId="0"/>
    <cellStyle name="Neutral 4 3" xfId="0"/>
    <cellStyle name="Neutral 4 3 2" xfId="0"/>
    <cellStyle name="Neutral 4 4" xfId="0"/>
    <cellStyle name="Neutral 4 4 2" xfId="0"/>
    <cellStyle name="Neutral 4 5" xfId="0"/>
    <cellStyle name="Neutral 4 5 2" xfId="0"/>
    <cellStyle name="Neutral 4 6" xfId="0"/>
    <cellStyle name="Neutral 4 7" xfId="0"/>
    <cellStyle name="Neutral 4_Profitability Detail NT$ Sep-12" xfId="0"/>
    <cellStyle name="Neutral 5" xfId="0"/>
    <cellStyle name="Neutral 5 2" xfId="0"/>
    <cellStyle name="Neutral 5 3" xfId="0"/>
    <cellStyle name="Neutral 6" xfId="0"/>
    <cellStyle name="Neutral 6 2" xfId="0"/>
    <cellStyle name="Neutral 7" xfId="0"/>
    <cellStyle name="Neutral 7 2" xfId="0"/>
    <cellStyle name="Neutral 8" xfId="0"/>
    <cellStyle name="Neutral 8 2" xfId="0"/>
    <cellStyle name="Neutral 9" xfId="0"/>
    <cellStyle name="Neutral 9 2" xfId="0"/>
    <cellStyle name="Neutral_13-wk VSA_Revised" xfId="0"/>
    <cellStyle name="no dec" xfId="0"/>
    <cellStyle name="no dec 10" xfId="0"/>
    <cellStyle name="no dec 11" xfId="0"/>
    <cellStyle name="no dec 2" xfId="0"/>
    <cellStyle name="no dec 3" xfId="0"/>
    <cellStyle name="no dec 4" xfId="0"/>
    <cellStyle name="no dec 5" xfId="0"/>
    <cellStyle name="no dec 6" xfId="0"/>
    <cellStyle name="no dec 7" xfId="0"/>
    <cellStyle name="no dec 8" xfId="0"/>
    <cellStyle name="no dec 9" xfId="0"/>
    <cellStyle name="Norm??" xfId="0"/>
    <cellStyle name="Norm?? 2" xfId="0"/>
    <cellStyle name="Normal - Style1" xfId="0"/>
    <cellStyle name="Normal - Style1 10" xfId="0"/>
    <cellStyle name="Normal - Style1 11" xfId="0"/>
    <cellStyle name="Normal - Style1 2" xfId="0"/>
    <cellStyle name="Normal - Style1 3" xfId="0"/>
    <cellStyle name="Normal - Style1 4" xfId="0"/>
    <cellStyle name="Normal - Style1 5" xfId="0"/>
    <cellStyle name="Normal - Style1 6" xfId="0"/>
    <cellStyle name="Normal - Style1 7" xfId="0"/>
    <cellStyle name="Normal - Style1 8" xfId="0"/>
    <cellStyle name="Normal - Style1 9" xfId="0"/>
    <cellStyle name="Normal 10" xfId="0"/>
    <cellStyle name="Normal 10 2" xfId="0"/>
    <cellStyle name="Normal 10 2 2" xfId="0"/>
    <cellStyle name="Normal 10 2 3" xfId="0"/>
    <cellStyle name="Normal 10 3" xfId="0"/>
    <cellStyle name="Normal 10 3 2" xfId="0"/>
    <cellStyle name="Normal 10 4" xfId="0"/>
    <cellStyle name="Normal 100" xfId="0"/>
    <cellStyle name="Normal 101" xfId="0"/>
    <cellStyle name="Normal 102" xfId="0"/>
    <cellStyle name="Normal 103" xfId="0"/>
    <cellStyle name="Normal 104" xfId="0"/>
    <cellStyle name="Normal 105" xfId="0"/>
    <cellStyle name="Normal 106" xfId="0"/>
    <cellStyle name="Normal 107" xfId="0"/>
    <cellStyle name="Normal 108" xfId="0"/>
    <cellStyle name="Normal 109" xfId="0"/>
    <cellStyle name="Normal 11" xfId="0"/>
    <cellStyle name="Normal 11 2" xfId="0"/>
    <cellStyle name="Normal 11 2 2" xfId="0"/>
    <cellStyle name="Normal 11 2 3" xfId="0"/>
    <cellStyle name="Normal 11 3" xfId="0"/>
    <cellStyle name="Normal 11 4" xfId="0"/>
    <cellStyle name="Normal 110" xfId="0"/>
    <cellStyle name="Normal 111" xfId="0"/>
    <cellStyle name="Normal 112" xfId="0"/>
    <cellStyle name="Normal 113" xfId="0"/>
    <cellStyle name="Normal 114" xfId="0"/>
    <cellStyle name="Normal 115" xfId="0"/>
    <cellStyle name="Normal 116" xfId="0"/>
    <cellStyle name="Normal 117" xfId="0"/>
    <cellStyle name="Normal 118" xfId="0"/>
    <cellStyle name="Normal 118 2" xfId="0"/>
    <cellStyle name="Normal 118 2 2" xfId="0"/>
    <cellStyle name="Normal 118 2 2 2" xfId="0"/>
    <cellStyle name="Normal 118 2 2 2 2" xfId="0"/>
    <cellStyle name="Normal 118 2 2 2 2 2" xfId="0"/>
    <cellStyle name="Normal 118 2 2 2 3" xfId="0"/>
    <cellStyle name="Normal 118 2 2 3" xfId="0"/>
    <cellStyle name="Normal 118 2 2 3 2" xfId="0"/>
    <cellStyle name="Normal 118 2 2 4" xfId="0"/>
    <cellStyle name="Normal 118 2 3" xfId="0"/>
    <cellStyle name="Normal 118 2 3 2" xfId="0"/>
    <cellStyle name="Normal 118 2 3 2 2" xfId="0"/>
    <cellStyle name="Normal 118 2 3 3" xfId="0"/>
    <cellStyle name="Normal 118 2 4" xfId="0"/>
    <cellStyle name="Normal 118 2 4 2" xfId="0"/>
    <cellStyle name="Normal 118 2 5" xfId="0"/>
    <cellStyle name="Normal 118 3" xfId="0"/>
    <cellStyle name="Normal 118 3 2" xfId="0"/>
    <cellStyle name="Normal 118 3 2 2" xfId="0"/>
    <cellStyle name="Normal 118 3 2 2 2" xfId="0"/>
    <cellStyle name="Normal 118 3 2 3" xfId="0"/>
    <cellStyle name="Normal 118 3 3" xfId="0"/>
    <cellStyle name="Normal 118 3 3 2" xfId="0"/>
    <cellStyle name="Normal 118 3 4" xfId="0"/>
    <cellStyle name="Normal 118 4" xfId="0"/>
    <cellStyle name="Normal 118 4 2" xfId="0"/>
    <cellStyle name="Normal 118 4 2 2" xfId="0"/>
    <cellStyle name="Normal 118 4 3" xfId="0"/>
    <cellStyle name="Normal 118 5" xfId="0"/>
    <cellStyle name="Normal 118 5 2" xfId="0"/>
    <cellStyle name="Normal 118 6" xfId="0"/>
    <cellStyle name="Normal 119" xfId="0"/>
    <cellStyle name="Normal 119 2" xfId="0"/>
    <cellStyle name="Normal 119 2 2" xfId="0"/>
    <cellStyle name="Normal 119 2 2 2" xfId="0"/>
    <cellStyle name="Normal 119 2 2 2 2" xfId="0"/>
    <cellStyle name="Normal 119 2 2 2 2 2" xfId="0"/>
    <cellStyle name="Normal 119 2 2 2 3" xfId="0"/>
    <cellStyle name="Normal 119 2 2 3" xfId="0"/>
    <cellStyle name="Normal 119 2 2 3 2" xfId="0"/>
    <cellStyle name="Normal 119 2 2 4" xfId="0"/>
    <cellStyle name="Normal 119 2 3" xfId="0"/>
    <cellStyle name="Normal 119 2 3 2" xfId="0"/>
    <cellStyle name="Normal 119 2 3 2 2" xfId="0"/>
    <cellStyle name="Normal 119 2 3 3" xfId="0"/>
    <cellStyle name="Normal 119 2 4" xfId="0"/>
    <cellStyle name="Normal 119 2 4 2" xfId="0"/>
    <cellStyle name="Normal 119 2 5" xfId="0"/>
    <cellStyle name="Normal 119 3" xfId="0"/>
    <cellStyle name="Normal 119 3 2" xfId="0"/>
    <cellStyle name="Normal 119 3 2 2" xfId="0"/>
    <cellStyle name="Normal 119 3 2 2 2" xfId="0"/>
    <cellStyle name="Normal 119 3 2 3" xfId="0"/>
    <cellStyle name="Normal 119 3 3" xfId="0"/>
    <cellStyle name="Normal 119 3 3 2" xfId="0"/>
    <cellStyle name="Normal 119 3 4" xfId="0"/>
    <cellStyle name="Normal 119 4" xfId="0"/>
    <cellStyle name="Normal 119 4 2" xfId="0"/>
    <cellStyle name="Normal 119 4 2 2" xfId="0"/>
    <cellStyle name="Normal 119 4 3" xfId="0"/>
    <cellStyle name="Normal 119 5" xfId="0"/>
    <cellStyle name="Normal 119 5 2" xfId="0"/>
    <cellStyle name="Normal 119 6" xfId="0"/>
    <cellStyle name="Normal 12" xfId="0"/>
    <cellStyle name="Normal 12 10" xfId="0"/>
    <cellStyle name="Normal 12 10 2" xfId="0"/>
    <cellStyle name="Normal 12 10 2 2" xfId="0"/>
    <cellStyle name="Normal 12 10 2 2 2" xfId="0"/>
    <cellStyle name="Normal 12 10 2 2 2 2" xfId="0"/>
    <cellStyle name="Normal 12 10 2 2 2 2 2" xfId="0"/>
    <cellStyle name="Normal 12 10 2 2 2 3" xfId="0"/>
    <cellStyle name="Normal 12 10 2 2 3" xfId="0"/>
    <cellStyle name="Normal 12 10 2 2 3 2" xfId="0"/>
    <cellStyle name="Normal 12 10 2 2 4" xfId="0"/>
    <cellStyle name="Normal 12 10 2 3" xfId="0"/>
    <cellStyle name="Normal 12 10 2 3 2" xfId="0"/>
    <cellStyle name="Normal 12 10 2 3 2 2" xfId="0"/>
    <cellStyle name="Normal 12 10 2 3 3" xfId="0"/>
    <cellStyle name="Normal 12 10 2 4" xfId="0"/>
    <cellStyle name="Normal 12 10 2 4 2" xfId="0"/>
    <cellStyle name="Normal 12 10 2 5" xfId="0"/>
    <cellStyle name="Normal 12 10 3" xfId="0"/>
    <cellStyle name="Normal 12 10 3 2" xfId="0"/>
    <cellStyle name="Normal 12 10 3 2 2" xfId="0"/>
    <cellStyle name="Normal 12 10 3 2 2 2" xfId="0"/>
    <cellStyle name="Normal 12 10 3 2 3" xfId="0"/>
    <cellStyle name="Normal 12 10 3 3" xfId="0"/>
    <cellStyle name="Normal 12 10 3 3 2" xfId="0"/>
    <cellStyle name="Normal 12 10 3 4" xfId="0"/>
    <cellStyle name="Normal 12 10 4" xfId="0"/>
    <cellStyle name="Normal 12 10 4 2" xfId="0"/>
    <cellStyle name="Normal 12 10 4 2 2" xfId="0"/>
    <cellStyle name="Normal 12 10 4 3" xfId="0"/>
    <cellStyle name="Normal 12 10 5" xfId="0"/>
    <cellStyle name="Normal 12 10 5 2" xfId="0"/>
    <cellStyle name="Normal 12 10 6" xfId="0"/>
    <cellStyle name="Normal 12 11" xfId="0"/>
    <cellStyle name="Normal 12 11 2" xfId="0"/>
    <cellStyle name="Normal 12 11 2 2" xfId="0"/>
    <cellStyle name="Normal 12 11 2 2 2" xfId="0"/>
    <cellStyle name="Normal 12 11 2 2 2 2" xfId="0"/>
    <cellStyle name="Normal 12 11 2 2 3" xfId="0"/>
    <cellStyle name="Normal 12 11 2 3" xfId="0"/>
    <cellStyle name="Normal 12 11 2 3 2" xfId="0"/>
    <cellStyle name="Normal 12 11 2 4" xfId="0"/>
    <cellStyle name="Normal 12 11 3" xfId="0"/>
    <cellStyle name="Normal 12 11 3 2" xfId="0"/>
    <cellStyle name="Normal 12 11 3 2 2" xfId="0"/>
    <cellStyle name="Normal 12 11 3 3" xfId="0"/>
    <cellStyle name="Normal 12 11 4" xfId="0"/>
    <cellStyle name="Normal 12 11 4 2" xfId="0"/>
    <cellStyle name="Normal 12 11 5" xfId="0"/>
    <cellStyle name="Normal 12 12" xfId="0"/>
    <cellStyle name="Normal 12 12 2" xfId="0"/>
    <cellStyle name="Normal 12 12 2 2" xfId="0"/>
    <cellStyle name="Normal 12 12 2 2 2" xfId="0"/>
    <cellStyle name="Normal 12 12 2 3" xfId="0"/>
    <cellStyle name="Normal 12 12 3" xfId="0"/>
    <cellStyle name="Normal 12 12 3 2" xfId="0"/>
    <cellStyle name="Normal 12 12 4" xfId="0"/>
    <cellStyle name="Normal 12 13" xfId="0"/>
    <cellStyle name="Normal 12 13 2" xfId="0"/>
    <cellStyle name="Normal 12 13 2 2" xfId="0"/>
    <cellStyle name="Normal 12 13 3" xfId="0"/>
    <cellStyle name="Normal 12 14" xfId="0"/>
    <cellStyle name="Normal 12 14 2" xfId="0"/>
    <cellStyle name="Normal 12 15" xfId="0"/>
    <cellStyle name="Normal 12 16" xfId="0"/>
    <cellStyle name="Normal 12 17" xfId="0"/>
    <cellStyle name="Normal 12 2" xfId="0"/>
    <cellStyle name="Normal 12 2 2" xfId="0"/>
    <cellStyle name="Normal 12 2 3" xfId="0"/>
    <cellStyle name="Normal 12 3" xfId="0"/>
    <cellStyle name="Normal 12 3 10" xfId="0"/>
    <cellStyle name="Normal 12 3 10 2" xfId="0"/>
    <cellStyle name="Normal 12 3 10 2 2" xfId="0"/>
    <cellStyle name="Normal 12 3 10 3" xfId="0"/>
    <cellStyle name="Normal 12 3 11" xfId="0"/>
    <cellStyle name="Normal 12 3 11 2" xfId="0"/>
    <cellStyle name="Normal 12 3 12" xfId="0"/>
    <cellStyle name="Normal 12 3 13" xfId="0"/>
    <cellStyle name="Normal 12 3 2" xfId="0"/>
    <cellStyle name="Normal 12 3 2 10" xfId="0"/>
    <cellStyle name="Normal 12 3 2 10 2" xfId="0"/>
    <cellStyle name="Normal 12 3 2 11" xfId="0"/>
    <cellStyle name="Normal 12 3 2 2" xfId="0"/>
    <cellStyle name="Normal 12 3 2 2 2" xfId="0"/>
    <cellStyle name="Normal 12 3 2 2 2 2" xfId="0"/>
    <cellStyle name="Normal 12 3 2 2 2 2 2" xfId="0"/>
    <cellStyle name="Normal 12 3 2 2 2 2 2 2" xfId="0"/>
    <cellStyle name="Normal 12 3 2 2 2 2 2 2 2" xfId="0"/>
    <cellStyle name="Normal 12 3 2 2 2 2 2 2 2 2" xfId="0"/>
    <cellStyle name="Normal 12 3 2 2 2 2 2 2 2 2 2" xfId="0"/>
    <cellStyle name="Normal 12 3 2 2 2 2 2 2 2 3" xfId="0"/>
    <cellStyle name="Normal 12 3 2 2 2 2 2 2 3" xfId="0"/>
    <cellStyle name="Normal 12 3 2 2 2 2 2 2 3 2" xfId="0"/>
    <cellStyle name="Normal 12 3 2 2 2 2 2 2 4" xfId="0"/>
    <cellStyle name="Normal 12 3 2 2 2 2 2 3" xfId="0"/>
    <cellStyle name="Normal 12 3 2 2 2 2 2 3 2" xfId="0"/>
    <cellStyle name="Normal 12 3 2 2 2 2 2 3 2 2" xfId="0"/>
    <cellStyle name="Normal 12 3 2 2 2 2 2 3 3" xfId="0"/>
    <cellStyle name="Normal 12 3 2 2 2 2 2 4" xfId="0"/>
    <cellStyle name="Normal 12 3 2 2 2 2 2 4 2" xfId="0"/>
    <cellStyle name="Normal 12 3 2 2 2 2 2 5" xfId="0"/>
    <cellStyle name="Normal 12 3 2 2 2 2 3" xfId="0"/>
    <cellStyle name="Normal 12 3 2 2 2 2 3 2" xfId="0"/>
    <cellStyle name="Normal 12 3 2 2 2 2 3 2 2" xfId="0"/>
    <cellStyle name="Normal 12 3 2 2 2 2 3 2 2 2" xfId="0"/>
    <cellStyle name="Normal 12 3 2 2 2 2 3 2 3" xfId="0"/>
    <cellStyle name="Normal 12 3 2 2 2 2 3 3" xfId="0"/>
    <cellStyle name="Normal 12 3 2 2 2 2 3 3 2" xfId="0"/>
    <cellStyle name="Normal 12 3 2 2 2 2 3 4" xfId="0"/>
    <cellStyle name="Normal 12 3 2 2 2 2 4" xfId="0"/>
    <cellStyle name="Normal 12 3 2 2 2 2 4 2" xfId="0"/>
    <cellStyle name="Normal 12 3 2 2 2 2 4 2 2" xfId="0"/>
    <cellStyle name="Normal 12 3 2 2 2 2 4 3" xfId="0"/>
    <cellStyle name="Normal 12 3 2 2 2 2 5" xfId="0"/>
    <cellStyle name="Normal 12 3 2 2 2 2 5 2" xfId="0"/>
    <cellStyle name="Normal 12 3 2 2 2 2 6" xfId="0"/>
    <cellStyle name="Normal 12 3 2 2 2 3" xfId="0"/>
    <cellStyle name="Normal 12 3 2 2 2 3 2" xfId="0"/>
    <cellStyle name="Normal 12 3 2 2 2 3 2 2" xfId="0"/>
    <cellStyle name="Normal 12 3 2 2 2 3 2 2 2" xfId="0"/>
    <cellStyle name="Normal 12 3 2 2 2 3 2 2 2 2" xfId="0"/>
    <cellStyle name="Normal 12 3 2 2 2 3 2 2 3" xfId="0"/>
    <cellStyle name="Normal 12 3 2 2 2 3 2 3" xfId="0"/>
    <cellStyle name="Normal 12 3 2 2 2 3 2 3 2" xfId="0"/>
    <cellStyle name="Normal 12 3 2 2 2 3 2 4" xfId="0"/>
    <cellStyle name="Normal 12 3 2 2 2 3 3" xfId="0"/>
    <cellStyle name="Normal 12 3 2 2 2 3 3 2" xfId="0"/>
    <cellStyle name="Normal 12 3 2 2 2 3 3 2 2" xfId="0"/>
    <cellStyle name="Normal 12 3 2 2 2 3 3 3" xfId="0"/>
    <cellStyle name="Normal 12 3 2 2 2 3 4" xfId="0"/>
    <cellStyle name="Normal 12 3 2 2 2 3 4 2" xfId="0"/>
    <cellStyle name="Normal 12 3 2 2 2 3 5" xfId="0"/>
    <cellStyle name="Normal 12 3 2 2 2 4" xfId="0"/>
    <cellStyle name="Normal 12 3 2 2 2 4 2" xfId="0"/>
    <cellStyle name="Normal 12 3 2 2 2 4 2 2" xfId="0"/>
    <cellStyle name="Normal 12 3 2 2 2 4 2 2 2" xfId="0"/>
    <cellStyle name="Normal 12 3 2 2 2 4 2 3" xfId="0"/>
    <cellStyle name="Normal 12 3 2 2 2 4 3" xfId="0"/>
    <cellStyle name="Normal 12 3 2 2 2 4 3 2" xfId="0"/>
    <cellStyle name="Normal 12 3 2 2 2 4 4" xfId="0"/>
    <cellStyle name="Normal 12 3 2 2 2 5" xfId="0"/>
    <cellStyle name="Normal 12 3 2 2 2 5 2" xfId="0"/>
    <cellStyle name="Normal 12 3 2 2 2 5 2 2" xfId="0"/>
    <cellStyle name="Normal 12 3 2 2 2 5 3" xfId="0"/>
    <cellStyle name="Normal 12 3 2 2 2 6" xfId="0"/>
    <cellStyle name="Normal 12 3 2 2 2 6 2" xfId="0"/>
    <cellStyle name="Normal 12 3 2 2 2 7" xfId="0"/>
    <cellStyle name="Normal 12 3 2 2 3" xfId="0"/>
    <cellStyle name="Normal 12 3 2 2 3 2" xfId="0"/>
    <cellStyle name="Normal 12 3 2 2 3 2 2" xfId="0"/>
    <cellStyle name="Normal 12 3 2 2 3 2 2 2" xfId="0"/>
    <cellStyle name="Normal 12 3 2 2 3 2 2 2 2" xfId="0"/>
    <cellStyle name="Normal 12 3 2 2 3 2 2 2 2 2" xfId="0"/>
    <cellStyle name="Normal 12 3 2 2 3 2 2 2 3" xfId="0"/>
    <cellStyle name="Normal 12 3 2 2 3 2 2 3" xfId="0"/>
    <cellStyle name="Normal 12 3 2 2 3 2 2 3 2" xfId="0"/>
    <cellStyle name="Normal 12 3 2 2 3 2 2 4" xfId="0"/>
    <cellStyle name="Normal 12 3 2 2 3 2 3" xfId="0"/>
    <cellStyle name="Normal 12 3 2 2 3 2 3 2" xfId="0"/>
    <cellStyle name="Normal 12 3 2 2 3 2 3 2 2" xfId="0"/>
    <cellStyle name="Normal 12 3 2 2 3 2 3 3" xfId="0"/>
    <cellStyle name="Normal 12 3 2 2 3 2 4" xfId="0"/>
    <cellStyle name="Normal 12 3 2 2 3 2 4 2" xfId="0"/>
    <cellStyle name="Normal 12 3 2 2 3 2 5" xfId="0"/>
    <cellStyle name="Normal 12 3 2 2 3 3" xfId="0"/>
    <cellStyle name="Normal 12 3 2 2 3 3 2" xfId="0"/>
    <cellStyle name="Normal 12 3 2 2 3 3 2 2" xfId="0"/>
    <cellStyle name="Normal 12 3 2 2 3 3 2 2 2" xfId="0"/>
    <cellStyle name="Normal 12 3 2 2 3 3 2 3" xfId="0"/>
    <cellStyle name="Normal 12 3 2 2 3 3 3" xfId="0"/>
    <cellStyle name="Normal 12 3 2 2 3 3 3 2" xfId="0"/>
    <cellStyle name="Normal 12 3 2 2 3 3 4" xfId="0"/>
    <cellStyle name="Normal 12 3 2 2 3 4" xfId="0"/>
    <cellStyle name="Normal 12 3 2 2 3 4 2" xfId="0"/>
    <cellStyle name="Normal 12 3 2 2 3 4 2 2" xfId="0"/>
    <cellStyle name="Normal 12 3 2 2 3 4 3" xfId="0"/>
    <cellStyle name="Normal 12 3 2 2 3 5" xfId="0"/>
    <cellStyle name="Normal 12 3 2 2 3 5 2" xfId="0"/>
    <cellStyle name="Normal 12 3 2 2 3 6" xfId="0"/>
    <cellStyle name="Normal 12 3 2 2 4" xfId="0"/>
    <cellStyle name="Normal 12 3 2 2 4 2" xfId="0"/>
    <cellStyle name="Normal 12 3 2 2 4 2 2" xfId="0"/>
    <cellStyle name="Normal 12 3 2 2 4 2 2 2" xfId="0"/>
    <cellStyle name="Normal 12 3 2 2 4 2 2 2 2" xfId="0"/>
    <cellStyle name="Normal 12 3 2 2 4 2 2 3" xfId="0"/>
    <cellStyle name="Normal 12 3 2 2 4 2 3" xfId="0"/>
    <cellStyle name="Normal 12 3 2 2 4 2 3 2" xfId="0"/>
    <cellStyle name="Normal 12 3 2 2 4 2 4" xfId="0"/>
    <cellStyle name="Normal 12 3 2 2 4 3" xfId="0"/>
    <cellStyle name="Normal 12 3 2 2 4 3 2" xfId="0"/>
    <cellStyle name="Normal 12 3 2 2 4 3 2 2" xfId="0"/>
    <cellStyle name="Normal 12 3 2 2 4 3 3" xfId="0"/>
    <cellStyle name="Normal 12 3 2 2 4 4" xfId="0"/>
    <cellStyle name="Normal 12 3 2 2 4 4 2" xfId="0"/>
    <cellStyle name="Normal 12 3 2 2 4 5" xfId="0"/>
    <cellStyle name="Normal 12 3 2 2 5" xfId="0"/>
    <cellStyle name="Normal 12 3 2 2 5 2" xfId="0"/>
    <cellStyle name="Normal 12 3 2 2 5 2 2" xfId="0"/>
    <cellStyle name="Normal 12 3 2 2 5 2 2 2" xfId="0"/>
    <cellStyle name="Normal 12 3 2 2 5 2 3" xfId="0"/>
    <cellStyle name="Normal 12 3 2 2 5 3" xfId="0"/>
    <cellStyle name="Normal 12 3 2 2 5 3 2" xfId="0"/>
    <cellStyle name="Normal 12 3 2 2 5 4" xfId="0"/>
    <cellStyle name="Normal 12 3 2 2 6" xfId="0"/>
    <cellStyle name="Normal 12 3 2 2 6 2" xfId="0"/>
    <cellStyle name="Normal 12 3 2 2 6 2 2" xfId="0"/>
    <cellStyle name="Normal 12 3 2 2 6 3" xfId="0"/>
    <cellStyle name="Normal 12 3 2 2 7" xfId="0"/>
    <cellStyle name="Normal 12 3 2 2 7 2" xfId="0"/>
    <cellStyle name="Normal 12 3 2 2 8" xfId="0"/>
    <cellStyle name="Normal 12 3 2 3" xfId="0"/>
    <cellStyle name="Normal 12 3 2 3 2" xfId="0"/>
    <cellStyle name="Normal 12 3 2 3 2 2" xfId="0"/>
    <cellStyle name="Normal 12 3 2 3 2 2 2" xfId="0"/>
    <cellStyle name="Normal 12 3 2 3 2 2 2 2" xfId="0"/>
    <cellStyle name="Normal 12 3 2 3 2 2 2 2 2" xfId="0"/>
    <cellStyle name="Normal 12 3 2 3 2 2 2 2 2 2" xfId="0"/>
    <cellStyle name="Normal 12 3 2 3 2 2 2 2 2 2 2" xfId="0"/>
    <cellStyle name="Normal 12 3 2 3 2 2 2 2 2 3" xfId="0"/>
    <cellStyle name="Normal 12 3 2 3 2 2 2 2 3" xfId="0"/>
    <cellStyle name="Normal 12 3 2 3 2 2 2 2 3 2" xfId="0"/>
    <cellStyle name="Normal 12 3 2 3 2 2 2 2 4" xfId="0"/>
    <cellStyle name="Normal 12 3 2 3 2 2 2 3" xfId="0"/>
    <cellStyle name="Normal 12 3 2 3 2 2 2 3 2" xfId="0"/>
    <cellStyle name="Normal 12 3 2 3 2 2 2 3 2 2" xfId="0"/>
    <cellStyle name="Normal 12 3 2 3 2 2 2 3 3" xfId="0"/>
    <cellStyle name="Normal 12 3 2 3 2 2 2 4" xfId="0"/>
    <cellStyle name="Normal 12 3 2 3 2 2 2 4 2" xfId="0"/>
    <cellStyle name="Normal 12 3 2 3 2 2 2 5" xfId="0"/>
    <cellStyle name="Normal 12 3 2 3 2 2 3" xfId="0"/>
    <cellStyle name="Normal 12 3 2 3 2 2 3 2" xfId="0"/>
    <cellStyle name="Normal 12 3 2 3 2 2 3 2 2" xfId="0"/>
    <cellStyle name="Normal 12 3 2 3 2 2 3 2 2 2" xfId="0"/>
    <cellStyle name="Normal 12 3 2 3 2 2 3 2 3" xfId="0"/>
    <cellStyle name="Normal 12 3 2 3 2 2 3 3" xfId="0"/>
    <cellStyle name="Normal 12 3 2 3 2 2 3 3 2" xfId="0"/>
    <cellStyle name="Normal 12 3 2 3 2 2 3 4" xfId="0"/>
    <cellStyle name="Normal 12 3 2 3 2 2 4" xfId="0"/>
    <cellStyle name="Normal 12 3 2 3 2 2 4 2" xfId="0"/>
    <cellStyle name="Normal 12 3 2 3 2 2 4 2 2" xfId="0"/>
    <cellStyle name="Normal 12 3 2 3 2 2 4 3" xfId="0"/>
    <cellStyle name="Normal 12 3 2 3 2 2 5" xfId="0"/>
    <cellStyle name="Normal 12 3 2 3 2 2 5 2" xfId="0"/>
    <cellStyle name="Normal 12 3 2 3 2 2 6" xfId="0"/>
    <cellStyle name="Normal 12 3 2 3 2 3" xfId="0"/>
    <cellStyle name="Normal 12 3 2 3 2 3 2" xfId="0"/>
    <cellStyle name="Normal 12 3 2 3 2 3 2 2" xfId="0"/>
    <cellStyle name="Normal 12 3 2 3 2 3 2 2 2" xfId="0"/>
    <cellStyle name="Normal 12 3 2 3 2 3 2 2 2 2" xfId="0"/>
    <cellStyle name="Normal 12 3 2 3 2 3 2 2 3" xfId="0"/>
    <cellStyle name="Normal 12 3 2 3 2 3 2 3" xfId="0"/>
    <cellStyle name="Normal 12 3 2 3 2 3 2 3 2" xfId="0"/>
    <cellStyle name="Normal 12 3 2 3 2 3 2 4" xfId="0"/>
    <cellStyle name="Normal 12 3 2 3 2 3 3" xfId="0"/>
    <cellStyle name="Normal 12 3 2 3 2 3 3 2" xfId="0"/>
    <cellStyle name="Normal 12 3 2 3 2 3 3 2 2" xfId="0"/>
    <cellStyle name="Normal 12 3 2 3 2 3 3 3" xfId="0"/>
    <cellStyle name="Normal 12 3 2 3 2 3 4" xfId="0"/>
    <cellStyle name="Normal 12 3 2 3 2 3 4 2" xfId="0"/>
    <cellStyle name="Normal 12 3 2 3 2 3 5" xfId="0"/>
    <cellStyle name="Normal 12 3 2 3 2 4" xfId="0"/>
    <cellStyle name="Normal 12 3 2 3 2 4 2" xfId="0"/>
    <cellStyle name="Normal 12 3 2 3 2 4 2 2" xfId="0"/>
    <cellStyle name="Normal 12 3 2 3 2 4 2 2 2" xfId="0"/>
    <cellStyle name="Normal 12 3 2 3 2 4 2 3" xfId="0"/>
    <cellStyle name="Normal 12 3 2 3 2 4 3" xfId="0"/>
    <cellStyle name="Normal 12 3 2 3 2 4 3 2" xfId="0"/>
    <cellStyle name="Normal 12 3 2 3 2 4 4" xfId="0"/>
    <cellStyle name="Normal 12 3 2 3 2 5" xfId="0"/>
    <cellStyle name="Normal 12 3 2 3 2 5 2" xfId="0"/>
    <cellStyle name="Normal 12 3 2 3 2 5 2 2" xfId="0"/>
    <cellStyle name="Normal 12 3 2 3 2 5 3" xfId="0"/>
    <cellStyle name="Normal 12 3 2 3 2 6" xfId="0"/>
    <cellStyle name="Normal 12 3 2 3 2 6 2" xfId="0"/>
    <cellStyle name="Normal 12 3 2 3 2 7" xfId="0"/>
    <cellStyle name="Normal 12 3 2 3 3" xfId="0"/>
    <cellStyle name="Normal 12 3 2 3 3 2" xfId="0"/>
    <cellStyle name="Normal 12 3 2 3 3 2 2" xfId="0"/>
    <cellStyle name="Normal 12 3 2 3 3 2 2 2" xfId="0"/>
    <cellStyle name="Normal 12 3 2 3 3 2 2 2 2" xfId="0"/>
    <cellStyle name="Normal 12 3 2 3 3 2 2 2 2 2" xfId="0"/>
    <cellStyle name="Normal 12 3 2 3 3 2 2 2 3" xfId="0"/>
    <cellStyle name="Normal 12 3 2 3 3 2 2 3" xfId="0"/>
    <cellStyle name="Normal 12 3 2 3 3 2 2 3 2" xfId="0"/>
    <cellStyle name="Normal 12 3 2 3 3 2 2 4" xfId="0"/>
    <cellStyle name="Normal 12 3 2 3 3 2 3" xfId="0"/>
    <cellStyle name="Normal 12 3 2 3 3 2 3 2" xfId="0"/>
    <cellStyle name="Normal 12 3 2 3 3 2 3 2 2" xfId="0"/>
    <cellStyle name="Normal 12 3 2 3 3 2 3 3" xfId="0"/>
    <cellStyle name="Normal 12 3 2 3 3 2 4" xfId="0"/>
    <cellStyle name="Normal 12 3 2 3 3 2 4 2" xfId="0"/>
    <cellStyle name="Normal 12 3 2 3 3 2 5" xfId="0"/>
    <cellStyle name="Normal 12 3 2 3 3 3" xfId="0"/>
    <cellStyle name="Normal 12 3 2 3 3 3 2" xfId="0"/>
    <cellStyle name="Normal 12 3 2 3 3 3 2 2" xfId="0"/>
    <cellStyle name="Normal 12 3 2 3 3 3 2 2 2" xfId="0"/>
    <cellStyle name="Normal 12 3 2 3 3 3 2 3" xfId="0"/>
    <cellStyle name="Normal 12 3 2 3 3 3 3" xfId="0"/>
    <cellStyle name="Normal 12 3 2 3 3 3 3 2" xfId="0"/>
    <cellStyle name="Normal 12 3 2 3 3 3 4" xfId="0"/>
    <cellStyle name="Normal 12 3 2 3 3 4" xfId="0"/>
    <cellStyle name="Normal 12 3 2 3 3 4 2" xfId="0"/>
    <cellStyle name="Normal 12 3 2 3 3 4 2 2" xfId="0"/>
    <cellStyle name="Normal 12 3 2 3 3 4 3" xfId="0"/>
    <cellStyle name="Normal 12 3 2 3 3 5" xfId="0"/>
    <cellStyle name="Normal 12 3 2 3 3 5 2" xfId="0"/>
    <cellStyle name="Normal 12 3 2 3 3 6" xfId="0"/>
    <cellStyle name="Normal 12 3 2 3 4" xfId="0"/>
    <cellStyle name="Normal 12 3 2 3 4 2" xfId="0"/>
    <cellStyle name="Normal 12 3 2 3 4 2 2" xfId="0"/>
    <cellStyle name="Normal 12 3 2 3 4 2 2 2" xfId="0"/>
    <cellStyle name="Normal 12 3 2 3 4 2 2 2 2" xfId="0"/>
    <cellStyle name="Normal 12 3 2 3 4 2 2 3" xfId="0"/>
    <cellStyle name="Normal 12 3 2 3 4 2 3" xfId="0"/>
    <cellStyle name="Normal 12 3 2 3 4 2 3 2" xfId="0"/>
    <cellStyle name="Normal 12 3 2 3 4 2 4" xfId="0"/>
    <cellStyle name="Normal 12 3 2 3 4 3" xfId="0"/>
    <cellStyle name="Normal 12 3 2 3 4 3 2" xfId="0"/>
    <cellStyle name="Normal 12 3 2 3 4 3 2 2" xfId="0"/>
    <cellStyle name="Normal 12 3 2 3 4 3 3" xfId="0"/>
    <cellStyle name="Normal 12 3 2 3 4 4" xfId="0"/>
    <cellStyle name="Normal 12 3 2 3 4 4 2" xfId="0"/>
    <cellStyle name="Normal 12 3 2 3 4 5" xfId="0"/>
    <cellStyle name="Normal 12 3 2 3 5" xfId="0"/>
    <cellStyle name="Normal 12 3 2 3 5 2" xfId="0"/>
    <cellStyle name="Normal 12 3 2 3 5 2 2" xfId="0"/>
    <cellStyle name="Normal 12 3 2 3 5 2 2 2" xfId="0"/>
    <cellStyle name="Normal 12 3 2 3 5 2 3" xfId="0"/>
    <cellStyle name="Normal 12 3 2 3 5 3" xfId="0"/>
    <cellStyle name="Normal 12 3 2 3 5 3 2" xfId="0"/>
    <cellStyle name="Normal 12 3 2 3 5 4" xfId="0"/>
    <cellStyle name="Normal 12 3 2 3 6" xfId="0"/>
    <cellStyle name="Normal 12 3 2 3 6 2" xfId="0"/>
    <cellStyle name="Normal 12 3 2 3 6 2 2" xfId="0"/>
    <cellStyle name="Normal 12 3 2 3 6 3" xfId="0"/>
    <cellStyle name="Normal 12 3 2 3 7" xfId="0"/>
    <cellStyle name="Normal 12 3 2 3 7 2" xfId="0"/>
    <cellStyle name="Normal 12 3 2 3 8" xfId="0"/>
    <cellStyle name="Normal 12 3 2 4" xfId="0"/>
    <cellStyle name="Normal 12 3 2 4 2" xfId="0"/>
    <cellStyle name="Normal 12 3 2 4 2 2" xfId="0"/>
    <cellStyle name="Normal 12 3 2 4 2 2 2" xfId="0"/>
    <cellStyle name="Normal 12 3 2 4 2 2 2 2" xfId="0"/>
    <cellStyle name="Normal 12 3 2 4 2 2 2 2 2" xfId="0"/>
    <cellStyle name="Normal 12 3 2 4 2 2 2 2 2 2" xfId="0"/>
    <cellStyle name="Normal 12 3 2 4 2 2 2 2 3" xfId="0"/>
    <cellStyle name="Normal 12 3 2 4 2 2 2 3" xfId="0"/>
    <cellStyle name="Normal 12 3 2 4 2 2 2 3 2" xfId="0"/>
    <cellStyle name="Normal 12 3 2 4 2 2 2 4" xfId="0"/>
    <cellStyle name="Normal 12 3 2 4 2 2 3" xfId="0"/>
    <cellStyle name="Normal 12 3 2 4 2 2 3 2" xfId="0"/>
    <cellStyle name="Normal 12 3 2 4 2 2 3 2 2" xfId="0"/>
    <cellStyle name="Normal 12 3 2 4 2 2 3 3" xfId="0"/>
    <cellStyle name="Normal 12 3 2 4 2 2 4" xfId="0"/>
    <cellStyle name="Normal 12 3 2 4 2 2 4 2" xfId="0"/>
    <cellStyle name="Normal 12 3 2 4 2 2 5" xfId="0"/>
    <cellStyle name="Normal 12 3 2 4 2 3" xfId="0"/>
    <cellStyle name="Normal 12 3 2 4 2 3 2" xfId="0"/>
    <cellStyle name="Normal 12 3 2 4 2 3 2 2" xfId="0"/>
    <cellStyle name="Normal 12 3 2 4 2 3 2 2 2" xfId="0"/>
    <cellStyle name="Normal 12 3 2 4 2 3 2 3" xfId="0"/>
    <cellStyle name="Normal 12 3 2 4 2 3 3" xfId="0"/>
    <cellStyle name="Normal 12 3 2 4 2 3 3 2" xfId="0"/>
    <cellStyle name="Normal 12 3 2 4 2 3 4" xfId="0"/>
    <cellStyle name="Normal 12 3 2 4 2 4" xfId="0"/>
    <cellStyle name="Normal 12 3 2 4 2 4 2" xfId="0"/>
    <cellStyle name="Normal 12 3 2 4 2 4 2 2" xfId="0"/>
    <cellStyle name="Normal 12 3 2 4 2 4 3" xfId="0"/>
    <cellStyle name="Normal 12 3 2 4 2 5" xfId="0"/>
    <cellStyle name="Normal 12 3 2 4 2 5 2" xfId="0"/>
    <cellStyle name="Normal 12 3 2 4 2 6" xfId="0"/>
    <cellStyle name="Normal 12 3 2 4 3" xfId="0"/>
    <cellStyle name="Normal 12 3 2 4 3 2" xfId="0"/>
    <cellStyle name="Normal 12 3 2 4 3 2 2" xfId="0"/>
    <cellStyle name="Normal 12 3 2 4 3 2 2 2" xfId="0"/>
    <cellStyle name="Normal 12 3 2 4 3 2 2 2 2" xfId="0"/>
    <cellStyle name="Normal 12 3 2 4 3 2 2 3" xfId="0"/>
    <cellStyle name="Normal 12 3 2 4 3 2 3" xfId="0"/>
    <cellStyle name="Normal 12 3 2 4 3 2 3 2" xfId="0"/>
    <cellStyle name="Normal 12 3 2 4 3 2 4" xfId="0"/>
    <cellStyle name="Normal 12 3 2 4 3 3" xfId="0"/>
    <cellStyle name="Normal 12 3 2 4 3 3 2" xfId="0"/>
    <cellStyle name="Normal 12 3 2 4 3 3 2 2" xfId="0"/>
    <cellStyle name="Normal 12 3 2 4 3 3 3" xfId="0"/>
    <cellStyle name="Normal 12 3 2 4 3 4" xfId="0"/>
    <cellStyle name="Normal 12 3 2 4 3 4 2" xfId="0"/>
    <cellStyle name="Normal 12 3 2 4 3 5" xfId="0"/>
    <cellStyle name="Normal 12 3 2 4 4" xfId="0"/>
    <cellStyle name="Normal 12 3 2 4 4 2" xfId="0"/>
    <cellStyle name="Normal 12 3 2 4 4 2 2" xfId="0"/>
    <cellStyle name="Normal 12 3 2 4 4 2 2 2" xfId="0"/>
    <cellStyle name="Normal 12 3 2 4 4 2 3" xfId="0"/>
    <cellStyle name="Normal 12 3 2 4 4 3" xfId="0"/>
    <cellStyle name="Normal 12 3 2 4 4 3 2" xfId="0"/>
    <cellStyle name="Normal 12 3 2 4 4 4" xfId="0"/>
    <cellStyle name="Normal 12 3 2 4 5" xfId="0"/>
    <cellStyle name="Normal 12 3 2 4 5 2" xfId="0"/>
    <cellStyle name="Normal 12 3 2 4 5 2 2" xfId="0"/>
    <cellStyle name="Normal 12 3 2 4 5 3" xfId="0"/>
    <cellStyle name="Normal 12 3 2 4 6" xfId="0"/>
    <cellStyle name="Normal 12 3 2 4 6 2" xfId="0"/>
    <cellStyle name="Normal 12 3 2 4 7" xfId="0"/>
    <cellStyle name="Normal 12 3 2 5" xfId="0"/>
    <cellStyle name="Normal 12 3 2 5 2" xfId="0"/>
    <cellStyle name="Normal 12 3 2 5 2 2" xfId="0"/>
    <cellStyle name="Normal 12 3 2 5 2 2 2" xfId="0"/>
    <cellStyle name="Normal 12 3 2 5 2 2 2 2" xfId="0"/>
    <cellStyle name="Normal 12 3 2 5 2 2 2 2 2" xfId="0"/>
    <cellStyle name="Normal 12 3 2 5 2 2 2 2 2 2" xfId="0"/>
    <cellStyle name="Normal 12 3 2 5 2 2 2 2 3" xfId="0"/>
    <cellStyle name="Normal 12 3 2 5 2 2 2 3" xfId="0"/>
    <cellStyle name="Normal 12 3 2 5 2 2 2 3 2" xfId="0"/>
    <cellStyle name="Normal 12 3 2 5 2 2 2 4" xfId="0"/>
    <cellStyle name="Normal 12 3 2 5 2 2 3" xfId="0"/>
    <cellStyle name="Normal 12 3 2 5 2 2 3 2" xfId="0"/>
    <cellStyle name="Normal 12 3 2 5 2 2 3 2 2" xfId="0"/>
    <cellStyle name="Normal 12 3 2 5 2 2 3 3" xfId="0"/>
    <cellStyle name="Normal 12 3 2 5 2 2 4" xfId="0"/>
    <cellStyle name="Normal 12 3 2 5 2 2 4 2" xfId="0"/>
    <cellStyle name="Normal 12 3 2 5 2 2 5" xfId="0"/>
    <cellStyle name="Normal 12 3 2 5 2 3" xfId="0"/>
    <cellStyle name="Normal 12 3 2 5 2 3 2" xfId="0"/>
    <cellStyle name="Normal 12 3 2 5 2 3 2 2" xfId="0"/>
    <cellStyle name="Normal 12 3 2 5 2 3 2 2 2" xfId="0"/>
    <cellStyle name="Normal 12 3 2 5 2 3 2 3" xfId="0"/>
    <cellStyle name="Normal 12 3 2 5 2 3 3" xfId="0"/>
    <cellStyle name="Normal 12 3 2 5 2 3 3 2" xfId="0"/>
    <cellStyle name="Normal 12 3 2 5 2 3 4" xfId="0"/>
    <cellStyle name="Normal 12 3 2 5 2 4" xfId="0"/>
    <cellStyle name="Normal 12 3 2 5 2 4 2" xfId="0"/>
    <cellStyle name="Normal 12 3 2 5 2 4 2 2" xfId="0"/>
    <cellStyle name="Normal 12 3 2 5 2 4 3" xfId="0"/>
    <cellStyle name="Normal 12 3 2 5 2 5" xfId="0"/>
    <cellStyle name="Normal 12 3 2 5 2 5 2" xfId="0"/>
    <cellStyle name="Normal 12 3 2 5 2 6" xfId="0"/>
    <cellStyle name="Normal 12 3 2 5 3" xfId="0"/>
    <cellStyle name="Normal 12 3 2 5 3 2" xfId="0"/>
    <cellStyle name="Normal 12 3 2 5 3 2 2" xfId="0"/>
    <cellStyle name="Normal 12 3 2 5 3 2 2 2" xfId="0"/>
    <cellStyle name="Normal 12 3 2 5 3 2 2 2 2" xfId="0"/>
    <cellStyle name="Normal 12 3 2 5 3 2 2 3" xfId="0"/>
    <cellStyle name="Normal 12 3 2 5 3 2 3" xfId="0"/>
    <cellStyle name="Normal 12 3 2 5 3 2 3 2" xfId="0"/>
    <cellStyle name="Normal 12 3 2 5 3 2 4" xfId="0"/>
    <cellStyle name="Normal 12 3 2 5 3 3" xfId="0"/>
    <cellStyle name="Normal 12 3 2 5 3 3 2" xfId="0"/>
    <cellStyle name="Normal 12 3 2 5 3 3 2 2" xfId="0"/>
    <cellStyle name="Normal 12 3 2 5 3 3 3" xfId="0"/>
    <cellStyle name="Normal 12 3 2 5 3 4" xfId="0"/>
    <cellStyle name="Normal 12 3 2 5 3 4 2" xfId="0"/>
    <cellStyle name="Normal 12 3 2 5 3 5" xfId="0"/>
    <cellStyle name="Normal 12 3 2 5 4" xfId="0"/>
    <cellStyle name="Normal 12 3 2 5 4 2" xfId="0"/>
    <cellStyle name="Normal 12 3 2 5 4 2 2" xfId="0"/>
    <cellStyle name="Normal 12 3 2 5 4 2 2 2" xfId="0"/>
    <cellStyle name="Normal 12 3 2 5 4 2 3" xfId="0"/>
    <cellStyle name="Normal 12 3 2 5 4 3" xfId="0"/>
    <cellStyle name="Normal 12 3 2 5 4 3 2" xfId="0"/>
    <cellStyle name="Normal 12 3 2 5 4 4" xfId="0"/>
    <cellStyle name="Normal 12 3 2 5 5" xfId="0"/>
    <cellStyle name="Normal 12 3 2 5 5 2" xfId="0"/>
    <cellStyle name="Normal 12 3 2 5 5 2 2" xfId="0"/>
    <cellStyle name="Normal 12 3 2 5 5 3" xfId="0"/>
    <cellStyle name="Normal 12 3 2 5 6" xfId="0"/>
    <cellStyle name="Normal 12 3 2 5 6 2" xfId="0"/>
    <cellStyle name="Normal 12 3 2 5 7" xfId="0"/>
    <cellStyle name="Normal 12 3 2 6" xfId="0"/>
    <cellStyle name="Normal 12 3 2 6 2" xfId="0"/>
    <cellStyle name="Normal 12 3 2 6 2 2" xfId="0"/>
    <cellStyle name="Normal 12 3 2 6 2 2 2" xfId="0"/>
    <cellStyle name="Normal 12 3 2 6 2 2 2 2" xfId="0"/>
    <cellStyle name="Normal 12 3 2 6 2 2 2 2 2" xfId="0"/>
    <cellStyle name="Normal 12 3 2 6 2 2 2 3" xfId="0"/>
    <cellStyle name="Normal 12 3 2 6 2 2 3" xfId="0"/>
    <cellStyle name="Normal 12 3 2 6 2 2 3 2" xfId="0"/>
    <cellStyle name="Normal 12 3 2 6 2 2 4" xfId="0"/>
    <cellStyle name="Normal 12 3 2 6 2 3" xfId="0"/>
    <cellStyle name="Normal 12 3 2 6 2 3 2" xfId="0"/>
    <cellStyle name="Normal 12 3 2 6 2 3 2 2" xfId="0"/>
    <cellStyle name="Normal 12 3 2 6 2 3 3" xfId="0"/>
    <cellStyle name="Normal 12 3 2 6 2 4" xfId="0"/>
    <cellStyle name="Normal 12 3 2 6 2 4 2" xfId="0"/>
    <cellStyle name="Normal 12 3 2 6 2 5" xfId="0"/>
    <cellStyle name="Normal 12 3 2 6 3" xfId="0"/>
    <cellStyle name="Normal 12 3 2 6 3 2" xfId="0"/>
    <cellStyle name="Normal 12 3 2 6 3 2 2" xfId="0"/>
    <cellStyle name="Normal 12 3 2 6 3 2 2 2" xfId="0"/>
    <cellStyle name="Normal 12 3 2 6 3 2 3" xfId="0"/>
    <cellStyle name="Normal 12 3 2 6 3 3" xfId="0"/>
    <cellStyle name="Normal 12 3 2 6 3 3 2" xfId="0"/>
    <cellStyle name="Normal 12 3 2 6 3 4" xfId="0"/>
    <cellStyle name="Normal 12 3 2 6 4" xfId="0"/>
    <cellStyle name="Normal 12 3 2 6 4 2" xfId="0"/>
    <cellStyle name="Normal 12 3 2 6 4 2 2" xfId="0"/>
    <cellStyle name="Normal 12 3 2 6 4 3" xfId="0"/>
    <cellStyle name="Normal 12 3 2 6 5" xfId="0"/>
    <cellStyle name="Normal 12 3 2 6 5 2" xfId="0"/>
    <cellStyle name="Normal 12 3 2 6 6" xfId="0"/>
    <cellStyle name="Normal 12 3 2 7" xfId="0"/>
    <cellStyle name="Normal 12 3 2 7 2" xfId="0"/>
    <cellStyle name="Normal 12 3 2 7 2 2" xfId="0"/>
    <cellStyle name="Normal 12 3 2 7 2 2 2" xfId="0"/>
    <cellStyle name="Normal 12 3 2 7 2 2 2 2" xfId="0"/>
    <cellStyle name="Normal 12 3 2 7 2 2 3" xfId="0"/>
    <cellStyle name="Normal 12 3 2 7 2 3" xfId="0"/>
    <cellStyle name="Normal 12 3 2 7 2 3 2" xfId="0"/>
    <cellStyle name="Normal 12 3 2 7 2 4" xfId="0"/>
    <cellStyle name="Normal 12 3 2 7 3" xfId="0"/>
    <cellStyle name="Normal 12 3 2 7 3 2" xfId="0"/>
    <cellStyle name="Normal 12 3 2 7 3 2 2" xfId="0"/>
    <cellStyle name="Normal 12 3 2 7 3 3" xfId="0"/>
    <cellStyle name="Normal 12 3 2 7 4" xfId="0"/>
    <cellStyle name="Normal 12 3 2 7 4 2" xfId="0"/>
    <cellStyle name="Normal 12 3 2 7 5" xfId="0"/>
    <cellStyle name="Normal 12 3 2 8" xfId="0"/>
    <cellStyle name="Normal 12 3 2 8 2" xfId="0"/>
    <cellStyle name="Normal 12 3 2 8 2 2" xfId="0"/>
    <cellStyle name="Normal 12 3 2 8 2 2 2" xfId="0"/>
    <cellStyle name="Normal 12 3 2 8 2 3" xfId="0"/>
    <cellStyle name="Normal 12 3 2 8 3" xfId="0"/>
    <cellStyle name="Normal 12 3 2 8 3 2" xfId="0"/>
    <cellStyle name="Normal 12 3 2 8 4" xfId="0"/>
    <cellStyle name="Normal 12 3 2 9" xfId="0"/>
    <cellStyle name="Normal 12 3 2 9 2" xfId="0"/>
    <cellStyle name="Normal 12 3 2 9 2 2" xfId="0"/>
    <cellStyle name="Normal 12 3 2 9 3" xfId="0"/>
    <cellStyle name="Normal 12 3 3" xfId="0"/>
    <cellStyle name="Normal 12 3 3 2" xfId="0"/>
    <cellStyle name="Normal 12 3 3 2 2" xfId="0"/>
    <cellStyle name="Normal 12 3 3 2 2 2" xfId="0"/>
    <cellStyle name="Normal 12 3 3 2 2 2 2" xfId="0"/>
    <cellStyle name="Normal 12 3 3 2 2 2 2 2" xfId="0"/>
    <cellStyle name="Normal 12 3 3 2 2 2 2 2 2" xfId="0"/>
    <cellStyle name="Normal 12 3 3 2 2 2 2 2 2 2" xfId="0"/>
    <cellStyle name="Normal 12 3 3 2 2 2 2 2 3" xfId="0"/>
    <cellStyle name="Normal 12 3 3 2 2 2 2 3" xfId="0"/>
    <cellStyle name="Normal 12 3 3 2 2 2 2 3 2" xfId="0"/>
    <cellStyle name="Normal 12 3 3 2 2 2 2 4" xfId="0"/>
    <cellStyle name="Normal 12 3 3 2 2 2 3" xfId="0"/>
    <cellStyle name="Normal 12 3 3 2 2 2 3 2" xfId="0"/>
    <cellStyle name="Normal 12 3 3 2 2 2 3 2 2" xfId="0"/>
    <cellStyle name="Normal 12 3 3 2 2 2 3 3" xfId="0"/>
    <cellStyle name="Normal 12 3 3 2 2 2 4" xfId="0"/>
    <cellStyle name="Normal 12 3 3 2 2 2 4 2" xfId="0"/>
    <cellStyle name="Normal 12 3 3 2 2 2 5" xfId="0"/>
    <cellStyle name="Normal 12 3 3 2 2 3" xfId="0"/>
    <cellStyle name="Normal 12 3 3 2 2 3 2" xfId="0"/>
    <cellStyle name="Normal 12 3 3 2 2 3 2 2" xfId="0"/>
    <cellStyle name="Normal 12 3 3 2 2 3 2 2 2" xfId="0"/>
    <cellStyle name="Normal 12 3 3 2 2 3 2 3" xfId="0"/>
    <cellStyle name="Normal 12 3 3 2 2 3 3" xfId="0"/>
    <cellStyle name="Normal 12 3 3 2 2 3 3 2" xfId="0"/>
    <cellStyle name="Normal 12 3 3 2 2 3 4" xfId="0"/>
    <cellStyle name="Normal 12 3 3 2 2 4" xfId="0"/>
    <cellStyle name="Normal 12 3 3 2 2 4 2" xfId="0"/>
    <cellStyle name="Normal 12 3 3 2 2 4 2 2" xfId="0"/>
    <cellStyle name="Normal 12 3 3 2 2 4 3" xfId="0"/>
    <cellStyle name="Normal 12 3 3 2 2 5" xfId="0"/>
    <cellStyle name="Normal 12 3 3 2 2 5 2" xfId="0"/>
    <cellStyle name="Normal 12 3 3 2 2 6" xfId="0"/>
    <cellStyle name="Normal 12 3 3 2 3" xfId="0"/>
    <cellStyle name="Normal 12 3 3 2 3 2" xfId="0"/>
    <cellStyle name="Normal 12 3 3 2 3 2 2" xfId="0"/>
    <cellStyle name="Normal 12 3 3 2 3 2 2 2" xfId="0"/>
    <cellStyle name="Normal 12 3 3 2 3 2 2 2 2" xfId="0"/>
    <cellStyle name="Normal 12 3 3 2 3 2 2 3" xfId="0"/>
    <cellStyle name="Normal 12 3 3 2 3 2 3" xfId="0"/>
    <cellStyle name="Normal 12 3 3 2 3 2 3 2" xfId="0"/>
    <cellStyle name="Normal 12 3 3 2 3 2 4" xfId="0"/>
    <cellStyle name="Normal 12 3 3 2 3 3" xfId="0"/>
    <cellStyle name="Normal 12 3 3 2 3 3 2" xfId="0"/>
    <cellStyle name="Normal 12 3 3 2 3 3 2 2" xfId="0"/>
    <cellStyle name="Normal 12 3 3 2 3 3 3" xfId="0"/>
    <cellStyle name="Normal 12 3 3 2 3 4" xfId="0"/>
    <cellStyle name="Normal 12 3 3 2 3 4 2" xfId="0"/>
    <cellStyle name="Normal 12 3 3 2 3 5" xfId="0"/>
    <cellStyle name="Normal 12 3 3 2 4" xfId="0"/>
    <cellStyle name="Normal 12 3 3 2 4 2" xfId="0"/>
    <cellStyle name="Normal 12 3 3 2 4 2 2" xfId="0"/>
    <cellStyle name="Normal 12 3 3 2 4 2 2 2" xfId="0"/>
    <cellStyle name="Normal 12 3 3 2 4 2 3" xfId="0"/>
    <cellStyle name="Normal 12 3 3 2 4 3" xfId="0"/>
    <cellStyle name="Normal 12 3 3 2 4 3 2" xfId="0"/>
    <cellStyle name="Normal 12 3 3 2 4 4" xfId="0"/>
    <cellStyle name="Normal 12 3 3 2 5" xfId="0"/>
    <cellStyle name="Normal 12 3 3 2 5 2" xfId="0"/>
    <cellStyle name="Normal 12 3 3 2 5 2 2" xfId="0"/>
    <cellStyle name="Normal 12 3 3 2 5 3" xfId="0"/>
    <cellStyle name="Normal 12 3 3 2 6" xfId="0"/>
    <cellStyle name="Normal 12 3 3 2 6 2" xfId="0"/>
    <cellStyle name="Normal 12 3 3 2 7" xfId="0"/>
    <cellStyle name="Normal 12 3 3 3" xfId="0"/>
    <cellStyle name="Normal 12 3 3 3 2" xfId="0"/>
    <cellStyle name="Normal 12 3 3 3 2 2" xfId="0"/>
    <cellStyle name="Normal 12 3 3 3 2 2 2" xfId="0"/>
    <cellStyle name="Normal 12 3 3 3 2 2 2 2" xfId="0"/>
    <cellStyle name="Normal 12 3 3 3 2 2 2 2 2" xfId="0"/>
    <cellStyle name="Normal 12 3 3 3 2 2 2 3" xfId="0"/>
    <cellStyle name="Normal 12 3 3 3 2 2 3" xfId="0"/>
    <cellStyle name="Normal 12 3 3 3 2 2 3 2" xfId="0"/>
    <cellStyle name="Normal 12 3 3 3 2 2 4" xfId="0"/>
    <cellStyle name="Normal 12 3 3 3 2 3" xfId="0"/>
    <cellStyle name="Normal 12 3 3 3 2 3 2" xfId="0"/>
    <cellStyle name="Normal 12 3 3 3 2 3 2 2" xfId="0"/>
    <cellStyle name="Normal 12 3 3 3 2 3 3" xfId="0"/>
    <cellStyle name="Normal 12 3 3 3 2 4" xfId="0"/>
    <cellStyle name="Normal 12 3 3 3 2 4 2" xfId="0"/>
    <cellStyle name="Normal 12 3 3 3 2 5" xfId="0"/>
    <cellStyle name="Normal 12 3 3 3 3" xfId="0"/>
    <cellStyle name="Normal 12 3 3 3 3 2" xfId="0"/>
    <cellStyle name="Normal 12 3 3 3 3 2 2" xfId="0"/>
    <cellStyle name="Normal 12 3 3 3 3 2 2 2" xfId="0"/>
    <cellStyle name="Normal 12 3 3 3 3 2 3" xfId="0"/>
    <cellStyle name="Normal 12 3 3 3 3 3" xfId="0"/>
    <cellStyle name="Normal 12 3 3 3 3 3 2" xfId="0"/>
    <cellStyle name="Normal 12 3 3 3 3 4" xfId="0"/>
    <cellStyle name="Normal 12 3 3 3 4" xfId="0"/>
    <cellStyle name="Normal 12 3 3 3 4 2" xfId="0"/>
    <cellStyle name="Normal 12 3 3 3 4 2 2" xfId="0"/>
    <cellStyle name="Normal 12 3 3 3 4 3" xfId="0"/>
    <cellStyle name="Normal 12 3 3 3 5" xfId="0"/>
    <cellStyle name="Normal 12 3 3 3 5 2" xfId="0"/>
    <cellStyle name="Normal 12 3 3 3 6" xfId="0"/>
    <cellStyle name="Normal 12 3 3 4" xfId="0"/>
    <cellStyle name="Normal 12 3 3 4 2" xfId="0"/>
    <cellStyle name="Normal 12 3 3 4 2 2" xfId="0"/>
    <cellStyle name="Normal 12 3 3 4 2 2 2" xfId="0"/>
    <cellStyle name="Normal 12 3 3 4 2 2 2 2" xfId="0"/>
    <cellStyle name="Normal 12 3 3 4 2 2 3" xfId="0"/>
    <cellStyle name="Normal 12 3 3 4 2 3" xfId="0"/>
    <cellStyle name="Normal 12 3 3 4 2 3 2" xfId="0"/>
    <cellStyle name="Normal 12 3 3 4 2 4" xfId="0"/>
    <cellStyle name="Normal 12 3 3 4 3" xfId="0"/>
    <cellStyle name="Normal 12 3 3 4 3 2" xfId="0"/>
    <cellStyle name="Normal 12 3 3 4 3 2 2" xfId="0"/>
    <cellStyle name="Normal 12 3 3 4 3 3" xfId="0"/>
    <cellStyle name="Normal 12 3 3 4 4" xfId="0"/>
    <cellStyle name="Normal 12 3 3 4 4 2" xfId="0"/>
    <cellStyle name="Normal 12 3 3 4 5" xfId="0"/>
    <cellStyle name="Normal 12 3 3 5" xfId="0"/>
    <cellStyle name="Normal 12 3 3 5 2" xfId="0"/>
    <cellStyle name="Normal 12 3 3 5 2 2" xfId="0"/>
    <cellStyle name="Normal 12 3 3 5 2 2 2" xfId="0"/>
    <cellStyle name="Normal 12 3 3 5 2 3" xfId="0"/>
    <cellStyle name="Normal 12 3 3 5 3" xfId="0"/>
    <cellStyle name="Normal 12 3 3 5 3 2" xfId="0"/>
    <cellStyle name="Normal 12 3 3 5 4" xfId="0"/>
    <cellStyle name="Normal 12 3 3 6" xfId="0"/>
    <cellStyle name="Normal 12 3 3 6 2" xfId="0"/>
    <cellStyle name="Normal 12 3 3 6 2 2" xfId="0"/>
    <cellStyle name="Normal 12 3 3 6 3" xfId="0"/>
    <cellStyle name="Normal 12 3 3 7" xfId="0"/>
    <cellStyle name="Normal 12 3 3 7 2" xfId="0"/>
    <cellStyle name="Normal 12 3 3 8" xfId="0"/>
    <cellStyle name="Normal 12 3 4" xfId="0"/>
    <cellStyle name="Normal 12 3 4 2" xfId="0"/>
    <cellStyle name="Normal 12 3 4 2 2" xfId="0"/>
    <cellStyle name="Normal 12 3 4 2 2 2" xfId="0"/>
    <cellStyle name="Normal 12 3 4 2 2 2 2" xfId="0"/>
    <cellStyle name="Normal 12 3 4 2 2 2 2 2" xfId="0"/>
    <cellStyle name="Normal 12 3 4 2 2 2 2 2 2" xfId="0"/>
    <cellStyle name="Normal 12 3 4 2 2 2 2 2 2 2" xfId="0"/>
    <cellStyle name="Normal 12 3 4 2 2 2 2 2 3" xfId="0"/>
    <cellStyle name="Normal 12 3 4 2 2 2 2 3" xfId="0"/>
    <cellStyle name="Normal 12 3 4 2 2 2 2 3 2" xfId="0"/>
    <cellStyle name="Normal 12 3 4 2 2 2 2 4" xfId="0"/>
    <cellStyle name="Normal 12 3 4 2 2 2 3" xfId="0"/>
    <cellStyle name="Normal 12 3 4 2 2 2 3 2" xfId="0"/>
    <cellStyle name="Normal 12 3 4 2 2 2 3 2 2" xfId="0"/>
    <cellStyle name="Normal 12 3 4 2 2 2 3 3" xfId="0"/>
    <cellStyle name="Normal 12 3 4 2 2 2 4" xfId="0"/>
    <cellStyle name="Normal 12 3 4 2 2 2 4 2" xfId="0"/>
    <cellStyle name="Normal 12 3 4 2 2 2 5" xfId="0"/>
    <cellStyle name="Normal 12 3 4 2 2 3" xfId="0"/>
    <cellStyle name="Normal 12 3 4 2 2 3 2" xfId="0"/>
    <cellStyle name="Normal 12 3 4 2 2 3 2 2" xfId="0"/>
    <cellStyle name="Normal 12 3 4 2 2 3 2 2 2" xfId="0"/>
    <cellStyle name="Normal 12 3 4 2 2 3 2 3" xfId="0"/>
    <cellStyle name="Normal 12 3 4 2 2 3 3" xfId="0"/>
    <cellStyle name="Normal 12 3 4 2 2 3 3 2" xfId="0"/>
    <cellStyle name="Normal 12 3 4 2 2 3 4" xfId="0"/>
    <cellStyle name="Normal 12 3 4 2 2 4" xfId="0"/>
    <cellStyle name="Normal 12 3 4 2 2 4 2" xfId="0"/>
    <cellStyle name="Normal 12 3 4 2 2 4 2 2" xfId="0"/>
    <cellStyle name="Normal 12 3 4 2 2 4 3" xfId="0"/>
    <cellStyle name="Normal 12 3 4 2 2 5" xfId="0"/>
    <cellStyle name="Normal 12 3 4 2 2 5 2" xfId="0"/>
    <cellStyle name="Normal 12 3 4 2 2 6" xfId="0"/>
    <cellStyle name="Normal 12 3 4 2 3" xfId="0"/>
    <cellStyle name="Normal 12 3 4 2 3 2" xfId="0"/>
    <cellStyle name="Normal 12 3 4 2 3 2 2" xfId="0"/>
    <cellStyle name="Normal 12 3 4 2 3 2 2 2" xfId="0"/>
    <cellStyle name="Normal 12 3 4 2 3 2 2 2 2" xfId="0"/>
    <cellStyle name="Normal 12 3 4 2 3 2 2 3" xfId="0"/>
    <cellStyle name="Normal 12 3 4 2 3 2 3" xfId="0"/>
    <cellStyle name="Normal 12 3 4 2 3 2 3 2" xfId="0"/>
    <cellStyle name="Normal 12 3 4 2 3 2 4" xfId="0"/>
    <cellStyle name="Normal 12 3 4 2 3 3" xfId="0"/>
    <cellStyle name="Normal 12 3 4 2 3 3 2" xfId="0"/>
    <cellStyle name="Normal 12 3 4 2 3 3 2 2" xfId="0"/>
    <cellStyle name="Normal 12 3 4 2 3 3 3" xfId="0"/>
    <cellStyle name="Normal 12 3 4 2 3 4" xfId="0"/>
    <cellStyle name="Normal 12 3 4 2 3 4 2" xfId="0"/>
    <cellStyle name="Normal 12 3 4 2 3 5" xfId="0"/>
    <cellStyle name="Normal 12 3 4 2 4" xfId="0"/>
    <cellStyle name="Normal 12 3 4 2 4 2" xfId="0"/>
    <cellStyle name="Normal 12 3 4 2 4 2 2" xfId="0"/>
    <cellStyle name="Normal 12 3 4 2 4 2 2 2" xfId="0"/>
    <cellStyle name="Normal 12 3 4 2 4 2 3" xfId="0"/>
    <cellStyle name="Normal 12 3 4 2 4 3" xfId="0"/>
    <cellStyle name="Normal 12 3 4 2 4 3 2" xfId="0"/>
    <cellStyle name="Normal 12 3 4 2 4 4" xfId="0"/>
    <cellStyle name="Normal 12 3 4 2 5" xfId="0"/>
    <cellStyle name="Normal 12 3 4 2 5 2" xfId="0"/>
    <cellStyle name="Normal 12 3 4 2 5 2 2" xfId="0"/>
    <cellStyle name="Normal 12 3 4 2 5 3" xfId="0"/>
    <cellStyle name="Normal 12 3 4 2 6" xfId="0"/>
    <cellStyle name="Normal 12 3 4 2 6 2" xfId="0"/>
    <cellStyle name="Normal 12 3 4 2 7" xfId="0"/>
    <cellStyle name="Normal 12 3 4 3" xfId="0"/>
    <cellStyle name="Normal 12 3 4 3 2" xfId="0"/>
    <cellStyle name="Normal 12 3 4 3 2 2" xfId="0"/>
    <cellStyle name="Normal 12 3 4 3 2 2 2" xfId="0"/>
    <cellStyle name="Normal 12 3 4 3 2 2 2 2" xfId="0"/>
    <cellStyle name="Normal 12 3 4 3 2 2 2 2 2" xfId="0"/>
    <cellStyle name="Normal 12 3 4 3 2 2 2 3" xfId="0"/>
    <cellStyle name="Normal 12 3 4 3 2 2 3" xfId="0"/>
    <cellStyle name="Normal 12 3 4 3 2 2 3 2" xfId="0"/>
    <cellStyle name="Normal 12 3 4 3 2 2 4" xfId="0"/>
    <cellStyle name="Normal 12 3 4 3 2 3" xfId="0"/>
    <cellStyle name="Normal 12 3 4 3 2 3 2" xfId="0"/>
    <cellStyle name="Normal 12 3 4 3 2 3 2 2" xfId="0"/>
    <cellStyle name="Normal 12 3 4 3 2 3 3" xfId="0"/>
    <cellStyle name="Normal 12 3 4 3 2 4" xfId="0"/>
    <cellStyle name="Normal 12 3 4 3 2 4 2" xfId="0"/>
    <cellStyle name="Normal 12 3 4 3 2 5" xfId="0"/>
    <cellStyle name="Normal 12 3 4 3 3" xfId="0"/>
    <cellStyle name="Normal 12 3 4 3 3 2" xfId="0"/>
    <cellStyle name="Normal 12 3 4 3 3 2 2" xfId="0"/>
    <cellStyle name="Normal 12 3 4 3 3 2 2 2" xfId="0"/>
    <cellStyle name="Normal 12 3 4 3 3 2 3" xfId="0"/>
    <cellStyle name="Normal 12 3 4 3 3 3" xfId="0"/>
    <cellStyle name="Normal 12 3 4 3 3 3 2" xfId="0"/>
    <cellStyle name="Normal 12 3 4 3 3 4" xfId="0"/>
    <cellStyle name="Normal 12 3 4 3 4" xfId="0"/>
    <cellStyle name="Normal 12 3 4 3 4 2" xfId="0"/>
    <cellStyle name="Normal 12 3 4 3 4 2 2" xfId="0"/>
    <cellStyle name="Normal 12 3 4 3 4 3" xfId="0"/>
    <cellStyle name="Normal 12 3 4 3 5" xfId="0"/>
    <cellStyle name="Normal 12 3 4 3 5 2" xfId="0"/>
    <cellStyle name="Normal 12 3 4 3 6" xfId="0"/>
    <cellStyle name="Normal 12 3 4 4" xfId="0"/>
    <cellStyle name="Normal 12 3 4 4 2" xfId="0"/>
    <cellStyle name="Normal 12 3 4 4 2 2" xfId="0"/>
    <cellStyle name="Normal 12 3 4 4 2 2 2" xfId="0"/>
    <cellStyle name="Normal 12 3 4 4 2 2 2 2" xfId="0"/>
    <cellStyle name="Normal 12 3 4 4 2 2 3" xfId="0"/>
    <cellStyle name="Normal 12 3 4 4 2 3" xfId="0"/>
    <cellStyle name="Normal 12 3 4 4 2 3 2" xfId="0"/>
    <cellStyle name="Normal 12 3 4 4 2 4" xfId="0"/>
    <cellStyle name="Normal 12 3 4 4 3" xfId="0"/>
    <cellStyle name="Normal 12 3 4 4 3 2" xfId="0"/>
    <cellStyle name="Normal 12 3 4 4 3 2 2" xfId="0"/>
    <cellStyle name="Normal 12 3 4 4 3 3" xfId="0"/>
    <cellStyle name="Normal 12 3 4 4 4" xfId="0"/>
    <cellStyle name="Normal 12 3 4 4 4 2" xfId="0"/>
    <cellStyle name="Normal 12 3 4 4 5" xfId="0"/>
    <cellStyle name="Normal 12 3 4 5" xfId="0"/>
    <cellStyle name="Normal 12 3 4 5 2" xfId="0"/>
    <cellStyle name="Normal 12 3 4 5 2 2" xfId="0"/>
    <cellStyle name="Normal 12 3 4 5 2 2 2" xfId="0"/>
    <cellStyle name="Normal 12 3 4 5 2 3" xfId="0"/>
    <cellStyle name="Normal 12 3 4 5 3" xfId="0"/>
    <cellStyle name="Normal 12 3 4 5 3 2" xfId="0"/>
    <cellStyle name="Normal 12 3 4 5 4" xfId="0"/>
    <cellStyle name="Normal 12 3 4 6" xfId="0"/>
    <cellStyle name="Normal 12 3 4 6 2" xfId="0"/>
    <cellStyle name="Normal 12 3 4 6 2 2" xfId="0"/>
    <cellStyle name="Normal 12 3 4 6 3" xfId="0"/>
    <cellStyle name="Normal 12 3 4 7" xfId="0"/>
    <cellStyle name="Normal 12 3 4 7 2" xfId="0"/>
    <cellStyle name="Normal 12 3 4 8" xfId="0"/>
    <cellStyle name="Normal 12 3 5" xfId="0"/>
    <cellStyle name="Normal 12 3 5 2" xfId="0"/>
    <cellStyle name="Normal 12 3 5 2 2" xfId="0"/>
    <cellStyle name="Normal 12 3 5 2 2 2" xfId="0"/>
    <cellStyle name="Normal 12 3 5 2 2 2 2" xfId="0"/>
    <cellStyle name="Normal 12 3 5 2 2 2 2 2" xfId="0"/>
    <cellStyle name="Normal 12 3 5 2 2 2 2 2 2" xfId="0"/>
    <cellStyle name="Normal 12 3 5 2 2 2 2 3" xfId="0"/>
    <cellStyle name="Normal 12 3 5 2 2 2 3" xfId="0"/>
    <cellStyle name="Normal 12 3 5 2 2 2 3 2" xfId="0"/>
    <cellStyle name="Normal 12 3 5 2 2 2 4" xfId="0"/>
    <cellStyle name="Normal 12 3 5 2 2 3" xfId="0"/>
    <cellStyle name="Normal 12 3 5 2 2 3 2" xfId="0"/>
    <cellStyle name="Normal 12 3 5 2 2 3 2 2" xfId="0"/>
    <cellStyle name="Normal 12 3 5 2 2 3 3" xfId="0"/>
    <cellStyle name="Normal 12 3 5 2 2 4" xfId="0"/>
    <cellStyle name="Normal 12 3 5 2 2 4 2" xfId="0"/>
    <cellStyle name="Normal 12 3 5 2 2 5" xfId="0"/>
    <cellStyle name="Normal 12 3 5 2 3" xfId="0"/>
    <cellStyle name="Normal 12 3 5 2 3 2" xfId="0"/>
    <cellStyle name="Normal 12 3 5 2 3 2 2" xfId="0"/>
    <cellStyle name="Normal 12 3 5 2 3 2 2 2" xfId="0"/>
    <cellStyle name="Normal 12 3 5 2 3 2 3" xfId="0"/>
    <cellStyle name="Normal 12 3 5 2 3 3" xfId="0"/>
    <cellStyle name="Normal 12 3 5 2 3 3 2" xfId="0"/>
    <cellStyle name="Normal 12 3 5 2 3 4" xfId="0"/>
    <cellStyle name="Normal 12 3 5 2 4" xfId="0"/>
    <cellStyle name="Normal 12 3 5 2 4 2" xfId="0"/>
    <cellStyle name="Normal 12 3 5 2 4 2 2" xfId="0"/>
    <cellStyle name="Normal 12 3 5 2 4 3" xfId="0"/>
    <cellStyle name="Normal 12 3 5 2 5" xfId="0"/>
    <cellStyle name="Normal 12 3 5 2 5 2" xfId="0"/>
    <cellStyle name="Normal 12 3 5 2 6" xfId="0"/>
    <cellStyle name="Normal 12 3 5 3" xfId="0"/>
    <cellStyle name="Normal 12 3 5 3 2" xfId="0"/>
    <cellStyle name="Normal 12 3 5 3 2 2" xfId="0"/>
    <cellStyle name="Normal 12 3 5 3 2 2 2" xfId="0"/>
    <cellStyle name="Normal 12 3 5 3 2 2 2 2" xfId="0"/>
    <cellStyle name="Normal 12 3 5 3 2 2 3" xfId="0"/>
    <cellStyle name="Normal 12 3 5 3 2 3" xfId="0"/>
    <cellStyle name="Normal 12 3 5 3 2 3 2" xfId="0"/>
    <cellStyle name="Normal 12 3 5 3 2 4" xfId="0"/>
    <cellStyle name="Normal 12 3 5 3 3" xfId="0"/>
    <cellStyle name="Normal 12 3 5 3 3 2" xfId="0"/>
    <cellStyle name="Normal 12 3 5 3 3 2 2" xfId="0"/>
    <cellStyle name="Normal 12 3 5 3 3 3" xfId="0"/>
    <cellStyle name="Normal 12 3 5 3 4" xfId="0"/>
    <cellStyle name="Normal 12 3 5 3 4 2" xfId="0"/>
    <cellStyle name="Normal 12 3 5 3 5" xfId="0"/>
    <cellStyle name="Normal 12 3 5 4" xfId="0"/>
    <cellStyle name="Normal 12 3 5 4 2" xfId="0"/>
    <cellStyle name="Normal 12 3 5 4 2 2" xfId="0"/>
    <cellStyle name="Normal 12 3 5 4 2 2 2" xfId="0"/>
    <cellStyle name="Normal 12 3 5 4 2 3" xfId="0"/>
    <cellStyle name="Normal 12 3 5 4 3" xfId="0"/>
    <cellStyle name="Normal 12 3 5 4 3 2" xfId="0"/>
    <cellStyle name="Normal 12 3 5 4 4" xfId="0"/>
    <cellStyle name="Normal 12 3 5 5" xfId="0"/>
    <cellStyle name="Normal 12 3 5 5 2" xfId="0"/>
    <cellStyle name="Normal 12 3 5 5 2 2" xfId="0"/>
    <cellStyle name="Normal 12 3 5 5 3" xfId="0"/>
    <cellStyle name="Normal 12 3 5 6" xfId="0"/>
    <cellStyle name="Normal 12 3 5 6 2" xfId="0"/>
    <cellStyle name="Normal 12 3 5 7" xfId="0"/>
    <cellStyle name="Normal 12 3 6" xfId="0"/>
    <cellStyle name="Normal 12 3 6 2" xfId="0"/>
    <cellStyle name="Normal 12 3 6 2 2" xfId="0"/>
    <cellStyle name="Normal 12 3 6 2 2 2" xfId="0"/>
    <cellStyle name="Normal 12 3 6 2 2 2 2" xfId="0"/>
    <cellStyle name="Normal 12 3 6 2 2 2 2 2" xfId="0"/>
    <cellStyle name="Normal 12 3 6 2 2 2 2 2 2" xfId="0"/>
    <cellStyle name="Normal 12 3 6 2 2 2 2 3" xfId="0"/>
    <cellStyle name="Normal 12 3 6 2 2 2 3" xfId="0"/>
    <cellStyle name="Normal 12 3 6 2 2 2 3 2" xfId="0"/>
    <cellStyle name="Normal 12 3 6 2 2 2 4" xfId="0"/>
    <cellStyle name="Normal 12 3 6 2 2 3" xfId="0"/>
    <cellStyle name="Normal 12 3 6 2 2 3 2" xfId="0"/>
    <cellStyle name="Normal 12 3 6 2 2 3 2 2" xfId="0"/>
    <cellStyle name="Normal 12 3 6 2 2 3 3" xfId="0"/>
    <cellStyle name="Normal 12 3 6 2 2 4" xfId="0"/>
    <cellStyle name="Normal 12 3 6 2 2 4 2" xfId="0"/>
    <cellStyle name="Normal 12 3 6 2 2 5" xfId="0"/>
    <cellStyle name="Normal 12 3 6 2 3" xfId="0"/>
    <cellStyle name="Normal 12 3 6 2 3 2" xfId="0"/>
    <cellStyle name="Normal 12 3 6 2 3 2 2" xfId="0"/>
    <cellStyle name="Normal 12 3 6 2 3 2 2 2" xfId="0"/>
    <cellStyle name="Normal 12 3 6 2 3 2 3" xfId="0"/>
    <cellStyle name="Normal 12 3 6 2 3 3" xfId="0"/>
    <cellStyle name="Normal 12 3 6 2 3 3 2" xfId="0"/>
    <cellStyle name="Normal 12 3 6 2 3 4" xfId="0"/>
    <cellStyle name="Normal 12 3 6 2 4" xfId="0"/>
    <cellStyle name="Normal 12 3 6 2 4 2" xfId="0"/>
    <cellStyle name="Normal 12 3 6 2 4 2 2" xfId="0"/>
    <cellStyle name="Normal 12 3 6 2 4 3" xfId="0"/>
    <cellStyle name="Normal 12 3 6 2 5" xfId="0"/>
    <cellStyle name="Normal 12 3 6 2 5 2" xfId="0"/>
    <cellStyle name="Normal 12 3 6 2 6" xfId="0"/>
    <cellStyle name="Normal 12 3 6 3" xfId="0"/>
    <cellStyle name="Normal 12 3 6 3 2" xfId="0"/>
    <cellStyle name="Normal 12 3 6 3 2 2" xfId="0"/>
    <cellStyle name="Normal 12 3 6 3 2 2 2" xfId="0"/>
    <cellStyle name="Normal 12 3 6 3 2 2 2 2" xfId="0"/>
    <cellStyle name="Normal 12 3 6 3 2 2 3" xfId="0"/>
    <cellStyle name="Normal 12 3 6 3 2 3" xfId="0"/>
    <cellStyle name="Normal 12 3 6 3 2 3 2" xfId="0"/>
    <cellStyle name="Normal 12 3 6 3 2 4" xfId="0"/>
    <cellStyle name="Normal 12 3 6 3 3" xfId="0"/>
    <cellStyle name="Normal 12 3 6 3 3 2" xfId="0"/>
    <cellStyle name="Normal 12 3 6 3 3 2 2" xfId="0"/>
    <cellStyle name="Normal 12 3 6 3 3 3" xfId="0"/>
    <cellStyle name="Normal 12 3 6 3 4" xfId="0"/>
    <cellStyle name="Normal 12 3 6 3 4 2" xfId="0"/>
    <cellStyle name="Normal 12 3 6 3 5" xfId="0"/>
    <cellStyle name="Normal 12 3 6 4" xfId="0"/>
    <cellStyle name="Normal 12 3 6 4 2" xfId="0"/>
    <cellStyle name="Normal 12 3 6 4 2 2" xfId="0"/>
    <cellStyle name="Normal 12 3 6 4 2 2 2" xfId="0"/>
    <cellStyle name="Normal 12 3 6 4 2 3" xfId="0"/>
    <cellStyle name="Normal 12 3 6 4 3" xfId="0"/>
    <cellStyle name="Normal 12 3 6 4 3 2" xfId="0"/>
    <cellStyle name="Normal 12 3 6 4 4" xfId="0"/>
    <cellStyle name="Normal 12 3 6 5" xfId="0"/>
    <cellStyle name="Normal 12 3 6 5 2" xfId="0"/>
    <cellStyle name="Normal 12 3 6 5 2 2" xfId="0"/>
    <cellStyle name="Normal 12 3 6 5 3" xfId="0"/>
    <cellStyle name="Normal 12 3 6 6" xfId="0"/>
    <cellStyle name="Normal 12 3 6 6 2" xfId="0"/>
    <cellStyle name="Normal 12 3 6 7" xfId="0"/>
    <cellStyle name="Normal 12 3 7" xfId="0"/>
    <cellStyle name="Normal 12 3 7 2" xfId="0"/>
    <cellStyle name="Normal 12 3 7 2 2" xfId="0"/>
    <cellStyle name="Normal 12 3 7 2 2 2" xfId="0"/>
    <cellStyle name="Normal 12 3 7 2 2 2 2" xfId="0"/>
    <cellStyle name="Normal 12 3 7 2 2 2 2 2" xfId="0"/>
    <cellStyle name="Normal 12 3 7 2 2 2 3" xfId="0"/>
    <cellStyle name="Normal 12 3 7 2 2 3" xfId="0"/>
    <cellStyle name="Normal 12 3 7 2 2 3 2" xfId="0"/>
    <cellStyle name="Normal 12 3 7 2 2 4" xfId="0"/>
    <cellStyle name="Normal 12 3 7 2 3" xfId="0"/>
    <cellStyle name="Normal 12 3 7 2 3 2" xfId="0"/>
    <cellStyle name="Normal 12 3 7 2 3 2 2" xfId="0"/>
    <cellStyle name="Normal 12 3 7 2 3 3" xfId="0"/>
    <cellStyle name="Normal 12 3 7 2 4" xfId="0"/>
    <cellStyle name="Normal 12 3 7 2 4 2" xfId="0"/>
    <cellStyle name="Normal 12 3 7 2 5" xfId="0"/>
    <cellStyle name="Normal 12 3 7 3" xfId="0"/>
    <cellStyle name="Normal 12 3 7 3 2" xfId="0"/>
    <cellStyle name="Normal 12 3 7 3 2 2" xfId="0"/>
    <cellStyle name="Normal 12 3 7 3 2 2 2" xfId="0"/>
    <cellStyle name="Normal 12 3 7 3 2 3" xfId="0"/>
    <cellStyle name="Normal 12 3 7 3 3" xfId="0"/>
    <cellStyle name="Normal 12 3 7 3 3 2" xfId="0"/>
    <cellStyle name="Normal 12 3 7 3 4" xfId="0"/>
    <cellStyle name="Normal 12 3 7 4" xfId="0"/>
    <cellStyle name="Normal 12 3 7 4 2" xfId="0"/>
    <cellStyle name="Normal 12 3 7 4 2 2" xfId="0"/>
    <cellStyle name="Normal 12 3 7 4 3" xfId="0"/>
    <cellStyle name="Normal 12 3 7 5" xfId="0"/>
    <cellStyle name="Normal 12 3 7 5 2" xfId="0"/>
    <cellStyle name="Normal 12 3 7 6" xfId="0"/>
    <cellStyle name="Normal 12 3 8" xfId="0"/>
    <cellStyle name="Normal 12 3 8 2" xfId="0"/>
    <cellStyle name="Normal 12 3 8 2 2" xfId="0"/>
    <cellStyle name="Normal 12 3 8 2 2 2" xfId="0"/>
    <cellStyle name="Normal 12 3 8 2 2 2 2" xfId="0"/>
    <cellStyle name="Normal 12 3 8 2 2 3" xfId="0"/>
    <cellStyle name="Normal 12 3 8 2 3" xfId="0"/>
    <cellStyle name="Normal 12 3 8 2 3 2" xfId="0"/>
    <cellStyle name="Normal 12 3 8 2 4" xfId="0"/>
    <cellStyle name="Normal 12 3 8 3" xfId="0"/>
    <cellStyle name="Normal 12 3 8 3 2" xfId="0"/>
    <cellStyle name="Normal 12 3 8 3 2 2" xfId="0"/>
    <cellStyle name="Normal 12 3 8 3 3" xfId="0"/>
    <cellStyle name="Normal 12 3 8 4" xfId="0"/>
    <cellStyle name="Normal 12 3 8 4 2" xfId="0"/>
    <cellStyle name="Normal 12 3 8 5" xfId="0"/>
    <cellStyle name="Normal 12 3 9" xfId="0"/>
    <cellStyle name="Normal 12 3 9 2" xfId="0"/>
    <cellStyle name="Normal 12 3 9 2 2" xfId="0"/>
    <cellStyle name="Normal 12 3 9 2 2 2" xfId="0"/>
    <cellStyle name="Normal 12 3 9 2 3" xfId="0"/>
    <cellStyle name="Normal 12 3 9 3" xfId="0"/>
    <cellStyle name="Normal 12 3 9 3 2" xfId="0"/>
    <cellStyle name="Normal 12 3 9 4" xfId="0"/>
    <cellStyle name="Normal 12 4" xfId="0"/>
    <cellStyle name="Normal 12 4 10" xfId="0"/>
    <cellStyle name="Normal 12 4 10 2" xfId="0"/>
    <cellStyle name="Normal 12 4 10 2 2" xfId="0"/>
    <cellStyle name="Normal 12 4 10 3" xfId="0"/>
    <cellStyle name="Normal 12 4 11" xfId="0"/>
    <cellStyle name="Normal 12 4 11 2" xfId="0"/>
    <cellStyle name="Normal 12 4 12" xfId="0"/>
    <cellStyle name="Normal 12 4 2" xfId="0"/>
    <cellStyle name="Normal 12 4 2 10" xfId="0"/>
    <cellStyle name="Normal 12 4 2 10 2" xfId="0"/>
    <cellStyle name="Normal 12 4 2 11" xfId="0"/>
    <cellStyle name="Normal 12 4 2 2" xfId="0"/>
    <cellStyle name="Normal 12 4 2 2 2" xfId="0"/>
    <cellStyle name="Normal 12 4 2 2 2 2" xfId="0"/>
    <cellStyle name="Normal 12 4 2 2 2 2 2" xfId="0"/>
    <cellStyle name="Normal 12 4 2 2 2 2 2 2" xfId="0"/>
    <cellStyle name="Normal 12 4 2 2 2 2 2 2 2" xfId="0"/>
    <cellStyle name="Normal 12 4 2 2 2 2 2 2 2 2" xfId="0"/>
    <cellStyle name="Normal 12 4 2 2 2 2 2 2 2 2 2" xfId="0"/>
    <cellStyle name="Normal 12 4 2 2 2 2 2 2 2 3" xfId="0"/>
    <cellStyle name="Normal 12 4 2 2 2 2 2 2 3" xfId="0"/>
    <cellStyle name="Normal 12 4 2 2 2 2 2 2 3 2" xfId="0"/>
    <cellStyle name="Normal 12 4 2 2 2 2 2 2 4" xfId="0"/>
    <cellStyle name="Normal 12 4 2 2 2 2 2 3" xfId="0"/>
    <cellStyle name="Normal 12 4 2 2 2 2 2 3 2" xfId="0"/>
    <cellStyle name="Normal 12 4 2 2 2 2 2 3 2 2" xfId="0"/>
    <cellStyle name="Normal 12 4 2 2 2 2 2 3 3" xfId="0"/>
    <cellStyle name="Normal 12 4 2 2 2 2 2 4" xfId="0"/>
    <cellStyle name="Normal 12 4 2 2 2 2 2 4 2" xfId="0"/>
    <cellStyle name="Normal 12 4 2 2 2 2 2 5" xfId="0"/>
    <cellStyle name="Normal 12 4 2 2 2 2 3" xfId="0"/>
    <cellStyle name="Normal 12 4 2 2 2 2 3 2" xfId="0"/>
    <cellStyle name="Normal 12 4 2 2 2 2 3 2 2" xfId="0"/>
    <cellStyle name="Normal 12 4 2 2 2 2 3 2 2 2" xfId="0"/>
    <cellStyle name="Normal 12 4 2 2 2 2 3 2 3" xfId="0"/>
    <cellStyle name="Normal 12 4 2 2 2 2 3 3" xfId="0"/>
    <cellStyle name="Normal 12 4 2 2 2 2 3 3 2" xfId="0"/>
    <cellStyle name="Normal 12 4 2 2 2 2 3 4" xfId="0"/>
    <cellStyle name="Normal 12 4 2 2 2 2 4" xfId="0"/>
    <cellStyle name="Normal 12 4 2 2 2 2 4 2" xfId="0"/>
    <cellStyle name="Normal 12 4 2 2 2 2 4 2 2" xfId="0"/>
    <cellStyle name="Normal 12 4 2 2 2 2 4 3" xfId="0"/>
    <cellStyle name="Normal 12 4 2 2 2 2 5" xfId="0"/>
    <cellStyle name="Normal 12 4 2 2 2 2 5 2" xfId="0"/>
    <cellStyle name="Normal 12 4 2 2 2 2 6" xfId="0"/>
    <cellStyle name="Normal 12 4 2 2 2 3" xfId="0"/>
    <cellStyle name="Normal 12 4 2 2 2 3 2" xfId="0"/>
    <cellStyle name="Normal 12 4 2 2 2 3 2 2" xfId="0"/>
    <cellStyle name="Normal 12 4 2 2 2 3 2 2 2" xfId="0"/>
    <cellStyle name="Normal 12 4 2 2 2 3 2 2 2 2" xfId="0"/>
    <cellStyle name="Normal 12 4 2 2 2 3 2 2 3" xfId="0"/>
    <cellStyle name="Normal 12 4 2 2 2 3 2 3" xfId="0"/>
    <cellStyle name="Normal 12 4 2 2 2 3 2 3 2" xfId="0"/>
    <cellStyle name="Normal 12 4 2 2 2 3 2 4" xfId="0"/>
    <cellStyle name="Normal 12 4 2 2 2 3 3" xfId="0"/>
    <cellStyle name="Normal 12 4 2 2 2 3 3 2" xfId="0"/>
    <cellStyle name="Normal 12 4 2 2 2 3 3 2 2" xfId="0"/>
    <cellStyle name="Normal 12 4 2 2 2 3 3 3" xfId="0"/>
    <cellStyle name="Normal 12 4 2 2 2 3 4" xfId="0"/>
    <cellStyle name="Normal 12 4 2 2 2 3 4 2" xfId="0"/>
    <cellStyle name="Normal 12 4 2 2 2 3 5" xfId="0"/>
    <cellStyle name="Normal 12 4 2 2 2 4" xfId="0"/>
    <cellStyle name="Normal 12 4 2 2 2 4 2" xfId="0"/>
    <cellStyle name="Normal 12 4 2 2 2 4 2 2" xfId="0"/>
    <cellStyle name="Normal 12 4 2 2 2 4 2 2 2" xfId="0"/>
    <cellStyle name="Normal 12 4 2 2 2 4 2 3" xfId="0"/>
    <cellStyle name="Normal 12 4 2 2 2 4 3" xfId="0"/>
    <cellStyle name="Normal 12 4 2 2 2 4 3 2" xfId="0"/>
    <cellStyle name="Normal 12 4 2 2 2 4 4" xfId="0"/>
    <cellStyle name="Normal 12 4 2 2 2 5" xfId="0"/>
    <cellStyle name="Normal 12 4 2 2 2 5 2" xfId="0"/>
    <cellStyle name="Normal 12 4 2 2 2 5 2 2" xfId="0"/>
    <cellStyle name="Normal 12 4 2 2 2 5 3" xfId="0"/>
    <cellStyle name="Normal 12 4 2 2 2 6" xfId="0"/>
    <cellStyle name="Normal 12 4 2 2 2 6 2" xfId="0"/>
    <cellStyle name="Normal 12 4 2 2 2 7" xfId="0"/>
    <cellStyle name="Normal 12 4 2 2 3" xfId="0"/>
    <cellStyle name="Normal 12 4 2 2 3 2" xfId="0"/>
    <cellStyle name="Normal 12 4 2 2 3 2 2" xfId="0"/>
    <cellStyle name="Normal 12 4 2 2 3 2 2 2" xfId="0"/>
    <cellStyle name="Normal 12 4 2 2 3 2 2 2 2" xfId="0"/>
    <cellStyle name="Normal 12 4 2 2 3 2 2 2 2 2" xfId="0"/>
    <cellStyle name="Normal 12 4 2 2 3 2 2 2 3" xfId="0"/>
    <cellStyle name="Normal 12 4 2 2 3 2 2 3" xfId="0"/>
    <cellStyle name="Normal 12 4 2 2 3 2 2 3 2" xfId="0"/>
    <cellStyle name="Normal 12 4 2 2 3 2 2 4" xfId="0"/>
    <cellStyle name="Normal 12 4 2 2 3 2 3" xfId="0"/>
    <cellStyle name="Normal 12 4 2 2 3 2 3 2" xfId="0"/>
    <cellStyle name="Normal 12 4 2 2 3 2 3 2 2" xfId="0"/>
    <cellStyle name="Normal 12 4 2 2 3 2 3 3" xfId="0"/>
    <cellStyle name="Normal 12 4 2 2 3 2 4" xfId="0"/>
    <cellStyle name="Normal 12 4 2 2 3 2 4 2" xfId="0"/>
    <cellStyle name="Normal 12 4 2 2 3 2 5" xfId="0"/>
    <cellStyle name="Normal 12 4 2 2 3 3" xfId="0"/>
    <cellStyle name="Normal 12 4 2 2 3 3 2" xfId="0"/>
    <cellStyle name="Normal 12 4 2 2 3 3 2 2" xfId="0"/>
    <cellStyle name="Normal 12 4 2 2 3 3 2 2 2" xfId="0"/>
    <cellStyle name="Normal 12 4 2 2 3 3 2 3" xfId="0"/>
    <cellStyle name="Normal 12 4 2 2 3 3 3" xfId="0"/>
    <cellStyle name="Normal 12 4 2 2 3 3 3 2" xfId="0"/>
    <cellStyle name="Normal 12 4 2 2 3 3 4" xfId="0"/>
    <cellStyle name="Normal 12 4 2 2 3 4" xfId="0"/>
    <cellStyle name="Normal 12 4 2 2 3 4 2" xfId="0"/>
    <cellStyle name="Normal 12 4 2 2 3 4 2 2" xfId="0"/>
    <cellStyle name="Normal 12 4 2 2 3 4 3" xfId="0"/>
    <cellStyle name="Normal 12 4 2 2 3 5" xfId="0"/>
    <cellStyle name="Normal 12 4 2 2 3 5 2" xfId="0"/>
    <cellStyle name="Normal 12 4 2 2 3 6" xfId="0"/>
    <cellStyle name="Normal 12 4 2 2 4" xfId="0"/>
    <cellStyle name="Normal 12 4 2 2 4 2" xfId="0"/>
    <cellStyle name="Normal 12 4 2 2 4 2 2" xfId="0"/>
    <cellStyle name="Normal 12 4 2 2 4 2 2 2" xfId="0"/>
    <cellStyle name="Normal 12 4 2 2 4 2 2 2 2" xfId="0"/>
    <cellStyle name="Normal 12 4 2 2 4 2 2 3" xfId="0"/>
    <cellStyle name="Normal 12 4 2 2 4 2 3" xfId="0"/>
    <cellStyle name="Normal 12 4 2 2 4 2 3 2" xfId="0"/>
    <cellStyle name="Normal 12 4 2 2 4 2 4" xfId="0"/>
    <cellStyle name="Normal 12 4 2 2 4 3" xfId="0"/>
    <cellStyle name="Normal 12 4 2 2 4 3 2" xfId="0"/>
    <cellStyle name="Normal 12 4 2 2 4 3 2 2" xfId="0"/>
    <cellStyle name="Normal 12 4 2 2 4 3 3" xfId="0"/>
    <cellStyle name="Normal 12 4 2 2 4 4" xfId="0"/>
    <cellStyle name="Normal 12 4 2 2 4 4 2" xfId="0"/>
    <cellStyle name="Normal 12 4 2 2 4 5" xfId="0"/>
    <cellStyle name="Normal 12 4 2 2 5" xfId="0"/>
    <cellStyle name="Normal 12 4 2 2 5 2" xfId="0"/>
    <cellStyle name="Normal 12 4 2 2 5 2 2" xfId="0"/>
    <cellStyle name="Normal 12 4 2 2 5 2 2 2" xfId="0"/>
    <cellStyle name="Normal 12 4 2 2 5 2 3" xfId="0"/>
    <cellStyle name="Normal 12 4 2 2 5 3" xfId="0"/>
    <cellStyle name="Normal 12 4 2 2 5 3 2" xfId="0"/>
    <cellStyle name="Normal 12 4 2 2 5 4" xfId="0"/>
    <cellStyle name="Normal 12 4 2 2 6" xfId="0"/>
    <cellStyle name="Normal 12 4 2 2 6 2" xfId="0"/>
    <cellStyle name="Normal 12 4 2 2 6 2 2" xfId="0"/>
    <cellStyle name="Normal 12 4 2 2 6 3" xfId="0"/>
    <cellStyle name="Normal 12 4 2 2 7" xfId="0"/>
    <cellStyle name="Normal 12 4 2 2 7 2" xfId="0"/>
    <cellStyle name="Normal 12 4 2 2 8" xfId="0"/>
    <cellStyle name="Normal 12 4 2 3" xfId="0"/>
    <cellStyle name="Normal 12 4 2 3 2" xfId="0"/>
    <cellStyle name="Normal 12 4 2 3 2 2" xfId="0"/>
    <cellStyle name="Normal 12 4 2 3 2 2 2" xfId="0"/>
    <cellStyle name="Normal 12 4 2 3 2 2 2 2" xfId="0"/>
    <cellStyle name="Normal 12 4 2 3 2 2 2 2 2" xfId="0"/>
    <cellStyle name="Normal 12 4 2 3 2 2 2 2 2 2" xfId="0"/>
    <cellStyle name="Normal 12 4 2 3 2 2 2 2 2 2 2" xfId="0"/>
    <cellStyle name="Normal 12 4 2 3 2 2 2 2 2 3" xfId="0"/>
    <cellStyle name="Normal 12 4 2 3 2 2 2 2 3" xfId="0"/>
    <cellStyle name="Normal 12 4 2 3 2 2 2 2 3 2" xfId="0"/>
    <cellStyle name="Normal 12 4 2 3 2 2 2 2 4" xfId="0"/>
    <cellStyle name="Normal 12 4 2 3 2 2 2 3" xfId="0"/>
    <cellStyle name="Normal 12 4 2 3 2 2 2 3 2" xfId="0"/>
    <cellStyle name="Normal 12 4 2 3 2 2 2 3 2 2" xfId="0"/>
    <cellStyle name="Normal 12 4 2 3 2 2 2 3 3" xfId="0"/>
    <cellStyle name="Normal 12 4 2 3 2 2 2 4" xfId="0"/>
    <cellStyle name="Normal 12 4 2 3 2 2 2 4 2" xfId="0"/>
    <cellStyle name="Normal 12 4 2 3 2 2 2 5" xfId="0"/>
    <cellStyle name="Normal 12 4 2 3 2 2 3" xfId="0"/>
    <cellStyle name="Normal 12 4 2 3 2 2 3 2" xfId="0"/>
    <cellStyle name="Normal 12 4 2 3 2 2 3 2 2" xfId="0"/>
    <cellStyle name="Normal 12 4 2 3 2 2 3 2 2 2" xfId="0"/>
    <cellStyle name="Normal 12 4 2 3 2 2 3 2 3" xfId="0"/>
    <cellStyle name="Normal 12 4 2 3 2 2 3 3" xfId="0"/>
    <cellStyle name="Normal 12 4 2 3 2 2 3 3 2" xfId="0"/>
    <cellStyle name="Normal 12 4 2 3 2 2 3 4" xfId="0"/>
    <cellStyle name="Normal 12 4 2 3 2 2 4" xfId="0"/>
    <cellStyle name="Normal 12 4 2 3 2 2 4 2" xfId="0"/>
    <cellStyle name="Normal 12 4 2 3 2 2 4 2 2" xfId="0"/>
    <cellStyle name="Normal 12 4 2 3 2 2 4 3" xfId="0"/>
    <cellStyle name="Normal 12 4 2 3 2 2 5" xfId="0"/>
    <cellStyle name="Normal 12 4 2 3 2 2 5 2" xfId="0"/>
    <cellStyle name="Normal 12 4 2 3 2 2 6" xfId="0"/>
    <cellStyle name="Normal 12 4 2 3 2 3" xfId="0"/>
    <cellStyle name="Normal 12 4 2 3 2 3 2" xfId="0"/>
    <cellStyle name="Normal 12 4 2 3 2 3 2 2" xfId="0"/>
    <cellStyle name="Normal 12 4 2 3 2 3 2 2 2" xfId="0"/>
    <cellStyle name="Normal 12 4 2 3 2 3 2 2 2 2" xfId="0"/>
    <cellStyle name="Normal 12 4 2 3 2 3 2 2 3" xfId="0"/>
    <cellStyle name="Normal 12 4 2 3 2 3 2 3" xfId="0"/>
    <cellStyle name="Normal 12 4 2 3 2 3 2 3 2" xfId="0"/>
    <cellStyle name="Normal 12 4 2 3 2 3 2 4" xfId="0"/>
    <cellStyle name="Normal 12 4 2 3 2 3 3" xfId="0"/>
    <cellStyle name="Normal 12 4 2 3 2 3 3 2" xfId="0"/>
    <cellStyle name="Normal 12 4 2 3 2 3 3 2 2" xfId="0"/>
    <cellStyle name="Normal 12 4 2 3 2 3 3 3" xfId="0"/>
    <cellStyle name="Normal 12 4 2 3 2 3 4" xfId="0"/>
    <cellStyle name="Normal 12 4 2 3 2 3 4 2" xfId="0"/>
    <cellStyle name="Normal 12 4 2 3 2 3 5" xfId="0"/>
    <cellStyle name="Normal 12 4 2 3 2 4" xfId="0"/>
    <cellStyle name="Normal 12 4 2 3 2 4 2" xfId="0"/>
    <cellStyle name="Normal 12 4 2 3 2 4 2 2" xfId="0"/>
    <cellStyle name="Normal 12 4 2 3 2 4 2 2 2" xfId="0"/>
    <cellStyle name="Normal 12 4 2 3 2 4 2 3" xfId="0"/>
    <cellStyle name="Normal 12 4 2 3 2 4 3" xfId="0"/>
    <cellStyle name="Normal 12 4 2 3 2 4 3 2" xfId="0"/>
    <cellStyle name="Normal 12 4 2 3 2 4 4" xfId="0"/>
    <cellStyle name="Normal 12 4 2 3 2 5" xfId="0"/>
    <cellStyle name="Normal 12 4 2 3 2 5 2" xfId="0"/>
    <cellStyle name="Normal 12 4 2 3 2 5 2 2" xfId="0"/>
    <cellStyle name="Normal 12 4 2 3 2 5 3" xfId="0"/>
    <cellStyle name="Normal 12 4 2 3 2 6" xfId="0"/>
    <cellStyle name="Normal 12 4 2 3 2 6 2" xfId="0"/>
    <cellStyle name="Normal 12 4 2 3 2 7" xfId="0"/>
    <cellStyle name="Normal 12 4 2 3 3" xfId="0"/>
    <cellStyle name="Normal 12 4 2 3 3 2" xfId="0"/>
    <cellStyle name="Normal 12 4 2 3 3 2 2" xfId="0"/>
    <cellStyle name="Normal 12 4 2 3 3 2 2 2" xfId="0"/>
    <cellStyle name="Normal 12 4 2 3 3 2 2 2 2" xfId="0"/>
    <cellStyle name="Normal 12 4 2 3 3 2 2 2 2 2" xfId="0"/>
    <cellStyle name="Normal 12 4 2 3 3 2 2 2 3" xfId="0"/>
    <cellStyle name="Normal 12 4 2 3 3 2 2 3" xfId="0"/>
    <cellStyle name="Normal 12 4 2 3 3 2 2 3 2" xfId="0"/>
    <cellStyle name="Normal 12 4 2 3 3 2 2 4" xfId="0"/>
    <cellStyle name="Normal 12 4 2 3 3 2 3" xfId="0"/>
    <cellStyle name="Normal 12 4 2 3 3 2 3 2" xfId="0"/>
    <cellStyle name="Normal 12 4 2 3 3 2 3 2 2" xfId="0"/>
    <cellStyle name="Normal 12 4 2 3 3 2 3 3" xfId="0"/>
    <cellStyle name="Normal 12 4 2 3 3 2 4" xfId="0"/>
    <cellStyle name="Normal 12 4 2 3 3 2 4 2" xfId="0"/>
    <cellStyle name="Normal 12 4 2 3 3 2 5" xfId="0"/>
    <cellStyle name="Normal 12 4 2 3 3 3" xfId="0"/>
    <cellStyle name="Normal 12 4 2 3 3 3 2" xfId="0"/>
    <cellStyle name="Normal 12 4 2 3 3 3 2 2" xfId="0"/>
    <cellStyle name="Normal 12 4 2 3 3 3 2 2 2" xfId="0"/>
    <cellStyle name="Normal 12 4 2 3 3 3 2 3" xfId="0"/>
    <cellStyle name="Normal 12 4 2 3 3 3 3" xfId="0"/>
    <cellStyle name="Normal 12 4 2 3 3 3 3 2" xfId="0"/>
    <cellStyle name="Normal 12 4 2 3 3 3 4" xfId="0"/>
    <cellStyle name="Normal 12 4 2 3 3 4" xfId="0"/>
    <cellStyle name="Normal 12 4 2 3 3 4 2" xfId="0"/>
    <cellStyle name="Normal 12 4 2 3 3 4 2 2" xfId="0"/>
    <cellStyle name="Normal 12 4 2 3 3 4 3" xfId="0"/>
    <cellStyle name="Normal 12 4 2 3 3 5" xfId="0"/>
    <cellStyle name="Normal 12 4 2 3 3 5 2" xfId="0"/>
    <cellStyle name="Normal 12 4 2 3 3 6" xfId="0"/>
    <cellStyle name="Normal 12 4 2 3 4" xfId="0"/>
    <cellStyle name="Normal 12 4 2 3 4 2" xfId="0"/>
    <cellStyle name="Normal 12 4 2 3 4 2 2" xfId="0"/>
    <cellStyle name="Normal 12 4 2 3 4 2 2 2" xfId="0"/>
    <cellStyle name="Normal 12 4 2 3 4 2 2 2 2" xfId="0"/>
    <cellStyle name="Normal 12 4 2 3 4 2 2 3" xfId="0"/>
    <cellStyle name="Normal 12 4 2 3 4 2 3" xfId="0"/>
    <cellStyle name="Normal 12 4 2 3 4 2 3 2" xfId="0"/>
    <cellStyle name="Normal 12 4 2 3 4 2 4" xfId="0"/>
    <cellStyle name="Normal 12 4 2 3 4 3" xfId="0"/>
    <cellStyle name="Normal 12 4 2 3 4 3 2" xfId="0"/>
    <cellStyle name="Normal 12 4 2 3 4 3 2 2" xfId="0"/>
    <cellStyle name="Normal 12 4 2 3 4 3 3" xfId="0"/>
    <cellStyle name="Normal 12 4 2 3 4 4" xfId="0"/>
    <cellStyle name="Normal 12 4 2 3 4 4 2" xfId="0"/>
    <cellStyle name="Normal 12 4 2 3 4 5" xfId="0"/>
    <cellStyle name="Normal 12 4 2 3 5" xfId="0"/>
    <cellStyle name="Normal 12 4 2 3 5 2" xfId="0"/>
    <cellStyle name="Normal 12 4 2 3 5 2 2" xfId="0"/>
    <cellStyle name="Normal 12 4 2 3 5 2 2 2" xfId="0"/>
    <cellStyle name="Normal 12 4 2 3 5 2 3" xfId="0"/>
    <cellStyle name="Normal 12 4 2 3 5 3" xfId="0"/>
    <cellStyle name="Normal 12 4 2 3 5 3 2" xfId="0"/>
    <cellStyle name="Normal 12 4 2 3 5 4" xfId="0"/>
    <cellStyle name="Normal 12 4 2 3 6" xfId="0"/>
    <cellStyle name="Normal 12 4 2 3 6 2" xfId="0"/>
    <cellStyle name="Normal 12 4 2 3 6 2 2" xfId="0"/>
    <cellStyle name="Normal 12 4 2 3 6 3" xfId="0"/>
    <cellStyle name="Normal 12 4 2 3 7" xfId="0"/>
    <cellStyle name="Normal 12 4 2 3 7 2" xfId="0"/>
    <cellStyle name="Normal 12 4 2 3 8" xfId="0"/>
    <cellStyle name="Normal 12 4 2 4" xfId="0"/>
    <cellStyle name="Normal 12 4 2 4 2" xfId="0"/>
    <cellStyle name="Normal 12 4 2 4 2 2" xfId="0"/>
    <cellStyle name="Normal 12 4 2 4 2 2 2" xfId="0"/>
    <cellStyle name="Normal 12 4 2 4 2 2 2 2" xfId="0"/>
    <cellStyle name="Normal 12 4 2 4 2 2 2 2 2" xfId="0"/>
    <cellStyle name="Normal 12 4 2 4 2 2 2 2 2 2" xfId="0"/>
    <cellStyle name="Normal 12 4 2 4 2 2 2 2 3" xfId="0"/>
    <cellStyle name="Normal 12 4 2 4 2 2 2 3" xfId="0"/>
    <cellStyle name="Normal 12 4 2 4 2 2 2 3 2" xfId="0"/>
    <cellStyle name="Normal 12 4 2 4 2 2 2 4" xfId="0"/>
    <cellStyle name="Normal 12 4 2 4 2 2 3" xfId="0"/>
    <cellStyle name="Normal 12 4 2 4 2 2 3 2" xfId="0"/>
    <cellStyle name="Normal 12 4 2 4 2 2 3 2 2" xfId="0"/>
    <cellStyle name="Normal 12 4 2 4 2 2 3 3" xfId="0"/>
    <cellStyle name="Normal 12 4 2 4 2 2 4" xfId="0"/>
    <cellStyle name="Normal 12 4 2 4 2 2 4 2" xfId="0"/>
    <cellStyle name="Normal 12 4 2 4 2 2 5" xfId="0"/>
    <cellStyle name="Normal 12 4 2 4 2 3" xfId="0"/>
    <cellStyle name="Normal 12 4 2 4 2 3 2" xfId="0"/>
    <cellStyle name="Normal 12 4 2 4 2 3 2 2" xfId="0"/>
    <cellStyle name="Normal 12 4 2 4 2 3 2 2 2" xfId="0"/>
    <cellStyle name="Normal 12 4 2 4 2 3 2 3" xfId="0"/>
    <cellStyle name="Normal 12 4 2 4 2 3 3" xfId="0"/>
    <cellStyle name="Normal 12 4 2 4 2 3 3 2" xfId="0"/>
    <cellStyle name="Normal 12 4 2 4 2 3 4" xfId="0"/>
    <cellStyle name="Normal 12 4 2 4 2 4" xfId="0"/>
    <cellStyle name="Normal 12 4 2 4 2 4 2" xfId="0"/>
    <cellStyle name="Normal 12 4 2 4 2 4 2 2" xfId="0"/>
    <cellStyle name="Normal 12 4 2 4 2 4 3" xfId="0"/>
    <cellStyle name="Normal 12 4 2 4 2 5" xfId="0"/>
    <cellStyle name="Normal 12 4 2 4 2 5 2" xfId="0"/>
    <cellStyle name="Normal 12 4 2 4 2 6" xfId="0"/>
    <cellStyle name="Normal 12 4 2 4 3" xfId="0"/>
    <cellStyle name="Normal 12 4 2 4 3 2" xfId="0"/>
    <cellStyle name="Normal 12 4 2 4 3 2 2" xfId="0"/>
    <cellStyle name="Normal 12 4 2 4 3 2 2 2" xfId="0"/>
    <cellStyle name="Normal 12 4 2 4 3 2 2 2 2" xfId="0"/>
    <cellStyle name="Normal 12 4 2 4 3 2 2 3" xfId="0"/>
    <cellStyle name="Normal 12 4 2 4 3 2 3" xfId="0"/>
    <cellStyle name="Normal 12 4 2 4 3 2 3 2" xfId="0"/>
    <cellStyle name="Normal 12 4 2 4 3 2 4" xfId="0"/>
    <cellStyle name="Normal 12 4 2 4 3 3" xfId="0"/>
    <cellStyle name="Normal 12 4 2 4 3 3 2" xfId="0"/>
    <cellStyle name="Normal 12 4 2 4 3 3 2 2" xfId="0"/>
    <cellStyle name="Normal 12 4 2 4 3 3 3" xfId="0"/>
    <cellStyle name="Normal 12 4 2 4 3 4" xfId="0"/>
    <cellStyle name="Normal 12 4 2 4 3 4 2" xfId="0"/>
    <cellStyle name="Normal 12 4 2 4 3 5" xfId="0"/>
    <cellStyle name="Normal 12 4 2 4 4" xfId="0"/>
    <cellStyle name="Normal 12 4 2 4 4 2" xfId="0"/>
    <cellStyle name="Normal 12 4 2 4 4 2 2" xfId="0"/>
    <cellStyle name="Normal 12 4 2 4 4 2 2 2" xfId="0"/>
    <cellStyle name="Normal 12 4 2 4 4 2 3" xfId="0"/>
    <cellStyle name="Normal 12 4 2 4 4 3" xfId="0"/>
    <cellStyle name="Normal 12 4 2 4 4 3 2" xfId="0"/>
    <cellStyle name="Normal 12 4 2 4 4 4" xfId="0"/>
    <cellStyle name="Normal 12 4 2 4 5" xfId="0"/>
    <cellStyle name="Normal 12 4 2 4 5 2" xfId="0"/>
    <cellStyle name="Normal 12 4 2 4 5 2 2" xfId="0"/>
    <cellStyle name="Normal 12 4 2 4 5 3" xfId="0"/>
    <cellStyle name="Normal 12 4 2 4 6" xfId="0"/>
    <cellStyle name="Normal 12 4 2 4 6 2" xfId="0"/>
    <cellStyle name="Normal 12 4 2 4 7" xfId="0"/>
    <cellStyle name="Normal 12 4 2 5" xfId="0"/>
    <cellStyle name="Normal 12 4 2 5 2" xfId="0"/>
    <cellStyle name="Normal 12 4 2 5 2 2" xfId="0"/>
    <cellStyle name="Normal 12 4 2 5 2 2 2" xfId="0"/>
    <cellStyle name="Normal 12 4 2 5 2 2 2 2" xfId="0"/>
    <cellStyle name="Normal 12 4 2 5 2 2 2 2 2" xfId="0"/>
    <cellStyle name="Normal 12 4 2 5 2 2 2 2 2 2" xfId="0"/>
    <cellStyle name="Normal 12 4 2 5 2 2 2 2 3" xfId="0"/>
    <cellStyle name="Normal 12 4 2 5 2 2 2 3" xfId="0"/>
    <cellStyle name="Normal 12 4 2 5 2 2 2 3 2" xfId="0"/>
    <cellStyle name="Normal 12 4 2 5 2 2 2 4" xfId="0"/>
    <cellStyle name="Normal 12 4 2 5 2 2 3" xfId="0"/>
    <cellStyle name="Normal 12 4 2 5 2 2 3 2" xfId="0"/>
    <cellStyle name="Normal 12 4 2 5 2 2 3 2 2" xfId="0"/>
    <cellStyle name="Normal 12 4 2 5 2 2 3 3" xfId="0"/>
    <cellStyle name="Normal 12 4 2 5 2 2 4" xfId="0"/>
    <cellStyle name="Normal 12 4 2 5 2 2 4 2" xfId="0"/>
    <cellStyle name="Normal 12 4 2 5 2 2 5" xfId="0"/>
    <cellStyle name="Normal 12 4 2 5 2 3" xfId="0"/>
    <cellStyle name="Normal 12 4 2 5 2 3 2" xfId="0"/>
    <cellStyle name="Normal 12 4 2 5 2 3 2 2" xfId="0"/>
    <cellStyle name="Normal 12 4 2 5 2 3 2 2 2" xfId="0"/>
    <cellStyle name="Normal 12 4 2 5 2 3 2 3" xfId="0"/>
    <cellStyle name="Normal 12 4 2 5 2 3 3" xfId="0"/>
    <cellStyle name="Normal 12 4 2 5 2 3 3 2" xfId="0"/>
    <cellStyle name="Normal 12 4 2 5 2 3 4" xfId="0"/>
    <cellStyle name="Normal 12 4 2 5 2 4" xfId="0"/>
    <cellStyle name="Normal 12 4 2 5 2 4 2" xfId="0"/>
    <cellStyle name="Normal 12 4 2 5 2 4 2 2" xfId="0"/>
    <cellStyle name="Normal 12 4 2 5 2 4 3" xfId="0"/>
    <cellStyle name="Normal 12 4 2 5 2 5" xfId="0"/>
    <cellStyle name="Normal 12 4 2 5 2 5 2" xfId="0"/>
    <cellStyle name="Normal 12 4 2 5 2 6" xfId="0"/>
    <cellStyle name="Normal 12 4 2 5 3" xfId="0"/>
    <cellStyle name="Normal 12 4 2 5 3 2" xfId="0"/>
    <cellStyle name="Normal 12 4 2 5 3 2 2" xfId="0"/>
    <cellStyle name="Normal 12 4 2 5 3 2 2 2" xfId="0"/>
    <cellStyle name="Normal 12 4 2 5 3 2 2 2 2" xfId="0"/>
    <cellStyle name="Normal 12 4 2 5 3 2 2 3" xfId="0"/>
    <cellStyle name="Normal 12 4 2 5 3 2 3" xfId="0"/>
    <cellStyle name="Normal 12 4 2 5 3 2 3 2" xfId="0"/>
    <cellStyle name="Normal 12 4 2 5 3 2 4" xfId="0"/>
    <cellStyle name="Normal 12 4 2 5 3 3" xfId="0"/>
    <cellStyle name="Normal 12 4 2 5 3 3 2" xfId="0"/>
    <cellStyle name="Normal 12 4 2 5 3 3 2 2" xfId="0"/>
    <cellStyle name="Normal 12 4 2 5 3 3 3" xfId="0"/>
    <cellStyle name="Normal 12 4 2 5 3 4" xfId="0"/>
    <cellStyle name="Normal 12 4 2 5 3 4 2" xfId="0"/>
    <cellStyle name="Normal 12 4 2 5 3 5" xfId="0"/>
    <cellStyle name="Normal 12 4 2 5 4" xfId="0"/>
    <cellStyle name="Normal 12 4 2 5 4 2" xfId="0"/>
    <cellStyle name="Normal 12 4 2 5 4 2 2" xfId="0"/>
    <cellStyle name="Normal 12 4 2 5 4 2 2 2" xfId="0"/>
    <cellStyle name="Normal 12 4 2 5 4 2 3" xfId="0"/>
    <cellStyle name="Normal 12 4 2 5 4 3" xfId="0"/>
    <cellStyle name="Normal 12 4 2 5 4 3 2" xfId="0"/>
    <cellStyle name="Normal 12 4 2 5 4 4" xfId="0"/>
    <cellStyle name="Normal 12 4 2 5 5" xfId="0"/>
    <cellStyle name="Normal 12 4 2 5 5 2" xfId="0"/>
    <cellStyle name="Normal 12 4 2 5 5 2 2" xfId="0"/>
    <cellStyle name="Normal 12 4 2 5 5 3" xfId="0"/>
    <cellStyle name="Normal 12 4 2 5 6" xfId="0"/>
    <cellStyle name="Normal 12 4 2 5 6 2" xfId="0"/>
    <cellStyle name="Normal 12 4 2 5 7" xfId="0"/>
    <cellStyle name="Normal 12 4 2 6" xfId="0"/>
    <cellStyle name="Normal 12 4 2 6 2" xfId="0"/>
    <cellStyle name="Normal 12 4 2 6 2 2" xfId="0"/>
    <cellStyle name="Normal 12 4 2 6 2 2 2" xfId="0"/>
    <cellStyle name="Normal 12 4 2 6 2 2 2 2" xfId="0"/>
    <cellStyle name="Normal 12 4 2 6 2 2 2 2 2" xfId="0"/>
    <cellStyle name="Normal 12 4 2 6 2 2 2 3" xfId="0"/>
    <cellStyle name="Normal 12 4 2 6 2 2 3" xfId="0"/>
    <cellStyle name="Normal 12 4 2 6 2 2 3 2" xfId="0"/>
    <cellStyle name="Normal 12 4 2 6 2 2 4" xfId="0"/>
    <cellStyle name="Normal 12 4 2 6 2 3" xfId="0"/>
    <cellStyle name="Normal 12 4 2 6 2 3 2" xfId="0"/>
    <cellStyle name="Normal 12 4 2 6 2 3 2 2" xfId="0"/>
    <cellStyle name="Normal 12 4 2 6 2 3 3" xfId="0"/>
    <cellStyle name="Normal 12 4 2 6 2 4" xfId="0"/>
    <cellStyle name="Normal 12 4 2 6 2 4 2" xfId="0"/>
    <cellStyle name="Normal 12 4 2 6 2 5" xfId="0"/>
    <cellStyle name="Normal 12 4 2 6 3" xfId="0"/>
    <cellStyle name="Normal 12 4 2 6 3 2" xfId="0"/>
    <cellStyle name="Normal 12 4 2 6 3 2 2" xfId="0"/>
    <cellStyle name="Normal 12 4 2 6 3 2 2 2" xfId="0"/>
    <cellStyle name="Normal 12 4 2 6 3 2 3" xfId="0"/>
    <cellStyle name="Normal 12 4 2 6 3 3" xfId="0"/>
    <cellStyle name="Normal 12 4 2 6 3 3 2" xfId="0"/>
    <cellStyle name="Normal 12 4 2 6 3 4" xfId="0"/>
    <cellStyle name="Normal 12 4 2 6 4" xfId="0"/>
    <cellStyle name="Normal 12 4 2 6 4 2" xfId="0"/>
    <cellStyle name="Normal 12 4 2 6 4 2 2" xfId="0"/>
    <cellStyle name="Normal 12 4 2 6 4 3" xfId="0"/>
    <cellStyle name="Normal 12 4 2 6 5" xfId="0"/>
    <cellStyle name="Normal 12 4 2 6 5 2" xfId="0"/>
    <cellStyle name="Normal 12 4 2 6 6" xfId="0"/>
    <cellStyle name="Normal 12 4 2 7" xfId="0"/>
    <cellStyle name="Normal 12 4 2 7 2" xfId="0"/>
    <cellStyle name="Normal 12 4 2 7 2 2" xfId="0"/>
    <cellStyle name="Normal 12 4 2 7 2 2 2" xfId="0"/>
    <cellStyle name="Normal 12 4 2 7 2 2 2 2" xfId="0"/>
    <cellStyle name="Normal 12 4 2 7 2 2 3" xfId="0"/>
    <cellStyle name="Normal 12 4 2 7 2 3" xfId="0"/>
    <cellStyle name="Normal 12 4 2 7 2 3 2" xfId="0"/>
    <cellStyle name="Normal 12 4 2 7 2 4" xfId="0"/>
    <cellStyle name="Normal 12 4 2 7 3" xfId="0"/>
    <cellStyle name="Normal 12 4 2 7 3 2" xfId="0"/>
    <cellStyle name="Normal 12 4 2 7 3 2 2" xfId="0"/>
    <cellStyle name="Normal 12 4 2 7 3 3" xfId="0"/>
    <cellStyle name="Normal 12 4 2 7 4" xfId="0"/>
    <cellStyle name="Normal 12 4 2 7 4 2" xfId="0"/>
    <cellStyle name="Normal 12 4 2 7 5" xfId="0"/>
    <cellStyle name="Normal 12 4 2 8" xfId="0"/>
    <cellStyle name="Normal 12 4 2 8 2" xfId="0"/>
    <cellStyle name="Normal 12 4 2 8 2 2" xfId="0"/>
    <cellStyle name="Normal 12 4 2 8 2 2 2" xfId="0"/>
    <cellStyle name="Normal 12 4 2 8 2 3" xfId="0"/>
    <cellStyle name="Normal 12 4 2 8 3" xfId="0"/>
    <cellStyle name="Normal 12 4 2 8 3 2" xfId="0"/>
    <cellStyle name="Normal 12 4 2 8 4" xfId="0"/>
    <cellStyle name="Normal 12 4 2 9" xfId="0"/>
    <cellStyle name="Normal 12 4 2 9 2" xfId="0"/>
    <cellStyle name="Normal 12 4 2 9 2 2" xfId="0"/>
    <cellStyle name="Normal 12 4 2 9 3" xfId="0"/>
    <cellStyle name="Normal 12 4 3" xfId="0"/>
    <cellStyle name="Normal 12 4 3 2" xfId="0"/>
    <cellStyle name="Normal 12 4 3 2 2" xfId="0"/>
    <cellStyle name="Normal 12 4 3 2 2 2" xfId="0"/>
    <cellStyle name="Normal 12 4 3 2 2 2 2" xfId="0"/>
    <cellStyle name="Normal 12 4 3 2 2 2 2 2" xfId="0"/>
    <cellStyle name="Normal 12 4 3 2 2 2 2 2 2" xfId="0"/>
    <cellStyle name="Normal 12 4 3 2 2 2 2 2 2 2" xfId="0"/>
    <cellStyle name="Normal 12 4 3 2 2 2 2 2 3" xfId="0"/>
    <cellStyle name="Normal 12 4 3 2 2 2 2 3" xfId="0"/>
    <cellStyle name="Normal 12 4 3 2 2 2 2 3 2" xfId="0"/>
    <cellStyle name="Normal 12 4 3 2 2 2 2 4" xfId="0"/>
    <cellStyle name="Normal 12 4 3 2 2 2 3" xfId="0"/>
    <cellStyle name="Normal 12 4 3 2 2 2 3 2" xfId="0"/>
    <cellStyle name="Normal 12 4 3 2 2 2 3 2 2" xfId="0"/>
    <cellStyle name="Normal 12 4 3 2 2 2 3 3" xfId="0"/>
    <cellStyle name="Normal 12 4 3 2 2 2 4" xfId="0"/>
    <cellStyle name="Normal 12 4 3 2 2 2 4 2" xfId="0"/>
    <cellStyle name="Normal 12 4 3 2 2 2 5" xfId="0"/>
    <cellStyle name="Normal 12 4 3 2 2 3" xfId="0"/>
    <cellStyle name="Normal 12 4 3 2 2 3 2" xfId="0"/>
    <cellStyle name="Normal 12 4 3 2 2 3 2 2" xfId="0"/>
    <cellStyle name="Normal 12 4 3 2 2 3 2 2 2" xfId="0"/>
    <cellStyle name="Normal 12 4 3 2 2 3 2 3" xfId="0"/>
    <cellStyle name="Normal 12 4 3 2 2 3 3" xfId="0"/>
    <cellStyle name="Normal 12 4 3 2 2 3 3 2" xfId="0"/>
    <cellStyle name="Normal 12 4 3 2 2 3 4" xfId="0"/>
    <cellStyle name="Normal 12 4 3 2 2 4" xfId="0"/>
    <cellStyle name="Normal 12 4 3 2 2 4 2" xfId="0"/>
    <cellStyle name="Normal 12 4 3 2 2 4 2 2" xfId="0"/>
    <cellStyle name="Normal 12 4 3 2 2 4 3" xfId="0"/>
    <cellStyle name="Normal 12 4 3 2 2 5" xfId="0"/>
    <cellStyle name="Normal 12 4 3 2 2 5 2" xfId="0"/>
    <cellStyle name="Normal 12 4 3 2 2 6" xfId="0"/>
    <cellStyle name="Normal 12 4 3 2 3" xfId="0"/>
    <cellStyle name="Normal 12 4 3 2 3 2" xfId="0"/>
    <cellStyle name="Normal 12 4 3 2 3 2 2" xfId="0"/>
    <cellStyle name="Normal 12 4 3 2 3 2 2 2" xfId="0"/>
    <cellStyle name="Normal 12 4 3 2 3 2 2 2 2" xfId="0"/>
    <cellStyle name="Normal 12 4 3 2 3 2 2 3" xfId="0"/>
    <cellStyle name="Normal 12 4 3 2 3 2 3" xfId="0"/>
    <cellStyle name="Normal 12 4 3 2 3 2 3 2" xfId="0"/>
    <cellStyle name="Normal 12 4 3 2 3 2 4" xfId="0"/>
    <cellStyle name="Normal 12 4 3 2 3 3" xfId="0"/>
    <cellStyle name="Normal 12 4 3 2 3 3 2" xfId="0"/>
    <cellStyle name="Normal 12 4 3 2 3 3 2 2" xfId="0"/>
    <cellStyle name="Normal 12 4 3 2 3 3 3" xfId="0"/>
    <cellStyle name="Normal 12 4 3 2 3 4" xfId="0"/>
    <cellStyle name="Normal 12 4 3 2 3 4 2" xfId="0"/>
    <cellStyle name="Normal 12 4 3 2 3 5" xfId="0"/>
    <cellStyle name="Normal 12 4 3 2 4" xfId="0"/>
    <cellStyle name="Normal 12 4 3 2 4 2" xfId="0"/>
    <cellStyle name="Normal 12 4 3 2 4 2 2" xfId="0"/>
    <cellStyle name="Normal 12 4 3 2 4 2 2 2" xfId="0"/>
    <cellStyle name="Normal 12 4 3 2 4 2 3" xfId="0"/>
    <cellStyle name="Normal 12 4 3 2 4 3" xfId="0"/>
    <cellStyle name="Normal 12 4 3 2 4 3 2" xfId="0"/>
    <cellStyle name="Normal 12 4 3 2 4 4" xfId="0"/>
    <cellStyle name="Normal 12 4 3 2 5" xfId="0"/>
    <cellStyle name="Normal 12 4 3 2 5 2" xfId="0"/>
    <cellStyle name="Normal 12 4 3 2 5 2 2" xfId="0"/>
    <cellStyle name="Normal 12 4 3 2 5 3" xfId="0"/>
    <cellStyle name="Normal 12 4 3 2 6" xfId="0"/>
    <cellStyle name="Normal 12 4 3 2 6 2" xfId="0"/>
    <cellStyle name="Normal 12 4 3 2 7" xfId="0"/>
    <cellStyle name="Normal 12 4 3 3" xfId="0"/>
    <cellStyle name="Normal 12 4 3 3 2" xfId="0"/>
    <cellStyle name="Normal 12 4 3 3 2 2" xfId="0"/>
    <cellStyle name="Normal 12 4 3 3 2 2 2" xfId="0"/>
    <cellStyle name="Normal 12 4 3 3 2 2 2 2" xfId="0"/>
    <cellStyle name="Normal 12 4 3 3 2 2 2 2 2" xfId="0"/>
    <cellStyle name="Normal 12 4 3 3 2 2 2 3" xfId="0"/>
    <cellStyle name="Normal 12 4 3 3 2 2 3" xfId="0"/>
    <cellStyle name="Normal 12 4 3 3 2 2 3 2" xfId="0"/>
    <cellStyle name="Normal 12 4 3 3 2 2 4" xfId="0"/>
    <cellStyle name="Normal 12 4 3 3 2 3" xfId="0"/>
    <cellStyle name="Normal 12 4 3 3 2 3 2" xfId="0"/>
    <cellStyle name="Normal 12 4 3 3 2 3 2 2" xfId="0"/>
    <cellStyle name="Normal 12 4 3 3 2 3 3" xfId="0"/>
    <cellStyle name="Normal 12 4 3 3 2 4" xfId="0"/>
    <cellStyle name="Normal 12 4 3 3 2 4 2" xfId="0"/>
    <cellStyle name="Normal 12 4 3 3 2 5" xfId="0"/>
    <cellStyle name="Normal 12 4 3 3 3" xfId="0"/>
    <cellStyle name="Normal 12 4 3 3 3 2" xfId="0"/>
    <cellStyle name="Normal 12 4 3 3 3 2 2" xfId="0"/>
    <cellStyle name="Normal 12 4 3 3 3 2 2 2" xfId="0"/>
    <cellStyle name="Normal 12 4 3 3 3 2 3" xfId="0"/>
    <cellStyle name="Normal 12 4 3 3 3 3" xfId="0"/>
    <cellStyle name="Normal 12 4 3 3 3 3 2" xfId="0"/>
    <cellStyle name="Normal 12 4 3 3 3 4" xfId="0"/>
    <cellStyle name="Normal 12 4 3 3 4" xfId="0"/>
    <cellStyle name="Normal 12 4 3 3 4 2" xfId="0"/>
    <cellStyle name="Normal 12 4 3 3 4 2 2" xfId="0"/>
    <cellStyle name="Normal 12 4 3 3 4 3" xfId="0"/>
    <cellStyle name="Normal 12 4 3 3 5" xfId="0"/>
    <cellStyle name="Normal 12 4 3 3 5 2" xfId="0"/>
    <cellStyle name="Normal 12 4 3 3 6" xfId="0"/>
    <cellStyle name="Normal 12 4 3 4" xfId="0"/>
    <cellStyle name="Normal 12 4 3 4 2" xfId="0"/>
    <cellStyle name="Normal 12 4 3 4 2 2" xfId="0"/>
    <cellStyle name="Normal 12 4 3 4 2 2 2" xfId="0"/>
    <cellStyle name="Normal 12 4 3 4 2 2 2 2" xfId="0"/>
    <cellStyle name="Normal 12 4 3 4 2 2 3" xfId="0"/>
    <cellStyle name="Normal 12 4 3 4 2 3" xfId="0"/>
    <cellStyle name="Normal 12 4 3 4 2 3 2" xfId="0"/>
    <cellStyle name="Normal 12 4 3 4 2 4" xfId="0"/>
    <cellStyle name="Normal 12 4 3 4 3" xfId="0"/>
    <cellStyle name="Normal 12 4 3 4 3 2" xfId="0"/>
    <cellStyle name="Normal 12 4 3 4 3 2 2" xfId="0"/>
    <cellStyle name="Normal 12 4 3 4 3 3" xfId="0"/>
    <cellStyle name="Normal 12 4 3 4 4" xfId="0"/>
    <cellStyle name="Normal 12 4 3 4 4 2" xfId="0"/>
    <cellStyle name="Normal 12 4 3 4 5" xfId="0"/>
    <cellStyle name="Normal 12 4 3 5" xfId="0"/>
    <cellStyle name="Normal 12 4 3 5 2" xfId="0"/>
    <cellStyle name="Normal 12 4 3 5 2 2" xfId="0"/>
    <cellStyle name="Normal 12 4 3 5 2 2 2" xfId="0"/>
    <cellStyle name="Normal 12 4 3 5 2 3" xfId="0"/>
    <cellStyle name="Normal 12 4 3 5 3" xfId="0"/>
    <cellStyle name="Normal 12 4 3 5 3 2" xfId="0"/>
    <cellStyle name="Normal 12 4 3 5 4" xfId="0"/>
    <cellStyle name="Normal 12 4 3 6" xfId="0"/>
    <cellStyle name="Normal 12 4 3 6 2" xfId="0"/>
    <cellStyle name="Normal 12 4 3 6 2 2" xfId="0"/>
    <cellStyle name="Normal 12 4 3 6 3" xfId="0"/>
    <cellStyle name="Normal 12 4 3 7" xfId="0"/>
    <cellStyle name="Normal 12 4 3 7 2" xfId="0"/>
    <cellStyle name="Normal 12 4 3 8" xfId="0"/>
    <cellStyle name="Normal 12 4 4" xfId="0"/>
    <cellStyle name="Normal 12 4 4 2" xfId="0"/>
    <cellStyle name="Normal 12 4 4 2 2" xfId="0"/>
    <cellStyle name="Normal 12 4 4 2 2 2" xfId="0"/>
    <cellStyle name="Normal 12 4 4 2 2 2 2" xfId="0"/>
    <cellStyle name="Normal 12 4 4 2 2 2 2 2" xfId="0"/>
    <cellStyle name="Normal 12 4 4 2 2 2 2 2 2" xfId="0"/>
    <cellStyle name="Normal 12 4 4 2 2 2 2 2 2 2" xfId="0"/>
    <cellStyle name="Normal 12 4 4 2 2 2 2 2 3" xfId="0"/>
    <cellStyle name="Normal 12 4 4 2 2 2 2 3" xfId="0"/>
    <cellStyle name="Normal 12 4 4 2 2 2 2 3 2" xfId="0"/>
    <cellStyle name="Normal 12 4 4 2 2 2 2 4" xfId="0"/>
    <cellStyle name="Normal 12 4 4 2 2 2 3" xfId="0"/>
    <cellStyle name="Normal 12 4 4 2 2 2 3 2" xfId="0"/>
    <cellStyle name="Normal 12 4 4 2 2 2 3 2 2" xfId="0"/>
    <cellStyle name="Normal 12 4 4 2 2 2 3 3" xfId="0"/>
    <cellStyle name="Normal 12 4 4 2 2 2 4" xfId="0"/>
    <cellStyle name="Normal 12 4 4 2 2 2 4 2" xfId="0"/>
    <cellStyle name="Normal 12 4 4 2 2 2 5" xfId="0"/>
    <cellStyle name="Normal 12 4 4 2 2 3" xfId="0"/>
    <cellStyle name="Normal 12 4 4 2 2 3 2" xfId="0"/>
    <cellStyle name="Normal 12 4 4 2 2 3 2 2" xfId="0"/>
    <cellStyle name="Normal 12 4 4 2 2 3 2 2 2" xfId="0"/>
    <cellStyle name="Normal 12 4 4 2 2 3 2 3" xfId="0"/>
    <cellStyle name="Normal 12 4 4 2 2 3 3" xfId="0"/>
    <cellStyle name="Normal 12 4 4 2 2 3 3 2" xfId="0"/>
    <cellStyle name="Normal 12 4 4 2 2 3 4" xfId="0"/>
    <cellStyle name="Normal 12 4 4 2 2 4" xfId="0"/>
    <cellStyle name="Normal 12 4 4 2 2 4 2" xfId="0"/>
    <cellStyle name="Normal 12 4 4 2 2 4 2 2" xfId="0"/>
    <cellStyle name="Normal 12 4 4 2 2 4 3" xfId="0"/>
    <cellStyle name="Normal 12 4 4 2 2 5" xfId="0"/>
    <cellStyle name="Normal 12 4 4 2 2 5 2" xfId="0"/>
    <cellStyle name="Normal 12 4 4 2 2 6" xfId="0"/>
    <cellStyle name="Normal 12 4 4 2 3" xfId="0"/>
    <cellStyle name="Normal 12 4 4 2 3 2" xfId="0"/>
    <cellStyle name="Normal 12 4 4 2 3 2 2" xfId="0"/>
    <cellStyle name="Normal 12 4 4 2 3 2 2 2" xfId="0"/>
    <cellStyle name="Normal 12 4 4 2 3 2 2 2 2" xfId="0"/>
    <cellStyle name="Normal 12 4 4 2 3 2 2 3" xfId="0"/>
    <cellStyle name="Normal 12 4 4 2 3 2 3" xfId="0"/>
    <cellStyle name="Normal 12 4 4 2 3 2 3 2" xfId="0"/>
    <cellStyle name="Normal 12 4 4 2 3 2 4" xfId="0"/>
    <cellStyle name="Normal 12 4 4 2 3 3" xfId="0"/>
    <cellStyle name="Normal 12 4 4 2 3 3 2" xfId="0"/>
    <cellStyle name="Normal 12 4 4 2 3 3 2 2" xfId="0"/>
    <cellStyle name="Normal 12 4 4 2 3 3 3" xfId="0"/>
    <cellStyle name="Normal 12 4 4 2 3 4" xfId="0"/>
    <cellStyle name="Normal 12 4 4 2 3 4 2" xfId="0"/>
    <cellStyle name="Normal 12 4 4 2 3 5" xfId="0"/>
    <cellStyle name="Normal 12 4 4 2 4" xfId="0"/>
    <cellStyle name="Normal 12 4 4 2 4 2" xfId="0"/>
    <cellStyle name="Normal 12 4 4 2 4 2 2" xfId="0"/>
    <cellStyle name="Normal 12 4 4 2 4 2 2 2" xfId="0"/>
    <cellStyle name="Normal 12 4 4 2 4 2 3" xfId="0"/>
    <cellStyle name="Normal 12 4 4 2 4 3" xfId="0"/>
    <cellStyle name="Normal 12 4 4 2 4 3 2" xfId="0"/>
    <cellStyle name="Normal 12 4 4 2 4 4" xfId="0"/>
    <cellStyle name="Normal 12 4 4 2 5" xfId="0"/>
    <cellStyle name="Normal 12 4 4 2 5 2" xfId="0"/>
    <cellStyle name="Normal 12 4 4 2 5 2 2" xfId="0"/>
    <cellStyle name="Normal 12 4 4 2 5 3" xfId="0"/>
    <cellStyle name="Normal 12 4 4 2 6" xfId="0"/>
    <cellStyle name="Normal 12 4 4 2 6 2" xfId="0"/>
    <cellStyle name="Normal 12 4 4 2 7" xfId="0"/>
    <cellStyle name="Normal 12 4 4 3" xfId="0"/>
    <cellStyle name="Normal 12 4 4 3 2" xfId="0"/>
    <cellStyle name="Normal 12 4 4 3 2 2" xfId="0"/>
    <cellStyle name="Normal 12 4 4 3 2 2 2" xfId="0"/>
    <cellStyle name="Normal 12 4 4 3 2 2 2 2" xfId="0"/>
    <cellStyle name="Normal 12 4 4 3 2 2 2 2 2" xfId="0"/>
    <cellStyle name="Normal 12 4 4 3 2 2 2 3" xfId="0"/>
    <cellStyle name="Normal 12 4 4 3 2 2 3" xfId="0"/>
    <cellStyle name="Normal 12 4 4 3 2 2 3 2" xfId="0"/>
    <cellStyle name="Normal 12 4 4 3 2 2 4" xfId="0"/>
    <cellStyle name="Normal 12 4 4 3 2 3" xfId="0"/>
    <cellStyle name="Normal 12 4 4 3 2 3 2" xfId="0"/>
    <cellStyle name="Normal 12 4 4 3 2 3 2 2" xfId="0"/>
    <cellStyle name="Normal 12 4 4 3 2 3 3" xfId="0"/>
    <cellStyle name="Normal 12 4 4 3 2 4" xfId="0"/>
    <cellStyle name="Normal 12 4 4 3 2 4 2" xfId="0"/>
    <cellStyle name="Normal 12 4 4 3 2 5" xfId="0"/>
    <cellStyle name="Normal 12 4 4 3 3" xfId="0"/>
    <cellStyle name="Normal 12 4 4 3 3 2" xfId="0"/>
    <cellStyle name="Normal 12 4 4 3 3 2 2" xfId="0"/>
    <cellStyle name="Normal 12 4 4 3 3 2 2 2" xfId="0"/>
    <cellStyle name="Normal 12 4 4 3 3 2 3" xfId="0"/>
    <cellStyle name="Normal 12 4 4 3 3 3" xfId="0"/>
    <cellStyle name="Normal 12 4 4 3 3 3 2" xfId="0"/>
    <cellStyle name="Normal 12 4 4 3 3 4" xfId="0"/>
    <cellStyle name="Normal 12 4 4 3 4" xfId="0"/>
    <cellStyle name="Normal 12 4 4 3 4 2" xfId="0"/>
    <cellStyle name="Normal 12 4 4 3 4 2 2" xfId="0"/>
    <cellStyle name="Normal 12 4 4 3 4 3" xfId="0"/>
    <cellStyle name="Normal 12 4 4 3 5" xfId="0"/>
    <cellStyle name="Normal 12 4 4 3 5 2" xfId="0"/>
    <cellStyle name="Normal 12 4 4 3 6" xfId="0"/>
    <cellStyle name="Normal 12 4 4 4" xfId="0"/>
    <cellStyle name="Normal 12 4 4 4 2" xfId="0"/>
    <cellStyle name="Normal 12 4 4 4 2 2" xfId="0"/>
    <cellStyle name="Normal 12 4 4 4 2 2 2" xfId="0"/>
    <cellStyle name="Normal 12 4 4 4 2 2 2 2" xfId="0"/>
    <cellStyle name="Normal 12 4 4 4 2 2 3" xfId="0"/>
    <cellStyle name="Normal 12 4 4 4 2 3" xfId="0"/>
    <cellStyle name="Normal 12 4 4 4 2 3 2" xfId="0"/>
    <cellStyle name="Normal 12 4 4 4 2 4" xfId="0"/>
    <cellStyle name="Normal 12 4 4 4 3" xfId="0"/>
    <cellStyle name="Normal 12 4 4 4 3 2" xfId="0"/>
    <cellStyle name="Normal 12 4 4 4 3 2 2" xfId="0"/>
    <cellStyle name="Normal 12 4 4 4 3 3" xfId="0"/>
    <cellStyle name="Normal 12 4 4 4 4" xfId="0"/>
    <cellStyle name="Normal 12 4 4 4 4 2" xfId="0"/>
    <cellStyle name="Normal 12 4 4 4 5" xfId="0"/>
    <cellStyle name="Normal 12 4 4 5" xfId="0"/>
    <cellStyle name="Normal 12 4 4 5 2" xfId="0"/>
    <cellStyle name="Normal 12 4 4 5 2 2" xfId="0"/>
    <cellStyle name="Normal 12 4 4 5 2 2 2" xfId="0"/>
    <cellStyle name="Normal 12 4 4 5 2 3" xfId="0"/>
    <cellStyle name="Normal 12 4 4 5 3" xfId="0"/>
    <cellStyle name="Normal 12 4 4 5 3 2" xfId="0"/>
    <cellStyle name="Normal 12 4 4 5 4" xfId="0"/>
    <cellStyle name="Normal 12 4 4 6" xfId="0"/>
    <cellStyle name="Normal 12 4 4 6 2" xfId="0"/>
    <cellStyle name="Normal 12 4 4 6 2 2" xfId="0"/>
    <cellStyle name="Normal 12 4 4 6 3" xfId="0"/>
    <cellStyle name="Normal 12 4 4 7" xfId="0"/>
    <cellStyle name="Normal 12 4 4 7 2" xfId="0"/>
    <cellStyle name="Normal 12 4 4 8" xfId="0"/>
    <cellStyle name="Normal 12 4 5" xfId="0"/>
    <cellStyle name="Normal 12 4 5 2" xfId="0"/>
    <cellStyle name="Normal 12 4 5 2 2" xfId="0"/>
    <cellStyle name="Normal 12 4 5 2 2 2" xfId="0"/>
    <cellStyle name="Normal 12 4 5 2 2 2 2" xfId="0"/>
    <cellStyle name="Normal 12 4 5 2 2 2 2 2" xfId="0"/>
    <cellStyle name="Normal 12 4 5 2 2 2 2 2 2" xfId="0"/>
    <cellStyle name="Normal 12 4 5 2 2 2 2 3" xfId="0"/>
    <cellStyle name="Normal 12 4 5 2 2 2 3" xfId="0"/>
    <cellStyle name="Normal 12 4 5 2 2 2 3 2" xfId="0"/>
    <cellStyle name="Normal 12 4 5 2 2 2 4" xfId="0"/>
    <cellStyle name="Normal 12 4 5 2 2 3" xfId="0"/>
    <cellStyle name="Normal 12 4 5 2 2 3 2" xfId="0"/>
    <cellStyle name="Normal 12 4 5 2 2 3 2 2" xfId="0"/>
    <cellStyle name="Normal 12 4 5 2 2 3 3" xfId="0"/>
    <cellStyle name="Normal 12 4 5 2 2 4" xfId="0"/>
    <cellStyle name="Normal 12 4 5 2 2 4 2" xfId="0"/>
    <cellStyle name="Normal 12 4 5 2 2 5" xfId="0"/>
    <cellStyle name="Normal 12 4 5 2 3" xfId="0"/>
    <cellStyle name="Normal 12 4 5 2 3 2" xfId="0"/>
    <cellStyle name="Normal 12 4 5 2 3 2 2" xfId="0"/>
    <cellStyle name="Normal 12 4 5 2 3 2 2 2" xfId="0"/>
    <cellStyle name="Normal 12 4 5 2 3 2 3" xfId="0"/>
    <cellStyle name="Normal 12 4 5 2 3 3" xfId="0"/>
    <cellStyle name="Normal 12 4 5 2 3 3 2" xfId="0"/>
    <cellStyle name="Normal 12 4 5 2 3 4" xfId="0"/>
    <cellStyle name="Normal 12 4 5 2 4" xfId="0"/>
    <cellStyle name="Normal 12 4 5 2 4 2" xfId="0"/>
    <cellStyle name="Normal 12 4 5 2 4 2 2" xfId="0"/>
    <cellStyle name="Normal 12 4 5 2 4 3" xfId="0"/>
    <cellStyle name="Normal 12 4 5 2 5" xfId="0"/>
    <cellStyle name="Normal 12 4 5 2 5 2" xfId="0"/>
    <cellStyle name="Normal 12 4 5 2 6" xfId="0"/>
    <cellStyle name="Normal 12 4 5 3" xfId="0"/>
    <cellStyle name="Normal 12 4 5 3 2" xfId="0"/>
    <cellStyle name="Normal 12 4 5 3 2 2" xfId="0"/>
    <cellStyle name="Normal 12 4 5 3 2 2 2" xfId="0"/>
    <cellStyle name="Normal 12 4 5 3 2 2 2 2" xfId="0"/>
    <cellStyle name="Normal 12 4 5 3 2 2 3" xfId="0"/>
    <cellStyle name="Normal 12 4 5 3 2 3" xfId="0"/>
    <cellStyle name="Normal 12 4 5 3 2 3 2" xfId="0"/>
    <cellStyle name="Normal 12 4 5 3 2 4" xfId="0"/>
    <cellStyle name="Normal 12 4 5 3 3" xfId="0"/>
    <cellStyle name="Normal 12 4 5 3 3 2" xfId="0"/>
    <cellStyle name="Normal 12 4 5 3 3 2 2" xfId="0"/>
    <cellStyle name="Normal 12 4 5 3 3 3" xfId="0"/>
    <cellStyle name="Normal 12 4 5 3 4" xfId="0"/>
    <cellStyle name="Normal 12 4 5 3 4 2" xfId="0"/>
    <cellStyle name="Normal 12 4 5 3 5" xfId="0"/>
    <cellStyle name="Normal 12 4 5 4" xfId="0"/>
    <cellStyle name="Normal 12 4 5 4 2" xfId="0"/>
    <cellStyle name="Normal 12 4 5 4 2 2" xfId="0"/>
    <cellStyle name="Normal 12 4 5 4 2 2 2" xfId="0"/>
    <cellStyle name="Normal 12 4 5 4 2 3" xfId="0"/>
    <cellStyle name="Normal 12 4 5 4 3" xfId="0"/>
    <cellStyle name="Normal 12 4 5 4 3 2" xfId="0"/>
    <cellStyle name="Normal 12 4 5 4 4" xfId="0"/>
    <cellStyle name="Normal 12 4 5 5" xfId="0"/>
    <cellStyle name="Normal 12 4 5 5 2" xfId="0"/>
    <cellStyle name="Normal 12 4 5 5 2 2" xfId="0"/>
    <cellStyle name="Normal 12 4 5 5 3" xfId="0"/>
    <cellStyle name="Normal 12 4 5 6" xfId="0"/>
    <cellStyle name="Normal 12 4 5 6 2" xfId="0"/>
    <cellStyle name="Normal 12 4 5 7" xfId="0"/>
    <cellStyle name="Normal 12 4 6" xfId="0"/>
    <cellStyle name="Normal 12 4 6 2" xfId="0"/>
    <cellStyle name="Normal 12 4 6 2 2" xfId="0"/>
    <cellStyle name="Normal 12 4 6 2 2 2" xfId="0"/>
    <cellStyle name="Normal 12 4 6 2 2 2 2" xfId="0"/>
    <cellStyle name="Normal 12 4 6 2 2 2 2 2" xfId="0"/>
    <cellStyle name="Normal 12 4 6 2 2 2 2 2 2" xfId="0"/>
    <cellStyle name="Normal 12 4 6 2 2 2 2 3" xfId="0"/>
    <cellStyle name="Normal 12 4 6 2 2 2 3" xfId="0"/>
    <cellStyle name="Normal 12 4 6 2 2 2 3 2" xfId="0"/>
    <cellStyle name="Normal 12 4 6 2 2 2 4" xfId="0"/>
    <cellStyle name="Normal 12 4 6 2 2 3" xfId="0"/>
    <cellStyle name="Normal 12 4 6 2 2 3 2" xfId="0"/>
    <cellStyle name="Normal 12 4 6 2 2 3 2 2" xfId="0"/>
    <cellStyle name="Normal 12 4 6 2 2 3 3" xfId="0"/>
    <cellStyle name="Normal 12 4 6 2 2 4" xfId="0"/>
    <cellStyle name="Normal 12 4 6 2 2 4 2" xfId="0"/>
    <cellStyle name="Normal 12 4 6 2 2 5" xfId="0"/>
    <cellStyle name="Normal 12 4 6 2 3" xfId="0"/>
    <cellStyle name="Normal 12 4 6 2 3 2" xfId="0"/>
    <cellStyle name="Normal 12 4 6 2 3 2 2" xfId="0"/>
    <cellStyle name="Normal 12 4 6 2 3 2 2 2" xfId="0"/>
    <cellStyle name="Normal 12 4 6 2 3 2 3" xfId="0"/>
    <cellStyle name="Normal 12 4 6 2 3 3" xfId="0"/>
    <cellStyle name="Normal 12 4 6 2 3 3 2" xfId="0"/>
    <cellStyle name="Normal 12 4 6 2 3 4" xfId="0"/>
    <cellStyle name="Normal 12 4 6 2 4" xfId="0"/>
    <cellStyle name="Normal 12 4 6 2 4 2" xfId="0"/>
    <cellStyle name="Normal 12 4 6 2 4 2 2" xfId="0"/>
    <cellStyle name="Normal 12 4 6 2 4 3" xfId="0"/>
    <cellStyle name="Normal 12 4 6 2 5" xfId="0"/>
    <cellStyle name="Normal 12 4 6 2 5 2" xfId="0"/>
    <cellStyle name="Normal 12 4 6 2 6" xfId="0"/>
    <cellStyle name="Normal 12 4 6 3" xfId="0"/>
    <cellStyle name="Normal 12 4 6 3 2" xfId="0"/>
    <cellStyle name="Normal 12 4 6 3 2 2" xfId="0"/>
    <cellStyle name="Normal 12 4 6 3 2 2 2" xfId="0"/>
    <cellStyle name="Normal 12 4 6 3 2 2 2 2" xfId="0"/>
    <cellStyle name="Normal 12 4 6 3 2 2 3" xfId="0"/>
    <cellStyle name="Normal 12 4 6 3 2 3" xfId="0"/>
    <cellStyle name="Normal 12 4 6 3 2 3 2" xfId="0"/>
    <cellStyle name="Normal 12 4 6 3 2 4" xfId="0"/>
    <cellStyle name="Normal 12 4 6 3 3" xfId="0"/>
    <cellStyle name="Normal 12 4 6 3 3 2" xfId="0"/>
    <cellStyle name="Normal 12 4 6 3 3 2 2" xfId="0"/>
    <cellStyle name="Normal 12 4 6 3 3 3" xfId="0"/>
    <cellStyle name="Normal 12 4 6 3 4" xfId="0"/>
    <cellStyle name="Normal 12 4 6 3 4 2" xfId="0"/>
    <cellStyle name="Normal 12 4 6 3 5" xfId="0"/>
    <cellStyle name="Normal 12 4 6 4" xfId="0"/>
    <cellStyle name="Normal 12 4 6 4 2" xfId="0"/>
    <cellStyle name="Normal 12 4 6 4 2 2" xfId="0"/>
    <cellStyle name="Normal 12 4 6 4 2 2 2" xfId="0"/>
    <cellStyle name="Normal 12 4 6 4 2 3" xfId="0"/>
    <cellStyle name="Normal 12 4 6 4 3" xfId="0"/>
    <cellStyle name="Normal 12 4 6 4 3 2" xfId="0"/>
    <cellStyle name="Normal 12 4 6 4 4" xfId="0"/>
    <cellStyle name="Normal 12 4 6 5" xfId="0"/>
    <cellStyle name="Normal 12 4 6 5 2" xfId="0"/>
    <cellStyle name="Normal 12 4 6 5 2 2" xfId="0"/>
    <cellStyle name="Normal 12 4 6 5 3" xfId="0"/>
    <cellStyle name="Normal 12 4 6 6" xfId="0"/>
    <cellStyle name="Normal 12 4 6 6 2" xfId="0"/>
    <cellStyle name="Normal 12 4 6 7" xfId="0"/>
    <cellStyle name="Normal 12 4 7" xfId="0"/>
    <cellStyle name="Normal 12 4 7 2" xfId="0"/>
    <cellStyle name="Normal 12 4 7 2 2" xfId="0"/>
    <cellStyle name="Normal 12 4 7 2 2 2" xfId="0"/>
    <cellStyle name="Normal 12 4 7 2 2 2 2" xfId="0"/>
    <cellStyle name="Normal 12 4 7 2 2 2 2 2" xfId="0"/>
    <cellStyle name="Normal 12 4 7 2 2 2 3" xfId="0"/>
    <cellStyle name="Normal 12 4 7 2 2 3" xfId="0"/>
    <cellStyle name="Normal 12 4 7 2 2 3 2" xfId="0"/>
    <cellStyle name="Normal 12 4 7 2 2 4" xfId="0"/>
    <cellStyle name="Normal 12 4 7 2 3" xfId="0"/>
    <cellStyle name="Normal 12 4 7 2 3 2" xfId="0"/>
    <cellStyle name="Normal 12 4 7 2 3 2 2" xfId="0"/>
    <cellStyle name="Normal 12 4 7 2 3 3" xfId="0"/>
    <cellStyle name="Normal 12 4 7 2 4" xfId="0"/>
    <cellStyle name="Normal 12 4 7 2 4 2" xfId="0"/>
    <cellStyle name="Normal 12 4 7 2 5" xfId="0"/>
    <cellStyle name="Normal 12 4 7 3" xfId="0"/>
    <cellStyle name="Normal 12 4 7 3 2" xfId="0"/>
    <cellStyle name="Normal 12 4 7 3 2 2" xfId="0"/>
    <cellStyle name="Normal 12 4 7 3 2 2 2" xfId="0"/>
    <cellStyle name="Normal 12 4 7 3 2 3" xfId="0"/>
    <cellStyle name="Normal 12 4 7 3 3" xfId="0"/>
    <cellStyle name="Normal 12 4 7 3 3 2" xfId="0"/>
    <cellStyle name="Normal 12 4 7 3 4" xfId="0"/>
    <cellStyle name="Normal 12 4 7 4" xfId="0"/>
    <cellStyle name="Normal 12 4 7 4 2" xfId="0"/>
    <cellStyle name="Normal 12 4 7 4 2 2" xfId="0"/>
    <cellStyle name="Normal 12 4 7 4 3" xfId="0"/>
    <cellStyle name="Normal 12 4 7 5" xfId="0"/>
    <cellStyle name="Normal 12 4 7 5 2" xfId="0"/>
    <cellStyle name="Normal 12 4 7 6" xfId="0"/>
    <cellStyle name="Normal 12 4 8" xfId="0"/>
    <cellStyle name="Normal 12 4 8 2" xfId="0"/>
    <cellStyle name="Normal 12 4 8 2 2" xfId="0"/>
    <cellStyle name="Normal 12 4 8 2 2 2" xfId="0"/>
    <cellStyle name="Normal 12 4 8 2 2 2 2" xfId="0"/>
    <cellStyle name="Normal 12 4 8 2 2 3" xfId="0"/>
    <cellStyle name="Normal 12 4 8 2 3" xfId="0"/>
    <cellStyle name="Normal 12 4 8 2 3 2" xfId="0"/>
    <cellStyle name="Normal 12 4 8 2 4" xfId="0"/>
    <cellStyle name="Normal 12 4 8 3" xfId="0"/>
    <cellStyle name="Normal 12 4 8 3 2" xfId="0"/>
    <cellStyle name="Normal 12 4 8 3 2 2" xfId="0"/>
    <cellStyle name="Normal 12 4 8 3 3" xfId="0"/>
    <cellStyle name="Normal 12 4 8 4" xfId="0"/>
    <cellStyle name="Normal 12 4 8 4 2" xfId="0"/>
    <cellStyle name="Normal 12 4 8 5" xfId="0"/>
    <cellStyle name="Normal 12 4 9" xfId="0"/>
    <cellStyle name="Normal 12 4 9 2" xfId="0"/>
    <cellStyle name="Normal 12 4 9 2 2" xfId="0"/>
    <cellStyle name="Normal 12 4 9 2 2 2" xfId="0"/>
    <cellStyle name="Normal 12 4 9 2 3" xfId="0"/>
    <cellStyle name="Normal 12 4 9 3" xfId="0"/>
    <cellStyle name="Normal 12 4 9 3 2" xfId="0"/>
    <cellStyle name="Normal 12 4 9 4" xfId="0"/>
    <cellStyle name="Normal 12 5" xfId="0"/>
    <cellStyle name="Normal 12 5 10" xfId="0"/>
    <cellStyle name="Normal 12 5 10 2" xfId="0"/>
    <cellStyle name="Normal 12 5 11" xfId="0"/>
    <cellStyle name="Normal 12 5 2" xfId="0"/>
    <cellStyle name="Normal 12 5 2 2" xfId="0"/>
    <cellStyle name="Normal 12 5 2 2 2" xfId="0"/>
    <cellStyle name="Normal 12 5 2 2 2 2" xfId="0"/>
    <cellStyle name="Normal 12 5 2 2 2 2 2" xfId="0"/>
    <cellStyle name="Normal 12 5 2 2 2 2 2 2" xfId="0"/>
    <cellStyle name="Normal 12 5 2 2 2 2 2 2 2" xfId="0"/>
    <cellStyle name="Normal 12 5 2 2 2 2 2 2 2 2" xfId="0"/>
    <cellStyle name="Normal 12 5 2 2 2 2 2 2 3" xfId="0"/>
    <cellStyle name="Normal 12 5 2 2 2 2 2 3" xfId="0"/>
    <cellStyle name="Normal 12 5 2 2 2 2 2 3 2" xfId="0"/>
    <cellStyle name="Normal 12 5 2 2 2 2 2 4" xfId="0"/>
    <cellStyle name="Normal 12 5 2 2 2 2 3" xfId="0"/>
    <cellStyle name="Normal 12 5 2 2 2 2 3 2" xfId="0"/>
    <cellStyle name="Normal 12 5 2 2 2 2 3 2 2" xfId="0"/>
    <cellStyle name="Normal 12 5 2 2 2 2 3 3" xfId="0"/>
    <cellStyle name="Normal 12 5 2 2 2 2 4" xfId="0"/>
    <cellStyle name="Normal 12 5 2 2 2 2 4 2" xfId="0"/>
    <cellStyle name="Normal 12 5 2 2 2 2 5" xfId="0"/>
    <cellStyle name="Normal 12 5 2 2 2 3" xfId="0"/>
    <cellStyle name="Normal 12 5 2 2 2 3 2" xfId="0"/>
    <cellStyle name="Normal 12 5 2 2 2 3 2 2" xfId="0"/>
    <cellStyle name="Normal 12 5 2 2 2 3 2 2 2" xfId="0"/>
    <cellStyle name="Normal 12 5 2 2 2 3 2 3" xfId="0"/>
    <cellStyle name="Normal 12 5 2 2 2 3 3" xfId="0"/>
    <cellStyle name="Normal 12 5 2 2 2 3 3 2" xfId="0"/>
    <cellStyle name="Normal 12 5 2 2 2 3 4" xfId="0"/>
    <cellStyle name="Normal 12 5 2 2 2 4" xfId="0"/>
    <cellStyle name="Normal 12 5 2 2 2 4 2" xfId="0"/>
    <cellStyle name="Normal 12 5 2 2 2 4 2 2" xfId="0"/>
    <cellStyle name="Normal 12 5 2 2 2 4 3" xfId="0"/>
    <cellStyle name="Normal 12 5 2 2 2 5" xfId="0"/>
    <cellStyle name="Normal 12 5 2 2 2 5 2" xfId="0"/>
    <cellStyle name="Normal 12 5 2 2 2 6" xfId="0"/>
    <cellStyle name="Normal 12 5 2 2 3" xfId="0"/>
    <cellStyle name="Normal 12 5 2 2 3 2" xfId="0"/>
    <cellStyle name="Normal 12 5 2 2 3 2 2" xfId="0"/>
    <cellStyle name="Normal 12 5 2 2 3 2 2 2" xfId="0"/>
    <cellStyle name="Normal 12 5 2 2 3 2 2 2 2" xfId="0"/>
    <cellStyle name="Normal 12 5 2 2 3 2 2 3" xfId="0"/>
    <cellStyle name="Normal 12 5 2 2 3 2 3" xfId="0"/>
    <cellStyle name="Normal 12 5 2 2 3 2 3 2" xfId="0"/>
    <cellStyle name="Normal 12 5 2 2 3 2 4" xfId="0"/>
    <cellStyle name="Normal 12 5 2 2 3 3" xfId="0"/>
    <cellStyle name="Normal 12 5 2 2 3 3 2" xfId="0"/>
    <cellStyle name="Normal 12 5 2 2 3 3 2 2" xfId="0"/>
    <cellStyle name="Normal 12 5 2 2 3 3 3" xfId="0"/>
    <cellStyle name="Normal 12 5 2 2 3 4" xfId="0"/>
    <cellStyle name="Normal 12 5 2 2 3 4 2" xfId="0"/>
    <cellStyle name="Normal 12 5 2 2 3 5" xfId="0"/>
    <cellStyle name="Normal 12 5 2 2 4" xfId="0"/>
    <cellStyle name="Normal 12 5 2 2 4 2" xfId="0"/>
    <cellStyle name="Normal 12 5 2 2 4 2 2" xfId="0"/>
    <cellStyle name="Normal 12 5 2 2 4 2 2 2" xfId="0"/>
    <cellStyle name="Normal 12 5 2 2 4 2 3" xfId="0"/>
    <cellStyle name="Normal 12 5 2 2 4 3" xfId="0"/>
    <cellStyle name="Normal 12 5 2 2 4 3 2" xfId="0"/>
    <cellStyle name="Normal 12 5 2 2 4 4" xfId="0"/>
    <cellStyle name="Normal 12 5 2 2 5" xfId="0"/>
    <cellStyle name="Normal 12 5 2 2 5 2" xfId="0"/>
    <cellStyle name="Normal 12 5 2 2 5 2 2" xfId="0"/>
    <cellStyle name="Normal 12 5 2 2 5 3" xfId="0"/>
    <cellStyle name="Normal 12 5 2 2 6" xfId="0"/>
    <cellStyle name="Normal 12 5 2 2 6 2" xfId="0"/>
    <cellStyle name="Normal 12 5 2 2 7" xfId="0"/>
    <cellStyle name="Normal 12 5 2 3" xfId="0"/>
    <cellStyle name="Normal 12 5 2 3 2" xfId="0"/>
    <cellStyle name="Normal 12 5 2 3 2 2" xfId="0"/>
    <cellStyle name="Normal 12 5 2 3 2 2 2" xfId="0"/>
    <cellStyle name="Normal 12 5 2 3 2 2 2 2" xfId="0"/>
    <cellStyle name="Normal 12 5 2 3 2 2 2 2 2" xfId="0"/>
    <cellStyle name="Normal 12 5 2 3 2 2 2 3" xfId="0"/>
    <cellStyle name="Normal 12 5 2 3 2 2 3" xfId="0"/>
    <cellStyle name="Normal 12 5 2 3 2 2 3 2" xfId="0"/>
    <cellStyle name="Normal 12 5 2 3 2 2 4" xfId="0"/>
    <cellStyle name="Normal 12 5 2 3 2 3" xfId="0"/>
    <cellStyle name="Normal 12 5 2 3 2 3 2" xfId="0"/>
    <cellStyle name="Normal 12 5 2 3 2 3 2 2" xfId="0"/>
    <cellStyle name="Normal 12 5 2 3 2 3 3" xfId="0"/>
    <cellStyle name="Normal 12 5 2 3 2 4" xfId="0"/>
    <cellStyle name="Normal 12 5 2 3 2 4 2" xfId="0"/>
    <cellStyle name="Normal 12 5 2 3 2 5" xfId="0"/>
    <cellStyle name="Normal 12 5 2 3 3" xfId="0"/>
    <cellStyle name="Normal 12 5 2 3 3 2" xfId="0"/>
    <cellStyle name="Normal 12 5 2 3 3 2 2" xfId="0"/>
    <cellStyle name="Normal 12 5 2 3 3 2 2 2" xfId="0"/>
    <cellStyle name="Normal 12 5 2 3 3 2 3" xfId="0"/>
    <cellStyle name="Normal 12 5 2 3 3 3" xfId="0"/>
    <cellStyle name="Normal 12 5 2 3 3 3 2" xfId="0"/>
    <cellStyle name="Normal 12 5 2 3 3 4" xfId="0"/>
    <cellStyle name="Normal 12 5 2 3 4" xfId="0"/>
    <cellStyle name="Normal 12 5 2 3 4 2" xfId="0"/>
    <cellStyle name="Normal 12 5 2 3 4 2 2" xfId="0"/>
    <cellStyle name="Normal 12 5 2 3 4 3" xfId="0"/>
    <cellStyle name="Normal 12 5 2 3 5" xfId="0"/>
    <cellStyle name="Normal 12 5 2 3 5 2" xfId="0"/>
    <cellStyle name="Normal 12 5 2 3 6" xfId="0"/>
    <cellStyle name="Normal 12 5 2 4" xfId="0"/>
    <cellStyle name="Normal 12 5 2 4 2" xfId="0"/>
    <cellStyle name="Normal 12 5 2 4 2 2" xfId="0"/>
    <cellStyle name="Normal 12 5 2 4 2 2 2" xfId="0"/>
    <cellStyle name="Normal 12 5 2 4 2 2 2 2" xfId="0"/>
    <cellStyle name="Normal 12 5 2 4 2 2 3" xfId="0"/>
    <cellStyle name="Normal 12 5 2 4 2 3" xfId="0"/>
    <cellStyle name="Normal 12 5 2 4 2 3 2" xfId="0"/>
    <cellStyle name="Normal 12 5 2 4 2 4" xfId="0"/>
    <cellStyle name="Normal 12 5 2 4 3" xfId="0"/>
    <cellStyle name="Normal 12 5 2 4 3 2" xfId="0"/>
    <cellStyle name="Normal 12 5 2 4 3 2 2" xfId="0"/>
    <cellStyle name="Normal 12 5 2 4 3 3" xfId="0"/>
    <cellStyle name="Normal 12 5 2 4 4" xfId="0"/>
    <cellStyle name="Normal 12 5 2 4 4 2" xfId="0"/>
    <cellStyle name="Normal 12 5 2 4 5" xfId="0"/>
    <cellStyle name="Normal 12 5 2 5" xfId="0"/>
    <cellStyle name="Normal 12 5 2 5 2" xfId="0"/>
    <cellStyle name="Normal 12 5 2 5 2 2" xfId="0"/>
    <cellStyle name="Normal 12 5 2 5 2 2 2" xfId="0"/>
    <cellStyle name="Normal 12 5 2 5 2 3" xfId="0"/>
    <cellStyle name="Normal 12 5 2 5 3" xfId="0"/>
    <cellStyle name="Normal 12 5 2 5 3 2" xfId="0"/>
    <cellStyle name="Normal 12 5 2 5 4" xfId="0"/>
    <cellStyle name="Normal 12 5 2 6" xfId="0"/>
    <cellStyle name="Normal 12 5 2 6 2" xfId="0"/>
    <cellStyle name="Normal 12 5 2 6 2 2" xfId="0"/>
    <cellStyle name="Normal 12 5 2 6 3" xfId="0"/>
    <cellStyle name="Normal 12 5 2 7" xfId="0"/>
    <cellStyle name="Normal 12 5 2 7 2" xfId="0"/>
    <cellStyle name="Normal 12 5 2 8" xfId="0"/>
    <cellStyle name="Normal 12 5 3" xfId="0"/>
    <cellStyle name="Normal 12 5 3 2" xfId="0"/>
    <cellStyle name="Normal 12 5 3 2 2" xfId="0"/>
    <cellStyle name="Normal 12 5 3 2 2 2" xfId="0"/>
    <cellStyle name="Normal 12 5 3 2 2 2 2" xfId="0"/>
    <cellStyle name="Normal 12 5 3 2 2 2 2 2" xfId="0"/>
    <cellStyle name="Normal 12 5 3 2 2 2 2 2 2" xfId="0"/>
    <cellStyle name="Normal 12 5 3 2 2 2 2 2 2 2" xfId="0"/>
    <cellStyle name="Normal 12 5 3 2 2 2 2 2 3" xfId="0"/>
    <cellStyle name="Normal 12 5 3 2 2 2 2 3" xfId="0"/>
    <cellStyle name="Normal 12 5 3 2 2 2 2 3 2" xfId="0"/>
    <cellStyle name="Normal 12 5 3 2 2 2 2 4" xfId="0"/>
    <cellStyle name="Normal 12 5 3 2 2 2 3" xfId="0"/>
    <cellStyle name="Normal 12 5 3 2 2 2 3 2" xfId="0"/>
    <cellStyle name="Normal 12 5 3 2 2 2 3 2 2" xfId="0"/>
    <cellStyle name="Normal 12 5 3 2 2 2 3 3" xfId="0"/>
    <cellStyle name="Normal 12 5 3 2 2 2 4" xfId="0"/>
    <cellStyle name="Normal 12 5 3 2 2 2 4 2" xfId="0"/>
    <cellStyle name="Normal 12 5 3 2 2 2 5" xfId="0"/>
    <cellStyle name="Normal 12 5 3 2 2 3" xfId="0"/>
    <cellStyle name="Normal 12 5 3 2 2 3 2" xfId="0"/>
    <cellStyle name="Normal 12 5 3 2 2 3 2 2" xfId="0"/>
    <cellStyle name="Normal 12 5 3 2 2 3 2 2 2" xfId="0"/>
    <cellStyle name="Normal 12 5 3 2 2 3 2 3" xfId="0"/>
    <cellStyle name="Normal 12 5 3 2 2 3 3" xfId="0"/>
    <cellStyle name="Normal 12 5 3 2 2 3 3 2" xfId="0"/>
    <cellStyle name="Normal 12 5 3 2 2 3 4" xfId="0"/>
    <cellStyle name="Normal 12 5 3 2 2 4" xfId="0"/>
    <cellStyle name="Normal 12 5 3 2 2 4 2" xfId="0"/>
    <cellStyle name="Normal 12 5 3 2 2 4 2 2" xfId="0"/>
    <cellStyle name="Normal 12 5 3 2 2 4 3" xfId="0"/>
    <cellStyle name="Normal 12 5 3 2 2 5" xfId="0"/>
    <cellStyle name="Normal 12 5 3 2 2 5 2" xfId="0"/>
    <cellStyle name="Normal 12 5 3 2 2 6" xfId="0"/>
    <cellStyle name="Normal 12 5 3 2 3" xfId="0"/>
    <cellStyle name="Normal 12 5 3 2 3 2" xfId="0"/>
    <cellStyle name="Normal 12 5 3 2 3 2 2" xfId="0"/>
    <cellStyle name="Normal 12 5 3 2 3 2 2 2" xfId="0"/>
    <cellStyle name="Normal 12 5 3 2 3 2 2 2 2" xfId="0"/>
    <cellStyle name="Normal 12 5 3 2 3 2 2 3" xfId="0"/>
    <cellStyle name="Normal 12 5 3 2 3 2 3" xfId="0"/>
    <cellStyle name="Normal 12 5 3 2 3 2 3 2" xfId="0"/>
    <cellStyle name="Normal 12 5 3 2 3 2 4" xfId="0"/>
    <cellStyle name="Normal 12 5 3 2 3 3" xfId="0"/>
    <cellStyle name="Normal 12 5 3 2 3 3 2" xfId="0"/>
    <cellStyle name="Normal 12 5 3 2 3 3 2 2" xfId="0"/>
    <cellStyle name="Normal 12 5 3 2 3 3 3" xfId="0"/>
    <cellStyle name="Normal 12 5 3 2 3 4" xfId="0"/>
    <cellStyle name="Normal 12 5 3 2 3 4 2" xfId="0"/>
    <cellStyle name="Normal 12 5 3 2 3 5" xfId="0"/>
    <cellStyle name="Normal 12 5 3 2 4" xfId="0"/>
    <cellStyle name="Normal 12 5 3 2 4 2" xfId="0"/>
    <cellStyle name="Normal 12 5 3 2 4 2 2" xfId="0"/>
    <cellStyle name="Normal 12 5 3 2 4 2 2 2" xfId="0"/>
    <cellStyle name="Normal 12 5 3 2 4 2 3" xfId="0"/>
    <cellStyle name="Normal 12 5 3 2 4 3" xfId="0"/>
    <cellStyle name="Normal 12 5 3 2 4 3 2" xfId="0"/>
    <cellStyle name="Normal 12 5 3 2 4 4" xfId="0"/>
    <cellStyle name="Normal 12 5 3 2 5" xfId="0"/>
    <cellStyle name="Normal 12 5 3 2 5 2" xfId="0"/>
    <cellStyle name="Normal 12 5 3 2 5 2 2" xfId="0"/>
    <cellStyle name="Normal 12 5 3 2 5 3" xfId="0"/>
    <cellStyle name="Normal 12 5 3 2 6" xfId="0"/>
    <cellStyle name="Normal 12 5 3 2 6 2" xfId="0"/>
    <cellStyle name="Normal 12 5 3 2 7" xfId="0"/>
    <cellStyle name="Normal 12 5 3 3" xfId="0"/>
    <cellStyle name="Normal 12 5 3 3 2" xfId="0"/>
    <cellStyle name="Normal 12 5 3 3 2 2" xfId="0"/>
    <cellStyle name="Normal 12 5 3 3 2 2 2" xfId="0"/>
    <cellStyle name="Normal 12 5 3 3 2 2 2 2" xfId="0"/>
    <cellStyle name="Normal 12 5 3 3 2 2 2 2 2" xfId="0"/>
    <cellStyle name="Normal 12 5 3 3 2 2 2 3" xfId="0"/>
    <cellStyle name="Normal 12 5 3 3 2 2 3" xfId="0"/>
    <cellStyle name="Normal 12 5 3 3 2 2 3 2" xfId="0"/>
    <cellStyle name="Normal 12 5 3 3 2 2 4" xfId="0"/>
    <cellStyle name="Normal 12 5 3 3 2 3" xfId="0"/>
    <cellStyle name="Normal 12 5 3 3 2 3 2" xfId="0"/>
    <cellStyle name="Normal 12 5 3 3 2 3 2 2" xfId="0"/>
    <cellStyle name="Normal 12 5 3 3 2 3 3" xfId="0"/>
    <cellStyle name="Normal 12 5 3 3 2 4" xfId="0"/>
    <cellStyle name="Normal 12 5 3 3 2 4 2" xfId="0"/>
    <cellStyle name="Normal 12 5 3 3 2 5" xfId="0"/>
    <cellStyle name="Normal 12 5 3 3 3" xfId="0"/>
    <cellStyle name="Normal 12 5 3 3 3 2" xfId="0"/>
    <cellStyle name="Normal 12 5 3 3 3 2 2" xfId="0"/>
    <cellStyle name="Normal 12 5 3 3 3 2 2 2" xfId="0"/>
    <cellStyle name="Normal 12 5 3 3 3 2 3" xfId="0"/>
    <cellStyle name="Normal 12 5 3 3 3 3" xfId="0"/>
    <cellStyle name="Normal 12 5 3 3 3 3 2" xfId="0"/>
    <cellStyle name="Normal 12 5 3 3 3 4" xfId="0"/>
    <cellStyle name="Normal 12 5 3 3 4" xfId="0"/>
    <cellStyle name="Normal 12 5 3 3 4 2" xfId="0"/>
    <cellStyle name="Normal 12 5 3 3 4 2 2" xfId="0"/>
    <cellStyle name="Normal 12 5 3 3 4 3" xfId="0"/>
    <cellStyle name="Normal 12 5 3 3 5" xfId="0"/>
    <cellStyle name="Normal 12 5 3 3 5 2" xfId="0"/>
    <cellStyle name="Normal 12 5 3 3 6" xfId="0"/>
    <cellStyle name="Normal 12 5 3 4" xfId="0"/>
    <cellStyle name="Normal 12 5 3 4 2" xfId="0"/>
    <cellStyle name="Normal 12 5 3 4 2 2" xfId="0"/>
    <cellStyle name="Normal 12 5 3 4 2 2 2" xfId="0"/>
    <cellStyle name="Normal 12 5 3 4 2 2 2 2" xfId="0"/>
    <cellStyle name="Normal 12 5 3 4 2 2 3" xfId="0"/>
    <cellStyle name="Normal 12 5 3 4 2 3" xfId="0"/>
    <cellStyle name="Normal 12 5 3 4 2 3 2" xfId="0"/>
    <cellStyle name="Normal 12 5 3 4 2 4" xfId="0"/>
    <cellStyle name="Normal 12 5 3 4 3" xfId="0"/>
    <cellStyle name="Normal 12 5 3 4 3 2" xfId="0"/>
    <cellStyle name="Normal 12 5 3 4 3 2 2" xfId="0"/>
    <cellStyle name="Normal 12 5 3 4 3 3" xfId="0"/>
    <cellStyle name="Normal 12 5 3 4 4" xfId="0"/>
    <cellStyle name="Normal 12 5 3 4 4 2" xfId="0"/>
    <cellStyle name="Normal 12 5 3 4 5" xfId="0"/>
    <cellStyle name="Normal 12 5 3 5" xfId="0"/>
    <cellStyle name="Normal 12 5 3 5 2" xfId="0"/>
    <cellStyle name="Normal 12 5 3 5 2 2" xfId="0"/>
    <cellStyle name="Normal 12 5 3 5 2 2 2" xfId="0"/>
    <cellStyle name="Normal 12 5 3 5 2 3" xfId="0"/>
    <cellStyle name="Normal 12 5 3 5 3" xfId="0"/>
    <cellStyle name="Normal 12 5 3 5 3 2" xfId="0"/>
    <cellStyle name="Normal 12 5 3 5 4" xfId="0"/>
    <cellStyle name="Normal 12 5 3 6" xfId="0"/>
    <cellStyle name="Normal 12 5 3 6 2" xfId="0"/>
    <cellStyle name="Normal 12 5 3 6 2 2" xfId="0"/>
    <cellStyle name="Normal 12 5 3 6 3" xfId="0"/>
    <cellStyle name="Normal 12 5 3 7" xfId="0"/>
    <cellStyle name="Normal 12 5 3 7 2" xfId="0"/>
    <cellStyle name="Normal 12 5 3 8" xfId="0"/>
    <cellStyle name="Normal 12 5 4" xfId="0"/>
    <cellStyle name="Normal 12 5 4 2" xfId="0"/>
    <cellStyle name="Normal 12 5 4 2 2" xfId="0"/>
    <cellStyle name="Normal 12 5 4 2 2 2" xfId="0"/>
    <cellStyle name="Normal 12 5 4 2 2 2 2" xfId="0"/>
    <cellStyle name="Normal 12 5 4 2 2 2 2 2" xfId="0"/>
    <cellStyle name="Normal 12 5 4 2 2 2 2 2 2" xfId="0"/>
    <cellStyle name="Normal 12 5 4 2 2 2 2 3" xfId="0"/>
    <cellStyle name="Normal 12 5 4 2 2 2 3" xfId="0"/>
    <cellStyle name="Normal 12 5 4 2 2 2 3 2" xfId="0"/>
    <cellStyle name="Normal 12 5 4 2 2 2 4" xfId="0"/>
    <cellStyle name="Normal 12 5 4 2 2 3" xfId="0"/>
    <cellStyle name="Normal 12 5 4 2 2 3 2" xfId="0"/>
    <cellStyle name="Normal 12 5 4 2 2 3 2 2" xfId="0"/>
    <cellStyle name="Normal 12 5 4 2 2 3 3" xfId="0"/>
    <cellStyle name="Normal 12 5 4 2 2 4" xfId="0"/>
    <cellStyle name="Normal 12 5 4 2 2 4 2" xfId="0"/>
    <cellStyle name="Normal 12 5 4 2 2 5" xfId="0"/>
    <cellStyle name="Normal 12 5 4 2 3" xfId="0"/>
    <cellStyle name="Normal 12 5 4 2 3 2" xfId="0"/>
    <cellStyle name="Normal 12 5 4 2 3 2 2" xfId="0"/>
    <cellStyle name="Normal 12 5 4 2 3 2 2 2" xfId="0"/>
    <cellStyle name="Normal 12 5 4 2 3 2 3" xfId="0"/>
    <cellStyle name="Normal 12 5 4 2 3 3" xfId="0"/>
    <cellStyle name="Normal 12 5 4 2 3 3 2" xfId="0"/>
    <cellStyle name="Normal 12 5 4 2 3 4" xfId="0"/>
    <cellStyle name="Normal 12 5 4 2 4" xfId="0"/>
    <cellStyle name="Normal 12 5 4 2 4 2" xfId="0"/>
    <cellStyle name="Normal 12 5 4 2 4 2 2" xfId="0"/>
    <cellStyle name="Normal 12 5 4 2 4 3" xfId="0"/>
    <cellStyle name="Normal 12 5 4 2 5" xfId="0"/>
    <cellStyle name="Normal 12 5 4 2 5 2" xfId="0"/>
    <cellStyle name="Normal 12 5 4 2 6" xfId="0"/>
    <cellStyle name="Normal 12 5 4 3" xfId="0"/>
    <cellStyle name="Normal 12 5 4 3 2" xfId="0"/>
    <cellStyle name="Normal 12 5 4 3 2 2" xfId="0"/>
    <cellStyle name="Normal 12 5 4 3 2 2 2" xfId="0"/>
    <cellStyle name="Normal 12 5 4 3 2 2 2 2" xfId="0"/>
    <cellStyle name="Normal 12 5 4 3 2 2 3" xfId="0"/>
    <cellStyle name="Normal 12 5 4 3 2 3" xfId="0"/>
    <cellStyle name="Normal 12 5 4 3 2 3 2" xfId="0"/>
    <cellStyle name="Normal 12 5 4 3 2 4" xfId="0"/>
    <cellStyle name="Normal 12 5 4 3 3" xfId="0"/>
    <cellStyle name="Normal 12 5 4 3 3 2" xfId="0"/>
    <cellStyle name="Normal 12 5 4 3 3 2 2" xfId="0"/>
    <cellStyle name="Normal 12 5 4 3 3 3" xfId="0"/>
    <cellStyle name="Normal 12 5 4 3 4" xfId="0"/>
    <cellStyle name="Normal 12 5 4 3 4 2" xfId="0"/>
    <cellStyle name="Normal 12 5 4 3 5" xfId="0"/>
    <cellStyle name="Normal 12 5 4 4" xfId="0"/>
    <cellStyle name="Normal 12 5 4 4 2" xfId="0"/>
    <cellStyle name="Normal 12 5 4 4 2 2" xfId="0"/>
    <cellStyle name="Normal 12 5 4 4 2 2 2" xfId="0"/>
    <cellStyle name="Normal 12 5 4 4 2 3" xfId="0"/>
    <cellStyle name="Normal 12 5 4 4 3" xfId="0"/>
    <cellStyle name="Normal 12 5 4 4 3 2" xfId="0"/>
    <cellStyle name="Normal 12 5 4 4 4" xfId="0"/>
    <cellStyle name="Normal 12 5 4 5" xfId="0"/>
    <cellStyle name="Normal 12 5 4 5 2" xfId="0"/>
    <cellStyle name="Normal 12 5 4 5 2 2" xfId="0"/>
    <cellStyle name="Normal 12 5 4 5 3" xfId="0"/>
    <cellStyle name="Normal 12 5 4 6" xfId="0"/>
    <cellStyle name="Normal 12 5 4 6 2" xfId="0"/>
    <cellStyle name="Normal 12 5 4 7" xfId="0"/>
    <cellStyle name="Normal 12 5 5" xfId="0"/>
    <cellStyle name="Normal 12 5 5 2" xfId="0"/>
    <cellStyle name="Normal 12 5 5 2 2" xfId="0"/>
    <cellStyle name="Normal 12 5 5 2 2 2" xfId="0"/>
    <cellStyle name="Normal 12 5 5 2 2 2 2" xfId="0"/>
    <cellStyle name="Normal 12 5 5 2 2 2 2 2" xfId="0"/>
    <cellStyle name="Normal 12 5 5 2 2 2 2 2 2" xfId="0"/>
    <cellStyle name="Normal 12 5 5 2 2 2 2 3" xfId="0"/>
    <cellStyle name="Normal 12 5 5 2 2 2 3" xfId="0"/>
    <cellStyle name="Normal 12 5 5 2 2 2 3 2" xfId="0"/>
    <cellStyle name="Normal 12 5 5 2 2 2 4" xfId="0"/>
    <cellStyle name="Normal 12 5 5 2 2 3" xfId="0"/>
    <cellStyle name="Normal 12 5 5 2 2 3 2" xfId="0"/>
    <cellStyle name="Normal 12 5 5 2 2 3 2 2" xfId="0"/>
    <cellStyle name="Normal 12 5 5 2 2 3 3" xfId="0"/>
    <cellStyle name="Normal 12 5 5 2 2 4" xfId="0"/>
    <cellStyle name="Normal 12 5 5 2 2 4 2" xfId="0"/>
    <cellStyle name="Normal 12 5 5 2 2 5" xfId="0"/>
    <cellStyle name="Normal 12 5 5 2 3" xfId="0"/>
    <cellStyle name="Normal 12 5 5 2 3 2" xfId="0"/>
    <cellStyle name="Normal 12 5 5 2 3 2 2" xfId="0"/>
    <cellStyle name="Normal 12 5 5 2 3 2 2 2" xfId="0"/>
    <cellStyle name="Normal 12 5 5 2 3 2 3" xfId="0"/>
    <cellStyle name="Normal 12 5 5 2 3 3" xfId="0"/>
    <cellStyle name="Normal 12 5 5 2 3 3 2" xfId="0"/>
    <cellStyle name="Normal 12 5 5 2 3 4" xfId="0"/>
    <cellStyle name="Normal 12 5 5 2 4" xfId="0"/>
    <cellStyle name="Normal 12 5 5 2 4 2" xfId="0"/>
    <cellStyle name="Normal 12 5 5 2 4 2 2" xfId="0"/>
    <cellStyle name="Normal 12 5 5 2 4 3" xfId="0"/>
    <cellStyle name="Normal 12 5 5 2 5" xfId="0"/>
    <cellStyle name="Normal 12 5 5 2 5 2" xfId="0"/>
    <cellStyle name="Normal 12 5 5 2 6" xfId="0"/>
    <cellStyle name="Normal 12 5 5 3" xfId="0"/>
    <cellStyle name="Normal 12 5 5 3 2" xfId="0"/>
    <cellStyle name="Normal 12 5 5 3 2 2" xfId="0"/>
    <cellStyle name="Normal 12 5 5 3 2 2 2" xfId="0"/>
    <cellStyle name="Normal 12 5 5 3 2 2 2 2" xfId="0"/>
    <cellStyle name="Normal 12 5 5 3 2 2 3" xfId="0"/>
    <cellStyle name="Normal 12 5 5 3 2 3" xfId="0"/>
    <cellStyle name="Normal 12 5 5 3 2 3 2" xfId="0"/>
    <cellStyle name="Normal 12 5 5 3 2 4" xfId="0"/>
    <cellStyle name="Normal 12 5 5 3 3" xfId="0"/>
    <cellStyle name="Normal 12 5 5 3 3 2" xfId="0"/>
    <cellStyle name="Normal 12 5 5 3 3 2 2" xfId="0"/>
    <cellStyle name="Normal 12 5 5 3 3 3" xfId="0"/>
    <cellStyle name="Normal 12 5 5 3 4" xfId="0"/>
    <cellStyle name="Normal 12 5 5 3 4 2" xfId="0"/>
    <cellStyle name="Normal 12 5 5 3 5" xfId="0"/>
    <cellStyle name="Normal 12 5 5 4" xfId="0"/>
    <cellStyle name="Normal 12 5 5 4 2" xfId="0"/>
    <cellStyle name="Normal 12 5 5 4 2 2" xfId="0"/>
    <cellStyle name="Normal 12 5 5 4 2 2 2" xfId="0"/>
    <cellStyle name="Normal 12 5 5 4 2 3" xfId="0"/>
    <cellStyle name="Normal 12 5 5 4 3" xfId="0"/>
    <cellStyle name="Normal 12 5 5 4 3 2" xfId="0"/>
    <cellStyle name="Normal 12 5 5 4 4" xfId="0"/>
    <cellStyle name="Normal 12 5 5 5" xfId="0"/>
    <cellStyle name="Normal 12 5 5 5 2" xfId="0"/>
    <cellStyle name="Normal 12 5 5 5 2 2" xfId="0"/>
    <cellStyle name="Normal 12 5 5 5 3" xfId="0"/>
    <cellStyle name="Normal 12 5 5 6" xfId="0"/>
    <cellStyle name="Normal 12 5 5 6 2" xfId="0"/>
    <cellStyle name="Normal 12 5 5 7" xfId="0"/>
    <cellStyle name="Normal 12 5 6" xfId="0"/>
    <cellStyle name="Normal 12 5 6 2" xfId="0"/>
    <cellStyle name="Normal 12 5 6 2 2" xfId="0"/>
    <cellStyle name="Normal 12 5 6 2 2 2" xfId="0"/>
    <cellStyle name="Normal 12 5 6 2 2 2 2" xfId="0"/>
    <cellStyle name="Normal 12 5 6 2 2 2 2 2" xfId="0"/>
    <cellStyle name="Normal 12 5 6 2 2 2 3" xfId="0"/>
    <cellStyle name="Normal 12 5 6 2 2 3" xfId="0"/>
    <cellStyle name="Normal 12 5 6 2 2 3 2" xfId="0"/>
    <cellStyle name="Normal 12 5 6 2 2 4" xfId="0"/>
    <cellStyle name="Normal 12 5 6 2 3" xfId="0"/>
    <cellStyle name="Normal 12 5 6 2 3 2" xfId="0"/>
    <cellStyle name="Normal 12 5 6 2 3 2 2" xfId="0"/>
    <cellStyle name="Normal 12 5 6 2 3 3" xfId="0"/>
    <cellStyle name="Normal 12 5 6 2 4" xfId="0"/>
    <cellStyle name="Normal 12 5 6 2 4 2" xfId="0"/>
    <cellStyle name="Normal 12 5 6 2 5" xfId="0"/>
    <cellStyle name="Normal 12 5 6 3" xfId="0"/>
    <cellStyle name="Normal 12 5 6 3 2" xfId="0"/>
    <cellStyle name="Normal 12 5 6 3 2 2" xfId="0"/>
    <cellStyle name="Normal 12 5 6 3 2 2 2" xfId="0"/>
    <cellStyle name="Normal 12 5 6 3 2 3" xfId="0"/>
    <cellStyle name="Normal 12 5 6 3 3" xfId="0"/>
    <cellStyle name="Normal 12 5 6 3 3 2" xfId="0"/>
    <cellStyle name="Normal 12 5 6 3 4" xfId="0"/>
    <cellStyle name="Normal 12 5 6 4" xfId="0"/>
    <cellStyle name="Normal 12 5 6 4 2" xfId="0"/>
    <cellStyle name="Normal 12 5 6 4 2 2" xfId="0"/>
    <cellStyle name="Normal 12 5 6 4 3" xfId="0"/>
    <cellStyle name="Normal 12 5 6 5" xfId="0"/>
    <cellStyle name="Normal 12 5 6 5 2" xfId="0"/>
    <cellStyle name="Normal 12 5 6 6" xfId="0"/>
    <cellStyle name="Normal 12 5 7" xfId="0"/>
    <cellStyle name="Normal 12 5 7 2" xfId="0"/>
    <cellStyle name="Normal 12 5 7 2 2" xfId="0"/>
    <cellStyle name="Normal 12 5 7 2 2 2" xfId="0"/>
    <cellStyle name="Normal 12 5 7 2 2 2 2" xfId="0"/>
    <cellStyle name="Normal 12 5 7 2 2 3" xfId="0"/>
    <cellStyle name="Normal 12 5 7 2 3" xfId="0"/>
    <cellStyle name="Normal 12 5 7 2 3 2" xfId="0"/>
    <cellStyle name="Normal 12 5 7 2 4" xfId="0"/>
    <cellStyle name="Normal 12 5 7 3" xfId="0"/>
    <cellStyle name="Normal 12 5 7 3 2" xfId="0"/>
    <cellStyle name="Normal 12 5 7 3 2 2" xfId="0"/>
    <cellStyle name="Normal 12 5 7 3 3" xfId="0"/>
    <cellStyle name="Normal 12 5 7 4" xfId="0"/>
    <cellStyle name="Normal 12 5 7 4 2" xfId="0"/>
    <cellStyle name="Normal 12 5 7 5" xfId="0"/>
    <cellStyle name="Normal 12 5 8" xfId="0"/>
    <cellStyle name="Normal 12 5 8 2" xfId="0"/>
    <cellStyle name="Normal 12 5 8 2 2" xfId="0"/>
    <cellStyle name="Normal 12 5 8 2 2 2" xfId="0"/>
    <cellStyle name="Normal 12 5 8 2 3" xfId="0"/>
    <cellStyle name="Normal 12 5 8 3" xfId="0"/>
    <cellStyle name="Normal 12 5 8 3 2" xfId="0"/>
    <cellStyle name="Normal 12 5 8 4" xfId="0"/>
    <cellStyle name="Normal 12 5 9" xfId="0"/>
    <cellStyle name="Normal 12 5 9 2" xfId="0"/>
    <cellStyle name="Normal 12 5 9 2 2" xfId="0"/>
    <cellStyle name="Normal 12 5 9 3" xfId="0"/>
    <cellStyle name="Normal 12 6" xfId="0"/>
    <cellStyle name="Normal 12 6 2" xfId="0"/>
    <cellStyle name="Normal 12 6 2 2" xfId="0"/>
    <cellStyle name="Normal 12 6 2 2 2" xfId="0"/>
    <cellStyle name="Normal 12 6 2 2 2 2" xfId="0"/>
    <cellStyle name="Normal 12 6 2 2 2 2 2" xfId="0"/>
    <cellStyle name="Normal 12 6 2 2 2 2 2 2" xfId="0"/>
    <cellStyle name="Normal 12 6 2 2 2 2 2 2 2" xfId="0"/>
    <cellStyle name="Normal 12 6 2 2 2 2 2 3" xfId="0"/>
    <cellStyle name="Normal 12 6 2 2 2 2 3" xfId="0"/>
    <cellStyle name="Normal 12 6 2 2 2 2 3 2" xfId="0"/>
    <cellStyle name="Normal 12 6 2 2 2 2 4" xfId="0"/>
    <cellStyle name="Normal 12 6 2 2 2 3" xfId="0"/>
    <cellStyle name="Normal 12 6 2 2 2 3 2" xfId="0"/>
    <cellStyle name="Normal 12 6 2 2 2 3 2 2" xfId="0"/>
    <cellStyle name="Normal 12 6 2 2 2 3 3" xfId="0"/>
    <cellStyle name="Normal 12 6 2 2 2 4" xfId="0"/>
    <cellStyle name="Normal 12 6 2 2 2 4 2" xfId="0"/>
    <cellStyle name="Normal 12 6 2 2 2 5" xfId="0"/>
    <cellStyle name="Normal 12 6 2 2 3" xfId="0"/>
    <cellStyle name="Normal 12 6 2 2 3 2" xfId="0"/>
    <cellStyle name="Normal 12 6 2 2 3 2 2" xfId="0"/>
    <cellStyle name="Normal 12 6 2 2 3 2 2 2" xfId="0"/>
    <cellStyle name="Normal 12 6 2 2 3 2 3" xfId="0"/>
    <cellStyle name="Normal 12 6 2 2 3 3" xfId="0"/>
    <cellStyle name="Normal 12 6 2 2 3 3 2" xfId="0"/>
    <cellStyle name="Normal 12 6 2 2 3 4" xfId="0"/>
    <cellStyle name="Normal 12 6 2 2 4" xfId="0"/>
    <cellStyle name="Normal 12 6 2 2 4 2" xfId="0"/>
    <cellStyle name="Normal 12 6 2 2 4 2 2" xfId="0"/>
    <cellStyle name="Normal 12 6 2 2 4 3" xfId="0"/>
    <cellStyle name="Normal 12 6 2 2 5" xfId="0"/>
    <cellStyle name="Normal 12 6 2 2 5 2" xfId="0"/>
    <cellStyle name="Normal 12 6 2 2 6" xfId="0"/>
    <cellStyle name="Normal 12 6 2 3" xfId="0"/>
    <cellStyle name="Normal 12 6 2 3 2" xfId="0"/>
    <cellStyle name="Normal 12 6 2 3 2 2" xfId="0"/>
    <cellStyle name="Normal 12 6 2 3 2 2 2" xfId="0"/>
    <cellStyle name="Normal 12 6 2 3 2 2 2 2" xfId="0"/>
    <cellStyle name="Normal 12 6 2 3 2 2 3" xfId="0"/>
    <cellStyle name="Normal 12 6 2 3 2 3" xfId="0"/>
    <cellStyle name="Normal 12 6 2 3 2 3 2" xfId="0"/>
    <cellStyle name="Normal 12 6 2 3 2 4" xfId="0"/>
    <cellStyle name="Normal 12 6 2 3 3" xfId="0"/>
    <cellStyle name="Normal 12 6 2 3 3 2" xfId="0"/>
    <cellStyle name="Normal 12 6 2 3 3 2 2" xfId="0"/>
    <cellStyle name="Normal 12 6 2 3 3 3" xfId="0"/>
    <cellStyle name="Normal 12 6 2 3 4" xfId="0"/>
    <cellStyle name="Normal 12 6 2 3 4 2" xfId="0"/>
    <cellStyle name="Normal 12 6 2 3 5" xfId="0"/>
    <cellStyle name="Normal 12 6 2 4" xfId="0"/>
    <cellStyle name="Normal 12 6 2 4 2" xfId="0"/>
    <cellStyle name="Normal 12 6 2 4 2 2" xfId="0"/>
    <cellStyle name="Normal 12 6 2 4 2 2 2" xfId="0"/>
    <cellStyle name="Normal 12 6 2 4 2 3" xfId="0"/>
    <cellStyle name="Normal 12 6 2 4 3" xfId="0"/>
    <cellStyle name="Normal 12 6 2 4 3 2" xfId="0"/>
    <cellStyle name="Normal 12 6 2 4 4" xfId="0"/>
    <cellStyle name="Normal 12 6 2 5" xfId="0"/>
    <cellStyle name="Normal 12 6 2 5 2" xfId="0"/>
    <cellStyle name="Normal 12 6 2 5 2 2" xfId="0"/>
    <cellStyle name="Normal 12 6 2 5 3" xfId="0"/>
    <cellStyle name="Normal 12 6 2 6" xfId="0"/>
    <cellStyle name="Normal 12 6 2 6 2" xfId="0"/>
    <cellStyle name="Normal 12 6 2 7" xfId="0"/>
    <cellStyle name="Normal 12 6 3" xfId="0"/>
    <cellStyle name="Normal 12 6 3 2" xfId="0"/>
    <cellStyle name="Normal 12 6 3 2 2" xfId="0"/>
    <cellStyle name="Normal 12 6 3 2 2 2" xfId="0"/>
    <cellStyle name="Normal 12 6 3 2 2 2 2" xfId="0"/>
    <cellStyle name="Normal 12 6 3 2 2 2 2 2" xfId="0"/>
    <cellStyle name="Normal 12 6 3 2 2 2 3" xfId="0"/>
    <cellStyle name="Normal 12 6 3 2 2 3" xfId="0"/>
    <cellStyle name="Normal 12 6 3 2 2 3 2" xfId="0"/>
    <cellStyle name="Normal 12 6 3 2 2 4" xfId="0"/>
    <cellStyle name="Normal 12 6 3 2 3" xfId="0"/>
    <cellStyle name="Normal 12 6 3 2 3 2" xfId="0"/>
    <cellStyle name="Normal 12 6 3 2 3 2 2" xfId="0"/>
    <cellStyle name="Normal 12 6 3 2 3 3" xfId="0"/>
    <cellStyle name="Normal 12 6 3 2 4" xfId="0"/>
    <cellStyle name="Normal 12 6 3 2 4 2" xfId="0"/>
    <cellStyle name="Normal 12 6 3 2 5" xfId="0"/>
    <cellStyle name="Normal 12 6 3 3" xfId="0"/>
    <cellStyle name="Normal 12 6 3 3 2" xfId="0"/>
    <cellStyle name="Normal 12 6 3 3 2 2" xfId="0"/>
    <cellStyle name="Normal 12 6 3 3 2 2 2" xfId="0"/>
    <cellStyle name="Normal 12 6 3 3 2 3" xfId="0"/>
    <cellStyle name="Normal 12 6 3 3 3" xfId="0"/>
    <cellStyle name="Normal 12 6 3 3 3 2" xfId="0"/>
    <cellStyle name="Normal 12 6 3 3 4" xfId="0"/>
    <cellStyle name="Normal 12 6 3 4" xfId="0"/>
    <cellStyle name="Normal 12 6 3 4 2" xfId="0"/>
    <cellStyle name="Normal 12 6 3 4 2 2" xfId="0"/>
    <cellStyle name="Normal 12 6 3 4 3" xfId="0"/>
    <cellStyle name="Normal 12 6 3 5" xfId="0"/>
    <cellStyle name="Normal 12 6 3 5 2" xfId="0"/>
    <cellStyle name="Normal 12 6 3 6" xfId="0"/>
    <cellStyle name="Normal 12 6 4" xfId="0"/>
    <cellStyle name="Normal 12 6 4 2" xfId="0"/>
    <cellStyle name="Normal 12 6 4 2 2" xfId="0"/>
    <cellStyle name="Normal 12 6 4 2 2 2" xfId="0"/>
    <cellStyle name="Normal 12 6 4 2 2 2 2" xfId="0"/>
    <cellStyle name="Normal 12 6 4 2 2 3" xfId="0"/>
    <cellStyle name="Normal 12 6 4 2 3" xfId="0"/>
    <cellStyle name="Normal 12 6 4 2 3 2" xfId="0"/>
    <cellStyle name="Normal 12 6 4 2 4" xfId="0"/>
    <cellStyle name="Normal 12 6 4 3" xfId="0"/>
    <cellStyle name="Normal 12 6 4 3 2" xfId="0"/>
    <cellStyle name="Normal 12 6 4 3 2 2" xfId="0"/>
    <cellStyle name="Normal 12 6 4 3 3" xfId="0"/>
    <cellStyle name="Normal 12 6 4 4" xfId="0"/>
    <cellStyle name="Normal 12 6 4 4 2" xfId="0"/>
    <cellStyle name="Normal 12 6 4 5" xfId="0"/>
    <cellStyle name="Normal 12 6 5" xfId="0"/>
    <cellStyle name="Normal 12 6 5 2" xfId="0"/>
    <cellStyle name="Normal 12 6 5 2 2" xfId="0"/>
    <cellStyle name="Normal 12 6 5 2 2 2" xfId="0"/>
    <cellStyle name="Normal 12 6 5 2 3" xfId="0"/>
    <cellStyle name="Normal 12 6 5 3" xfId="0"/>
    <cellStyle name="Normal 12 6 5 3 2" xfId="0"/>
    <cellStyle name="Normal 12 6 5 4" xfId="0"/>
    <cellStyle name="Normal 12 6 6" xfId="0"/>
    <cellStyle name="Normal 12 6 6 2" xfId="0"/>
    <cellStyle name="Normal 12 6 6 2 2" xfId="0"/>
    <cellStyle name="Normal 12 6 6 3" xfId="0"/>
    <cellStyle name="Normal 12 6 7" xfId="0"/>
    <cellStyle name="Normal 12 6 7 2" xfId="0"/>
    <cellStyle name="Normal 12 6 8" xfId="0"/>
    <cellStyle name="Normal 12 7" xfId="0"/>
    <cellStyle name="Normal 12 7 2" xfId="0"/>
    <cellStyle name="Normal 12 7 2 2" xfId="0"/>
    <cellStyle name="Normal 12 7 2 2 2" xfId="0"/>
    <cellStyle name="Normal 12 7 2 2 2 2" xfId="0"/>
    <cellStyle name="Normal 12 7 2 2 2 2 2" xfId="0"/>
    <cellStyle name="Normal 12 7 2 2 2 2 2 2" xfId="0"/>
    <cellStyle name="Normal 12 7 2 2 2 2 2 2 2" xfId="0"/>
    <cellStyle name="Normal 12 7 2 2 2 2 2 3" xfId="0"/>
    <cellStyle name="Normal 12 7 2 2 2 2 3" xfId="0"/>
    <cellStyle name="Normal 12 7 2 2 2 2 3 2" xfId="0"/>
    <cellStyle name="Normal 12 7 2 2 2 2 4" xfId="0"/>
    <cellStyle name="Normal 12 7 2 2 2 3" xfId="0"/>
    <cellStyle name="Normal 12 7 2 2 2 3 2" xfId="0"/>
    <cellStyle name="Normal 12 7 2 2 2 3 2 2" xfId="0"/>
    <cellStyle name="Normal 12 7 2 2 2 3 3" xfId="0"/>
    <cellStyle name="Normal 12 7 2 2 2 4" xfId="0"/>
    <cellStyle name="Normal 12 7 2 2 2 4 2" xfId="0"/>
    <cellStyle name="Normal 12 7 2 2 2 5" xfId="0"/>
    <cellStyle name="Normal 12 7 2 2 3" xfId="0"/>
    <cellStyle name="Normal 12 7 2 2 3 2" xfId="0"/>
    <cellStyle name="Normal 12 7 2 2 3 2 2" xfId="0"/>
    <cellStyle name="Normal 12 7 2 2 3 2 2 2" xfId="0"/>
    <cellStyle name="Normal 12 7 2 2 3 2 3" xfId="0"/>
    <cellStyle name="Normal 12 7 2 2 3 3" xfId="0"/>
    <cellStyle name="Normal 12 7 2 2 3 3 2" xfId="0"/>
    <cellStyle name="Normal 12 7 2 2 3 4" xfId="0"/>
    <cellStyle name="Normal 12 7 2 2 4" xfId="0"/>
    <cellStyle name="Normal 12 7 2 2 4 2" xfId="0"/>
    <cellStyle name="Normal 12 7 2 2 4 2 2" xfId="0"/>
    <cellStyle name="Normal 12 7 2 2 4 3" xfId="0"/>
    <cellStyle name="Normal 12 7 2 2 5" xfId="0"/>
    <cellStyle name="Normal 12 7 2 2 5 2" xfId="0"/>
    <cellStyle name="Normal 12 7 2 2 6" xfId="0"/>
    <cellStyle name="Normal 12 7 2 3" xfId="0"/>
    <cellStyle name="Normal 12 7 2 3 2" xfId="0"/>
    <cellStyle name="Normal 12 7 2 3 2 2" xfId="0"/>
    <cellStyle name="Normal 12 7 2 3 2 2 2" xfId="0"/>
    <cellStyle name="Normal 12 7 2 3 2 2 2 2" xfId="0"/>
    <cellStyle name="Normal 12 7 2 3 2 2 3" xfId="0"/>
    <cellStyle name="Normal 12 7 2 3 2 3" xfId="0"/>
    <cellStyle name="Normal 12 7 2 3 2 3 2" xfId="0"/>
    <cellStyle name="Normal 12 7 2 3 2 4" xfId="0"/>
    <cellStyle name="Normal 12 7 2 3 3" xfId="0"/>
    <cellStyle name="Normal 12 7 2 3 3 2" xfId="0"/>
    <cellStyle name="Normal 12 7 2 3 3 2 2" xfId="0"/>
    <cellStyle name="Normal 12 7 2 3 3 3" xfId="0"/>
    <cellStyle name="Normal 12 7 2 3 4" xfId="0"/>
    <cellStyle name="Normal 12 7 2 3 4 2" xfId="0"/>
    <cellStyle name="Normal 12 7 2 3 5" xfId="0"/>
    <cellStyle name="Normal 12 7 2 4" xfId="0"/>
    <cellStyle name="Normal 12 7 2 4 2" xfId="0"/>
    <cellStyle name="Normal 12 7 2 4 2 2" xfId="0"/>
    <cellStyle name="Normal 12 7 2 4 2 2 2" xfId="0"/>
    <cellStyle name="Normal 12 7 2 4 2 3" xfId="0"/>
    <cellStyle name="Normal 12 7 2 4 3" xfId="0"/>
    <cellStyle name="Normal 12 7 2 4 3 2" xfId="0"/>
    <cellStyle name="Normal 12 7 2 4 4" xfId="0"/>
    <cellStyle name="Normal 12 7 2 5" xfId="0"/>
    <cellStyle name="Normal 12 7 2 5 2" xfId="0"/>
    <cellStyle name="Normal 12 7 2 5 2 2" xfId="0"/>
    <cellStyle name="Normal 12 7 2 5 3" xfId="0"/>
    <cellStyle name="Normal 12 7 2 6" xfId="0"/>
    <cellStyle name="Normal 12 7 2 6 2" xfId="0"/>
    <cellStyle name="Normal 12 7 2 7" xfId="0"/>
    <cellStyle name="Normal 12 7 3" xfId="0"/>
    <cellStyle name="Normal 12 7 3 2" xfId="0"/>
    <cellStyle name="Normal 12 7 3 2 2" xfId="0"/>
    <cellStyle name="Normal 12 7 3 2 2 2" xfId="0"/>
    <cellStyle name="Normal 12 7 3 2 2 2 2" xfId="0"/>
    <cellStyle name="Normal 12 7 3 2 2 2 2 2" xfId="0"/>
    <cellStyle name="Normal 12 7 3 2 2 2 3" xfId="0"/>
    <cellStyle name="Normal 12 7 3 2 2 3" xfId="0"/>
    <cellStyle name="Normal 12 7 3 2 2 3 2" xfId="0"/>
    <cellStyle name="Normal 12 7 3 2 2 4" xfId="0"/>
    <cellStyle name="Normal 12 7 3 2 3" xfId="0"/>
    <cellStyle name="Normal 12 7 3 2 3 2" xfId="0"/>
    <cellStyle name="Normal 12 7 3 2 3 2 2" xfId="0"/>
    <cellStyle name="Normal 12 7 3 2 3 3" xfId="0"/>
    <cellStyle name="Normal 12 7 3 2 4" xfId="0"/>
    <cellStyle name="Normal 12 7 3 2 4 2" xfId="0"/>
    <cellStyle name="Normal 12 7 3 2 5" xfId="0"/>
    <cellStyle name="Normal 12 7 3 3" xfId="0"/>
    <cellStyle name="Normal 12 7 3 3 2" xfId="0"/>
    <cellStyle name="Normal 12 7 3 3 2 2" xfId="0"/>
    <cellStyle name="Normal 12 7 3 3 2 2 2" xfId="0"/>
    <cellStyle name="Normal 12 7 3 3 2 3" xfId="0"/>
    <cellStyle name="Normal 12 7 3 3 3" xfId="0"/>
    <cellStyle name="Normal 12 7 3 3 3 2" xfId="0"/>
    <cellStyle name="Normal 12 7 3 3 4" xfId="0"/>
    <cellStyle name="Normal 12 7 3 4" xfId="0"/>
    <cellStyle name="Normal 12 7 3 4 2" xfId="0"/>
    <cellStyle name="Normal 12 7 3 4 2 2" xfId="0"/>
    <cellStyle name="Normal 12 7 3 4 3" xfId="0"/>
    <cellStyle name="Normal 12 7 3 5" xfId="0"/>
    <cellStyle name="Normal 12 7 3 5 2" xfId="0"/>
    <cellStyle name="Normal 12 7 3 6" xfId="0"/>
    <cellStyle name="Normal 12 7 4" xfId="0"/>
    <cellStyle name="Normal 12 7 4 2" xfId="0"/>
    <cellStyle name="Normal 12 7 4 2 2" xfId="0"/>
    <cellStyle name="Normal 12 7 4 2 2 2" xfId="0"/>
    <cellStyle name="Normal 12 7 4 2 2 2 2" xfId="0"/>
    <cellStyle name="Normal 12 7 4 2 2 3" xfId="0"/>
    <cellStyle name="Normal 12 7 4 2 3" xfId="0"/>
    <cellStyle name="Normal 12 7 4 2 3 2" xfId="0"/>
    <cellStyle name="Normal 12 7 4 2 4" xfId="0"/>
    <cellStyle name="Normal 12 7 4 3" xfId="0"/>
    <cellStyle name="Normal 12 7 4 3 2" xfId="0"/>
    <cellStyle name="Normal 12 7 4 3 2 2" xfId="0"/>
    <cellStyle name="Normal 12 7 4 3 3" xfId="0"/>
    <cellStyle name="Normal 12 7 4 4" xfId="0"/>
    <cellStyle name="Normal 12 7 4 4 2" xfId="0"/>
    <cellStyle name="Normal 12 7 4 5" xfId="0"/>
    <cellStyle name="Normal 12 7 5" xfId="0"/>
    <cellStyle name="Normal 12 7 5 2" xfId="0"/>
    <cellStyle name="Normal 12 7 5 2 2" xfId="0"/>
    <cellStyle name="Normal 12 7 5 2 2 2" xfId="0"/>
    <cellStyle name="Normal 12 7 5 2 3" xfId="0"/>
    <cellStyle name="Normal 12 7 5 3" xfId="0"/>
    <cellStyle name="Normal 12 7 5 3 2" xfId="0"/>
    <cellStyle name="Normal 12 7 5 4" xfId="0"/>
    <cellStyle name="Normal 12 7 6" xfId="0"/>
    <cellStyle name="Normal 12 7 6 2" xfId="0"/>
    <cellStyle name="Normal 12 7 6 2 2" xfId="0"/>
    <cellStyle name="Normal 12 7 6 3" xfId="0"/>
    <cellStyle name="Normal 12 7 7" xfId="0"/>
    <cellStyle name="Normal 12 7 7 2" xfId="0"/>
    <cellStyle name="Normal 12 7 8" xfId="0"/>
    <cellStyle name="Normal 12 8" xfId="0"/>
    <cellStyle name="Normal 12 8 2" xfId="0"/>
    <cellStyle name="Normal 12 8 2 2" xfId="0"/>
    <cellStyle name="Normal 12 8 2 2 2" xfId="0"/>
    <cellStyle name="Normal 12 8 2 2 2 2" xfId="0"/>
    <cellStyle name="Normal 12 8 2 2 2 2 2" xfId="0"/>
    <cellStyle name="Normal 12 8 2 2 2 2 2 2" xfId="0"/>
    <cellStyle name="Normal 12 8 2 2 2 2 3" xfId="0"/>
    <cellStyle name="Normal 12 8 2 2 2 3" xfId="0"/>
    <cellStyle name="Normal 12 8 2 2 2 3 2" xfId="0"/>
    <cellStyle name="Normal 12 8 2 2 2 4" xfId="0"/>
    <cellStyle name="Normal 12 8 2 2 3" xfId="0"/>
    <cellStyle name="Normal 12 8 2 2 3 2" xfId="0"/>
    <cellStyle name="Normal 12 8 2 2 3 2 2" xfId="0"/>
    <cellStyle name="Normal 12 8 2 2 3 3" xfId="0"/>
    <cellStyle name="Normal 12 8 2 2 4" xfId="0"/>
    <cellStyle name="Normal 12 8 2 2 4 2" xfId="0"/>
    <cellStyle name="Normal 12 8 2 2 5" xfId="0"/>
    <cellStyle name="Normal 12 8 2 3" xfId="0"/>
    <cellStyle name="Normal 12 8 2 3 2" xfId="0"/>
    <cellStyle name="Normal 12 8 2 3 2 2" xfId="0"/>
    <cellStyle name="Normal 12 8 2 3 2 2 2" xfId="0"/>
    <cellStyle name="Normal 12 8 2 3 2 3" xfId="0"/>
    <cellStyle name="Normal 12 8 2 3 3" xfId="0"/>
    <cellStyle name="Normal 12 8 2 3 3 2" xfId="0"/>
    <cellStyle name="Normal 12 8 2 3 4" xfId="0"/>
    <cellStyle name="Normal 12 8 2 4" xfId="0"/>
    <cellStyle name="Normal 12 8 2 4 2" xfId="0"/>
    <cellStyle name="Normal 12 8 2 4 2 2" xfId="0"/>
    <cellStyle name="Normal 12 8 2 4 3" xfId="0"/>
    <cellStyle name="Normal 12 8 2 5" xfId="0"/>
    <cellStyle name="Normal 12 8 2 5 2" xfId="0"/>
    <cellStyle name="Normal 12 8 2 6" xfId="0"/>
    <cellStyle name="Normal 12 8 3" xfId="0"/>
    <cellStyle name="Normal 12 8 3 2" xfId="0"/>
    <cellStyle name="Normal 12 8 3 2 2" xfId="0"/>
    <cellStyle name="Normal 12 8 3 2 2 2" xfId="0"/>
    <cellStyle name="Normal 12 8 3 2 2 2 2" xfId="0"/>
    <cellStyle name="Normal 12 8 3 2 2 3" xfId="0"/>
    <cellStyle name="Normal 12 8 3 2 3" xfId="0"/>
    <cellStyle name="Normal 12 8 3 2 3 2" xfId="0"/>
    <cellStyle name="Normal 12 8 3 2 4" xfId="0"/>
    <cellStyle name="Normal 12 8 3 3" xfId="0"/>
    <cellStyle name="Normal 12 8 3 3 2" xfId="0"/>
    <cellStyle name="Normal 12 8 3 3 2 2" xfId="0"/>
    <cellStyle name="Normal 12 8 3 3 3" xfId="0"/>
    <cellStyle name="Normal 12 8 3 4" xfId="0"/>
    <cellStyle name="Normal 12 8 3 4 2" xfId="0"/>
    <cellStyle name="Normal 12 8 3 5" xfId="0"/>
    <cellStyle name="Normal 12 8 4" xfId="0"/>
    <cellStyle name="Normal 12 8 4 2" xfId="0"/>
    <cellStyle name="Normal 12 8 4 2 2" xfId="0"/>
    <cellStyle name="Normal 12 8 4 2 2 2" xfId="0"/>
    <cellStyle name="Normal 12 8 4 2 3" xfId="0"/>
    <cellStyle name="Normal 12 8 4 3" xfId="0"/>
    <cellStyle name="Normal 12 8 4 3 2" xfId="0"/>
    <cellStyle name="Normal 12 8 4 4" xfId="0"/>
    <cellStyle name="Normal 12 8 5" xfId="0"/>
    <cellStyle name="Normal 12 8 5 2" xfId="0"/>
    <cellStyle name="Normal 12 8 5 2 2" xfId="0"/>
    <cellStyle name="Normal 12 8 5 3" xfId="0"/>
    <cellStyle name="Normal 12 8 6" xfId="0"/>
    <cellStyle name="Normal 12 8 6 2" xfId="0"/>
    <cellStyle name="Normal 12 8 7" xfId="0"/>
    <cellStyle name="Normal 12 9" xfId="0"/>
    <cellStyle name="Normal 12 9 2" xfId="0"/>
    <cellStyle name="Normal 12 9 2 2" xfId="0"/>
    <cellStyle name="Normal 12 9 2 2 2" xfId="0"/>
    <cellStyle name="Normal 12 9 2 2 2 2" xfId="0"/>
    <cellStyle name="Normal 12 9 2 2 2 2 2" xfId="0"/>
    <cellStyle name="Normal 12 9 2 2 2 2 2 2" xfId="0"/>
    <cellStyle name="Normal 12 9 2 2 2 2 3" xfId="0"/>
    <cellStyle name="Normal 12 9 2 2 2 3" xfId="0"/>
    <cellStyle name="Normal 12 9 2 2 2 3 2" xfId="0"/>
    <cellStyle name="Normal 12 9 2 2 2 4" xfId="0"/>
    <cellStyle name="Normal 12 9 2 2 3" xfId="0"/>
    <cellStyle name="Normal 12 9 2 2 3 2" xfId="0"/>
    <cellStyle name="Normal 12 9 2 2 3 2 2" xfId="0"/>
    <cellStyle name="Normal 12 9 2 2 3 3" xfId="0"/>
    <cellStyle name="Normal 12 9 2 2 4" xfId="0"/>
    <cellStyle name="Normal 12 9 2 2 4 2" xfId="0"/>
    <cellStyle name="Normal 12 9 2 2 5" xfId="0"/>
    <cellStyle name="Normal 12 9 2 3" xfId="0"/>
    <cellStyle name="Normal 12 9 2 3 2" xfId="0"/>
    <cellStyle name="Normal 12 9 2 3 2 2" xfId="0"/>
    <cellStyle name="Normal 12 9 2 3 2 2 2" xfId="0"/>
    <cellStyle name="Normal 12 9 2 3 2 3" xfId="0"/>
    <cellStyle name="Normal 12 9 2 3 3" xfId="0"/>
    <cellStyle name="Normal 12 9 2 3 3 2" xfId="0"/>
    <cellStyle name="Normal 12 9 2 3 4" xfId="0"/>
    <cellStyle name="Normal 12 9 2 4" xfId="0"/>
    <cellStyle name="Normal 12 9 2 4 2" xfId="0"/>
    <cellStyle name="Normal 12 9 2 4 2 2" xfId="0"/>
    <cellStyle name="Normal 12 9 2 4 3" xfId="0"/>
    <cellStyle name="Normal 12 9 2 5" xfId="0"/>
    <cellStyle name="Normal 12 9 2 5 2" xfId="0"/>
    <cellStyle name="Normal 12 9 2 6" xfId="0"/>
    <cellStyle name="Normal 12 9 3" xfId="0"/>
    <cellStyle name="Normal 12 9 3 2" xfId="0"/>
    <cellStyle name="Normal 12 9 3 2 2" xfId="0"/>
    <cellStyle name="Normal 12 9 3 2 2 2" xfId="0"/>
    <cellStyle name="Normal 12 9 3 2 2 2 2" xfId="0"/>
    <cellStyle name="Normal 12 9 3 2 2 3" xfId="0"/>
    <cellStyle name="Normal 12 9 3 2 3" xfId="0"/>
    <cellStyle name="Normal 12 9 3 2 3 2" xfId="0"/>
    <cellStyle name="Normal 12 9 3 2 4" xfId="0"/>
    <cellStyle name="Normal 12 9 3 3" xfId="0"/>
    <cellStyle name="Normal 12 9 3 3 2" xfId="0"/>
    <cellStyle name="Normal 12 9 3 3 2 2" xfId="0"/>
    <cellStyle name="Normal 12 9 3 3 3" xfId="0"/>
    <cellStyle name="Normal 12 9 3 4" xfId="0"/>
    <cellStyle name="Normal 12 9 3 4 2" xfId="0"/>
    <cellStyle name="Normal 12 9 3 5" xfId="0"/>
    <cellStyle name="Normal 12 9 4" xfId="0"/>
    <cellStyle name="Normal 12 9 4 2" xfId="0"/>
    <cellStyle name="Normal 12 9 4 2 2" xfId="0"/>
    <cellStyle name="Normal 12 9 4 2 2 2" xfId="0"/>
    <cellStyle name="Normal 12 9 4 2 3" xfId="0"/>
    <cellStyle name="Normal 12 9 4 3" xfId="0"/>
    <cellStyle name="Normal 12 9 4 3 2" xfId="0"/>
    <cellStyle name="Normal 12 9 4 4" xfId="0"/>
    <cellStyle name="Normal 12 9 5" xfId="0"/>
    <cellStyle name="Normal 12 9 5 2" xfId="0"/>
    <cellStyle name="Normal 12 9 5 2 2" xfId="0"/>
    <cellStyle name="Normal 12 9 5 3" xfId="0"/>
    <cellStyle name="Normal 12 9 6" xfId="0"/>
    <cellStyle name="Normal 12 9 6 2" xfId="0"/>
    <cellStyle name="Normal 12 9 7" xfId="0"/>
    <cellStyle name="Normal 120" xfId="0"/>
    <cellStyle name="Normal 120 2" xfId="0"/>
    <cellStyle name="Normal 120 2 2" xfId="0"/>
    <cellStyle name="Normal 120 2 2 2" xfId="0"/>
    <cellStyle name="Normal 120 2 2 2 2" xfId="0"/>
    <cellStyle name="Normal 120 2 2 2 2 2" xfId="0"/>
    <cellStyle name="Normal 120 2 2 2 3" xfId="0"/>
    <cellStyle name="Normal 120 2 2 3" xfId="0"/>
    <cellStyle name="Normal 120 2 2 3 2" xfId="0"/>
    <cellStyle name="Normal 120 2 2 4" xfId="0"/>
    <cellStyle name="Normal 120 2 3" xfId="0"/>
    <cellStyle name="Normal 120 2 3 2" xfId="0"/>
    <cellStyle name="Normal 120 2 3 2 2" xfId="0"/>
    <cellStyle name="Normal 120 2 3 3" xfId="0"/>
    <cellStyle name="Normal 120 2 4" xfId="0"/>
    <cellStyle name="Normal 120 2 4 2" xfId="0"/>
    <cellStyle name="Normal 120 2 5" xfId="0"/>
    <cellStyle name="Normal 120 3" xfId="0"/>
    <cellStyle name="Normal 120 3 2" xfId="0"/>
    <cellStyle name="Normal 120 3 2 2" xfId="0"/>
    <cellStyle name="Normal 120 3 2 2 2" xfId="0"/>
    <cellStyle name="Normal 120 3 2 3" xfId="0"/>
    <cellStyle name="Normal 120 3 3" xfId="0"/>
    <cellStyle name="Normal 120 3 3 2" xfId="0"/>
    <cellStyle name="Normal 120 3 4" xfId="0"/>
    <cellStyle name="Normal 120 4" xfId="0"/>
    <cellStyle name="Normal 120 4 2" xfId="0"/>
    <cellStyle name="Normal 120 4 2 2" xfId="0"/>
    <cellStyle name="Normal 120 4 3" xfId="0"/>
    <cellStyle name="Normal 120 5" xfId="0"/>
    <cellStyle name="Normal 120 5 2" xfId="0"/>
    <cellStyle name="Normal 120 6" xfId="0"/>
    <cellStyle name="Normal 121" xfId="0"/>
    <cellStyle name="Normal 121 2" xfId="0"/>
    <cellStyle name="Normal 121 2 2" xfId="0"/>
    <cellStyle name="Normal 121 2 2 2" xfId="0"/>
    <cellStyle name="Normal 121 2 2 2 2" xfId="0"/>
    <cellStyle name="Normal 121 2 2 2 2 2" xfId="0"/>
    <cellStyle name="Normal 121 2 2 2 3" xfId="0"/>
    <cellStyle name="Normal 121 2 2 3" xfId="0"/>
    <cellStyle name="Normal 121 2 2 3 2" xfId="0"/>
    <cellStyle name="Normal 121 2 2 4" xfId="0"/>
    <cellStyle name="Normal 121 2 3" xfId="0"/>
    <cellStyle name="Normal 121 2 3 2" xfId="0"/>
    <cellStyle name="Normal 121 2 3 2 2" xfId="0"/>
    <cellStyle name="Normal 121 2 3 3" xfId="0"/>
    <cellStyle name="Normal 121 2 4" xfId="0"/>
    <cellStyle name="Normal 121 2 4 2" xfId="0"/>
    <cellStyle name="Normal 121 2 5" xfId="0"/>
    <cellStyle name="Normal 121 3" xfId="0"/>
    <cellStyle name="Normal 121 3 2" xfId="0"/>
    <cellStyle name="Normal 121 3 2 2" xfId="0"/>
    <cellStyle name="Normal 121 3 2 2 2" xfId="0"/>
    <cellStyle name="Normal 121 3 2 3" xfId="0"/>
    <cellStyle name="Normal 121 3 3" xfId="0"/>
    <cellStyle name="Normal 121 3 3 2" xfId="0"/>
    <cellStyle name="Normal 121 3 4" xfId="0"/>
    <cellStyle name="Normal 121 4" xfId="0"/>
    <cellStyle name="Normal 121 4 2" xfId="0"/>
    <cellStyle name="Normal 121 4 2 2" xfId="0"/>
    <cellStyle name="Normal 121 4 3" xfId="0"/>
    <cellStyle name="Normal 121 5" xfId="0"/>
    <cellStyle name="Normal 121 5 2" xfId="0"/>
    <cellStyle name="Normal 121 6" xfId="0"/>
    <cellStyle name="Normal 122" xfId="0"/>
    <cellStyle name="Normal 122 2" xfId="0"/>
    <cellStyle name="Normal 122 2 2" xfId="0"/>
    <cellStyle name="Normal 122 2 2 2" xfId="0"/>
    <cellStyle name="Normal 122 2 2 2 2" xfId="0"/>
    <cellStyle name="Normal 122 2 2 2 2 2" xfId="0"/>
    <cellStyle name="Normal 122 2 2 2 3" xfId="0"/>
    <cellStyle name="Normal 122 2 2 3" xfId="0"/>
    <cellStyle name="Normal 122 2 2 3 2" xfId="0"/>
    <cellStyle name="Normal 122 2 2 4" xfId="0"/>
    <cellStyle name="Normal 122 2 3" xfId="0"/>
    <cellStyle name="Normal 122 2 3 2" xfId="0"/>
    <cellStyle name="Normal 122 2 3 2 2" xfId="0"/>
    <cellStyle name="Normal 122 2 3 3" xfId="0"/>
    <cellStyle name="Normal 122 2 4" xfId="0"/>
    <cellStyle name="Normal 122 2 4 2" xfId="0"/>
    <cellStyle name="Normal 122 2 5" xfId="0"/>
    <cellStyle name="Normal 122 3" xfId="0"/>
    <cellStyle name="Normal 122 3 2" xfId="0"/>
    <cellStyle name="Normal 122 3 2 2" xfId="0"/>
    <cellStyle name="Normal 122 3 2 2 2" xfId="0"/>
    <cellStyle name="Normal 122 3 2 3" xfId="0"/>
    <cellStyle name="Normal 122 3 3" xfId="0"/>
    <cellStyle name="Normal 122 3 3 2" xfId="0"/>
    <cellStyle name="Normal 122 3 4" xfId="0"/>
    <cellStyle name="Normal 122 4" xfId="0"/>
    <cellStyle name="Normal 122 4 2" xfId="0"/>
    <cellStyle name="Normal 122 4 2 2" xfId="0"/>
    <cellStyle name="Normal 122 4 3" xfId="0"/>
    <cellStyle name="Normal 122 5" xfId="0"/>
    <cellStyle name="Normal 122 5 2" xfId="0"/>
    <cellStyle name="Normal 122 6" xfId="0"/>
    <cellStyle name="Normal 123" xfId="0"/>
    <cellStyle name="Normal 124" xfId="0"/>
    <cellStyle name="Normal 125" xfId="0"/>
    <cellStyle name="Normal 126" xfId="0"/>
    <cellStyle name="Normal 127" xfId="0"/>
    <cellStyle name="Normal 128" xfId="0"/>
    <cellStyle name="Normal 129" xfId="0"/>
    <cellStyle name="Normal 13" xfId="0"/>
    <cellStyle name="Normal 13 2" xfId="0"/>
    <cellStyle name="Normal 13 2 2" xfId="0"/>
    <cellStyle name="Normal 13 3" xfId="0"/>
    <cellStyle name="Normal 13 4" xfId="0"/>
    <cellStyle name="Normal 13 5" xfId="0"/>
    <cellStyle name="Normal 130" xfId="0"/>
    <cellStyle name="Normal 131" xfId="0"/>
    <cellStyle name="Normal 132" xfId="0"/>
    <cellStyle name="Normal 133" xfId="0"/>
    <cellStyle name="Normal 134" xfId="0"/>
    <cellStyle name="Normal 135" xfId="0"/>
    <cellStyle name="Normal 136" xfId="0"/>
    <cellStyle name="Normal 137" xfId="0"/>
    <cellStyle name="Normal 138" xfId="0"/>
    <cellStyle name="Normal 139" xfId="0"/>
    <cellStyle name="Normal 14" xfId="0"/>
    <cellStyle name="Normal 14 2" xfId="0"/>
    <cellStyle name="Normal 14 2 2" xfId="0"/>
    <cellStyle name="Normal 14 3" xfId="0"/>
    <cellStyle name="Normal 14 4" xfId="0"/>
    <cellStyle name="Normal 14 5" xfId="0"/>
    <cellStyle name="Normal 140" xfId="0"/>
    <cellStyle name="Normal 141" xfId="0"/>
    <cellStyle name="Normal 142" xfId="0"/>
    <cellStyle name="Normal 143" xfId="0"/>
    <cellStyle name="Normal 144" xfId="0"/>
    <cellStyle name="Normal 145" xfId="0"/>
    <cellStyle name="Normal 146" xfId="0"/>
    <cellStyle name="Normal 147" xfId="0"/>
    <cellStyle name="Normal 148" xfId="0"/>
    <cellStyle name="Normal 149" xfId="0"/>
    <cellStyle name="Normal 15" xfId="0"/>
    <cellStyle name="Normal 15 2" xfId="0"/>
    <cellStyle name="Normal 15 2 2" xfId="0"/>
    <cellStyle name="Normal 15 3" xfId="0"/>
    <cellStyle name="Normal 15 4" xfId="0"/>
    <cellStyle name="Normal 150" xfId="0"/>
    <cellStyle name="Normal 151" xfId="0"/>
    <cellStyle name="Normal 152" xfId="0"/>
    <cellStyle name="Normal 153" xfId="0"/>
    <cellStyle name="Normal 154" xfId="0"/>
    <cellStyle name="Normal 155" xfId="0"/>
    <cellStyle name="Normal 156" xfId="0"/>
    <cellStyle name="Normal 157" xfId="0"/>
    <cellStyle name="Normal 158" xfId="0"/>
    <cellStyle name="Normal 159" xfId="0"/>
    <cellStyle name="Normal 16" xfId="0"/>
    <cellStyle name="Normal 16 2" xfId="0"/>
    <cellStyle name="Normal 16 2 2" xfId="0"/>
    <cellStyle name="Normal 16 3" xfId="0"/>
    <cellStyle name="Normal 160" xfId="0"/>
    <cellStyle name="Normal 161" xfId="0"/>
    <cellStyle name="Normal 162" xfId="0"/>
    <cellStyle name="Normal 163" xfId="0"/>
    <cellStyle name="Normal 164" xfId="0"/>
    <cellStyle name="Normal 165" xfId="0"/>
    <cellStyle name="Normal 166" xfId="0"/>
    <cellStyle name="Normal 167" xfId="0"/>
    <cellStyle name="Normal 168" xfId="0"/>
    <cellStyle name="Normal 169" xfId="0"/>
    <cellStyle name="Normal 17" xfId="0"/>
    <cellStyle name="Normal 17 2" xfId="0"/>
    <cellStyle name="Normal 17 2 2" xfId="0"/>
    <cellStyle name="Normal 17 3" xfId="0"/>
    <cellStyle name="Normal 170" xfId="0"/>
    <cellStyle name="Normal 171" xfId="0"/>
    <cellStyle name="Normal 172" xfId="0"/>
    <cellStyle name="Normal 173" xfId="0"/>
    <cellStyle name="Normal 174" xfId="0"/>
    <cellStyle name="Normal 175" xfId="0"/>
    <cellStyle name="Normal 176" xfId="0"/>
    <cellStyle name="Normal 177" xfId="0"/>
    <cellStyle name="Normal 178" xfId="0"/>
    <cellStyle name="Normal 179" xfId="0"/>
    <cellStyle name="Normal 18" xfId="0"/>
    <cellStyle name="Normal 18 2" xfId="0"/>
    <cellStyle name="Normal 18 2 2" xfId="0"/>
    <cellStyle name="Normal 18 3" xfId="0"/>
    <cellStyle name="Normal 180" xfId="0"/>
    <cellStyle name="Normal 181" xfId="0"/>
    <cellStyle name="Normal 182" xfId="0"/>
    <cellStyle name="Normal 183" xfId="0"/>
    <cellStyle name="Normal 184" xfId="0"/>
    <cellStyle name="Normal 185" xfId="0"/>
    <cellStyle name="Normal 186" xfId="0"/>
    <cellStyle name="Normal 187" xfId="0"/>
    <cellStyle name="Normal 188" xfId="0"/>
    <cellStyle name="Normal 189" xfId="0"/>
    <cellStyle name="Normal 19" xfId="0"/>
    <cellStyle name="Normal 19 2" xfId="0"/>
    <cellStyle name="Normal 19 2 2" xfId="0"/>
    <cellStyle name="Normal 19 3" xfId="0"/>
    <cellStyle name="Normal 19 4" xfId="0"/>
    <cellStyle name="Normal 190" xfId="0"/>
    <cellStyle name="Normal 191" xfId="0"/>
    <cellStyle name="Normal 192" xfId="0"/>
    <cellStyle name="Normal 193" xfId="0"/>
    <cellStyle name="Normal 194" xfId="0"/>
    <cellStyle name="Normal 195" xfId="0"/>
    <cellStyle name="Normal 196" xfId="0"/>
    <cellStyle name="Normal 197" xfId="0"/>
    <cellStyle name="Normal 198" xfId="0"/>
    <cellStyle name="Normal 199" xfId="0"/>
    <cellStyle name="Normal 2" xfId="0"/>
    <cellStyle name="Normal 2 10" xfId="0"/>
    <cellStyle name="Normal 2 10 2" xfId="0"/>
    <cellStyle name="Normal 2 10 3" xfId="0"/>
    <cellStyle name="Normal 2 100" xfId="0"/>
    <cellStyle name="Normal 2 101" xfId="0"/>
    <cellStyle name="Normal 2 102" xfId="0"/>
    <cellStyle name="Normal 2 103" xfId="0"/>
    <cellStyle name="Normal 2 104" xfId="0"/>
    <cellStyle name="Normal 2 105" xfId="0"/>
    <cellStyle name="Normal 2 106" xfId="0"/>
    <cellStyle name="Normal 2 107" xfId="0"/>
    <cellStyle name="Normal 2 108" xfId="0"/>
    <cellStyle name="Normal 2 109" xfId="0"/>
    <cellStyle name="Normal 2 11" xfId="0"/>
    <cellStyle name="Normal 2 11 2" xfId="0"/>
    <cellStyle name="Normal 2 110" xfId="0"/>
    <cellStyle name="Normal 2 111" xfId="0"/>
    <cellStyle name="Normal 2 112" xfId="0"/>
    <cellStyle name="Normal 2 113" xfId="0"/>
    <cellStyle name="Normal 2 114" xfId="0"/>
    <cellStyle name="Normal 2 115" xfId="0"/>
    <cellStyle name="Normal 2 116" xfId="0"/>
    <cellStyle name="Normal 2 117" xfId="0"/>
    <cellStyle name="Normal 2 118" xfId="0"/>
    <cellStyle name="Normal 2 119" xfId="0"/>
    <cellStyle name="Normal 2 12" xfId="0"/>
    <cellStyle name="Normal 2 12 2" xfId="0"/>
    <cellStyle name="Normal 2 120" xfId="0"/>
    <cellStyle name="Normal 2 121" xfId="0"/>
    <cellStyle name="Normal 2 122" xfId="0"/>
    <cellStyle name="Normal 2 123" xfId="0"/>
    <cellStyle name="Normal 2 124" xfId="0"/>
    <cellStyle name="Normal 2 125" xfId="0"/>
    <cellStyle name="Normal 2 126" xfId="0"/>
    <cellStyle name="Normal 2 127" xfId="0"/>
    <cellStyle name="Normal 2 128" xfId="0"/>
    <cellStyle name="Normal 2 129" xfId="0"/>
    <cellStyle name="Normal 2 13" xfId="0"/>
    <cellStyle name="Normal 2 13 2" xfId="0"/>
    <cellStyle name="Normal 2 130" xfId="0"/>
    <cellStyle name="Normal 2 131" xfId="0"/>
    <cellStyle name="Normal 2 132" xfId="0"/>
    <cellStyle name="Normal 2 133" xfId="0"/>
    <cellStyle name="Normal 2 134" xfId="0"/>
    <cellStyle name="Normal 2 135" xfId="0"/>
    <cellStyle name="Normal 2 136" xfId="0"/>
    <cellStyle name="Normal 2 137" xfId="0"/>
    <cellStyle name="Normal 2 138" xfId="0"/>
    <cellStyle name="Normal 2 139" xfId="0"/>
    <cellStyle name="Normal 2 14" xfId="0"/>
    <cellStyle name="Normal 2 140" xfId="0"/>
    <cellStyle name="Normal 2 141" xfId="0"/>
    <cellStyle name="Normal 2 142" xfId="0"/>
    <cellStyle name="Normal 2 143" xfId="0"/>
    <cellStyle name="Normal 2 144" xfId="0"/>
    <cellStyle name="Normal 2 145" xfId="0"/>
    <cellStyle name="Normal 2 146" xfId="0"/>
    <cellStyle name="Normal 2 147" xfId="0"/>
    <cellStyle name="Normal 2 148" xfId="0"/>
    <cellStyle name="Normal 2 149" xfId="0"/>
    <cellStyle name="Normal 2 15" xfId="0"/>
    <cellStyle name="Normal 2 150" xfId="0"/>
    <cellStyle name="Normal 2 151" xfId="0"/>
    <cellStyle name="Normal 2 152" xfId="0"/>
    <cellStyle name="Normal 2 153" xfId="0"/>
    <cellStyle name="Normal 2 154" xfId="0"/>
    <cellStyle name="Normal 2 155" xfId="0"/>
    <cellStyle name="Normal 2 156" xfId="0"/>
    <cellStyle name="Normal 2 157" xfId="0"/>
    <cellStyle name="Normal 2 158" xfId="0"/>
    <cellStyle name="Normal 2 159" xfId="0"/>
    <cellStyle name="Normal 2 16" xfId="0"/>
    <cellStyle name="Normal 2 160" xfId="0"/>
    <cellStyle name="Normal 2 161" xfId="0"/>
    <cellStyle name="Normal 2 162" xfId="0"/>
    <cellStyle name="Normal 2 163" xfId="0"/>
    <cellStyle name="Normal 2 164" xfId="0"/>
    <cellStyle name="Normal 2 165" xfId="0"/>
    <cellStyle name="Normal 2 166" xfId="0"/>
    <cellStyle name="Normal 2 167" xfId="0"/>
    <cellStyle name="Normal 2 168" xfId="0"/>
    <cellStyle name="Normal 2 169" xfId="0"/>
    <cellStyle name="Normal 2 17" xfId="0"/>
    <cellStyle name="Normal 2 170" xfId="0"/>
    <cellStyle name="Normal 2 171" xfId="0"/>
    <cellStyle name="Normal 2 172" xfId="0"/>
    <cellStyle name="Normal 2 173" xfId="0"/>
    <cellStyle name="Normal 2 174" xfId="0"/>
    <cellStyle name="Normal 2 175" xfId="0"/>
    <cellStyle name="Normal 2 176" xfId="0"/>
    <cellStyle name="Normal 2 177" xfId="0"/>
    <cellStyle name="Normal 2 178" xfId="0"/>
    <cellStyle name="Normal 2 179" xfId="0"/>
    <cellStyle name="Normal 2 18" xfId="0"/>
    <cellStyle name="Normal 2 180" xfId="0"/>
    <cellStyle name="Normal 2 181" xfId="0"/>
    <cellStyle name="Normal 2 182" xfId="0"/>
    <cellStyle name="Normal 2 183" xfId="0"/>
    <cellStyle name="Normal 2 184" xfId="0"/>
    <cellStyle name="Normal 2 185" xfId="0"/>
    <cellStyle name="Normal 2 186" xfId="0"/>
    <cellStyle name="Normal 2 187" xfId="0"/>
    <cellStyle name="Normal 2 188" xfId="0"/>
    <cellStyle name="Normal 2 189" xfId="0"/>
    <cellStyle name="Normal 2 19" xfId="0"/>
    <cellStyle name="Normal 2 190" xfId="0"/>
    <cellStyle name="Normal 2 191" xfId="0"/>
    <cellStyle name="Normal 2 192" xfId="0"/>
    <cellStyle name="Normal 2 193" xfId="0"/>
    <cellStyle name="Normal 2 194" xfId="0"/>
    <cellStyle name="Normal 2 195" xfId="0"/>
    <cellStyle name="Normal 2 196" xfId="0"/>
    <cellStyle name="Normal 2 197" xfId="0"/>
    <cellStyle name="Normal 2 198" xfId="0"/>
    <cellStyle name="Normal 2 199" xfId="0"/>
    <cellStyle name="Normal 2 2" xfId="0"/>
    <cellStyle name="Normal 2 2 2" xfId="0"/>
    <cellStyle name="Normal 2 2 2 2" xfId="0"/>
    <cellStyle name="Normal 2 2 2 2 2" xfId="0"/>
    <cellStyle name="Normal 2 2 2 2 2 2" xfId="0"/>
    <cellStyle name="Normal 2 2 2 2 2 3" xfId="0"/>
    <cellStyle name="Normal 2 2 2 2 3" xfId="0"/>
    <cellStyle name="Normal 2 2 2 2 4" xfId="0"/>
    <cellStyle name="Normal 2 2 2 2 5" xfId="0"/>
    <cellStyle name="Normal 2 2 2 3" xfId="0"/>
    <cellStyle name="Normal 2 2 2 4" xfId="0"/>
    <cellStyle name="Normal 2 2 3" xfId="0"/>
    <cellStyle name="Normal 2 2 3 2" xfId="0"/>
    <cellStyle name="Normal 2 2 3 3" xfId="0"/>
    <cellStyle name="Normal 2 2 4" xfId="0"/>
    <cellStyle name="Normal 2 2 4 2" xfId="0"/>
    <cellStyle name="Normal 2 2 5" xfId="0"/>
    <cellStyle name="Normal 2 2 5 2" xfId="0"/>
    <cellStyle name="Normal 2 2 6" xfId="0"/>
    <cellStyle name="Normal 2 2 7" xfId="0"/>
    <cellStyle name="Normal 2 2 8" xfId="0"/>
    <cellStyle name="Normal 2 20" xfId="0"/>
    <cellStyle name="Normal 2 200" xfId="0"/>
    <cellStyle name="Normal 2 201" xfId="0"/>
    <cellStyle name="Normal 2 202" xfId="0"/>
    <cellStyle name="Normal 2 203" xfId="0"/>
    <cellStyle name="Normal 2 204" xfId="0"/>
    <cellStyle name="Normal 2 205" xfId="0"/>
    <cellStyle name="Normal 2 206" xfId="0"/>
    <cellStyle name="Normal 2 207" xfId="0"/>
    <cellStyle name="Normal 2 208" xfId="0"/>
    <cellStyle name="Normal 2 209" xfId="0"/>
    <cellStyle name="Normal 2 21" xfId="0"/>
    <cellStyle name="Normal 2 210" xfId="0"/>
    <cellStyle name="Normal 2 211" xfId="0"/>
    <cellStyle name="Normal 2 212" xfId="0"/>
    <cellStyle name="Normal 2 213" xfId="0"/>
    <cellStyle name="Normal 2 214" xfId="0"/>
    <cellStyle name="Normal 2 215" xfId="0"/>
    <cellStyle name="Normal 2 216" xfId="0"/>
    <cellStyle name="Normal 2 217" xfId="0"/>
    <cellStyle name="Normal 2 218" xfId="0"/>
    <cellStyle name="Normal 2 219" xfId="0"/>
    <cellStyle name="Normal 2 22" xfId="0"/>
    <cellStyle name="Normal 2 220" xfId="0"/>
    <cellStyle name="Normal 2 221" xfId="0"/>
    <cellStyle name="Normal 2 222" xfId="0"/>
    <cellStyle name="Normal 2 223" xfId="0"/>
    <cellStyle name="Normal 2 224" xfId="0"/>
    <cellStyle name="Normal 2 225" xfId="0"/>
    <cellStyle name="Normal 2 226" xfId="0"/>
    <cellStyle name="Normal 2 227" xfId="0"/>
    <cellStyle name="Normal 2 228" xfId="0"/>
    <cellStyle name="Normal 2 229" xfId="0"/>
    <cellStyle name="Normal 2 23" xfId="0"/>
    <cellStyle name="Normal 2 230" xfId="0"/>
    <cellStyle name="Normal 2 231" xfId="0"/>
    <cellStyle name="Normal 2 232" xfId="0"/>
    <cellStyle name="Normal 2 233" xfId="0"/>
    <cellStyle name="Normal 2 234" xfId="0"/>
    <cellStyle name="Normal 2 235" xfId="0"/>
    <cellStyle name="Normal 2 236" xfId="0"/>
    <cellStyle name="Normal 2 237" xfId="0"/>
    <cellStyle name="Normal 2 238" xfId="0"/>
    <cellStyle name="Normal 2 239" xfId="0"/>
    <cellStyle name="Normal 2 24" xfId="0"/>
    <cellStyle name="Normal 2 240" xfId="0"/>
    <cellStyle name="Normal 2 241" xfId="0"/>
    <cellStyle name="Normal 2 242" xfId="0"/>
    <cellStyle name="Normal 2 243" xfId="0"/>
    <cellStyle name="Normal 2 244" xfId="0"/>
    <cellStyle name="Normal 2 245" xfId="0"/>
    <cellStyle name="Normal 2 246" xfId="0"/>
    <cellStyle name="Normal 2 247" xfId="0"/>
    <cellStyle name="Normal 2 248" xfId="0"/>
    <cellStyle name="Normal 2 249" xfId="0"/>
    <cellStyle name="Normal 2 25" xfId="0"/>
    <cellStyle name="Normal 2 250" xfId="0"/>
    <cellStyle name="Normal 2 251" xfId="0"/>
    <cellStyle name="Normal 2 252" xfId="0"/>
    <cellStyle name="Normal 2 253" xfId="0"/>
    <cellStyle name="Normal 2 254" xfId="0"/>
    <cellStyle name="Normal 2 255" xfId="0"/>
    <cellStyle name="Normal 2 256" xfId="0"/>
    <cellStyle name="Normal 2 257" xfId="0"/>
    <cellStyle name="Normal 2 258" xfId="0"/>
    <cellStyle name="Normal 2 259" xfId="0"/>
    <cellStyle name="Normal 2 26" xfId="0"/>
    <cellStyle name="Normal 2 260" xfId="0"/>
    <cellStyle name="Normal 2 261" xfId="0"/>
    <cellStyle name="Normal 2 27" xfId="0"/>
    <cellStyle name="Normal 2 28" xfId="0"/>
    <cellStyle name="Normal 2 29" xfId="0"/>
    <cellStyle name="Normal 2 2_Profitability Detail NT$ Sep-12" xfId="0"/>
    <cellStyle name="Normal 2 3" xfId="0"/>
    <cellStyle name="Normal 2 3 2" xfId="0"/>
    <cellStyle name="Normal 2 3 2 2" xfId="0"/>
    <cellStyle name="Normal 2 3 3" xfId="0"/>
    <cellStyle name="Normal 2 30" xfId="0"/>
    <cellStyle name="Normal 2 31" xfId="0"/>
    <cellStyle name="Normal 2 32" xfId="0"/>
    <cellStyle name="Normal 2 33" xfId="0"/>
    <cellStyle name="Normal 2 34" xfId="0"/>
    <cellStyle name="Normal 2 35" xfId="0"/>
    <cellStyle name="Normal 2 36" xfId="0"/>
    <cellStyle name="Normal 2 37" xfId="0"/>
    <cellStyle name="Normal 2 38" xfId="0"/>
    <cellStyle name="Normal 2 39" xfId="0"/>
    <cellStyle name="Normal 2 4" xfId="0"/>
    <cellStyle name="Normal 2 4 2" xfId="0"/>
    <cellStyle name="Normal 2 4 2 2" xfId="0"/>
    <cellStyle name="Normal 2 4 3" xfId="0"/>
    <cellStyle name="Normal 2 40" xfId="0"/>
    <cellStyle name="Normal 2 41" xfId="0"/>
    <cellStyle name="Normal 2 42" xfId="0"/>
    <cellStyle name="Normal 2 43" xfId="0"/>
    <cellStyle name="Normal 2 44" xfId="0"/>
    <cellStyle name="Normal 2 45" xfId="0"/>
    <cellStyle name="Normal 2 46" xfId="0"/>
    <cellStyle name="Normal 2 47" xfId="0"/>
    <cellStyle name="Normal 2 48" xfId="0"/>
    <cellStyle name="Normal 2 49" xfId="0"/>
    <cellStyle name="Normal 2 5" xfId="0"/>
    <cellStyle name="Normal 2 5 2" xfId="0"/>
    <cellStyle name="Normal 2 5 2 2" xfId="0"/>
    <cellStyle name="Normal 2 50" xfId="0"/>
    <cellStyle name="Normal 2 51" xfId="0"/>
    <cellStyle name="Normal 2 52" xfId="0"/>
    <cellStyle name="Normal 2 53" xfId="0"/>
    <cellStyle name="Normal 2 54" xfId="0"/>
    <cellStyle name="Normal 2 55" xfId="0"/>
    <cellStyle name="Normal 2 56" xfId="0"/>
    <cellStyle name="Normal 2 57" xfId="0"/>
    <cellStyle name="Normal 2 58" xfId="0"/>
    <cellStyle name="Normal 2 59" xfId="0"/>
    <cellStyle name="Normal 2 6" xfId="0"/>
    <cellStyle name="Normal 2 6 2" xfId="0"/>
    <cellStyle name="Normal 2 6 3" xfId="0"/>
    <cellStyle name="Normal 2 6 4" xfId="0"/>
    <cellStyle name="Normal 2 60" xfId="0"/>
    <cellStyle name="Normal 2 61" xfId="0"/>
    <cellStyle name="Normal 2 62" xfId="0"/>
    <cellStyle name="Normal 2 63" xfId="0"/>
    <cellStyle name="Normal 2 64" xfId="0"/>
    <cellStyle name="Normal 2 65" xfId="0"/>
    <cellStyle name="Normal 2 66" xfId="0"/>
    <cellStyle name="Normal 2 67" xfId="0"/>
    <cellStyle name="Normal 2 68" xfId="0"/>
    <cellStyle name="Normal 2 69" xfId="0"/>
    <cellStyle name="Normal 2 7" xfId="0"/>
    <cellStyle name="Normal 2 7 2" xfId="0"/>
    <cellStyle name="Normal 2 7 3" xfId="0"/>
    <cellStyle name="Normal 2 70" xfId="0"/>
    <cellStyle name="Normal 2 71" xfId="0"/>
    <cellStyle name="Normal 2 72" xfId="0"/>
    <cellStyle name="Normal 2 73" xfId="0"/>
    <cellStyle name="Normal 2 74" xfId="0"/>
    <cellStyle name="Normal 2 75" xfId="0"/>
    <cellStyle name="Normal 2 76" xfId="0"/>
    <cellStyle name="Normal 2 77" xfId="0"/>
    <cellStyle name="Normal 2 78" xfId="0"/>
    <cellStyle name="Normal 2 79" xfId="0"/>
    <cellStyle name="Normal 2 8" xfId="0"/>
    <cellStyle name="Normal 2 8 2" xfId="0"/>
    <cellStyle name="Normal 2 80" xfId="0"/>
    <cellStyle name="Normal 2 81" xfId="0"/>
    <cellStyle name="Normal 2 82" xfId="0"/>
    <cellStyle name="Normal 2 83" xfId="0"/>
    <cellStyle name="Normal 2 84" xfId="0"/>
    <cellStyle name="Normal 2 85" xfId="0"/>
    <cellStyle name="Normal 2 86" xfId="0"/>
    <cellStyle name="Normal 2 87" xfId="0"/>
    <cellStyle name="Normal 2 88" xfId="0"/>
    <cellStyle name="Normal 2 89" xfId="0"/>
    <cellStyle name="Normal 2 9" xfId="0"/>
    <cellStyle name="Normal 2 9 2" xfId="0"/>
    <cellStyle name="Normal 2 90" xfId="0"/>
    <cellStyle name="Normal 2 91" xfId="0"/>
    <cellStyle name="Normal 2 92" xfId="0"/>
    <cellStyle name="Normal 2 93" xfId="0"/>
    <cellStyle name="Normal 2 94" xfId="0"/>
    <cellStyle name="Normal 2 95" xfId="0"/>
    <cellStyle name="Normal 2 96" xfId="0"/>
    <cellStyle name="Normal 2 97" xfId="0"/>
    <cellStyle name="Normal 2 98" xfId="0"/>
    <cellStyle name="Normal 2 99" xfId="0"/>
    <cellStyle name="Normal 20" xfId="0"/>
    <cellStyle name="Normal 20 2" xfId="0"/>
    <cellStyle name="Normal 20 2 2" xfId="0"/>
    <cellStyle name="Normal 20 3" xfId="0"/>
    <cellStyle name="Normal 200" xfId="0"/>
    <cellStyle name="Normal 201" xfId="0"/>
    <cellStyle name="Normal 202" xfId="0"/>
    <cellStyle name="Normal 203" xfId="0"/>
    <cellStyle name="Normal 204" xfId="0"/>
    <cellStyle name="Normal 205" xfId="0"/>
    <cellStyle name="Normal 206" xfId="0"/>
    <cellStyle name="Normal 207" xfId="0"/>
    <cellStyle name="Normal 208" xfId="0"/>
    <cellStyle name="Normal 209" xfId="0"/>
    <cellStyle name="Normal 21" xfId="0"/>
    <cellStyle name="Normal 21 2" xfId="0"/>
    <cellStyle name="Normal 21 2 2" xfId="0"/>
    <cellStyle name="Normal 21 3" xfId="0"/>
    <cellStyle name="Normal 210" xfId="0"/>
    <cellStyle name="Normal 211" xfId="0"/>
    <cellStyle name="Normal 212" xfId="0"/>
    <cellStyle name="Normal 213" xfId="0"/>
    <cellStyle name="Normal 214" xfId="0"/>
    <cellStyle name="Normal 215" xfId="0"/>
    <cellStyle name="Normal 216" xfId="0"/>
    <cellStyle name="Normal 217" xfId="0"/>
    <cellStyle name="Normal 218" xfId="0"/>
    <cellStyle name="Normal 219" xfId="0"/>
    <cellStyle name="Normal 22" xfId="0"/>
    <cellStyle name="Normal 22 2" xfId="0"/>
    <cellStyle name="Normal 22 2 2" xfId="0"/>
    <cellStyle name="Normal 22 3" xfId="0"/>
    <cellStyle name="Normal 22 4" xfId="0"/>
    <cellStyle name="Normal 220" xfId="0"/>
    <cellStyle name="Normal 221" xfId="0"/>
    <cellStyle name="Normal 222" xfId="0"/>
    <cellStyle name="Normal 223" xfId="0"/>
    <cellStyle name="Normal 224" xfId="0"/>
    <cellStyle name="Normal 225" xfId="0"/>
    <cellStyle name="Normal 226" xfId="0"/>
    <cellStyle name="Normal 227" xfId="0"/>
    <cellStyle name="Normal 228" xfId="0"/>
    <cellStyle name="Normal 23" xfId="0"/>
    <cellStyle name="Normal 23 2" xfId="0"/>
    <cellStyle name="Normal 23 2 2" xfId="0"/>
    <cellStyle name="Normal 23 3" xfId="0"/>
    <cellStyle name="Normal 24" xfId="0"/>
    <cellStyle name="Normal 24 2" xfId="0"/>
    <cellStyle name="Normal 24 2 2" xfId="0"/>
    <cellStyle name="Normal 24 3" xfId="0"/>
    <cellStyle name="Normal 25" xfId="0"/>
    <cellStyle name="Normal 25 2" xfId="0"/>
    <cellStyle name="Normal 25 2 2" xfId="0"/>
    <cellStyle name="Normal 25 3" xfId="0"/>
    <cellStyle name="Normal 26" xfId="0"/>
    <cellStyle name="Normal 26 2" xfId="0"/>
    <cellStyle name="Normal 26 2 2" xfId="0"/>
    <cellStyle name="Normal 26 3" xfId="0"/>
    <cellStyle name="Normal 27" xfId="0"/>
    <cellStyle name="Normal 27 2" xfId="0"/>
    <cellStyle name="Normal 27 2 2" xfId="0"/>
    <cellStyle name="Normal 27 3" xfId="0"/>
    <cellStyle name="Normal 28" xfId="0"/>
    <cellStyle name="Normal 28 2" xfId="0"/>
    <cellStyle name="Normal 28 3" xfId="0"/>
    <cellStyle name="Normal 29" xfId="0"/>
    <cellStyle name="Normal 29 2" xfId="0"/>
    <cellStyle name="Normal 29 3" xfId="0"/>
    <cellStyle name="Normal 2_BU Allocation" xfId="0"/>
    <cellStyle name="Normal 3" xfId="0"/>
    <cellStyle name="Normal 3 10" xfId="0"/>
    <cellStyle name="Normal 3 10 2" xfId="0"/>
    <cellStyle name="Normal 3 11" xfId="0"/>
    <cellStyle name="Normal 3 12" xfId="0"/>
    <cellStyle name="Normal 3 13" xfId="0"/>
    <cellStyle name="Normal 3 14" xfId="0"/>
    <cellStyle name="Normal 3 15" xfId="0"/>
    <cellStyle name="Normal 3 16" xfId="0"/>
    <cellStyle name="Normal 3 17" xfId="0"/>
    <cellStyle name="Normal 3 18" xfId="0"/>
    <cellStyle name="Normal 3 19" xfId="0"/>
    <cellStyle name="Normal 3 2" xfId="0"/>
    <cellStyle name="Normal 3 2 2" xfId="0"/>
    <cellStyle name="Normal 3 2 2 2" xfId="0"/>
    <cellStyle name="Normal 3 2 2 2 2" xfId="0"/>
    <cellStyle name="Normal 3 2 2 2 3" xfId="0"/>
    <cellStyle name="Normal 3 2 2 3" xfId="0"/>
    <cellStyle name="Normal 3 2 2 4" xfId="0"/>
    <cellStyle name="Normal 3 2 3" xfId="0"/>
    <cellStyle name="Normal 3 2 3 2" xfId="0"/>
    <cellStyle name="Normal 3 2 4" xfId="0"/>
    <cellStyle name="Normal 3 2 4 2" xfId="0"/>
    <cellStyle name="Normal 3 2 5" xfId="0"/>
    <cellStyle name="Normal 3 2 5 2" xfId="0"/>
    <cellStyle name="Normal 3 2 6" xfId="0"/>
    <cellStyle name="Normal 3 2 7" xfId="0"/>
    <cellStyle name="Normal 3 20" xfId="0"/>
    <cellStyle name="Normal 3 21" xfId="0"/>
    <cellStyle name="Normal 3 22" xfId="0"/>
    <cellStyle name="Normal 3 23" xfId="0"/>
    <cellStyle name="Normal 3 24" xfId="0"/>
    <cellStyle name="Normal 3 25" xfId="0"/>
    <cellStyle name="Normal 3 26" xfId="0"/>
    <cellStyle name="Normal 3 27" xfId="0"/>
    <cellStyle name="Normal 3 28" xfId="0"/>
    <cellStyle name="Normal 3 29" xfId="0"/>
    <cellStyle name="Normal 3 2_Profitability Detail NT$ Sep-12" xfId="0"/>
    <cellStyle name="Normal 3 3" xfId="0"/>
    <cellStyle name="Normal 3 3 2" xfId="0"/>
    <cellStyle name="Normal 3 3 3" xfId="0"/>
    <cellStyle name="Normal 3 30" xfId="0"/>
    <cellStyle name="Normal 3 31" xfId="0"/>
    <cellStyle name="Normal 3 32" xfId="0"/>
    <cellStyle name="Normal 3 33" xfId="0"/>
    <cellStyle name="Normal 3 34" xfId="0"/>
    <cellStyle name="Normal 3 35" xfId="0"/>
    <cellStyle name="Normal 3 36" xfId="0"/>
    <cellStyle name="Normal 3 37" xfId="0"/>
    <cellStyle name="Normal 3 38" xfId="0"/>
    <cellStyle name="Normal 3 39" xfId="0"/>
    <cellStyle name="Normal 3 4" xfId="0"/>
    <cellStyle name="Normal 3 4 2" xfId="0"/>
    <cellStyle name="Normal 3 4 3" xfId="0"/>
    <cellStyle name="Normal 3 40" xfId="0"/>
    <cellStyle name="Normal 3 41" xfId="0"/>
    <cellStyle name="Normal 3 42" xfId="0"/>
    <cellStyle name="Normal 3 43" xfId="0"/>
    <cellStyle name="Normal 3 44" xfId="0"/>
    <cellStyle name="Normal 3 45" xfId="0"/>
    <cellStyle name="Normal 3 46" xfId="0"/>
    <cellStyle name="Normal 3 47" xfId="0"/>
    <cellStyle name="Normal 3 48" xfId="0"/>
    <cellStyle name="Normal 3 49" xfId="0"/>
    <cellStyle name="Normal 3 5" xfId="0"/>
    <cellStyle name="Normal 3 5 2" xfId="0"/>
    <cellStyle name="Normal 3 5 3" xfId="0"/>
    <cellStyle name="Normal 3 50" xfId="0"/>
    <cellStyle name="Normal 3 6" xfId="0"/>
    <cellStyle name="Normal 3 6 2" xfId="0"/>
    <cellStyle name="Normal 3 6 3" xfId="0"/>
    <cellStyle name="Normal 3 7" xfId="0"/>
    <cellStyle name="Normal 3 7 2" xfId="0"/>
    <cellStyle name="Normal 3 8" xfId="0"/>
    <cellStyle name="Normal 3 8 2" xfId="0"/>
    <cellStyle name="Normal 3 9" xfId="0"/>
    <cellStyle name="Normal 3 9 2" xfId="0"/>
    <cellStyle name="Normal 30" xfId="0"/>
    <cellStyle name="Normal 30 2" xfId="0"/>
    <cellStyle name="Normal 30 3" xfId="0"/>
    <cellStyle name="Normal 31" xfId="0"/>
    <cellStyle name="Normal 31 2" xfId="0"/>
    <cellStyle name="Normal 31 3" xfId="0"/>
    <cellStyle name="Normal 32" xfId="0"/>
    <cellStyle name="Normal 32 2" xfId="0"/>
    <cellStyle name="Normal 32 3" xfId="0"/>
    <cellStyle name="Normal 33" xfId="0"/>
    <cellStyle name="Normal 33 2" xfId="0"/>
    <cellStyle name="Normal 33 3" xfId="0"/>
    <cellStyle name="Normal 34" xfId="0"/>
    <cellStyle name="Normal 34 2" xfId="0"/>
    <cellStyle name="Normal 34 3" xfId="0"/>
    <cellStyle name="Normal 35" xfId="0"/>
    <cellStyle name="Normal 35 2" xfId="0"/>
    <cellStyle name="Normal 35 3" xfId="0"/>
    <cellStyle name="Normal 36" xfId="0"/>
    <cellStyle name="Normal 36 2" xfId="0"/>
    <cellStyle name="Normal 36 3" xfId="0"/>
    <cellStyle name="Normal 37" xfId="0"/>
    <cellStyle name="Normal 37 2" xfId="0"/>
    <cellStyle name="Normal 37 3" xfId="0"/>
    <cellStyle name="Normal 38" xfId="0"/>
    <cellStyle name="Normal 38 2" xfId="0"/>
    <cellStyle name="Normal 38 3" xfId="0"/>
    <cellStyle name="Normal 39" xfId="0"/>
    <cellStyle name="Normal 39 2" xfId="0"/>
    <cellStyle name="Normal 39 3" xfId="0"/>
    <cellStyle name="Normal 3_Market Fresh Cost" xfId="0"/>
    <cellStyle name="Normal 4" xfId="0"/>
    <cellStyle name="Normal 4 10" xfId="0"/>
    <cellStyle name="Normal 4 11" xfId="0"/>
    <cellStyle name="Normal 4 2" xfId="0"/>
    <cellStyle name="Normal 4 2 2" xfId="0"/>
    <cellStyle name="Normal 4 2 2 2" xfId="0"/>
    <cellStyle name="Normal 4 2 2 2 2" xfId="0"/>
    <cellStyle name="Normal 4 2 2 2 3" xfId="0"/>
    <cellStyle name="Normal 4 2 2 3" xfId="0"/>
    <cellStyle name="Normal 4 2 2 4" xfId="0"/>
    <cellStyle name="Normal 4 2 3" xfId="0"/>
    <cellStyle name="Normal 4 2 3 2" xfId="0"/>
    <cellStyle name="Normal 4 2 4" xfId="0"/>
    <cellStyle name="Normal 4 2 4 2" xfId="0"/>
    <cellStyle name="Normal 4 2 5" xfId="0"/>
    <cellStyle name="Normal 4 2 5 2" xfId="0"/>
    <cellStyle name="Normal 4 2 6" xfId="0"/>
    <cellStyle name="Normal 4 2 7" xfId="0"/>
    <cellStyle name="Normal 4 2_Profitability Detail NT$ Sep-12" xfId="0"/>
    <cellStyle name="Normal 4 3" xfId="0"/>
    <cellStyle name="Normal 4 3 2" xfId="0"/>
    <cellStyle name="Normal 4 3 3" xfId="0"/>
    <cellStyle name="Normal 4 4" xfId="0"/>
    <cellStyle name="Normal 4 4 2" xfId="0"/>
    <cellStyle name="Normal 4 4 3" xfId="0"/>
    <cellStyle name="Normal 4 5" xfId="0"/>
    <cellStyle name="Normal 4 5 2" xfId="0"/>
    <cellStyle name="Normal 4 5 3" xfId="0"/>
    <cellStyle name="Normal 4 6" xfId="0"/>
    <cellStyle name="Normal 4 6 2" xfId="0"/>
    <cellStyle name="Normal 4 7" xfId="0"/>
    <cellStyle name="Normal 4 7 2" xfId="0"/>
    <cellStyle name="Normal 4 8" xfId="0"/>
    <cellStyle name="Normal 4 9" xfId="0"/>
    <cellStyle name="Normal 40" xfId="0"/>
    <cellStyle name="Normal 40 2" xfId="0"/>
    <cellStyle name="Normal 40 3" xfId="0"/>
    <cellStyle name="Normal 41" xfId="0"/>
    <cellStyle name="Normal 41 2" xfId="0"/>
    <cellStyle name="Normal 41 3" xfId="0"/>
    <cellStyle name="Normal 42" xfId="0"/>
    <cellStyle name="Normal 42 2" xfId="0"/>
    <cellStyle name="Normal 43" xfId="0"/>
    <cellStyle name="Normal 43 2" xfId="0"/>
    <cellStyle name="Normal 44" xfId="0"/>
    <cellStyle name="Normal 44 2" xfId="0"/>
    <cellStyle name="Normal 45" xfId="0"/>
    <cellStyle name="Normal 45 2" xfId="0"/>
    <cellStyle name="Normal 46" xfId="0"/>
    <cellStyle name="Normal 46 2" xfId="0"/>
    <cellStyle name="Normal 47" xfId="0"/>
    <cellStyle name="Normal 47 2" xfId="0"/>
    <cellStyle name="Normal 48" xfId="0"/>
    <cellStyle name="Normal 48 2" xfId="0"/>
    <cellStyle name="Normal 49" xfId="0"/>
    <cellStyle name="Normal 49 2" xfId="0"/>
    <cellStyle name="Normal 4_Market Fresh Cost" xfId="0"/>
    <cellStyle name="Normal 5" xfId="0"/>
    <cellStyle name="Normal 5 10" xfId="0"/>
    <cellStyle name="Normal 5 11" xfId="0"/>
    <cellStyle name="Normal 5 12" xfId="0"/>
    <cellStyle name="Normal 5 13" xfId="0"/>
    <cellStyle name="Normal 5 14" xfId="0"/>
    <cellStyle name="Normal 5 15" xfId="0"/>
    <cellStyle name="Normal 5 16" xfId="0"/>
    <cellStyle name="Normal 5 17" xfId="0"/>
    <cellStyle name="Normal 5 18" xfId="0"/>
    <cellStyle name="Normal 5 19" xfId="0"/>
    <cellStyle name="Normal 5 2" xfId="0"/>
    <cellStyle name="Normal 5 2 2" xfId="0"/>
    <cellStyle name="Normal 5 2 2 2" xfId="0"/>
    <cellStyle name="Normal 5 20" xfId="0"/>
    <cellStyle name="Normal 5 21" xfId="0"/>
    <cellStyle name="Normal 5 22" xfId="0"/>
    <cellStyle name="Normal 5 23" xfId="0"/>
    <cellStyle name="Normal 5 24" xfId="0"/>
    <cellStyle name="Normal 5 25" xfId="0"/>
    <cellStyle name="Normal 5 26" xfId="0"/>
    <cellStyle name="Normal 5 27" xfId="0"/>
    <cellStyle name="Normal 5 28" xfId="0"/>
    <cellStyle name="Normal 5 29" xfId="0"/>
    <cellStyle name="Normal 5 3" xfId="0"/>
    <cellStyle name="Normal 5 3 2" xfId="0"/>
    <cellStyle name="Normal 5 3 3" xfId="0"/>
    <cellStyle name="Normal 5 30" xfId="0"/>
    <cellStyle name="Normal 5 31" xfId="0"/>
    <cellStyle name="Normal 5 32" xfId="0"/>
    <cellStyle name="Normal 5 33" xfId="0"/>
    <cellStyle name="Normal 5 34" xfId="0"/>
    <cellStyle name="Normal 5 35" xfId="0"/>
    <cellStyle name="Normal 5 36" xfId="0"/>
    <cellStyle name="Normal 5 37" xfId="0"/>
    <cellStyle name="Normal 5 38" xfId="0"/>
    <cellStyle name="Normal 5 39" xfId="0"/>
    <cellStyle name="Normal 5 4" xfId="0"/>
    <cellStyle name="Normal 5 4 2" xfId="0"/>
    <cellStyle name="Normal 5 4 3" xfId="0"/>
    <cellStyle name="Normal 5 40" xfId="0"/>
    <cellStyle name="Normal 5 41" xfId="0"/>
    <cellStyle name="Normal 5 42" xfId="0"/>
    <cellStyle name="Normal 5 43" xfId="0"/>
    <cellStyle name="Normal 5 44" xfId="0"/>
    <cellStyle name="Normal 5 45" xfId="0"/>
    <cellStyle name="Normal 5 46" xfId="0"/>
    <cellStyle name="Normal 5 47" xfId="0"/>
    <cellStyle name="Normal 5 48" xfId="0"/>
    <cellStyle name="Normal 5 49" xfId="0"/>
    <cellStyle name="Normal 5 5" xfId="0"/>
    <cellStyle name="Normal 5 5 2" xfId="0"/>
    <cellStyle name="Normal 5 5 3" xfId="0"/>
    <cellStyle name="Normal 5 50" xfId="0"/>
    <cellStyle name="Normal 5 51" xfId="0"/>
    <cellStyle name="Normal 5 52" xfId="0"/>
    <cellStyle name="Normal 5 53" xfId="0"/>
    <cellStyle name="Normal 5 54" xfId="0"/>
    <cellStyle name="Normal 5 6" xfId="0"/>
    <cellStyle name="Normal 5 6 2" xfId="0"/>
    <cellStyle name="Normal 5 6 3" xfId="0"/>
    <cellStyle name="Normal 5 7" xfId="0"/>
    <cellStyle name="Normal 5 7 2" xfId="0"/>
    <cellStyle name="Normal 5 7 3" xfId="0"/>
    <cellStyle name="Normal 5 8" xfId="0"/>
    <cellStyle name="Normal 5 9" xfId="0"/>
    <cellStyle name="Normal 50" xfId="0"/>
    <cellStyle name="Normal 50 2" xfId="0"/>
    <cellStyle name="Normal 51" xfId="0"/>
    <cellStyle name="Normal 51 2" xfId="0"/>
    <cellStyle name="Normal 52" xfId="0"/>
    <cellStyle name="Normal 52 2" xfId="0"/>
    <cellStyle name="Normal 53" xfId="0"/>
    <cellStyle name="Normal 53 2" xfId="0"/>
    <cellStyle name="Normal 54" xfId="0"/>
    <cellStyle name="Normal 54 2" xfId="0"/>
    <cellStyle name="Normal 55" xfId="0"/>
    <cellStyle name="Normal 55 2" xfId="0"/>
    <cellStyle name="Normal 56" xfId="0"/>
    <cellStyle name="Normal 56 2" xfId="0"/>
    <cellStyle name="Normal 57" xfId="0"/>
    <cellStyle name="Normal 57 2" xfId="0"/>
    <cellStyle name="Normal 58" xfId="0"/>
    <cellStyle name="Normal 58 2" xfId="0"/>
    <cellStyle name="Normal 59" xfId="0"/>
    <cellStyle name="Normal 59 2" xfId="0"/>
    <cellStyle name="Normal 5_Market Fresh Cost" xfId="0"/>
    <cellStyle name="Normal 6" xfId="0"/>
    <cellStyle name="Normal 6 10" xfId="0"/>
    <cellStyle name="Normal 6 100" xfId="0"/>
    <cellStyle name="Normal 6 101" xfId="0"/>
    <cellStyle name="Normal 6 102" xfId="0"/>
    <cellStyle name="Normal 6 103" xfId="0"/>
    <cellStyle name="Normal 6 104" xfId="0"/>
    <cellStyle name="Normal 6 105" xfId="0"/>
    <cellStyle name="Normal 6 106" xfId="0"/>
    <cellStyle name="Normal 6 107" xfId="0"/>
    <cellStyle name="Normal 6 108" xfId="0"/>
    <cellStyle name="Normal 6 108 10" xfId="0"/>
    <cellStyle name="Normal 6 108 10 2" xfId="0"/>
    <cellStyle name="Normal 6 108 10 2 2" xfId="0"/>
    <cellStyle name="Normal 6 108 10 3" xfId="0"/>
    <cellStyle name="Normal 6 108 11" xfId="0"/>
    <cellStyle name="Normal 6 108 11 2" xfId="0"/>
    <cellStyle name="Normal 6 108 12" xfId="0"/>
    <cellStyle name="Normal 6 108 2" xfId="0"/>
    <cellStyle name="Normal 6 108 2 10" xfId="0"/>
    <cellStyle name="Normal 6 108 2 10 2" xfId="0"/>
    <cellStyle name="Normal 6 108 2 11" xfId="0"/>
    <cellStyle name="Normal 6 108 2 2" xfId="0"/>
    <cellStyle name="Normal 6 108 2 2 2" xfId="0"/>
    <cellStyle name="Normal 6 108 2 2 2 2" xfId="0"/>
    <cellStyle name="Normal 6 108 2 2 2 2 2" xfId="0"/>
    <cellStyle name="Normal 6 108 2 2 2 2 2 2" xfId="0"/>
    <cellStyle name="Normal 6 108 2 2 2 2 2 2 2" xfId="0"/>
    <cellStyle name="Normal 6 108 2 2 2 2 2 2 2 2" xfId="0"/>
    <cellStyle name="Normal 6 108 2 2 2 2 2 2 2 2 2" xfId="0"/>
    <cellStyle name="Normal 6 108 2 2 2 2 2 2 2 3" xfId="0"/>
    <cellStyle name="Normal 6 108 2 2 2 2 2 2 3" xfId="0"/>
    <cellStyle name="Normal 6 108 2 2 2 2 2 2 3 2" xfId="0"/>
    <cellStyle name="Normal 6 108 2 2 2 2 2 2 4" xfId="0"/>
    <cellStyle name="Normal 6 108 2 2 2 2 2 3" xfId="0"/>
    <cellStyle name="Normal 6 108 2 2 2 2 2 3 2" xfId="0"/>
    <cellStyle name="Normal 6 108 2 2 2 2 2 3 2 2" xfId="0"/>
    <cellStyle name="Normal 6 108 2 2 2 2 2 3 3" xfId="0"/>
    <cellStyle name="Normal 6 108 2 2 2 2 2 4" xfId="0"/>
    <cellStyle name="Normal 6 108 2 2 2 2 2 4 2" xfId="0"/>
    <cellStyle name="Normal 6 108 2 2 2 2 2 5" xfId="0"/>
    <cellStyle name="Normal 6 108 2 2 2 2 3" xfId="0"/>
    <cellStyle name="Normal 6 108 2 2 2 2 3 2" xfId="0"/>
    <cellStyle name="Normal 6 108 2 2 2 2 3 2 2" xfId="0"/>
    <cellStyle name="Normal 6 108 2 2 2 2 3 2 2 2" xfId="0"/>
    <cellStyle name="Normal 6 108 2 2 2 2 3 2 3" xfId="0"/>
    <cellStyle name="Normal 6 108 2 2 2 2 3 3" xfId="0"/>
    <cellStyle name="Normal 6 108 2 2 2 2 3 3 2" xfId="0"/>
    <cellStyle name="Normal 6 108 2 2 2 2 3 4" xfId="0"/>
    <cellStyle name="Normal 6 108 2 2 2 2 4" xfId="0"/>
    <cellStyle name="Normal 6 108 2 2 2 2 4 2" xfId="0"/>
    <cellStyle name="Normal 6 108 2 2 2 2 4 2 2" xfId="0"/>
    <cellStyle name="Normal 6 108 2 2 2 2 4 3" xfId="0"/>
    <cellStyle name="Normal 6 108 2 2 2 2 5" xfId="0"/>
    <cellStyle name="Normal 6 108 2 2 2 2 5 2" xfId="0"/>
    <cellStyle name="Normal 6 108 2 2 2 2 6" xfId="0"/>
    <cellStyle name="Normal 6 108 2 2 2 3" xfId="0"/>
    <cellStyle name="Normal 6 108 2 2 2 3 2" xfId="0"/>
    <cellStyle name="Normal 6 108 2 2 2 3 2 2" xfId="0"/>
    <cellStyle name="Normal 6 108 2 2 2 3 2 2 2" xfId="0"/>
    <cellStyle name="Normal 6 108 2 2 2 3 2 2 2 2" xfId="0"/>
    <cellStyle name="Normal 6 108 2 2 2 3 2 2 3" xfId="0"/>
    <cellStyle name="Normal 6 108 2 2 2 3 2 3" xfId="0"/>
    <cellStyle name="Normal 6 108 2 2 2 3 2 3 2" xfId="0"/>
    <cellStyle name="Normal 6 108 2 2 2 3 2 4" xfId="0"/>
    <cellStyle name="Normal 6 108 2 2 2 3 3" xfId="0"/>
    <cellStyle name="Normal 6 108 2 2 2 3 3 2" xfId="0"/>
    <cellStyle name="Normal 6 108 2 2 2 3 3 2 2" xfId="0"/>
    <cellStyle name="Normal 6 108 2 2 2 3 3 3" xfId="0"/>
    <cellStyle name="Normal 6 108 2 2 2 3 4" xfId="0"/>
    <cellStyle name="Normal 6 108 2 2 2 3 4 2" xfId="0"/>
    <cellStyle name="Normal 6 108 2 2 2 3 5" xfId="0"/>
    <cellStyle name="Normal 6 108 2 2 2 4" xfId="0"/>
    <cellStyle name="Normal 6 108 2 2 2 4 2" xfId="0"/>
    <cellStyle name="Normal 6 108 2 2 2 4 2 2" xfId="0"/>
    <cellStyle name="Normal 6 108 2 2 2 4 2 2 2" xfId="0"/>
    <cellStyle name="Normal 6 108 2 2 2 4 2 3" xfId="0"/>
    <cellStyle name="Normal 6 108 2 2 2 4 3" xfId="0"/>
    <cellStyle name="Normal 6 108 2 2 2 4 3 2" xfId="0"/>
    <cellStyle name="Normal 6 108 2 2 2 4 4" xfId="0"/>
    <cellStyle name="Normal 6 108 2 2 2 5" xfId="0"/>
    <cellStyle name="Normal 6 108 2 2 2 5 2" xfId="0"/>
    <cellStyle name="Normal 6 108 2 2 2 5 2 2" xfId="0"/>
    <cellStyle name="Normal 6 108 2 2 2 5 3" xfId="0"/>
    <cellStyle name="Normal 6 108 2 2 2 6" xfId="0"/>
    <cellStyle name="Normal 6 108 2 2 2 6 2" xfId="0"/>
    <cellStyle name="Normal 6 108 2 2 2 7" xfId="0"/>
    <cellStyle name="Normal 6 108 2 2 3" xfId="0"/>
    <cellStyle name="Normal 6 108 2 2 3 2" xfId="0"/>
    <cellStyle name="Normal 6 108 2 2 3 2 2" xfId="0"/>
    <cellStyle name="Normal 6 108 2 2 3 2 2 2" xfId="0"/>
    <cellStyle name="Normal 6 108 2 2 3 2 2 2 2" xfId="0"/>
    <cellStyle name="Normal 6 108 2 2 3 2 2 2 2 2" xfId="0"/>
    <cellStyle name="Normal 6 108 2 2 3 2 2 2 3" xfId="0"/>
    <cellStyle name="Normal 6 108 2 2 3 2 2 3" xfId="0"/>
    <cellStyle name="Normal 6 108 2 2 3 2 2 3 2" xfId="0"/>
    <cellStyle name="Normal 6 108 2 2 3 2 2 4" xfId="0"/>
    <cellStyle name="Normal 6 108 2 2 3 2 3" xfId="0"/>
    <cellStyle name="Normal 6 108 2 2 3 2 3 2" xfId="0"/>
    <cellStyle name="Normal 6 108 2 2 3 2 3 2 2" xfId="0"/>
    <cellStyle name="Normal 6 108 2 2 3 2 3 3" xfId="0"/>
    <cellStyle name="Normal 6 108 2 2 3 2 4" xfId="0"/>
    <cellStyle name="Normal 6 108 2 2 3 2 4 2" xfId="0"/>
    <cellStyle name="Normal 6 108 2 2 3 2 5" xfId="0"/>
    <cellStyle name="Normal 6 108 2 2 3 3" xfId="0"/>
    <cellStyle name="Normal 6 108 2 2 3 3 2" xfId="0"/>
    <cellStyle name="Normal 6 108 2 2 3 3 2 2" xfId="0"/>
    <cellStyle name="Normal 6 108 2 2 3 3 2 2 2" xfId="0"/>
    <cellStyle name="Normal 6 108 2 2 3 3 2 3" xfId="0"/>
    <cellStyle name="Normal 6 108 2 2 3 3 3" xfId="0"/>
    <cellStyle name="Normal 6 108 2 2 3 3 3 2" xfId="0"/>
    <cellStyle name="Normal 6 108 2 2 3 3 4" xfId="0"/>
    <cellStyle name="Normal 6 108 2 2 3 4" xfId="0"/>
    <cellStyle name="Normal 6 108 2 2 3 4 2" xfId="0"/>
    <cellStyle name="Normal 6 108 2 2 3 4 2 2" xfId="0"/>
    <cellStyle name="Normal 6 108 2 2 3 4 3" xfId="0"/>
    <cellStyle name="Normal 6 108 2 2 3 5" xfId="0"/>
    <cellStyle name="Normal 6 108 2 2 3 5 2" xfId="0"/>
    <cellStyle name="Normal 6 108 2 2 3 6" xfId="0"/>
    <cellStyle name="Normal 6 108 2 2 4" xfId="0"/>
    <cellStyle name="Normal 6 108 2 2 4 2" xfId="0"/>
    <cellStyle name="Normal 6 108 2 2 4 2 2" xfId="0"/>
    <cellStyle name="Normal 6 108 2 2 4 2 2 2" xfId="0"/>
    <cellStyle name="Normal 6 108 2 2 4 2 2 2 2" xfId="0"/>
    <cellStyle name="Normal 6 108 2 2 4 2 2 3" xfId="0"/>
    <cellStyle name="Normal 6 108 2 2 4 2 3" xfId="0"/>
    <cellStyle name="Normal 6 108 2 2 4 2 3 2" xfId="0"/>
    <cellStyle name="Normal 6 108 2 2 4 2 4" xfId="0"/>
    <cellStyle name="Normal 6 108 2 2 4 3" xfId="0"/>
    <cellStyle name="Normal 6 108 2 2 4 3 2" xfId="0"/>
    <cellStyle name="Normal 6 108 2 2 4 3 2 2" xfId="0"/>
    <cellStyle name="Normal 6 108 2 2 4 3 3" xfId="0"/>
    <cellStyle name="Normal 6 108 2 2 4 4" xfId="0"/>
    <cellStyle name="Normal 6 108 2 2 4 4 2" xfId="0"/>
    <cellStyle name="Normal 6 108 2 2 4 5" xfId="0"/>
    <cellStyle name="Normal 6 108 2 2 5" xfId="0"/>
    <cellStyle name="Normal 6 108 2 2 5 2" xfId="0"/>
    <cellStyle name="Normal 6 108 2 2 5 2 2" xfId="0"/>
    <cellStyle name="Normal 6 108 2 2 5 2 2 2" xfId="0"/>
    <cellStyle name="Normal 6 108 2 2 5 2 3" xfId="0"/>
    <cellStyle name="Normal 6 108 2 2 5 3" xfId="0"/>
    <cellStyle name="Normal 6 108 2 2 5 3 2" xfId="0"/>
    <cellStyle name="Normal 6 108 2 2 5 4" xfId="0"/>
    <cellStyle name="Normal 6 108 2 2 6" xfId="0"/>
    <cellStyle name="Normal 6 108 2 2 6 2" xfId="0"/>
    <cellStyle name="Normal 6 108 2 2 6 2 2" xfId="0"/>
    <cellStyle name="Normal 6 108 2 2 6 3" xfId="0"/>
    <cellStyle name="Normal 6 108 2 2 7" xfId="0"/>
    <cellStyle name="Normal 6 108 2 2 7 2" xfId="0"/>
    <cellStyle name="Normal 6 108 2 2 8" xfId="0"/>
    <cellStyle name="Normal 6 108 2 3" xfId="0"/>
    <cellStyle name="Normal 6 108 2 3 2" xfId="0"/>
    <cellStyle name="Normal 6 108 2 3 2 2" xfId="0"/>
    <cellStyle name="Normal 6 108 2 3 2 2 2" xfId="0"/>
    <cellStyle name="Normal 6 108 2 3 2 2 2 2" xfId="0"/>
    <cellStyle name="Normal 6 108 2 3 2 2 2 2 2" xfId="0"/>
    <cellStyle name="Normal 6 108 2 3 2 2 2 2 2 2" xfId="0"/>
    <cellStyle name="Normal 6 108 2 3 2 2 2 2 2 2 2" xfId="0"/>
    <cellStyle name="Normal 6 108 2 3 2 2 2 2 2 3" xfId="0"/>
    <cellStyle name="Normal 6 108 2 3 2 2 2 2 3" xfId="0"/>
    <cellStyle name="Normal 6 108 2 3 2 2 2 2 3 2" xfId="0"/>
    <cellStyle name="Normal 6 108 2 3 2 2 2 2 4" xfId="0"/>
    <cellStyle name="Normal 6 108 2 3 2 2 2 3" xfId="0"/>
    <cellStyle name="Normal 6 108 2 3 2 2 2 3 2" xfId="0"/>
    <cellStyle name="Normal 6 108 2 3 2 2 2 3 2 2" xfId="0"/>
    <cellStyle name="Normal 6 108 2 3 2 2 2 3 3" xfId="0"/>
    <cellStyle name="Normal 6 108 2 3 2 2 2 4" xfId="0"/>
    <cellStyle name="Normal 6 108 2 3 2 2 2 4 2" xfId="0"/>
    <cellStyle name="Normal 6 108 2 3 2 2 2 5" xfId="0"/>
    <cellStyle name="Normal 6 108 2 3 2 2 3" xfId="0"/>
    <cellStyle name="Normal 6 108 2 3 2 2 3 2" xfId="0"/>
    <cellStyle name="Normal 6 108 2 3 2 2 3 2 2" xfId="0"/>
    <cellStyle name="Normal 6 108 2 3 2 2 3 2 2 2" xfId="0"/>
    <cellStyle name="Normal 6 108 2 3 2 2 3 2 3" xfId="0"/>
    <cellStyle name="Normal 6 108 2 3 2 2 3 3" xfId="0"/>
    <cellStyle name="Normal 6 108 2 3 2 2 3 3 2" xfId="0"/>
    <cellStyle name="Normal 6 108 2 3 2 2 3 4" xfId="0"/>
    <cellStyle name="Normal 6 108 2 3 2 2 4" xfId="0"/>
    <cellStyle name="Normal 6 108 2 3 2 2 4 2" xfId="0"/>
    <cellStyle name="Normal 6 108 2 3 2 2 4 2 2" xfId="0"/>
    <cellStyle name="Normal 6 108 2 3 2 2 4 3" xfId="0"/>
    <cellStyle name="Normal 6 108 2 3 2 2 5" xfId="0"/>
    <cellStyle name="Normal 6 108 2 3 2 2 5 2" xfId="0"/>
    <cellStyle name="Normal 6 108 2 3 2 2 6" xfId="0"/>
    <cellStyle name="Normal 6 108 2 3 2 3" xfId="0"/>
    <cellStyle name="Normal 6 108 2 3 2 3 2" xfId="0"/>
    <cellStyle name="Normal 6 108 2 3 2 3 2 2" xfId="0"/>
    <cellStyle name="Normal 6 108 2 3 2 3 2 2 2" xfId="0"/>
    <cellStyle name="Normal 6 108 2 3 2 3 2 2 2 2" xfId="0"/>
    <cellStyle name="Normal 6 108 2 3 2 3 2 2 3" xfId="0"/>
    <cellStyle name="Normal 6 108 2 3 2 3 2 3" xfId="0"/>
    <cellStyle name="Normal 6 108 2 3 2 3 2 3 2" xfId="0"/>
    <cellStyle name="Normal 6 108 2 3 2 3 2 4" xfId="0"/>
    <cellStyle name="Normal 6 108 2 3 2 3 3" xfId="0"/>
    <cellStyle name="Normal 6 108 2 3 2 3 3 2" xfId="0"/>
    <cellStyle name="Normal 6 108 2 3 2 3 3 2 2" xfId="0"/>
    <cellStyle name="Normal 6 108 2 3 2 3 3 3" xfId="0"/>
    <cellStyle name="Normal 6 108 2 3 2 3 4" xfId="0"/>
    <cellStyle name="Normal 6 108 2 3 2 3 4 2" xfId="0"/>
    <cellStyle name="Normal 6 108 2 3 2 3 5" xfId="0"/>
    <cellStyle name="Normal 6 108 2 3 2 4" xfId="0"/>
    <cellStyle name="Normal 6 108 2 3 2 4 2" xfId="0"/>
    <cellStyle name="Normal 6 108 2 3 2 4 2 2" xfId="0"/>
    <cellStyle name="Normal 6 108 2 3 2 4 2 2 2" xfId="0"/>
    <cellStyle name="Normal 6 108 2 3 2 4 2 3" xfId="0"/>
    <cellStyle name="Normal 6 108 2 3 2 4 3" xfId="0"/>
    <cellStyle name="Normal 6 108 2 3 2 4 3 2" xfId="0"/>
    <cellStyle name="Normal 6 108 2 3 2 4 4" xfId="0"/>
    <cellStyle name="Normal 6 108 2 3 2 5" xfId="0"/>
    <cellStyle name="Normal 6 108 2 3 2 5 2" xfId="0"/>
    <cellStyle name="Normal 6 108 2 3 2 5 2 2" xfId="0"/>
    <cellStyle name="Normal 6 108 2 3 2 5 3" xfId="0"/>
    <cellStyle name="Normal 6 108 2 3 2 6" xfId="0"/>
    <cellStyle name="Normal 6 108 2 3 2 6 2" xfId="0"/>
    <cellStyle name="Normal 6 108 2 3 2 7" xfId="0"/>
    <cellStyle name="Normal 6 108 2 3 3" xfId="0"/>
    <cellStyle name="Normal 6 108 2 3 3 2" xfId="0"/>
    <cellStyle name="Normal 6 108 2 3 3 2 2" xfId="0"/>
    <cellStyle name="Normal 6 108 2 3 3 2 2 2" xfId="0"/>
    <cellStyle name="Normal 6 108 2 3 3 2 2 2 2" xfId="0"/>
    <cellStyle name="Normal 6 108 2 3 3 2 2 2 2 2" xfId="0"/>
    <cellStyle name="Normal 6 108 2 3 3 2 2 2 3" xfId="0"/>
    <cellStyle name="Normal 6 108 2 3 3 2 2 3" xfId="0"/>
    <cellStyle name="Normal 6 108 2 3 3 2 2 3 2" xfId="0"/>
    <cellStyle name="Normal 6 108 2 3 3 2 2 4" xfId="0"/>
    <cellStyle name="Normal 6 108 2 3 3 2 3" xfId="0"/>
    <cellStyle name="Normal 6 108 2 3 3 2 3 2" xfId="0"/>
    <cellStyle name="Normal 6 108 2 3 3 2 3 2 2" xfId="0"/>
    <cellStyle name="Normal 6 108 2 3 3 2 3 3" xfId="0"/>
    <cellStyle name="Normal 6 108 2 3 3 2 4" xfId="0"/>
    <cellStyle name="Normal 6 108 2 3 3 2 4 2" xfId="0"/>
    <cellStyle name="Normal 6 108 2 3 3 2 5" xfId="0"/>
    <cellStyle name="Normal 6 108 2 3 3 3" xfId="0"/>
    <cellStyle name="Normal 6 108 2 3 3 3 2" xfId="0"/>
    <cellStyle name="Normal 6 108 2 3 3 3 2 2" xfId="0"/>
    <cellStyle name="Normal 6 108 2 3 3 3 2 2 2" xfId="0"/>
    <cellStyle name="Normal 6 108 2 3 3 3 2 3" xfId="0"/>
    <cellStyle name="Normal 6 108 2 3 3 3 3" xfId="0"/>
    <cellStyle name="Normal 6 108 2 3 3 3 3 2" xfId="0"/>
    <cellStyle name="Normal 6 108 2 3 3 3 4" xfId="0"/>
    <cellStyle name="Normal 6 108 2 3 3 4" xfId="0"/>
    <cellStyle name="Normal 6 108 2 3 3 4 2" xfId="0"/>
    <cellStyle name="Normal 6 108 2 3 3 4 2 2" xfId="0"/>
    <cellStyle name="Normal 6 108 2 3 3 4 3" xfId="0"/>
    <cellStyle name="Normal 6 108 2 3 3 5" xfId="0"/>
    <cellStyle name="Normal 6 108 2 3 3 5 2" xfId="0"/>
    <cellStyle name="Normal 6 108 2 3 3 6" xfId="0"/>
    <cellStyle name="Normal 6 108 2 3 4" xfId="0"/>
    <cellStyle name="Normal 6 108 2 3 4 2" xfId="0"/>
    <cellStyle name="Normal 6 108 2 3 4 2 2" xfId="0"/>
    <cellStyle name="Normal 6 108 2 3 4 2 2 2" xfId="0"/>
    <cellStyle name="Normal 6 108 2 3 4 2 2 2 2" xfId="0"/>
    <cellStyle name="Normal 6 108 2 3 4 2 2 3" xfId="0"/>
    <cellStyle name="Normal 6 108 2 3 4 2 3" xfId="0"/>
    <cellStyle name="Normal 6 108 2 3 4 2 3 2" xfId="0"/>
    <cellStyle name="Normal 6 108 2 3 4 2 4" xfId="0"/>
    <cellStyle name="Normal 6 108 2 3 4 3" xfId="0"/>
    <cellStyle name="Normal 6 108 2 3 4 3 2" xfId="0"/>
    <cellStyle name="Normal 6 108 2 3 4 3 2 2" xfId="0"/>
    <cellStyle name="Normal 6 108 2 3 4 3 3" xfId="0"/>
    <cellStyle name="Normal 6 108 2 3 4 4" xfId="0"/>
    <cellStyle name="Normal 6 108 2 3 4 4 2" xfId="0"/>
    <cellStyle name="Normal 6 108 2 3 4 5" xfId="0"/>
    <cellStyle name="Normal 6 108 2 3 5" xfId="0"/>
    <cellStyle name="Normal 6 108 2 3 5 2" xfId="0"/>
    <cellStyle name="Normal 6 108 2 3 5 2 2" xfId="0"/>
    <cellStyle name="Normal 6 108 2 3 5 2 2 2" xfId="0"/>
    <cellStyle name="Normal 6 108 2 3 5 2 3" xfId="0"/>
    <cellStyle name="Normal 6 108 2 3 5 3" xfId="0"/>
    <cellStyle name="Normal 6 108 2 3 5 3 2" xfId="0"/>
    <cellStyle name="Normal 6 108 2 3 5 4" xfId="0"/>
    <cellStyle name="Normal 6 108 2 3 6" xfId="0"/>
    <cellStyle name="Normal 6 108 2 3 6 2" xfId="0"/>
    <cellStyle name="Normal 6 108 2 3 6 2 2" xfId="0"/>
    <cellStyle name="Normal 6 108 2 3 6 3" xfId="0"/>
    <cellStyle name="Normal 6 108 2 3 7" xfId="0"/>
    <cellStyle name="Normal 6 108 2 3 7 2" xfId="0"/>
    <cellStyle name="Normal 6 108 2 3 8" xfId="0"/>
    <cellStyle name="Normal 6 108 2 4" xfId="0"/>
    <cellStyle name="Normal 6 108 2 4 2" xfId="0"/>
    <cellStyle name="Normal 6 108 2 4 2 2" xfId="0"/>
    <cellStyle name="Normal 6 108 2 4 2 2 2" xfId="0"/>
    <cellStyle name="Normal 6 108 2 4 2 2 2 2" xfId="0"/>
    <cellStyle name="Normal 6 108 2 4 2 2 2 2 2" xfId="0"/>
    <cellStyle name="Normal 6 108 2 4 2 2 2 2 2 2" xfId="0"/>
    <cellStyle name="Normal 6 108 2 4 2 2 2 2 3" xfId="0"/>
    <cellStyle name="Normal 6 108 2 4 2 2 2 3" xfId="0"/>
    <cellStyle name="Normal 6 108 2 4 2 2 2 3 2" xfId="0"/>
    <cellStyle name="Normal 6 108 2 4 2 2 2 4" xfId="0"/>
    <cellStyle name="Normal 6 108 2 4 2 2 3" xfId="0"/>
    <cellStyle name="Normal 6 108 2 4 2 2 3 2" xfId="0"/>
    <cellStyle name="Normal 6 108 2 4 2 2 3 2 2" xfId="0"/>
    <cellStyle name="Normal 6 108 2 4 2 2 3 3" xfId="0"/>
    <cellStyle name="Normal 6 108 2 4 2 2 4" xfId="0"/>
    <cellStyle name="Normal 6 108 2 4 2 2 4 2" xfId="0"/>
    <cellStyle name="Normal 6 108 2 4 2 2 5" xfId="0"/>
    <cellStyle name="Normal 6 108 2 4 2 3" xfId="0"/>
    <cellStyle name="Normal 6 108 2 4 2 3 2" xfId="0"/>
    <cellStyle name="Normal 6 108 2 4 2 3 2 2" xfId="0"/>
    <cellStyle name="Normal 6 108 2 4 2 3 2 2 2" xfId="0"/>
    <cellStyle name="Normal 6 108 2 4 2 3 2 3" xfId="0"/>
    <cellStyle name="Normal 6 108 2 4 2 3 3" xfId="0"/>
    <cellStyle name="Normal 6 108 2 4 2 3 3 2" xfId="0"/>
    <cellStyle name="Normal 6 108 2 4 2 3 4" xfId="0"/>
    <cellStyle name="Normal 6 108 2 4 2 4" xfId="0"/>
    <cellStyle name="Normal 6 108 2 4 2 4 2" xfId="0"/>
    <cellStyle name="Normal 6 108 2 4 2 4 2 2" xfId="0"/>
    <cellStyle name="Normal 6 108 2 4 2 4 3" xfId="0"/>
    <cellStyle name="Normal 6 108 2 4 2 5" xfId="0"/>
    <cellStyle name="Normal 6 108 2 4 2 5 2" xfId="0"/>
    <cellStyle name="Normal 6 108 2 4 2 6" xfId="0"/>
    <cellStyle name="Normal 6 108 2 4 3" xfId="0"/>
    <cellStyle name="Normal 6 108 2 4 3 2" xfId="0"/>
    <cellStyle name="Normal 6 108 2 4 3 2 2" xfId="0"/>
    <cellStyle name="Normal 6 108 2 4 3 2 2 2" xfId="0"/>
    <cellStyle name="Normal 6 108 2 4 3 2 2 2 2" xfId="0"/>
    <cellStyle name="Normal 6 108 2 4 3 2 2 3" xfId="0"/>
    <cellStyle name="Normal 6 108 2 4 3 2 3" xfId="0"/>
    <cellStyle name="Normal 6 108 2 4 3 2 3 2" xfId="0"/>
    <cellStyle name="Normal 6 108 2 4 3 2 4" xfId="0"/>
    <cellStyle name="Normal 6 108 2 4 3 3" xfId="0"/>
    <cellStyle name="Normal 6 108 2 4 3 3 2" xfId="0"/>
    <cellStyle name="Normal 6 108 2 4 3 3 2 2" xfId="0"/>
    <cellStyle name="Normal 6 108 2 4 3 3 3" xfId="0"/>
    <cellStyle name="Normal 6 108 2 4 3 4" xfId="0"/>
    <cellStyle name="Normal 6 108 2 4 3 4 2" xfId="0"/>
    <cellStyle name="Normal 6 108 2 4 3 5" xfId="0"/>
    <cellStyle name="Normal 6 108 2 4 4" xfId="0"/>
    <cellStyle name="Normal 6 108 2 4 4 2" xfId="0"/>
    <cellStyle name="Normal 6 108 2 4 4 2 2" xfId="0"/>
    <cellStyle name="Normal 6 108 2 4 4 2 2 2" xfId="0"/>
    <cellStyle name="Normal 6 108 2 4 4 2 3" xfId="0"/>
    <cellStyle name="Normal 6 108 2 4 4 3" xfId="0"/>
    <cellStyle name="Normal 6 108 2 4 4 3 2" xfId="0"/>
    <cellStyle name="Normal 6 108 2 4 4 4" xfId="0"/>
    <cellStyle name="Normal 6 108 2 4 5" xfId="0"/>
    <cellStyle name="Normal 6 108 2 4 5 2" xfId="0"/>
    <cellStyle name="Normal 6 108 2 4 5 2 2" xfId="0"/>
    <cellStyle name="Normal 6 108 2 4 5 3" xfId="0"/>
    <cellStyle name="Normal 6 108 2 4 6" xfId="0"/>
    <cellStyle name="Normal 6 108 2 4 6 2" xfId="0"/>
    <cellStyle name="Normal 6 108 2 4 7" xfId="0"/>
    <cellStyle name="Normal 6 108 2 5" xfId="0"/>
    <cellStyle name="Normal 6 108 2 5 2" xfId="0"/>
    <cellStyle name="Normal 6 108 2 5 2 2" xfId="0"/>
    <cellStyle name="Normal 6 108 2 5 2 2 2" xfId="0"/>
    <cellStyle name="Normal 6 108 2 5 2 2 2 2" xfId="0"/>
    <cellStyle name="Normal 6 108 2 5 2 2 2 2 2" xfId="0"/>
    <cellStyle name="Normal 6 108 2 5 2 2 2 2 2 2" xfId="0"/>
    <cellStyle name="Normal 6 108 2 5 2 2 2 2 3" xfId="0"/>
    <cellStyle name="Normal 6 108 2 5 2 2 2 3" xfId="0"/>
    <cellStyle name="Normal 6 108 2 5 2 2 2 3 2" xfId="0"/>
    <cellStyle name="Normal 6 108 2 5 2 2 2 4" xfId="0"/>
    <cellStyle name="Normal 6 108 2 5 2 2 3" xfId="0"/>
    <cellStyle name="Normal 6 108 2 5 2 2 3 2" xfId="0"/>
    <cellStyle name="Normal 6 108 2 5 2 2 3 2 2" xfId="0"/>
    <cellStyle name="Normal 6 108 2 5 2 2 3 3" xfId="0"/>
    <cellStyle name="Normal 6 108 2 5 2 2 4" xfId="0"/>
    <cellStyle name="Normal 6 108 2 5 2 2 4 2" xfId="0"/>
    <cellStyle name="Normal 6 108 2 5 2 2 5" xfId="0"/>
    <cellStyle name="Normal 6 108 2 5 2 3" xfId="0"/>
    <cellStyle name="Normal 6 108 2 5 2 3 2" xfId="0"/>
    <cellStyle name="Normal 6 108 2 5 2 3 2 2" xfId="0"/>
    <cellStyle name="Normal 6 108 2 5 2 3 2 2 2" xfId="0"/>
    <cellStyle name="Normal 6 108 2 5 2 3 2 3" xfId="0"/>
    <cellStyle name="Normal 6 108 2 5 2 3 3" xfId="0"/>
    <cellStyle name="Normal 6 108 2 5 2 3 3 2" xfId="0"/>
    <cellStyle name="Normal 6 108 2 5 2 3 4" xfId="0"/>
    <cellStyle name="Normal 6 108 2 5 2 4" xfId="0"/>
    <cellStyle name="Normal 6 108 2 5 2 4 2" xfId="0"/>
    <cellStyle name="Normal 6 108 2 5 2 4 2 2" xfId="0"/>
    <cellStyle name="Normal 6 108 2 5 2 4 3" xfId="0"/>
    <cellStyle name="Normal 6 108 2 5 2 5" xfId="0"/>
    <cellStyle name="Normal 6 108 2 5 2 5 2" xfId="0"/>
    <cellStyle name="Normal 6 108 2 5 2 6" xfId="0"/>
    <cellStyle name="Normal 6 108 2 5 3" xfId="0"/>
    <cellStyle name="Normal 6 108 2 5 3 2" xfId="0"/>
    <cellStyle name="Normal 6 108 2 5 3 2 2" xfId="0"/>
    <cellStyle name="Normal 6 108 2 5 3 2 2 2" xfId="0"/>
    <cellStyle name="Normal 6 108 2 5 3 2 2 2 2" xfId="0"/>
    <cellStyle name="Normal 6 108 2 5 3 2 2 3" xfId="0"/>
    <cellStyle name="Normal 6 108 2 5 3 2 3" xfId="0"/>
    <cellStyle name="Normal 6 108 2 5 3 2 3 2" xfId="0"/>
    <cellStyle name="Normal 6 108 2 5 3 2 4" xfId="0"/>
    <cellStyle name="Normal 6 108 2 5 3 3" xfId="0"/>
    <cellStyle name="Normal 6 108 2 5 3 3 2" xfId="0"/>
    <cellStyle name="Normal 6 108 2 5 3 3 2 2" xfId="0"/>
    <cellStyle name="Normal 6 108 2 5 3 3 3" xfId="0"/>
    <cellStyle name="Normal 6 108 2 5 3 4" xfId="0"/>
    <cellStyle name="Normal 6 108 2 5 3 4 2" xfId="0"/>
    <cellStyle name="Normal 6 108 2 5 3 5" xfId="0"/>
    <cellStyle name="Normal 6 108 2 5 4" xfId="0"/>
    <cellStyle name="Normal 6 108 2 5 4 2" xfId="0"/>
    <cellStyle name="Normal 6 108 2 5 4 2 2" xfId="0"/>
    <cellStyle name="Normal 6 108 2 5 4 2 2 2" xfId="0"/>
    <cellStyle name="Normal 6 108 2 5 4 2 3" xfId="0"/>
    <cellStyle name="Normal 6 108 2 5 4 3" xfId="0"/>
    <cellStyle name="Normal 6 108 2 5 4 3 2" xfId="0"/>
    <cellStyle name="Normal 6 108 2 5 4 4" xfId="0"/>
    <cellStyle name="Normal 6 108 2 5 5" xfId="0"/>
    <cellStyle name="Normal 6 108 2 5 5 2" xfId="0"/>
    <cellStyle name="Normal 6 108 2 5 5 2 2" xfId="0"/>
    <cellStyle name="Normal 6 108 2 5 5 3" xfId="0"/>
    <cellStyle name="Normal 6 108 2 5 6" xfId="0"/>
    <cellStyle name="Normal 6 108 2 5 6 2" xfId="0"/>
    <cellStyle name="Normal 6 108 2 5 7" xfId="0"/>
    <cellStyle name="Normal 6 108 2 6" xfId="0"/>
    <cellStyle name="Normal 6 108 2 6 2" xfId="0"/>
    <cellStyle name="Normal 6 108 2 6 2 2" xfId="0"/>
    <cellStyle name="Normal 6 108 2 6 2 2 2" xfId="0"/>
    <cellStyle name="Normal 6 108 2 6 2 2 2 2" xfId="0"/>
    <cellStyle name="Normal 6 108 2 6 2 2 2 2 2" xfId="0"/>
    <cellStyle name="Normal 6 108 2 6 2 2 2 3" xfId="0"/>
    <cellStyle name="Normal 6 108 2 6 2 2 3" xfId="0"/>
    <cellStyle name="Normal 6 108 2 6 2 2 3 2" xfId="0"/>
    <cellStyle name="Normal 6 108 2 6 2 2 4" xfId="0"/>
    <cellStyle name="Normal 6 108 2 6 2 3" xfId="0"/>
    <cellStyle name="Normal 6 108 2 6 2 3 2" xfId="0"/>
    <cellStyle name="Normal 6 108 2 6 2 3 2 2" xfId="0"/>
    <cellStyle name="Normal 6 108 2 6 2 3 3" xfId="0"/>
    <cellStyle name="Normal 6 108 2 6 2 4" xfId="0"/>
    <cellStyle name="Normal 6 108 2 6 2 4 2" xfId="0"/>
    <cellStyle name="Normal 6 108 2 6 2 5" xfId="0"/>
    <cellStyle name="Normal 6 108 2 6 3" xfId="0"/>
    <cellStyle name="Normal 6 108 2 6 3 2" xfId="0"/>
    <cellStyle name="Normal 6 108 2 6 3 2 2" xfId="0"/>
    <cellStyle name="Normal 6 108 2 6 3 2 2 2" xfId="0"/>
    <cellStyle name="Normal 6 108 2 6 3 2 3" xfId="0"/>
    <cellStyle name="Normal 6 108 2 6 3 3" xfId="0"/>
    <cellStyle name="Normal 6 108 2 6 3 3 2" xfId="0"/>
    <cellStyle name="Normal 6 108 2 6 3 4" xfId="0"/>
    <cellStyle name="Normal 6 108 2 6 4" xfId="0"/>
    <cellStyle name="Normal 6 108 2 6 4 2" xfId="0"/>
    <cellStyle name="Normal 6 108 2 6 4 2 2" xfId="0"/>
    <cellStyle name="Normal 6 108 2 6 4 3" xfId="0"/>
    <cellStyle name="Normal 6 108 2 6 5" xfId="0"/>
    <cellStyle name="Normal 6 108 2 6 5 2" xfId="0"/>
    <cellStyle name="Normal 6 108 2 6 6" xfId="0"/>
    <cellStyle name="Normal 6 108 2 7" xfId="0"/>
    <cellStyle name="Normal 6 108 2 7 2" xfId="0"/>
    <cellStyle name="Normal 6 108 2 7 2 2" xfId="0"/>
    <cellStyle name="Normal 6 108 2 7 2 2 2" xfId="0"/>
    <cellStyle name="Normal 6 108 2 7 2 2 2 2" xfId="0"/>
    <cellStyle name="Normal 6 108 2 7 2 2 3" xfId="0"/>
    <cellStyle name="Normal 6 108 2 7 2 3" xfId="0"/>
    <cellStyle name="Normal 6 108 2 7 2 3 2" xfId="0"/>
    <cellStyle name="Normal 6 108 2 7 2 4" xfId="0"/>
    <cellStyle name="Normal 6 108 2 7 3" xfId="0"/>
    <cellStyle name="Normal 6 108 2 7 3 2" xfId="0"/>
    <cellStyle name="Normal 6 108 2 7 3 2 2" xfId="0"/>
    <cellStyle name="Normal 6 108 2 7 3 3" xfId="0"/>
    <cellStyle name="Normal 6 108 2 7 4" xfId="0"/>
    <cellStyle name="Normal 6 108 2 7 4 2" xfId="0"/>
    <cellStyle name="Normal 6 108 2 7 5" xfId="0"/>
    <cellStyle name="Normal 6 108 2 8" xfId="0"/>
    <cellStyle name="Normal 6 108 2 8 2" xfId="0"/>
    <cellStyle name="Normal 6 108 2 8 2 2" xfId="0"/>
    <cellStyle name="Normal 6 108 2 8 2 2 2" xfId="0"/>
    <cellStyle name="Normal 6 108 2 8 2 3" xfId="0"/>
    <cellStyle name="Normal 6 108 2 8 3" xfId="0"/>
    <cellStyle name="Normal 6 108 2 8 3 2" xfId="0"/>
    <cellStyle name="Normal 6 108 2 8 4" xfId="0"/>
    <cellStyle name="Normal 6 108 2 9" xfId="0"/>
    <cellStyle name="Normal 6 108 2 9 2" xfId="0"/>
    <cellStyle name="Normal 6 108 2 9 2 2" xfId="0"/>
    <cellStyle name="Normal 6 108 2 9 3" xfId="0"/>
    <cellStyle name="Normal 6 108 3" xfId="0"/>
    <cellStyle name="Normal 6 108 3 2" xfId="0"/>
    <cellStyle name="Normal 6 108 3 2 2" xfId="0"/>
    <cellStyle name="Normal 6 108 3 2 2 2" xfId="0"/>
    <cellStyle name="Normal 6 108 3 2 2 2 2" xfId="0"/>
    <cellStyle name="Normal 6 108 3 2 2 2 2 2" xfId="0"/>
    <cellStyle name="Normal 6 108 3 2 2 2 2 2 2" xfId="0"/>
    <cellStyle name="Normal 6 108 3 2 2 2 2 2 2 2" xfId="0"/>
    <cellStyle name="Normal 6 108 3 2 2 2 2 2 3" xfId="0"/>
    <cellStyle name="Normal 6 108 3 2 2 2 2 3" xfId="0"/>
    <cellStyle name="Normal 6 108 3 2 2 2 2 3 2" xfId="0"/>
    <cellStyle name="Normal 6 108 3 2 2 2 2 4" xfId="0"/>
    <cellStyle name="Normal 6 108 3 2 2 2 3" xfId="0"/>
    <cellStyle name="Normal 6 108 3 2 2 2 3 2" xfId="0"/>
    <cellStyle name="Normal 6 108 3 2 2 2 3 2 2" xfId="0"/>
    <cellStyle name="Normal 6 108 3 2 2 2 3 3" xfId="0"/>
    <cellStyle name="Normal 6 108 3 2 2 2 4" xfId="0"/>
    <cellStyle name="Normal 6 108 3 2 2 2 4 2" xfId="0"/>
    <cellStyle name="Normal 6 108 3 2 2 2 5" xfId="0"/>
    <cellStyle name="Normal 6 108 3 2 2 3" xfId="0"/>
    <cellStyle name="Normal 6 108 3 2 2 3 2" xfId="0"/>
    <cellStyle name="Normal 6 108 3 2 2 3 2 2" xfId="0"/>
    <cellStyle name="Normal 6 108 3 2 2 3 2 2 2" xfId="0"/>
    <cellStyle name="Normal 6 108 3 2 2 3 2 3" xfId="0"/>
    <cellStyle name="Normal 6 108 3 2 2 3 3" xfId="0"/>
    <cellStyle name="Normal 6 108 3 2 2 3 3 2" xfId="0"/>
    <cellStyle name="Normal 6 108 3 2 2 3 4" xfId="0"/>
    <cellStyle name="Normal 6 108 3 2 2 4" xfId="0"/>
    <cellStyle name="Normal 6 108 3 2 2 4 2" xfId="0"/>
    <cellStyle name="Normal 6 108 3 2 2 4 2 2" xfId="0"/>
    <cellStyle name="Normal 6 108 3 2 2 4 3" xfId="0"/>
    <cellStyle name="Normal 6 108 3 2 2 5" xfId="0"/>
    <cellStyle name="Normal 6 108 3 2 2 5 2" xfId="0"/>
    <cellStyle name="Normal 6 108 3 2 2 6" xfId="0"/>
    <cellStyle name="Normal 6 108 3 2 3" xfId="0"/>
    <cellStyle name="Normal 6 108 3 2 3 2" xfId="0"/>
    <cellStyle name="Normal 6 108 3 2 3 2 2" xfId="0"/>
    <cellStyle name="Normal 6 108 3 2 3 2 2 2" xfId="0"/>
    <cellStyle name="Normal 6 108 3 2 3 2 2 2 2" xfId="0"/>
    <cellStyle name="Normal 6 108 3 2 3 2 2 3" xfId="0"/>
    <cellStyle name="Normal 6 108 3 2 3 2 3" xfId="0"/>
    <cellStyle name="Normal 6 108 3 2 3 2 3 2" xfId="0"/>
    <cellStyle name="Normal 6 108 3 2 3 2 4" xfId="0"/>
    <cellStyle name="Normal 6 108 3 2 3 3" xfId="0"/>
    <cellStyle name="Normal 6 108 3 2 3 3 2" xfId="0"/>
    <cellStyle name="Normal 6 108 3 2 3 3 2 2" xfId="0"/>
    <cellStyle name="Normal 6 108 3 2 3 3 3" xfId="0"/>
    <cellStyle name="Normal 6 108 3 2 3 4" xfId="0"/>
    <cellStyle name="Normal 6 108 3 2 3 4 2" xfId="0"/>
    <cellStyle name="Normal 6 108 3 2 3 5" xfId="0"/>
    <cellStyle name="Normal 6 108 3 2 4" xfId="0"/>
    <cellStyle name="Normal 6 108 3 2 4 2" xfId="0"/>
    <cellStyle name="Normal 6 108 3 2 4 2 2" xfId="0"/>
    <cellStyle name="Normal 6 108 3 2 4 2 2 2" xfId="0"/>
    <cellStyle name="Normal 6 108 3 2 4 2 3" xfId="0"/>
    <cellStyle name="Normal 6 108 3 2 4 3" xfId="0"/>
    <cellStyle name="Normal 6 108 3 2 4 3 2" xfId="0"/>
    <cellStyle name="Normal 6 108 3 2 4 4" xfId="0"/>
    <cellStyle name="Normal 6 108 3 2 5" xfId="0"/>
    <cellStyle name="Normal 6 108 3 2 5 2" xfId="0"/>
    <cellStyle name="Normal 6 108 3 2 5 2 2" xfId="0"/>
    <cellStyle name="Normal 6 108 3 2 5 3" xfId="0"/>
    <cellStyle name="Normal 6 108 3 2 6" xfId="0"/>
    <cellStyle name="Normal 6 108 3 2 6 2" xfId="0"/>
    <cellStyle name="Normal 6 108 3 2 7" xfId="0"/>
    <cellStyle name="Normal 6 108 3 3" xfId="0"/>
    <cellStyle name="Normal 6 108 3 3 2" xfId="0"/>
    <cellStyle name="Normal 6 108 3 3 2 2" xfId="0"/>
    <cellStyle name="Normal 6 108 3 3 2 2 2" xfId="0"/>
    <cellStyle name="Normal 6 108 3 3 2 2 2 2" xfId="0"/>
    <cellStyle name="Normal 6 108 3 3 2 2 2 2 2" xfId="0"/>
    <cellStyle name="Normal 6 108 3 3 2 2 2 3" xfId="0"/>
    <cellStyle name="Normal 6 108 3 3 2 2 3" xfId="0"/>
    <cellStyle name="Normal 6 108 3 3 2 2 3 2" xfId="0"/>
    <cellStyle name="Normal 6 108 3 3 2 2 4" xfId="0"/>
    <cellStyle name="Normal 6 108 3 3 2 3" xfId="0"/>
    <cellStyle name="Normal 6 108 3 3 2 3 2" xfId="0"/>
    <cellStyle name="Normal 6 108 3 3 2 3 2 2" xfId="0"/>
    <cellStyle name="Normal 6 108 3 3 2 3 3" xfId="0"/>
    <cellStyle name="Normal 6 108 3 3 2 4" xfId="0"/>
    <cellStyle name="Normal 6 108 3 3 2 4 2" xfId="0"/>
    <cellStyle name="Normal 6 108 3 3 2 5" xfId="0"/>
    <cellStyle name="Normal 6 108 3 3 3" xfId="0"/>
    <cellStyle name="Normal 6 108 3 3 3 2" xfId="0"/>
    <cellStyle name="Normal 6 108 3 3 3 2 2" xfId="0"/>
    <cellStyle name="Normal 6 108 3 3 3 2 2 2" xfId="0"/>
    <cellStyle name="Normal 6 108 3 3 3 2 3" xfId="0"/>
    <cellStyle name="Normal 6 108 3 3 3 3" xfId="0"/>
    <cellStyle name="Normal 6 108 3 3 3 3 2" xfId="0"/>
    <cellStyle name="Normal 6 108 3 3 3 4" xfId="0"/>
    <cellStyle name="Normal 6 108 3 3 4" xfId="0"/>
    <cellStyle name="Normal 6 108 3 3 4 2" xfId="0"/>
    <cellStyle name="Normal 6 108 3 3 4 2 2" xfId="0"/>
    <cellStyle name="Normal 6 108 3 3 4 3" xfId="0"/>
    <cellStyle name="Normal 6 108 3 3 5" xfId="0"/>
    <cellStyle name="Normal 6 108 3 3 5 2" xfId="0"/>
    <cellStyle name="Normal 6 108 3 3 6" xfId="0"/>
    <cellStyle name="Normal 6 108 3 4" xfId="0"/>
    <cellStyle name="Normal 6 108 3 4 2" xfId="0"/>
    <cellStyle name="Normal 6 108 3 4 2 2" xfId="0"/>
    <cellStyle name="Normal 6 108 3 4 2 2 2" xfId="0"/>
    <cellStyle name="Normal 6 108 3 4 2 2 2 2" xfId="0"/>
    <cellStyle name="Normal 6 108 3 4 2 2 3" xfId="0"/>
    <cellStyle name="Normal 6 108 3 4 2 3" xfId="0"/>
    <cellStyle name="Normal 6 108 3 4 2 3 2" xfId="0"/>
    <cellStyle name="Normal 6 108 3 4 2 4" xfId="0"/>
    <cellStyle name="Normal 6 108 3 4 3" xfId="0"/>
    <cellStyle name="Normal 6 108 3 4 3 2" xfId="0"/>
    <cellStyle name="Normal 6 108 3 4 3 2 2" xfId="0"/>
    <cellStyle name="Normal 6 108 3 4 3 3" xfId="0"/>
    <cellStyle name="Normal 6 108 3 4 4" xfId="0"/>
    <cellStyle name="Normal 6 108 3 4 4 2" xfId="0"/>
    <cellStyle name="Normal 6 108 3 4 5" xfId="0"/>
    <cellStyle name="Normal 6 108 3 5" xfId="0"/>
    <cellStyle name="Normal 6 108 3 5 2" xfId="0"/>
    <cellStyle name="Normal 6 108 3 5 2 2" xfId="0"/>
    <cellStyle name="Normal 6 108 3 5 2 2 2" xfId="0"/>
    <cellStyle name="Normal 6 108 3 5 2 3" xfId="0"/>
    <cellStyle name="Normal 6 108 3 5 3" xfId="0"/>
    <cellStyle name="Normal 6 108 3 5 3 2" xfId="0"/>
    <cellStyle name="Normal 6 108 3 5 4" xfId="0"/>
    <cellStyle name="Normal 6 108 3 6" xfId="0"/>
    <cellStyle name="Normal 6 108 3 6 2" xfId="0"/>
    <cellStyle name="Normal 6 108 3 6 2 2" xfId="0"/>
    <cellStyle name="Normal 6 108 3 6 3" xfId="0"/>
    <cellStyle name="Normal 6 108 3 7" xfId="0"/>
    <cellStyle name="Normal 6 108 3 7 2" xfId="0"/>
    <cellStyle name="Normal 6 108 3 8" xfId="0"/>
    <cellStyle name="Normal 6 108 4" xfId="0"/>
    <cellStyle name="Normal 6 108 4 2" xfId="0"/>
    <cellStyle name="Normal 6 108 4 2 2" xfId="0"/>
    <cellStyle name="Normal 6 108 4 2 2 2" xfId="0"/>
    <cellStyle name="Normal 6 108 4 2 2 2 2" xfId="0"/>
    <cellStyle name="Normal 6 108 4 2 2 2 2 2" xfId="0"/>
    <cellStyle name="Normal 6 108 4 2 2 2 2 2 2" xfId="0"/>
    <cellStyle name="Normal 6 108 4 2 2 2 2 2 2 2" xfId="0"/>
    <cellStyle name="Normal 6 108 4 2 2 2 2 2 3" xfId="0"/>
    <cellStyle name="Normal 6 108 4 2 2 2 2 3" xfId="0"/>
    <cellStyle name="Normal 6 108 4 2 2 2 2 3 2" xfId="0"/>
    <cellStyle name="Normal 6 108 4 2 2 2 2 4" xfId="0"/>
    <cellStyle name="Normal 6 108 4 2 2 2 3" xfId="0"/>
    <cellStyle name="Normal 6 108 4 2 2 2 3 2" xfId="0"/>
    <cellStyle name="Normal 6 108 4 2 2 2 3 2 2" xfId="0"/>
    <cellStyle name="Normal 6 108 4 2 2 2 3 3" xfId="0"/>
    <cellStyle name="Normal 6 108 4 2 2 2 4" xfId="0"/>
    <cellStyle name="Normal 6 108 4 2 2 2 4 2" xfId="0"/>
    <cellStyle name="Normal 6 108 4 2 2 2 5" xfId="0"/>
    <cellStyle name="Normal 6 108 4 2 2 3" xfId="0"/>
    <cellStyle name="Normal 6 108 4 2 2 3 2" xfId="0"/>
    <cellStyle name="Normal 6 108 4 2 2 3 2 2" xfId="0"/>
    <cellStyle name="Normal 6 108 4 2 2 3 2 2 2" xfId="0"/>
    <cellStyle name="Normal 6 108 4 2 2 3 2 3" xfId="0"/>
    <cellStyle name="Normal 6 108 4 2 2 3 3" xfId="0"/>
    <cellStyle name="Normal 6 108 4 2 2 3 3 2" xfId="0"/>
    <cellStyle name="Normal 6 108 4 2 2 3 4" xfId="0"/>
    <cellStyle name="Normal 6 108 4 2 2 4" xfId="0"/>
    <cellStyle name="Normal 6 108 4 2 2 4 2" xfId="0"/>
    <cellStyle name="Normal 6 108 4 2 2 4 2 2" xfId="0"/>
    <cellStyle name="Normal 6 108 4 2 2 4 3" xfId="0"/>
    <cellStyle name="Normal 6 108 4 2 2 5" xfId="0"/>
    <cellStyle name="Normal 6 108 4 2 2 5 2" xfId="0"/>
    <cellStyle name="Normal 6 108 4 2 2 6" xfId="0"/>
    <cellStyle name="Normal 6 108 4 2 3" xfId="0"/>
    <cellStyle name="Normal 6 108 4 2 3 2" xfId="0"/>
    <cellStyle name="Normal 6 108 4 2 3 2 2" xfId="0"/>
    <cellStyle name="Normal 6 108 4 2 3 2 2 2" xfId="0"/>
    <cellStyle name="Normal 6 108 4 2 3 2 2 2 2" xfId="0"/>
    <cellStyle name="Normal 6 108 4 2 3 2 2 3" xfId="0"/>
    <cellStyle name="Normal 6 108 4 2 3 2 3" xfId="0"/>
    <cellStyle name="Normal 6 108 4 2 3 2 3 2" xfId="0"/>
    <cellStyle name="Normal 6 108 4 2 3 2 4" xfId="0"/>
    <cellStyle name="Normal 6 108 4 2 3 3" xfId="0"/>
    <cellStyle name="Normal 6 108 4 2 3 3 2" xfId="0"/>
    <cellStyle name="Normal 6 108 4 2 3 3 2 2" xfId="0"/>
    <cellStyle name="Normal 6 108 4 2 3 3 3" xfId="0"/>
    <cellStyle name="Normal 6 108 4 2 3 4" xfId="0"/>
    <cellStyle name="Normal 6 108 4 2 3 4 2" xfId="0"/>
    <cellStyle name="Normal 6 108 4 2 3 5" xfId="0"/>
    <cellStyle name="Normal 6 108 4 2 4" xfId="0"/>
    <cellStyle name="Normal 6 108 4 2 4 2" xfId="0"/>
    <cellStyle name="Normal 6 108 4 2 4 2 2" xfId="0"/>
    <cellStyle name="Normal 6 108 4 2 4 2 2 2" xfId="0"/>
    <cellStyle name="Normal 6 108 4 2 4 2 3" xfId="0"/>
    <cellStyle name="Normal 6 108 4 2 4 3" xfId="0"/>
    <cellStyle name="Normal 6 108 4 2 4 3 2" xfId="0"/>
    <cellStyle name="Normal 6 108 4 2 4 4" xfId="0"/>
    <cellStyle name="Normal 6 108 4 2 5" xfId="0"/>
    <cellStyle name="Normal 6 108 4 2 5 2" xfId="0"/>
    <cellStyle name="Normal 6 108 4 2 5 2 2" xfId="0"/>
    <cellStyle name="Normal 6 108 4 2 5 3" xfId="0"/>
    <cellStyle name="Normal 6 108 4 2 6" xfId="0"/>
    <cellStyle name="Normal 6 108 4 2 6 2" xfId="0"/>
    <cellStyle name="Normal 6 108 4 2 7" xfId="0"/>
    <cellStyle name="Normal 6 108 4 3" xfId="0"/>
    <cellStyle name="Normal 6 108 4 3 2" xfId="0"/>
    <cellStyle name="Normal 6 108 4 3 2 2" xfId="0"/>
    <cellStyle name="Normal 6 108 4 3 2 2 2" xfId="0"/>
    <cellStyle name="Normal 6 108 4 3 2 2 2 2" xfId="0"/>
    <cellStyle name="Normal 6 108 4 3 2 2 2 2 2" xfId="0"/>
    <cellStyle name="Normal 6 108 4 3 2 2 2 3" xfId="0"/>
    <cellStyle name="Normal 6 108 4 3 2 2 3" xfId="0"/>
    <cellStyle name="Normal 6 108 4 3 2 2 3 2" xfId="0"/>
    <cellStyle name="Normal 6 108 4 3 2 2 4" xfId="0"/>
    <cellStyle name="Normal 6 108 4 3 2 3" xfId="0"/>
    <cellStyle name="Normal 6 108 4 3 2 3 2" xfId="0"/>
    <cellStyle name="Normal 6 108 4 3 2 3 2 2" xfId="0"/>
    <cellStyle name="Normal 6 108 4 3 2 3 3" xfId="0"/>
    <cellStyle name="Normal 6 108 4 3 2 4" xfId="0"/>
    <cellStyle name="Normal 6 108 4 3 2 4 2" xfId="0"/>
    <cellStyle name="Normal 6 108 4 3 2 5" xfId="0"/>
    <cellStyle name="Normal 6 108 4 3 3" xfId="0"/>
    <cellStyle name="Normal 6 108 4 3 3 2" xfId="0"/>
    <cellStyle name="Normal 6 108 4 3 3 2 2" xfId="0"/>
    <cellStyle name="Normal 6 108 4 3 3 2 2 2" xfId="0"/>
    <cellStyle name="Normal 6 108 4 3 3 2 3" xfId="0"/>
    <cellStyle name="Normal 6 108 4 3 3 3" xfId="0"/>
    <cellStyle name="Normal 6 108 4 3 3 3 2" xfId="0"/>
    <cellStyle name="Normal 6 108 4 3 3 4" xfId="0"/>
    <cellStyle name="Normal 6 108 4 3 4" xfId="0"/>
    <cellStyle name="Normal 6 108 4 3 4 2" xfId="0"/>
    <cellStyle name="Normal 6 108 4 3 4 2 2" xfId="0"/>
    <cellStyle name="Normal 6 108 4 3 4 3" xfId="0"/>
    <cellStyle name="Normal 6 108 4 3 5" xfId="0"/>
    <cellStyle name="Normal 6 108 4 3 5 2" xfId="0"/>
    <cellStyle name="Normal 6 108 4 3 6" xfId="0"/>
    <cellStyle name="Normal 6 108 4 4" xfId="0"/>
    <cellStyle name="Normal 6 108 4 4 2" xfId="0"/>
    <cellStyle name="Normal 6 108 4 4 2 2" xfId="0"/>
    <cellStyle name="Normal 6 108 4 4 2 2 2" xfId="0"/>
    <cellStyle name="Normal 6 108 4 4 2 2 2 2" xfId="0"/>
    <cellStyle name="Normal 6 108 4 4 2 2 3" xfId="0"/>
    <cellStyle name="Normal 6 108 4 4 2 3" xfId="0"/>
    <cellStyle name="Normal 6 108 4 4 2 3 2" xfId="0"/>
    <cellStyle name="Normal 6 108 4 4 2 4" xfId="0"/>
    <cellStyle name="Normal 6 108 4 4 3" xfId="0"/>
    <cellStyle name="Normal 6 108 4 4 3 2" xfId="0"/>
    <cellStyle name="Normal 6 108 4 4 3 2 2" xfId="0"/>
    <cellStyle name="Normal 6 108 4 4 3 3" xfId="0"/>
    <cellStyle name="Normal 6 108 4 4 4" xfId="0"/>
    <cellStyle name="Normal 6 108 4 4 4 2" xfId="0"/>
    <cellStyle name="Normal 6 108 4 4 5" xfId="0"/>
    <cellStyle name="Normal 6 108 4 5" xfId="0"/>
    <cellStyle name="Normal 6 108 4 5 2" xfId="0"/>
    <cellStyle name="Normal 6 108 4 5 2 2" xfId="0"/>
    <cellStyle name="Normal 6 108 4 5 2 2 2" xfId="0"/>
    <cellStyle name="Normal 6 108 4 5 2 3" xfId="0"/>
    <cellStyle name="Normal 6 108 4 5 3" xfId="0"/>
    <cellStyle name="Normal 6 108 4 5 3 2" xfId="0"/>
    <cellStyle name="Normal 6 108 4 5 4" xfId="0"/>
    <cellStyle name="Normal 6 108 4 6" xfId="0"/>
    <cellStyle name="Normal 6 108 4 6 2" xfId="0"/>
    <cellStyle name="Normal 6 108 4 6 2 2" xfId="0"/>
    <cellStyle name="Normal 6 108 4 6 3" xfId="0"/>
    <cellStyle name="Normal 6 108 4 7" xfId="0"/>
    <cellStyle name="Normal 6 108 4 7 2" xfId="0"/>
    <cellStyle name="Normal 6 108 4 8" xfId="0"/>
    <cellStyle name="Normal 6 108 5" xfId="0"/>
    <cellStyle name="Normal 6 108 5 2" xfId="0"/>
    <cellStyle name="Normal 6 108 5 2 2" xfId="0"/>
    <cellStyle name="Normal 6 108 5 2 2 2" xfId="0"/>
    <cellStyle name="Normal 6 108 5 2 2 2 2" xfId="0"/>
    <cellStyle name="Normal 6 108 5 2 2 2 2 2" xfId="0"/>
    <cellStyle name="Normal 6 108 5 2 2 2 2 2 2" xfId="0"/>
    <cellStyle name="Normal 6 108 5 2 2 2 2 3" xfId="0"/>
    <cellStyle name="Normal 6 108 5 2 2 2 3" xfId="0"/>
    <cellStyle name="Normal 6 108 5 2 2 2 3 2" xfId="0"/>
    <cellStyle name="Normal 6 108 5 2 2 2 4" xfId="0"/>
    <cellStyle name="Normal 6 108 5 2 2 3" xfId="0"/>
    <cellStyle name="Normal 6 108 5 2 2 3 2" xfId="0"/>
    <cellStyle name="Normal 6 108 5 2 2 3 2 2" xfId="0"/>
    <cellStyle name="Normal 6 108 5 2 2 3 3" xfId="0"/>
    <cellStyle name="Normal 6 108 5 2 2 4" xfId="0"/>
    <cellStyle name="Normal 6 108 5 2 2 4 2" xfId="0"/>
    <cellStyle name="Normal 6 108 5 2 2 5" xfId="0"/>
    <cellStyle name="Normal 6 108 5 2 3" xfId="0"/>
    <cellStyle name="Normal 6 108 5 2 3 2" xfId="0"/>
    <cellStyle name="Normal 6 108 5 2 3 2 2" xfId="0"/>
    <cellStyle name="Normal 6 108 5 2 3 2 2 2" xfId="0"/>
    <cellStyle name="Normal 6 108 5 2 3 2 3" xfId="0"/>
    <cellStyle name="Normal 6 108 5 2 3 3" xfId="0"/>
    <cellStyle name="Normal 6 108 5 2 3 3 2" xfId="0"/>
    <cellStyle name="Normal 6 108 5 2 3 4" xfId="0"/>
    <cellStyle name="Normal 6 108 5 2 4" xfId="0"/>
    <cellStyle name="Normal 6 108 5 2 4 2" xfId="0"/>
    <cellStyle name="Normal 6 108 5 2 4 2 2" xfId="0"/>
    <cellStyle name="Normal 6 108 5 2 4 3" xfId="0"/>
    <cellStyle name="Normal 6 108 5 2 5" xfId="0"/>
    <cellStyle name="Normal 6 108 5 2 5 2" xfId="0"/>
    <cellStyle name="Normal 6 108 5 2 6" xfId="0"/>
    <cellStyle name="Normal 6 108 5 3" xfId="0"/>
    <cellStyle name="Normal 6 108 5 3 2" xfId="0"/>
    <cellStyle name="Normal 6 108 5 3 2 2" xfId="0"/>
    <cellStyle name="Normal 6 108 5 3 2 2 2" xfId="0"/>
    <cellStyle name="Normal 6 108 5 3 2 2 2 2" xfId="0"/>
    <cellStyle name="Normal 6 108 5 3 2 2 3" xfId="0"/>
    <cellStyle name="Normal 6 108 5 3 2 3" xfId="0"/>
    <cellStyle name="Normal 6 108 5 3 2 3 2" xfId="0"/>
    <cellStyle name="Normal 6 108 5 3 2 4" xfId="0"/>
    <cellStyle name="Normal 6 108 5 3 3" xfId="0"/>
    <cellStyle name="Normal 6 108 5 3 3 2" xfId="0"/>
    <cellStyle name="Normal 6 108 5 3 3 2 2" xfId="0"/>
    <cellStyle name="Normal 6 108 5 3 3 3" xfId="0"/>
    <cellStyle name="Normal 6 108 5 3 4" xfId="0"/>
    <cellStyle name="Normal 6 108 5 3 4 2" xfId="0"/>
    <cellStyle name="Normal 6 108 5 3 5" xfId="0"/>
    <cellStyle name="Normal 6 108 5 4" xfId="0"/>
    <cellStyle name="Normal 6 108 5 4 2" xfId="0"/>
    <cellStyle name="Normal 6 108 5 4 2 2" xfId="0"/>
    <cellStyle name="Normal 6 108 5 4 2 2 2" xfId="0"/>
    <cellStyle name="Normal 6 108 5 4 2 3" xfId="0"/>
    <cellStyle name="Normal 6 108 5 4 3" xfId="0"/>
    <cellStyle name="Normal 6 108 5 4 3 2" xfId="0"/>
    <cellStyle name="Normal 6 108 5 4 4" xfId="0"/>
    <cellStyle name="Normal 6 108 5 5" xfId="0"/>
    <cellStyle name="Normal 6 108 5 5 2" xfId="0"/>
    <cellStyle name="Normal 6 108 5 5 2 2" xfId="0"/>
    <cellStyle name="Normal 6 108 5 5 3" xfId="0"/>
    <cellStyle name="Normal 6 108 5 6" xfId="0"/>
    <cellStyle name="Normal 6 108 5 6 2" xfId="0"/>
    <cellStyle name="Normal 6 108 5 7" xfId="0"/>
    <cellStyle name="Normal 6 108 6" xfId="0"/>
    <cellStyle name="Normal 6 108 6 2" xfId="0"/>
    <cellStyle name="Normal 6 108 6 2 2" xfId="0"/>
    <cellStyle name="Normal 6 108 6 2 2 2" xfId="0"/>
    <cellStyle name="Normal 6 108 6 2 2 2 2" xfId="0"/>
    <cellStyle name="Normal 6 108 6 2 2 2 2 2" xfId="0"/>
    <cellStyle name="Normal 6 108 6 2 2 2 2 2 2" xfId="0"/>
    <cellStyle name="Normal 6 108 6 2 2 2 2 3" xfId="0"/>
    <cellStyle name="Normal 6 108 6 2 2 2 3" xfId="0"/>
    <cellStyle name="Normal 6 108 6 2 2 2 3 2" xfId="0"/>
    <cellStyle name="Normal 6 108 6 2 2 2 4" xfId="0"/>
    <cellStyle name="Normal 6 108 6 2 2 3" xfId="0"/>
    <cellStyle name="Normal 6 108 6 2 2 3 2" xfId="0"/>
    <cellStyle name="Normal 6 108 6 2 2 3 2 2" xfId="0"/>
    <cellStyle name="Normal 6 108 6 2 2 3 3" xfId="0"/>
    <cellStyle name="Normal 6 108 6 2 2 4" xfId="0"/>
    <cellStyle name="Normal 6 108 6 2 2 4 2" xfId="0"/>
    <cellStyle name="Normal 6 108 6 2 2 5" xfId="0"/>
    <cellStyle name="Normal 6 108 6 2 3" xfId="0"/>
    <cellStyle name="Normal 6 108 6 2 3 2" xfId="0"/>
    <cellStyle name="Normal 6 108 6 2 3 2 2" xfId="0"/>
    <cellStyle name="Normal 6 108 6 2 3 2 2 2" xfId="0"/>
    <cellStyle name="Normal 6 108 6 2 3 2 3" xfId="0"/>
    <cellStyle name="Normal 6 108 6 2 3 3" xfId="0"/>
    <cellStyle name="Normal 6 108 6 2 3 3 2" xfId="0"/>
    <cellStyle name="Normal 6 108 6 2 3 4" xfId="0"/>
    <cellStyle name="Normal 6 108 6 2 4" xfId="0"/>
    <cellStyle name="Normal 6 108 6 2 4 2" xfId="0"/>
    <cellStyle name="Normal 6 108 6 2 4 2 2" xfId="0"/>
    <cellStyle name="Normal 6 108 6 2 4 3" xfId="0"/>
    <cellStyle name="Normal 6 108 6 2 5" xfId="0"/>
    <cellStyle name="Normal 6 108 6 2 5 2" xfId="0"/>
    <cellStyle name="Normal 6 108 6 2 6" xfId="0"/>
    <cellStyle name="Normal 6 108 6 3" xfId="0"/>
    <cellStyle name="Normal 6 108 6 3 2" xfId="0"/>
    <cellStyle name="Normal 6 108 6 3 2 2" xfId="0"/>
    <cellStyle name="Normal 6 108 6 3 2 2 2" xfId="0"/>
    <cellStyle name="Normal 6 108 6 3 2 2 2 2" xfId="0"/>
    <cellStyle name="Normal 6 108 6 3 2 2 3" xfId="0"/>
    <cellStyle name="Normal 6 108 6 3 2 3" xfId="0"/>
    <cellStyle name="Normal 6 108 6 3 2 3 2" xfId="0"/>
    <cellStyle name="Normal 6 108 6 3 2 4" xfId="0"/>
    <cellStyle name="Normal 6 108 6 3 3" xfId="0"/>
    <cellStyle name="Normal 6 108 6 3 3 2" xfId="0"/>
    <cellStyle name="Normal 6 108 6 3 3 2 2" xfId="0"/>
    <cellStyle name="Normal 6 108 6 3 3 3" xfId="0"/>
    <cellStyle name="Normal 6 108 6 3 4" xfId="0"/>
    <cellStyle name="Normal 6 108 6 3 4 2" xfId="0"/>
    <cellStyle name="Normal 6 108 6 3 5" xfId="0"/>
    <cellStyle name="Normal 6 108 6 4" xfId="0"/>
    <cellStyle name="Normal 6 108 6 4 2" xfId="0"/>
    <cellStyle name="Normal 6 108 6 4 2 2" xfId="0"/>
    <cellStyle name="Normal 6 108 6 4 2 2 2" xfId="0"/>
    <cellStyle name="Normal 6 108 6 4 2 3" xfId="0"/>
    <cellStyle name="Normal 6 108 6 4 3" xfId="0"/>
    <cellStyle name="Normal 6 108 6 4 3 2" xfId="0"/>
    <cellStyle name="Normal 6 108 6 4 4" xfId="0"/>
    <cellStyle name="Normal 6 108 6 5" xfId="0"/>
    <cellStyle name="Normal 6 108 6 5 2" xfId="0"/>
    <cellStyle name="Normal 6 108 6 5 2 2" xfId="0"/>
    <cellStyle name="Normal 6 108 6 5 3" xfId="0"/>
    <cellStyle name="Normal 6 108 6 6" xfId="0"/>
    <cellStyle name="Normal 6 108 6 6 2" xfId="0"/>
    <cellStyle name="Normal 6 108 6 7" xfId="0"/>
    <cellStyle name="Normal 6 108 7" xfId="0"/>
    <cellStyle name="Normal 6 108 7 2" xfId="0"/>
    <cellStyle name="Normal 6 108 7 2 2" xfId="0"/>
    <cellStyle name="Normal 6 108 7 2 2 2" xfId="0"/>
    <cellStyle name="Normal 6 108 7 2 2 2 2" xfId="0"/>
    <cellStyle name="Normal 6 108 7 2 2 2 2 2" xfId="0"/>
    <cellStyle name="Normal 6 108 7 2 2 2 3" xfId="0"/>
    <cellStyle name="Normal 6 108 7 2 2 3" xfId="0"/>
    <cellStyle name="Normal 6 108 7 2 2 3 2" xfId="0"/>
    <cellStyle name="Normal 6 108 7 2 2 4" xfId="0"/>
    <cellStyle name="Normal 6 108 7 2 3" xfId="0"/>
    <cellStyle name="Normal 6 108 7 2 3 2" xfId="0"/>
    <cellStyle name="Normal 6 108 7 2 3 2 2" xfId="0"/>
    <cellStyle name="Normal 6 108 7 2 3 3" xfId="0"/>
    <cellStyle name="Normal 6 108 7 2 4" xfId="0"/>
    <cellStyle name="Normal 6 108 7 2 4 2" xfId="0"/>
    <cellStyle name="Normal 6 108 7 2 5" xfId="0"/>
    <cellStyle name="Normal 6 108 7 3" xfId="0"/>
    <cellStyle name="Normal 6 108 7 3 2" xfId="0"/>
    <cellStyle name="Normal 6 108 7 3 2 2" xfId="0"/>
    <cellStyle name="Normal 6 108 7 3 2 2 2" xfId="0"/>
    <cellStyle name="Normal 6 108 7 3 2 3" xfId="0"/>
    <cellStyle name="Normal 6 108 7 3 3" xfId="0"/>
    <cellStyle name="Normal 6 108 7 3 3 2" xfId="0"/>
    <cellStyle name="Normal 6 108 7 3 4" xfId="0"/>
    <cellStyle name="Normal 6 108 7 4" xfId="0"/>
    <cellStyle name="Normal 6 108 7 4 2" xfId="0"/>
    <cellStyle name="Normal 6 108 7 4 2 2" xfId="0"/>
    <cellStyle name="Normal 6 108 7 4 3" xfId="0"/>
    <cellStyle name="Normal 6 108 7 5" xfId="0"/>
    <cellStyle name="Normal 6 108 7 5 2" xfId="0"/>
    <cellStyle name="Normal 6 108 7 6" xfId="0"/>
    <cellStyle name="Normal 6 108 8" xfId="0"/>
    <cellStyle name="Normal 6 108 8 2" xfId="0"/>
    <cellStyle name="Normal 6 108 8 2 2" xfId="0"/>
    <cellStyle name="Normal 6 108 8 2 2 2" xfId="0"/>
    <cellStyle name="Normal 6 108 8 2 2 2 2" xfId="0"/>
    <cellStyle name="Normal 6 108 8 2 2 3" xfId="0"/>
    <cellStyle name="Normal 6 108 8 2 3" xfId="0"/>
    <cellStyle name="Normal 6 108 8 2 3 2" xfId="0"/>
    <cellStyle name="Normal 6 108 8 2 4" xfId="0"/>
    <cellStyle name="Normal 6 108 8 3" xfId="0"/>
    <cellStyle name="Normal 6 108 8 3 2" xfId="0"/>
    <cellStyle name="Normal 6 108 8 3 2 2" xfId="0"/>
    <cellStyle name="Normal 6 108 8 3 3" xfId="0"/>
    <cellStyle name="Normal 6 108 8 4" xfId="0"/>
    <cellStyle name="Normal 6 108 8 4 2" xfId="0"/>
    <cellStyle name="Normal 6 108 8 5" xfId="0"/>
    <cellStyle name="Normal 6 108 9" xfId="0"/>
    <cellStyle name="Normal 6 108 9 2" xfId="0"/>
    <cellStyle name="Normal 6 108 9 2 2" xfId="0"/>
    <cellStyle name="Normal 6 108 9 2 2 2" xfId="0"/>
    <cellStyle name="Normal 6 108 9 2 3" xfId="0"/>
    <cellStyle name="Normal 6 108 9 3" xfId="0"/>
    <cellStyle name="Normal 6 108 9 3 2" xfId="0"/>
    <cellStyle name="Normal 6 108 9 4" xfId="0"/>
    <cellStyle name="Normal 6 109" xfId="0"/>
    <cellStyle name="Normal 6 109 10" xfId="0"/>
    <cellStyle name="Normal 6 109 10 2" xfId="0"/>
    <cellStyle name="Normal 6 109 10 2 2" xfId="0"/>
    <cellStyle name="Normal 6 109 10 3" xfId="0"/>
    <cellStyle name="Normal 6 109 11" xfId="0"/>
    <cellStyle name="Normal 6 109 11 2" xfId="0"/>
    <cellStyle name="Normal 6 109 12" xfId="0"/>
    <cellStyle name="Normal 6 109 2" xfId="0"/>
    <cellStyle name="Normal 6 109 2 10" xfId="0"/>
    <cellStyle name="Normal 6 109 2 10 2" xfId="0"/>
    <cellStyle name="Normal 6 109 2 11" xfId="0"/>
    <cellStyle name="Normal 6 109 2 2" xfId="0"/>
    <cellStyle name="Normal 6 109 2 2 2" xfId="0"/>
    <cellStyle name="Normal 6 109 2 2 2 2" xfId="0"/>
    <cellStyle name="Normal 6 109 2 2 2 2 2" xfId="0"/>
    <cellStyle name="Normal 6 109 2 2 2 2 2 2" xfId="0"/>
    <cellStyle name="Normal 6 109 2 2 2 2 2 2 2" xfId="0"/>
    <cellStyle name="Normal 6 109 2 2 2 2 2 2 2 2" xfId="0"/>
    <cellStyle name="Normal 6 109 2 2 2 2 2 2 2 2 2" xfId="0"/>
    <cellStyle name="Normal 6 109 2 2 2 2 2 2 2 3" xfId="0"/>
    <cellStyle name="Normal 6 109 2 2 2 2 2 2 3" xfId="0"/>
    <cellStyle name="Normal 6 109 2 2 2 2 2 2 3 2" xfId="0"/>
    <cellStyle name="Normal 6 109 2 2 2 2 2 2 4" xfId="0"/>
    <cellStyle name="Normal 6 109 2 2 2 2 2 3" xfId="0"/>
    <cellStyle name="Normal 6 109 2 2 2 2 2 3 2" xfId="0"/>
    <cellStyle name="Normal 6 109 2 2 2 2 2 3 2 2" xfId="0"/>
    <cellStyle name="Normal 6 109 2 2 2 2 2 3 3" xfId="0"/>
    <cellStyle name="Normal 6 109 2 2 2 2 2 4" xfId="0"/>
    <cellStyle name="Normal 6 109 2 2 2 2 2 4 2" xfId="0"/>
    <cellStyle name="Normal 6 109 2 2 2 2 2 5" xfId="0"/>
    <cellStyle name="Normal 6 109 2 2 2 2 3" xfId="0"/>
    <cellStyle name="Normal 6 109 2 2 2 2 3 2" xfId="0"/>
    <cellStyle name="Normal 6 109 2 2 2 2 3 2 2" xfId="0"/>
    <cellStyle name="Normal 6 109 2 2 2 2 3 2 2 2" xfId="0"/>
    <cellStyle name="Normal 6 109 2 2 2 2 3 2 3" xfId="0"/>
    <cellStyle name="Normal 6 109 2 2 2 2 3 3" xfId="0"/>
    <cellStyle name="Normal 6 109 2 2 2 2 3 3 2" xfId="0"/>
    <cellStyle name="Normal 6 109 2 2 2 2 3 4" xfId="0"/>
    <cellStyle name="Normal 6 109 2 2 2 2 4" xfId="0"/>
    <cellStyle name="Normal 6 109 2 2 2 2 4 2" xfId="0"/>
    <cellStyle name="Normal 6 109 2 2 2 2 4 2 2" xfId="0"/>
    <cellStyle name="Normal 6 109 2 2 2 2 4 3" xfId="0"/>
    <cellStyle name="Normal 6 109 2 2 2 2 5" xfId="0"/>
    <cellStyle name="Normal 6 109 2 2 2 2 5 2" xfId="0"/>
    <cellStyle name="Normal 6 109 2 2 2 2 6" xfId="0"/>
    <cellStyle name="Normal 6 109 2 2 2 3" xfId="0"/>
    <cellStyle name="Normal 6 109 2 2 2 3 2" xfId="0"/>
    <cellStyle name="Normal 6 109 2 2 2 3 2 2" xfId="0"/>
    <cellStyle name="Normal 6 109 2 2 2 3 2 2 2" xfId="0"/>
    <cellStyle name="Normal 6 109 2 2 2 3 2 2 2 2" xfId="0"/>
    <cellStyle name="Normal 6 109 2 2 2 3 2 2 3" xfId="0"/>
    <cellStyle name="Normal 6 109 2 2 2 3 2 3" xfId="0"/>
    <cellStyle name="Normal 6 109 2 2 2 3 2 3 2" xfId="0"/>
    <cellStyle name="Normal 6 109 2 2 2 3 2 4" xfId="0"/>
    <cellStyle name="Normal 6 109 2 2 2 3 3" xfId="0"/>
    <cellStyle name="Normal 6 109 2 2 2 3 3 2" xfId="0"/>
    <cellStyle name="Normal 6 109 2 2 2 3 3 2 2" xfId="0"/>
    <cellStyle name="Normal 6 109 2 2 2 3 3 3" xfId="0"/>
    <cellStyle name="Normal 6 109 2 2 2 3 4" xfId="0"/>
    <cellStyle name="Normal 6 109 2 2 2 3 4 2" xfId="0"/>
    <cellStyle name="Normal 6 109 2 2 2 3 5" xfId="0"/>
    <cellStyle name="Normal 6 109 2 2 2 4" xfId="0"/>
    <cellStyle name="Normal 6 109 2 2 2 4 2" xfId="0"/>
    <cellStyle name="Normal 6 109 2 2 2 4 2 2" xfId="0"/>
    <cellStyle name="Normal 6 109 2 2 2 4 2 2 2" xfId="0"/>
    <cellStyle name="Normal 6 109 2 2 2 4 2 3" xfId="0"/>
    <cellStyle name="Normal 6 109 2 2 2 4 3" xfId="0"/>
    <cellStyle name="Normal 6 109 2 2 2 4 3 2" xfId="0"/>
    <cellStyle name="Normal 6 109 2 2 2 4 4" xfId="0"/>
    <cellStyle name="Normal 6 109 2 2 2 5" xfId="0"/>
    <cellStyle name="Normal 6 109 2 2 2 5 2" xfId="0"/>
    <cellStyle name="Normal 6 109 2 2 2 5 2 2" xfId="0"/>
    <cellStyle name="Normal 6 109 2 2 2 5 3" xfId="0"/>
    <cellStyle name="Normal 6 109 2 2 2 6" xfId="0"/>
    <cellStyle name="Normal 6 109 2 2 2 6 2" xfId="0"/>
    <cellStyle name="Normal 6 109 2 2 2 7" xfId="0"/>
    <cellStyle name="Normal 6 109 2 2 3" xfId="0"/>
    <cellStyle name="Normal 6 109 2 2 3 2" xfId="0"/>
    <cellStyle name="Normal 6 109 2 2 3 2 2" xfId="0"/>
    <cellStyle name="Normal 6 109 2 2 3 2 2 2" xfId="0"/>
    <cellStyle name="Normal 6 109 2 2 3 2 2 2 2" xfId="0"/>
    <cellStyle name="Normal 6 109 2 2 3 2 2 2 2 2" xfId="0"/>
    <cellStyle name="Normal 6 109 2 2 3 2 2 2 3" xfId="0"/>
    <cellStyle name="Normal 6 109 2 2 3 2 2 3" xfId="0"/>
    <cellStyle name="Normal 6 109 2 2 3 2 2 3 2" xfId="0"/>
    <cellStyle name="Normal 6 109 2 2 3 2 2 4" xfId="0"/>
    <cellStyle name="Normal 6 109 2 2 3 2 3" xfId="0"/>
    <cellStyle name="Normal 6 109 2 2 3 2 3 2" xfId="0"/>
    <cellStyle name="Normal 6 109 2 2 3 2 3 2 2" xfId="0"/>
    <cellStyle name="Normal 6 109 2 2 3 2 3 3" xfId="0"/>
    <cellStyle name="Normal 6 109 2 2 3 2 4" xfId="0"/>
    <cellStyle name="Normal 6 109 2 2 3 2 4 2" xfId="0"/>
    <cellStyle name="Normal 6 109 2 2 3 2 5" xfId="0"/>
    <cellStyle name="Normal 6 109 2 2 3 3" xfId="0"/>
    <cellStyle name="Normal 6 109 2 2 3 3 2" xfId="0"/>
    <cellStyle name="Normal 6 109 2 2 3 3 2 2" xfId="0"/>
    <cellStyle name="Normal 6 109 2 2 3 3 2 2 2" xfId="0"/>
    <cellStyle name="Normal 6 109 2 2 3 3 2 3" xfId="0"/>
    <cellStyle name="Normal 6 109 2 2 3 3 3" xfId="0"/>
    <cellStyle name="Normal 6 109 2 2 3 3 3 2" xfId="0"/>
    <cellStyle name="Normal 6 109 2 2 3 3 4" xfId="0"/>
    <cellStyle name="Normal 6 109 2 2 3 4" xfId="0"/>
    <cellStyle name="Normal 6 109 2 2 3 4 2" xfId="0"/>
    <cellStyle name="Normal 6 109 2 2 3 4 2 2" xfId="0"/>
    <cellStyle name="Normal 6 109 2 2 3 4 3" xfId="0"/>
    <cellStyle name="Normal 6 109 2 2 3 5" xfId="0"/>
    <cellStyle name="Normal 6 109 2 2 3 5 2" xfId="0"/>
    <cellStyle name="Normal 6 109 2 2 3 6" xfId="0"/>
    <cellStyle name="Normal 6 109 2 2 4" xfId="0"/>
    <cellStyle name="Normal 6 109 2 2 4 2" xfId="0"/>
    <cellStyle name="Normal 6 109 2 2 4 2 2" xfId="0"/>
    <cellStyle name="Normal 6 109 2 2 4 2 2 2" xfId="0"/>
    <cellStyle name="Normal 6 109 2 2 4 2 2 2 2" xfId="0"/>
    <cellStyle name="Normal 6 109 2 2 4 2 2 3" xfId="0"/>
    <cellStyle name="Normal 6 109 2 2 4 2 3" xfId="0"/>
    <cellStyle name="Normal 6 109 2 2 4 2 3 2" xfId="0"/>
    <cellStyle name="Normal 6 109 2 2 4 2 4" xfId="0"/>
    <cellStyle name="Normal 6 109 2 2 4 3" xfId="0"/>
    <cellStyle name="Normal 6 109 2 2 4 3 2" xfId="0"/>
    <cellStyle name="Normal 6 109 2 2 4 3 2 2" xfId="0"/>
    <cellStyle name="Normal 6 109 2 2 4 3 3" xfId="0"/>
    <cellStyle name="Normal 6 109 2 2 4 4" xfId="0"/>
    <cellStyle name="Normal 6 109 2 2 4 4 2" xfId="0"/>
    <cellStyle name="Normal 6 109 2 2 4 5" xfId="0"/>
    <cellStyle name="Normal 6 109 2 2 5" xfId="0"/>
    <cellStyle name="Normal 6 109 2 2 5 2" xfId="0"/>
    <cellStyle name="Normal 6 109 2 2 5 2 2" xfId="0"/>
    <cellStyle name="Normal 6 109 2 2 5 2 2 2" xfId="0"/>
    <cellStyle name="Normal 6 109 2 2 5 2 3" xfId="0"/>
    <cellStyle name="Normal 6 109 2 2 5 3" xfId="0"/>
    <cellStyle name="Normal 6 109 2 2 5 3 2" xfId="0"/>
    <cellStyle name="Normal 6 109 2 2 5 4" xfId="0"/>
    <cellStyle name="Normal 6 109 2 2 6" xfId="0"/>
    <cellStyle name="Normal 6 109 2 2 6 2" xfId="0"/>
    <cellStyle name="Normal 6 109 2 2 6 2 2" xfId="0"/>
    <cellStyle name="Normal 6 109 2 2 6 3" xfId="0"/>
    <cellStyle name="Normal 6 109 2 2 7" xfId="0"/>
    <cellStyle name="Normal 6 109 2 2 7 2" xfId="0"/>
    <cellStyle name="Normal 6 109 2 2 8" xfId="0"/>
    <cellStyle name="Normal 6 109 2 3" xfId="0"/>
    <cellStyle name="Normal 6 109 2 3 2" xfId="0"/>
    <cellStyle name="Normal 6 109 2 3 2 2" xfId="0"/>
    <cellStyle name="Normal 6 109 2 3 2 2 2" xfId="0"/>
    <cellStyle name="Normal 6 109 2 3 2 2 2 2" xfId="0"/>
    <cellStyle name="Normal 6 109 2 3 2 2 2 2 2" xfId="0"/>
    <cellStyle name="Normal 6 109 2 3 2 2 2 2 2 2" xfId="0"/>
    <cellStyle name="Normal 6 109 2 3 2 2 2 2 2 2 2" xfId="0"/>
    <cellStyle name="Normal 6 109 2 3 2 2 2 2 2 3" xfId="0"/>
    <cellStyle name="Normal 6 109 2 3 2 2 2 2 3" xfId="0"/>
    <cellStyle name="Normal 6 109 2 3 2 2 2 2 3 2" xfId="0"/>
    <cellStyle name="Normal 6 109 2 3 2 2 2 2 4" xfId="0"/>
    <cellStyle name="Normal 6 109 2 3 2 2 2 3" xfId="0"/>
    <cellStyle name="Normal 6 109 2 3 2 2 2 3 2" xfId="0"/>
    <cellStyle name="Normal 6 109 2 3 2 2 2 3 2 2" xfId="0"/>
    <cellStyle name="Normal 6 109 2 3 2 2 2 3 3" xfId="0"/>
    <cellStyle name="Normal 6 109 2 3 2 2 2 4" xfId="0"/>
    <cellStyle name="Normal 6 109 2 3 2 2 2 4 2" xfId="0"/>
    <cellStyle name="Normal 6 109 2 3 2 2 2 5" xfId="0"/>
    <cellStyle name="Normal 6 109 2 3 2 2 3" xfId="0"/>
    <cellStyle name="Normal 6 109 2 3 2 2 3 2" xfId="0"/>
    <cellStyle name="Normal 6 109 2 3 2 2 3 2 2" xfId="0"/>
    <cellStyle name="Normal 6 109 2 3 2 2 3 2 2 2" xfId="0"/>
    <cellStyle name="Normal 6 109 2 3 2 2 3 2 3" xfId="0"/>
    <cellStyle name="Normal 6 109 2 3 2 2 3 3" xfId="0"/>
    <cellStyle name="Normal 6 109 2 3 2 2 3 3 2" xfId="0"/>
    <cellStyle name="Normal 6 109 2 3 2 2 3 4" xfId="0"/>
    <cellStyle name="Normal 6 109 2 3 2 2 4" xfId="0"/>
    <cellStyle name="Normal 6 109 2 3 2 2 4 2" xfId="0"/>
    <cellStyle name="Normal 6 109 2 3 2 2 4 2 2" xfId="0"/>
    <cellStyle name="Normal 6 109 2 3 2 2 4 3" xfId="0"/>
    <cellStyle name="Normal 6 109 2 3 2 2 5" xfId="0"/>
    <cellStyle name="Normal 6 109 2 3 2 2 5 2" xfId="0"/>
    <cellStyle name="Normal 6 109 2 3 2 2 6" xfId="0"/>
    <cellStyle name="Normal 6 109 2 3 2 3" xfId="0"/>
    <cellStyle name="Normal 6 109 2 3 2 3 2" xfId="0"/>
    <cellStyle name="Normal 6 109 2 3 2 3 2 2" xfId="0"/>
    <cellStyle name="Normal 6 109 2 3 2 3 2 2 2" xfId="0"/>
    <cellStyle name="Normal 6 109 2 3 2 3 2 2 2 2" xfId="0"/>
    <cellStyle name="Normal 6 109 2 3 2 3 2 2 3" xfId="0"/>
    <cellStyle name="Normal 6 109 2 3 2 3 2 3" xfId="0"/>
    <cellStyle name="Normal 6 109 2 3 2 3 2 3 2" xfId="0"/>
    <cellStyle name="Normal 6 109 2 3 2 3 2 4" xfId="0"/>
    <cellStyle name="Normal 6 109 2 3 2 3 3" xfId="0"/>
    <cellStyle name="Normal 6 109 2 3 2 3 3 2" xfId="0"/>
    <cellStyle name="Normal 6 109 2 3 2 3 3 2 2" xfId="0"/>
    <cellStyle name="Normal 6 109 2 3 2 3 3 3" xfId="0"/>
    <cellStyle name="Normal 6 109 2 3 2 3 4" xfId="0"/>
    <cellStyle name="Normal 6 109 2 3 2 3 4 2" xfId="0"/>
    <cellStyle name="Normal 6 109 2 3 2 3 5" xfId="0"/>
    <cellStyle name="Normal 6 109 2 3 2 4" xfId="0"/>
    <cellStyle name="Normal 6 109 2 3 2 4 2" xfId="0"/>
    <cellStyle name="Normal 6 109 2 3 2 4 2 2" xfId="0"/>
    <cellStyle name="Normal 6 109 2 3 2 4 2 2 2" xfId="0"/>
    <cellStyle name="Normal 6 109 2 3 2 4 2 3" xfId="0"/>
    <cellStyle name="Normal 6 109 2 3 2 4 3" xfId="0"/>
    <cellStyle name="Normal 6 109 2 3 2 4 3 2" xfId="0"/>
    <cellStyle name="Normal 6 109 2 3 2 4 4" xfId="0"/>
    <cellStyle name="Normal 6 109 2 3 2 5" xfId="0"/>
    <cellStyle name="Normal 6 109 2 3 2 5 2" xfId="0"/>
    <cellStyle name="Normal 6 109 2 3 2 5 2 2" xfId="0"/>
    <cellStyle name="Normal 6 109 2 3 2 5 3" xfId="0"/>
    <cellStyle name="Normal 6 109 2 3 2 6" xfId="0"/>
    <cellStyle name="Normal 6 109 2 3 2 6 2" xfId="0"/>
    <cellStyle name="Normal 6 109 2 3 2 7" xfId="0"/>
    <cellStyle name="Normal 6 109 2 3 3" xfId="0"/>
    <cellStyle name="Normal 6 109 2 3 3 2" xfId="0"/>
    <cellStyle name="Normal 6 109 2 3 3 2 2" xfId="0"/>
    <cellStyle name="Normal 6 109 2 3 3 2 2 2" xfId="0"/>
    <cellStyle name="Normal 6 109 2 3 3 2 2 2 2" xfId="0"/>
    <cellStyle name="Normal 6 109 2 3 3 2 2 2 2 2" xfId="0"/>
    <cellStyle name="Normal 6 109 2 3 3 2 2 2 3" xfId="0"/>
    <cellStyle name="Normal 6 109 2 3 3 2 2 3" xfId="0"/>
    <cellStyle name="Normal 6 109 2 3 3 2 2 3 2" xfId="0"/>
    <cellStyle name="Normal 6 109 2 3 3 2 2 4" xfId="0"/>
    <cellStyle name="Normal 6 109 2 3 3 2 3" xfId="0"/>
    <cellStyle name="Normal 6 109 2 3 3 2 3 2" xfId="0"/>
    <cellStyle name="Normal 6 109 2 3 3 2 3 2 2" xfId="0"/>
    <cellStyle name="Normal 6 109 2 3 3 2 3 3" xfId="0"/>
    <cellStyle name="Normal 6 109 2 3 3 2 4" xfId="0"/>
    <cellStyle name="Normal 6 109 2 3 3 2 4 2" xfId="0"/>
    <cellStyle name="Normal 6 109 2 3 3 2 5" xfId="0"/>
    <cellStyle name="Normal 6 109 2 3 3 3" xfId="0"/>
    <cellStyle name="Normal 6 109 2 3 3 3 2" xfId="0"/>
    <cellStyle name="Normal 6 109 2 3 3 3 2 2" xfId="0"/>
    <cellStyle name="Normal 6 109 2 3 3 3 2 2 2" xfId="0"/>
    <cellStyle name="Normal 6 109 2 3 3 3 2 3" xfId="0"/>
    <cellStyle name="Normal 6 109 2 3 3 3 3" xfId="0"/>
    <cellStyle name="Normal 6 109 2 3 3 3 3 2" xfId="0"/>
    <cellStyle name="Normal 6 109 2 3 3 3 4" xfId="0"/>
    <cellStyle name="Normal 6 109 2 3 3 4" xfId="0"/>
    <cellStyle name="Normal 6 109 2 3 3 4 2" xfId="0"/>
    <cellStyle name="Normal 6 109 2 3 3 4 2 2" xfId="0"/>
    <cellStyle name="Normal 6 109 2 3 3 4 3" xfId="0"/>
    <cellStyle name="Normal 6 109 2 3 3 5" xfId="0"/>
    <cellStyle name="Normal 6 109 2 3 3 5 2" xfId="0"/>
    <cellStyle name="Normal 6 109 2 3 3 6" xfId="0"/>
    <cellStyle name="Normal 6 109 2 3 4" xfId="0"/>
    <cellStyle name="Normal 6 109 2 3 4 2" xfId="0"/>
    <cellStyle name="Normal 6 109 2 3 4 2 2" xfId="0"/>
    <cellStyle name="Normal 6 109 2 3 4 2 2 2" xfId="0"/>
    <cellStyle name="Normal 6 109 2 3 4 2 2 2 2" xfId="0"/>
    <cellStyle name="Normal 6 109 2 3 4 2 2 3" xfId="0"/>
    <cellStyle name="Normal 6 109 2 3 4 2 3" xfId="0"/>
    <cellStyle name="Normal 6 109 2 3 4 2 3 2" xfId="0"/>
    <cellStyle name="Normal 6 109 2 3 4 2 4" xfId="0"/>
    <cellStyle name="Normal 6 109 2 3 4 3" xfId="0"/>
    <cellStyle name="Normal 6 109 2 3 4 3 2" xfId="0"/>
    <cellStyle name="Normal 6 109 2 3 4 3 2 2" xfId="0"/>
    <cellStyle name="Normal 6 109 2 3 4 3 3" xfId="0"/>
    <cellStyle name="Normal 6 109 2 3 4 4" xfId="0"/>
    <cellStyle name="Normal 6 109 2 3 4 4 2" xfId="0"/>
    <cellStyle name="Normal 6 109 2 3 4 5" xfId="0"/>
    <cellStyle name="Normal 6 109 2 3 5" xfId="0"/>
    <cellStyle name="Normal 6 109 2 3 5 2" xfId="0"/>
    <cellStyle name="Normal 6 109 2 3 5 2 2" xfId="0"/>
    <cellStyle name="Normal 6 109 2 3 5 2 2 2" xfId="0"/>
    <cellStyle name="Normal 6 109 2 3 5 2 3" xfId="0"/>
    <cellStyle name="Normal 6 109 2 3 5 3" xfId="0"/>
    <cellStyle name="Normal 6 109 2 3 5 3 2" xfId="0"/>
    <cellStyle name="Normal 6 109 2 3 5 4" xfId="0"/>
    <cellStyle name="Normal 6 109 2 3 6" xfId="0"/>
    <cellStyle name="Normal 6 109 2 3 6 2" xfId="0"/>
    <cellStyle name="Normal 6 109 2 3 6 2 2" xfId="0"/>
    <cellStyle name="Normal 6 109 2 3 6 3" xfId="0"/>
    <cellStyle name="Normal 6 109 2 3 7" xfId="0"/>
    <cellStyle name="Normal 6 109 2 3 7 2" xfId="0"/>
    <cellStyle name="Normal 6 109 2 3 8" xfId="0"/>
    <cellStyle name="Normal 6 109 2 4" xfId="0"/>
    <cellStyle name="Normal 6 109 2 4 2" xfId="0"/>
    <cellStyle name="Normal 6 109 2 4 2 2" xfId="0"/>
    <cellStyle name="Normal 6 109 2 4 2 2 2" xfId="0"/>
    <cellStyle name="Normal 6 109 2 4 2 2 2 2" xfId="0"/>
    <cellStyle name="Normal 6 109 2 4 2 2 2 2 2" xfId="0"/>
    <cellStyle name="Normal 6 109 2 4 2 2 2 2 2 2" xfId="0"/>
    <cellStyle name="Normal 6 109 2 4 2 2 2 2 3" xfId="0"/>
    <cellStyle name="Normal 6 109 2 4 2 2 2 3" xfId="0"/>
    <cellStyle name="Normal 6 109 2 4 2 2 2 3 2" xfId="0"/>
    <cellStyle name="Normal 6 109 2 4 2 2 2 4" xfId="0"/>
    <cellStyle name="Normal 6 109 2 4 2 2 3" xfId="0"/>
    <cellStyle name="Normal 6 109 2 4 2 2 3 2" xfId="0"/>
    <cellStyle name="Normal 6 109 2 4 2 2 3 2 2" xfId="0"/>
    <cellStyle name="Normal 6 109 2 4 2 2 3 3" xfId="0"/>
    <cellStyle name="Normal 6 109 2 4 2 2 4" xfId="0"/>
    <cellStyle name="Normal 6 109 2 4 2 2 4 2" xfId="0"/>
    <cellStyle name="Normal 6 109 2 4 2 2 5" xfId="0"/>
    <cellStyle name="Normal 6 109 2 4 2 3" xfId="0"/>
    <cellStyle name="Normal 6 109 2 4 2 3 2" xfId="0"/>
    <cellStyle name="Normal 6 109 2 4 2 3 2 2" xfId="0"/>
    <cellStyle name="Normal 6 109 2 4 2 3 2 2 2" xfId="0"/>
    <cellStyle name="Normal 6 109 2 4 2 3 2 3" xfId="0"/>
    <cellStyle name="Normal 6 109 2 4 2 3 3" xfId="0"/>
    <cellStyle name="Normal 6 109 2 4 2 3 3 2" xfId="0"/>
    <cellStyle name="Normal 6 109 2 4 2 3 4" xfId="0"/>
    <cellStyle name="Normal 6 109 2 4 2 4" xfId="0"/>
    <cellStyle name="Normal 6 109 2 4 2 4 2" xfId="0"/>
    <cellStyle name="Normal 6 109 2 4 2 4 2 2" xfId="0"/>
    <cellStyle name="Normal 6 109 2 4 2 4 3" xfId="0"/>
    <cellStyle name="Normal 6 109 2 4 2 5" xfId="0"/>
    <cellStyle name="Normal 6 109 2 4 2 5 2" xfId="0"/>
    <cellStyle name="Normal 6 109 2 4 2 6" xfId="0"/>
    <cellStyle name="Normal 6 109 2 4 3" xfId="0"/>
    <cellStyle name="Normal 6 109 2 4 3 2" xfId="0"/>
    <cellStyle name="Normal 6 109 2 4 3 2 2" xfId="0"/>
    <cellStyle name="Normal 6 109 2 4 3 2 2 2" xfId="0"/>
    <cellStyle name="Normal 6 109 2 4 3 2 2 2 2" xfId="0"/>
    <cellStyle name="Normal 6 109 2 4 3 2 2 3" xfId="0"/>
    <cellStyle name="Normal 6 109 2 4 3 2 3" xfId="0"/>
    <cellStyle name="Normal 6 109 2 4 3 2 3 2" xfId="0"/>
    <cellStyle name="Normal 6 109 2 4 3 2 4" xfId="0"/>
    <cellStyle name="Normal 6 109 2 4 3 3" xfId="0"/>
    <cellStyle name="Normal 6 109 2 4 3 3 2" xfId="0"/>
    <cellStyle name="Normal 6 109 2 4 3 3 2 2" xfId="0"/>
    <cellStyle name="Normal 6 109 2 4 3 3 3" xfId="0"/>
    <cellStyle name="Normal 6 109 2 4 3 4" xfId="0"/>
    <cellStyle name="Normal 6 109 2 4 3 4 2" xfId="0"/>
    <cellStyle name="Normal 6 109 2 4 3 5" xfId="0"/>
    <cellStyle name="Normal 6 109 2 4 4" xfId="0"/>
    <cellStyle name="Normal 6 109 2 4 4 2" xfId="0"/>
    <cellStyle name="Normal 6 109 2 4 4 2 2" xfId="0"/>
    <cellStyle name="Normal 6 109 2 4 4 2 2 2" xfId="0"/>
    <cellStyle name="Normal 6 109 2 4 4 2 3" xfId="0"/>
    <cellStyle name="Normal 6 109 2 4 4 3" xfId="0"/>
    <cellStyle name="Normal 6 109 2 4 4 3 2" xfId="0"/>
    <cellStyle name="Normal 6 109 2 4 4 4" xfId="0"/>
    <cellStyle name="Normal 6 109 2 4 5" xfId="0"/>
    <cellStyle name="Normal 6 109 2 4 5 2" xfId="0"/>
    <cellStyle name="Normal 6 109 2 4 5 2 2" xfId="0"/>
    <cellStyle name="Normal 6 109 2 4 5 3" xfId="0"/>
    <cellStyle name="Normal 6 109 2 4 6" xfId="0"/>
    <cellStyle name="Normal 6 109 2 4 6 2" xfId="0"/>
    <cellStyle name="Normal 6 109 2 4 7" xfId="0"/>
    <cellStyle name="Normal 6 109 2 5" xfId="0"/>
    <cellStyle name="Normal 6 109 2 5 2" xfId="0"/>
    <cellStyle name="Normal 6 109 2 5 2 2" xfId="0"/>
    <cellStyle name="Normal 6 109 2 5 2 2 2" xfId="0"/>
    <cellStyle name="Normal 6 109 2 5 2 2 2 2" xfId="0"/>
    <cellStyle name="Normal 6 109 2 5 2 2 2 2 2" xfId="0"/>
    <cellStyle name="Normal 6 109 2 5 2 2 2 2 2 2" xfId="0"/>
    <cellStyle name="Normal 6 109 2 5 2 2 2 2 3" xfId="0"/>
    <cellStyle name="Normal 6 109 2 5 2 2 2 3" xfId="0"/>
    <cellStyle name="Normal 6 109 2 5 2 2 2 3 2" xfId="0"/>
    <cellStyle name="Normal 6 109 2 5 2 2 2 4" xfId="0"/>
    <cellStyle name="Normal 6 109 2 5 2 2 3" xfId="0"/>
    <cellStyle name="Normal 6 109 2 5 2 2 3 2" xfId="0"/>
    <cellStyle name="Normal 6 109 2 5 2 2 3 2 2" xfId="0"/>
    <cellStyle name="Normal 6 109 2 5 2 2 3 3" xfId="0"/>
    <cellStyle name="Normal 6 109 2 5 2 2 4" xfId="0"/>
    <cellStyle name="Normal 6 109 2 5 2 2 4 2" xfId="0"/>
    <cellStyle name="Normal 6 109 2 5 2 2 5" xfId="0"/>
    <cellStyle name="Normal 6 109 2 5 2 3" xfId="0"/>
    <cellStyle name="Normal 6 109 2 5 2 3 2" xfId="0"/>
    <cellStyle name="Normal 6 109 2 5 2 3 2 2" xfId="0"/>
    <cellStyle name="Normal 6 109 2 5 2 3 2 2 2" xfId="0"/>
    <cellStyle name="Normal 6 109 2 5 2 3 2 3" xfId="0"/>
    <cellStyle name="Normal 6 109 2 5 2 3 3" xfId="0"/>
    <cellStyle name="Normal 6 109 2 5 2 3 3 2" xfId="0"/>
    <cellStyle name="Normal 6 109 2 5 2 3 4" xfId="0"/>
    <cellStyle name="Normal 6 109 2 5 2 4" xfId="0"/>
    <cellStyle name="Normal 6 109 2 5 2 4 2" xfId="0"/>
    <cellStyle name="Normal 6 109 2 5 2 4 2 2" xfId="0"/>
    <cellStyle name="Normal 6 109 2 5 2 4 3" xfId="0"/>
    <cellStyle name="Normal 6 109 2 5 2 5" xfId="0"/>
    <cellStyle name="Normal 6 109 2 5 2 5 2" xfId="0"/>
    <cellStyle name="Normal 6 109 2 5 2 6" xfId="0"/>
    <cellStyle name="Normal 6 109 2 5 3" xfId="0"/>
    <cellStyle name="Normal 6 109 2 5 3 2" xfId="0"/>
    <cellStyle name="Normal 6 109 2 5 3 2 2" xfId="0"/>
    <cellStyle name="Normal 6 109 2 5 3 2 2 2" xfId="0"/>
    <cellStyle name="Normal 6 109 2 5 3 2 2 2 2" xfId="0"/>
    <cellStyle name="Normal 6 109 2 5 3 2 2 3" xfId="0"/>
    <cellStyle name="Normal 6 109 2 5 3 2 3" xfId="0"/>
    <cellStyle name="Normal 6 109 2 5 3 2 3 2" xfId="0"/>
    <cellStyle name="Normal 6 109 2 5 3 2 4" xfId="0"/>
    <cellStyle name="Normal 6 109 2 5 3 3" xfId="0"/>
    <cellStyle name="Normal 6 109 2 5 3 3 2" xfId="0"/>
    <cellStyle name="Normal 6 109 2 5 3 3 2 2" xfId="0"/>
    <cellStyle name="Normal 6 109 2 5 3 3 3" xfId="0"/>
    <cellStyle name="Normal 6 109 2 5 3 4" xfId="0"/>
    <cellStyle name="Normal 6 109 2 5 3 4 2" xfId="0"/>
    <cellStyle name="Normal 6 109 2 5 3 5" xfId="0"/>
    <cellStyle name="Normal 6 109 2 5 4" xfId="0"/>
    <cellStyle name="Normal 6 109 2 5 4 2" xfId="0"/>
    <cellStyle name="Normal 6 109 2 5 4 2 2" xfId="0"/>
    <cellStyle name="Normal 6 109 2 5 4 2 2 2" xfId="0"/>
    <cellStyle name="Normal 6 109 2 5 4 2 3" xfId="0"/>
    <cellStyle name="Normal 6 109 2 5 4 3" xfId="0"/>
    <cellStyle name="Normal 6 109 2 5 4 3 2" xfId="0"/>
    <cellStyle name="Normal 6 109 2 5 4 4" xfId="0"/>
    <cellStyle name="Normal 6 109 2 5 5" xfId="0"/>
    <cellStyle name="Normal 6 109 2 5 5 2" xfId="0"/>
    <cellStyle name="Normal 6 109 2 5 5 2 2" xfId="0"/>
    <cellStyle name="Normal 6 109 2 5 5 3" xfId="0"/>
    <cellStyle name="Normal 6 109 2 5 6" xfId="0"/>
    <cellStyle name="Normal 6 109 2 5 6 2" xfId="0"/>
    <cellStyle name="Normal 6 109 2 5 7" xfId="0"/>
    <cellStyle name="Normal 6 109 2 6" xfId="0"/>
    <cellStyle name="Normal 6 109 2 6 2" xfId="0"/>
    <cellStyle name="Normal 6 109 2 6 2 2" xfId="0"/>
    <cellStyle name="Normal 6 109 2 6 2 2 2" xfId="0"/>
    <cellStyle name="Normal 6 109 2 6 2 2 2 2" xfId="0"/>
    <cellStyle name="Normal 6 109 2 6 2 2 2 2 2" xfId="0"/>
    <cellStyle name="Normal 6 109 2 6 2 2 2 3" xfId="0"/>
    <cellStyle name="Normal 6 109 2 6 2 2 3" xfId="0"/>
    <cellStyle name="Normal 6 109 2 6 2 2 3 2" xfId="0"/>
    <cellStyle name="Normal 6 109 2 6 2 2 4" xfId="0"/>
    <cellStyle name="Normal 6 109 2 6 2 3" xfId="0"/>
    <cellStyle name="Normal 6 109 2 6 2 3 2" xfId="0"/>
    <cellStyle name="Normal 6 109 2 6 2 3 2 2" xfId="0"/>
    <cellStyle name="Normal 6 109 2 6 2 3 3" xfId="0"/>
    <cellStyle name="Normal 6 109 2 6 2 4" xfId="0"/>
    <cellStyle name="Normal 6 109 2 6 2 4 2" xfId="0"/>
    <cellStyle name="Normal 6 109 2 6 2 5" xfId="0"/>
    <cellStyle name="Normal 6 109 2 6 3" xfId="0"/>
    <cellStyle name="Normal 6 109 2 6 3 2" xfId="0"/>
    <cellStyle name="Normal 6 109 2 6 3 2 2" xfId="0"/>
    <cellStyle name="Normal 6 109 2 6 3 2 2 2" xfId="0"/>
    <cellStyle name="Normal 6 109 2 6 3 2 3" xfId="0"/>
    <cellStyle name="Normal 6 109 2 6 3 3" xfId="0"/>
    <cellStyle name="Normal 6 109 2 6 3 3 2" xfId="0"/>
    <cellStyle name="Normal 6 109 2 6 3 4" xfId="0"/>
    <cellStyle name="Normal 6 109 2 6 4" xfId="0"/>
    <cellStyle name="Normal 6 109 2 6 4 2" xfId="0"/>
    <cellStyle name="Normal 6 109 2 6 4 2 2" xfId="0"/>
    <cellStyle name="Normal 6 109 2 6 4 3" xfId="0"/>
    <cellStyle name="Normal 6 109 2 6 5" xfId="0"/>
    <cellStyle name="Normal 6 109 2 6 5 2" xfId="0"/>
    <cellStyle name="Normal 6 109 2 6 6" xfId="0"/>
    <cellStyle name="Normal 6 109 2 7" xfId="0"/>
    <cellStyle name="Normal 6 109 2 7 2" xfId="0"/>
    <cellStyle name="Normal 6 109 2 7 2 2" xfId="0"/>
    <cellStyle name="Normal 6 109 2 7 2 2 2" xfId="0"/>
    <cellStyle name="Normal 6 109 2 7 2 2 2 2" xfId="0"/>
    <cellStyle name="Normal 6 109 2 7 2 2 3" xfId="0"/>
    <cellStyle name="Normal 6 109 2 7 2 3" xfId="0"/>
    <cellStyle name="Normal 6 109 2 7 2 3 2" xfId="0"/>
    <cellStyle name="Normal 6 109 2 7 2 4" xfId="0"/>
    <cellStyle name="Normal 6 109 2 7 3" xfId="0"/>
    <cellStyle name="Normal 6 109 2 7 3 2" xfId="0"/>
    <cellStyle name="Normal 6 109 2 7 3 2 2" xfId="0"/>
    <cellStyle name="Normal 6 109 2 7 3 3" xfId="0"/>
    <cellStyle name="Normal 6 109 2 7 4" xfId="0"/>
    <cellStyle name="Normal 6 109 2 7 4 2" xfId="0"/>
    <cellStyle name="Normal 6 109 2 7 5" xfId="0"/>
    <cellStyle name="Normal 6 109 2 8" xfId="0"/>
    <cellStyle name="Normal 6 109 2 8 2" xfId="0"/>
    <cellStyle name="Normal 6 109 2 8 2 2" xfId="0"/>
    <cellStyle name="Normal 6 109 2 8 2 2 2" xfId="0"/>
    <cellStyle name="Normal 6 109 2 8 2 3" xfId="0"/>
    <cellStyle name="Normal 6 109 2 8 3" xfId="0"/>
    <cellStyle name="Normal 6 109 2 8 3 2" xfId="0"/>
    <cellStyle name="Normal 6 109 2 8 4" xfId="0"/>
    <cellStyle name="Normal 6 109 2 9" xfId="0"/>
    <cellStyle name="Normal 6 109 2 9 2" xfId="0"/>
    <cellStyle name="Normal 6 109 2 9 2 2" xfId="0"/>
    <cellStyle name="Normal 6 109 2 9 3" xfId="0"/>
    <cellStyle name="Normal 6 109 3" xfId="0"/>
    <cellStyle name="Normal 6 109 3 2" xfId="0"/>
    <cellStyle name="Normal 6 109 3 2 2" xfId="0"/>
    <cellStyle name="Normal 6 109 3 2 2 2" xfId="0"/>
    <cellStyle name="Normal 6 109 3 2 2 2 2" xfId="0"/>
    <cellStyle name="Normal 6 109 3 2 2 2 2 2" xfId="0"/>
    <cellStyle name="Normal 6 109 3 2 2 2 2 2 2" xfId="0"/>
    <cellStyle name="Normal 6 109 3 2 2 2 2 2 2 2" xfId="0"/>
    <cellStyle name="Normal 6 109 3 2 2 2 2 2 3" xfId="0"/>
    <cellStyle name="Normal 6 109 3 2 2 2 2 3" xfId="0"/>
    <cellStyle name="Normal 6 109 3 2 2 2 2 3 2" xfId="0"/>
    <cellStyle name="Normal 6 109 3 2 2 2 2 4" xfId="0"/>
    <cellStyle name="Normal 6 109 3 2 2 2 3" xfId="0"/>
    <cellStyle name="Normal 6 109 3 2 2 2 3 2" xfId="0"/>
    <cellStyle name="Normal 6 109 3 2 2 2 3 2 2" xfId="0"/>
    <cellStyle name="Normal 6 109 3 2 2 2 3 3" xfId="0"/>
    <cellStyle name="Normal 6 109 3 2 2 2 4" xfId="0"/>
    <cellStyle name="Normal 6 109 3 2 2 2 4 2" xfId="0"/>
    <cellStyle name="Normal 6 109 3 2 2 2 5" xfId="0"/>
    <cellStyle name="Normal 6 109 3 2 2 3" xfId="0"/>
    <cellStyle name="Normal 6 109 3 2 2 3 2" xfId="0"/>
    <cellStyle name="Normal 6 109 3 2 2 3 2 2" xfId="0"/>
    <cellStyle name="Normal 6 109 3 2 2 3 2 2 2" xfId="0"/>
    <cellStyle name="Normal 6 109 3 2 2 3 2 3" xfId="0"/>
    <cellStyle name="Normal 6 109 3 2 2 3 3" xfId="0"/>
    <cellStyle name="Normal 6 109 3 2 2 3 3 2" xfId="0"/>
    <cellStyle name="Normal 6 109 3 2 2 3 4" xfId="0"/>
    <cellStyle name="Normal 6 109 3 2 2 4" xfId="0"/>
    <cellStyle name="Normal 6 109 3 2 2 4 2" xfId="0"/>
    <cellStyle name="Normal 6 109 3 2 2 4 2 2" xfId="0"/>
    <cellStyle name="Normal 6 109 3 2 2 4 3" xfId="0"/>
    <cellStyle name="Normal 6 109 3 2 2 5" xfId="0"/>
    <cellStyle name="Normal 6 109 3 2 2 5 2" xfId="0"/>
    <cellStyle name="Normal 6 109 3 2 2 6" xfId="0"/>
    <cellStyle name="Normal 6 109 3 2 3" xfId="0"/>
    <cellStyle name="Normal 6 109 3 2 3 2" xfId="0"/>
    <cellStyle name="Normal 6 109 3 2 3 2 2" xfId="0"/>
    <cellStyle name="Normal 6 109 3 2 3 2 2 2" xfId="0"/>
    <cellStyle name="Normal 6 109 3 2 3 2 2 2 2" xfId="0"/>
    <cellStyle name="Normal 6 109 3 2 3 2 2 3" xfId="0"/>
    <cellStyle name="Normal 6 109 3 2 3 2 3" xfId="0"/>
    <cellStyle name="Normal 6 109 3 2 3 2 3 2" xfId="0"/>
    <cellStyle name="Normal 6 109 3 2 3 2 4" xfId="0"/>
    <cellStyle name="Normal 6 109 3 2 3 3" xfId="0"/>
    <cellStyle name="Normal 6 109 3 2 3 3 2" xfId="0"/>
    <cellStyle name="Normal 6 109 3 2 3 3 2 2" xfId="0"/>
    <cellStyle name="Normal 6 109 3 2 3 3 3" xfId="0"/>
    <cellStyle name="Normal 6 109 3 2 3 4" xfId="0"/>
    <cellStyle name="Normal 6 109 3 2 3 4 2" xfId="0"/>
    <cellStyle name="Normal 6 109 3 2 3 5" xfId="0"/>
    <cellStyle name="Normal 6 109 3 2 4" xfId="0"/>
    <cellStyle name="Normal 6 109 3 2 4 2" xfId="0"/>
    <cellStyle name="Normal 6 109 3 2 4 2 2" xfId="0"/>
    <cellStyle name="Normal 6 109 3 2 4 2 2 2" xfId="0"/>
    <cellStyle name="Normal 6 109 3 2 4 2 3" xfId="0"/>
    <cellStyle name="Normal 6 109 3 2 4 3" xfId="0"/>
    <cellStyle name="Normal 6 109 3 2 4 3 2" xfId="0"/>
    <cellStyle name="Normal 6 109 3 2 4 4" xfId="0"/>
    <cellStyle name="Normal 6 109 3 2 5" xfId="0"/>
    <cellStyle name="Normal 6 109 3 2 5 2" xfId="0"/>
    <cellStyle name="Normal 6 109 3 2 5 2 2" xfId="0"/>
    <cellStyle name="Normal 6 109 3 2 5 3" xfId="0"/>
    <cellStyle name="Normal 6 109 3 2 6" xfId="0"/>
    <cellStyle name="Normal 6 109 3 2 6 2" xfId="0"/>
    <cellStyle name="Normal 6 109 3 2 7" xfId="0"/>
    <cellStyle name="Normal 6 109 3 3" xfId="0"/>
    <cellStyle name="Normal 6 109 3 3 2" xfId="0"/>
    <cellStyle name="Normal 6 109 3 3 2 2" xfId="0"/>
    <cellStyle name="Normal 6 109 3 3 2 2 2" xfId="0"/>
    <cellStyle name="Normal 6 109 3 3 2 2 2 2" xfId="0"/>
    <cellStyle name="Normal 6 109 3 3 2 2 2 2 2" xfId="0"/>
    <cellStyle name="Normal 6 109 3 3 2 2 2 3" xfId="0"/>
    <cellStyle name="Normal 6 109 3 3 2 2 3" xfId="0"/>
    <cellStyle name="Normal 6 109 3 3 2 2 3 2" xfId="0"/>
    <cellStyle name="Normal 6 109 3 3 2 2 4" xfId="0"/>
    <cellStyle name="Normal 6 109 3 3 2 3" xfId="0"/>
    <cellStyle name="Normal 6 109 3 3 2 3 2" xfId="0"/>
    <cellStyle name="Normal 6 109 3 3 2 3 2 2" xfId="0"/>
    <cellStyle name="Normal 6 109 3 3 2 3 3" xfId="0"/>
    <cellStyle name="Normal 6 109 3 3 2 4" xfId="0"/>
    <cellStyle name="Normal 6 109 3 3 2 4 2" xfId="0"/>
    <cellStyle name="Normal 6 109 3 3 2 5" xfId="0"/>
    <cellStyle name="Normal 6 109 3 3 3" xfId="0"/>
    <cellStyle name="Normal 6 109 3 3 3 2" xfId="0"/>
    <cellStyle name="Normal 6 109 3 3 3 2 2" xfId="0"/>
    <cellStyle name="Normal 6 109 3 3 3 2 2 2" xfId="0"/>
    <cellStyle name="Normal 6 109 3 3 3 2 3" xfId="0"/>
    <cellStyle name="Normal 6 109 3 3 3 3" xfId="0"/>
    <cellStyle name="Normal 6 109 3 3 3 3 2" xfId="0"/>
    <cellStyle name="Normal 6 109 3 3 3 4" xfId="0"/>
    <cellStyle name="Normal 6 109 3 3 4" xfId="0"/>
    <cellStyle name="Normal 6 109 3 3 4 2" xfId="0"/>
    <cellStyle name="Normal 6 109 3 3 4 2 2" xfId="0"/>
    <cellStyle name="Normal 6 109 3 3 4 3" xfId="0"/>
    <cellStyle name="Normal 6 109 3 3 5" xfId="0"/>
    <cellStyle name="Normal 6 109 3 3 5 2" xfId="0"/>
    <cellStyle name="Normal 6 109 3 3 6" xfId="0"/>
    <cellStyle name="Normal 6 109 3 4" xfId="0"/>
    <cellStyle name="Normal 6 109 3 4 2" xfId="0"/>
    <cellStyle name="Normal 6 109 3 4 2 2" xfId="0"/>
    <cellStyle name="Normal 6 109 3 4 2 2 2" xfId="0"/>
    <cellStyle name="Normal 6 109 3 4 2 2 2 2" xfId="0"/>
    <cellStyle name="Normal 6 109 3 4 2 2 3" xfId="0"/>
    <cellStyle name="Normal 6 109 3 4 2 3" xfId="0"/>
    <cellStyle name="Normal 6 109 3 4 2 3 2" xfId="0"/>
    <cellStyle name="Normal 6 109 3 4 2 4" xfId="0"/>
    <cellStyle name="Normal 6 109 3 4 3" xfId="0"/>
    <cellStyle name="Normal 6 109 3 4 3 2" xfId="0"/>
    <cellStyle name="Normal 6 109 3 4 3 2 2" xfId="0"/>
    <cellStyle name="Normal 6 109 3 4 3 3" xfId="0"/>
    <cellStyle name="Normal 6 109 3 4 4" xfId="0"/>
    <cellStyle name="Normal 6 109 3 4 4 2" xfId="0"/>
    <cellStyle name="Normal 6 109 3 4 5" xfId="0"/>
    <cellStyle name="Normal 6 109 3 5" xfId="0"/>
    <cellStyle name="Normal 6 109 3 5 2" xfId="0"/>
    <cellStyle name="Normal 6 109 3 5 2 2" xfId="0"/>
    <cellStyle name="Normal 6 109 3 5 2 2 2" xfId="0"/>
    <cellStyle name="Normal 6 109 3 5 2 3" xfId="0"/>
    <cellStyle name="Normal 6 109 3 5 3" xfId="0"/>
    <cellStyle name="Normal 6 109 3 5 3 2" xfId="0"/>
    <cellStyle name="Normal 6 109 3 5 4" xfId="0"/>
    <cellStyle name="Normal 6 109 3 6" xfId="0"/>
    <cellStyle name="Normal 6 109 3 6 2" xfId="0"/>
    <cellStyle name="Normal 6 109 3 6 2 2" xfId="0"/>
    <cellStyle name="Normal 6 109 3 6 3" xfId="0"/>
    <cellStyle name="Normal 6 109 3 7" xfId="0"/>
    <cellStyle name="Normal 6 109 3 7 2" xfId="0"/>
    <cellStyle name="Normal 6 109 3 8" xfId="0"/>
    <cellStyle name="Normal 6 109 4" xfId="0"/>
    <cellStyle name="Normal 6 109 4 2" xfId="0"/>
    <cellStyle name="Normal 6 109 4 2 2" xfId="0"/>
    <cellStyle name="Normal 6 109 4 2 2 2" xfId="0"/>
    <cellStyle name="Normal 6 109 4 2 2 2 2" xfId="0"/>
    <cellStyle name="Normal 6 109 4 2 2 2 2 2" xfId="0"/>
    <cellStyle name="Normal 6 109 4 2 2 2 2 2 2" xfId="0"/>
    <cellStyle name="Normal 6 109 4 2 2 2 2 2 2 2" xfId="0"/>
    <cellStyle name="Normal 6 109 4 2 2 2 2 2 3" xfId="0"/>
    <cellStyle name="Normal 6 109 4 2 2 2 2 3" xfId="0"/>
    <cellStyle name="Normal 6 109 4 2 2 2 2 3 2" xfId="0"/>
    <cellStyle name="Normal 6 109 4 2 2 2 2 4" xfId="0"/>
    <cellStyle name="Normal 6 109 4 2 2 2 3" xfId="0"/>
    <cellStyle name="Normal 6 109 4 2 2 2 3 2" xfId="0"/>
    <cellStyle name="Normal 6 109 4 2 2 2 3 2 2" xfId="0"/>
    <cellStyle name="Normal 6 109 4 2 2 2 3 3" xfId="0"/>
    <cellStyle name="Normal 6 109 4 2 2 2 4" xfId="0"/>
    <cellStyle name="Normal 6 109 4 2 2 2 4 2" xfId="0"/>
    <cellStyle name="Normal 6 109 4 2 2 2 5" xfId="0"/>
    <cellStyle name="Normal 6 109 4 2 2 3" xfId="0"/>
    <cellStyle name="Normal 6 109 4 2 2 3 2" xfId="0"/>
    <cellStyle name="Normal 6 109 4 2 2 3 2 2" xfId="0"/>
    <cellStyle name="Normal 6 109 4 2 2 3 2 2 2" xfId="0"/>
    <cellStyle name="Normal 6 109 4 2 2 3 2 3" xfId="0"/>
    <cellStyle name="Normal 6 109 4 2 2 3 3" xfId="0"/>
    <cellStyle name="Normal 6 109 4 2 2 3 3 2" xfId="0"/>
    <cellStyle name="Normal 6 109 4 2 2 3 4" xfId="0"/>
    <cellStyle name="Normal 6 109 4 2 2 4" xfId="0"/>
    <cellStyle name="Normal 6 109 4 2 2 4 2" xfId="0"/>
    <cellStyle name="Normal 6 109 4 2 2 4 2 2" xfId="0"/>
    <cellStyle name="Normal 6 109 4 2 2 4 3" xfId="0"/>
    <cellStyle name="Normal 6 109 4 2 2 5" xfId="0"/>
    <cellStyle name="Normal 6 109 4 2 2 5 2" xfId="0"/>
    <cellStyle name="Normal 6 109 4 2 2 6" xfId="0"/>
    <cellStyle name="Normal 6 109 4 2 3" xfId="0"/>
    <cellStyle name="Normal 6 109 4 2 3 2" xfId="0"/>
    <cellStyle name="Normal 6 109 4 2 3 2 2" xfId="0"/>
    <cellStyle name="Normal 6 109 4 2 3 2 2 2" xfId="0"/>
    <cellStyle name="Normal 6 109 4 2 3 2 2 2 2" xfId="0"/>
    <cellStyle name="Normal 6 109 4 2 3 2 2 3" xfId="0"/>
    <cellStyle name="Normal 6 109 4 2 3 2 3" xfId="0"/>
    <cellStyle name="Normal 6 109 4 2 3 2 3 2" xfId="0"/>
    <cellStyle name="Normal 6 109 4 2 3 2 4" xfId="0"/>
    <cellStyle name="Normal 6 109 4 2 3 3" xfId="0"/>
    <cellStyle name="Normal 6 109 4 2 3 3 2" xfId="0"/>
    <cellStyle name="Normal 6 109 4 2 3 3 2 2" xfId="0"/>
    <cellStyle name="Normal 6 109 4 2 3 3 3" xfId="0"/>
    <cellStyle name="Normal 6 109 4 2 3 4" xfId="0"/>
    <cellStyle name="Normal 6 109 4 2 3 4 2" xfId="0"/>
    <cellStyle name="Normal 6 109 4 2 3 5" xfId="0"/>
    <cellStyle name="Normal 6 109 4 2 4" xfId="0"/>
    <cellStyle name="Normal 6 109 4 2 4 2" xfId="0"/>
    <cellStyle name="Normal 6 109 4 2 4 2 2" xfId="0"/>
    <cellStyle name="Normal 6 109 4 2 4 2 2 2" xfId="0"/>
    <cellStyle name="Normal 6 109 4 2 4 2 3" xfId="0"/>
    <cellStyle name="Normal 6 109 4 2 4 3" xfId="0"/>
    <cellStyle name="Normal 6 109 4 2 4 3 2" xfId="0"/>
    <cellStyle name="Normal 6 109 4 2 4 4" xfId="0"/>
    <cellStyle name="Normal 6 109 4 2 5" xfId="0"/>
    <cellStyle name="Normal 6 109 4 2 5 2" xfId="0"/>
    <cellStyle name="Normal 6 109 4 2 5 2 2" xfId="0"/>
    <cellStyle name="Normal 6 109 4 2 5 3" xfId="0"/>
    <cellStyle name="Normal 6 109 4 2 6" xfId="0"/>
    <cellStyle name="Normal 6 109 4 2 6 2" xfId="0"/>
    <cellStyle name="Normal 6 109 4 2 7" xfId="0"/>
    <cellStyle name="Normal 6 109 4 3" xfId="0"/>
    <cellStyle name="Normal 6 109 4 3 2" xfId="0"/>
    <cellStyle name="Normal 6 109 4 3 2 2" xfId="0"/>
    <cellStyle name="Normal 6 109 4 3 2 2 2" xfId="0"/>
    <cellStyle name="Normal 6 109 4 3 2 2 2 2" xfId="0"/>
    <cellStyle name="Normal 6 109 4 3 2 2 2 2 2" xfId="0"/>
    <cellStyle name="Normal 6 109 4 3 2 2 2 3" xfId="0"/>
    <cellStyle name="Normal 6 109 4 3 2 2 3" xfId="0"/>
    <cellStyle name="Normal 6 109 4 3 2 2 3 2" xfId="0"/>
    <cellStyle name="Normal 6 109 4 3 2 2 4" xfId="0"/>
    <cellStyle name="Normal 6 109 4 3 2 3" xfId="0"/>
    <cellStyle name="Normal 6 109 4 3 2 3 2" xfId="0"/>
    <cellStyle name="Normal 6 109 4 3 2 3 2 2" xfId="0"/>
    <cellStyle name="Normal 6 109 4 3 2 3 3" xfId="0"/>
    <cellStyle name="Normal 6 109 4 3 2 4" xfId="0"/>
    <cellStyle name="Normal 6 109 4 3 2 4 2" xfId="0"/>
    <cellStyle name="Normal 6 109 4 3 2 5" xfId="0"/>
    <cellStyle name="Normal 6 109 4 3 3" xfId="0"/>
    <cellStyle name="Normal 6 109 4 3 3 2" xfId="0"/>
    <cellStyle name="Normal 6 109 4 3 3 2 2" xfId="0"/>
    <cellStyle name="Normal 6 109 4 3 3 2 2 2" xfId="0"/>
    <cellStyle name="Normal 6 109 4 3 3 2 3" xfId="0"/>
    <cellStyle name="Normal 6 109 4 3 3 3" xfId="0"/>
    <cellStyle name="Normal 6 109 4 3 3 3 2" xfId="0"/>
    <cellStyle name="Normal 6 109 4 3 3 4" xfId="0"/>
    <cellStyle name="Normal 6 109 4 3 4" xfId="0"/>
    <cellStyle name="Normal 6 109 4 3 4 2" xfId="0"/>
    <cellStyle name="Normal 6 109 4 3 4 2 2" xfId="0"/>
    <cellStyle name="Normal 6 109 4 3 4 3" xfId="0"/>
    <cellStyle name="Normal 6 109 4 3 5" xfId="0"/>
    <cellStyle name="Normal 6 109 4 3 5 2" xfId="0"/>
    <cellStyle name="Normal 6 109 4 3 6" xfId="0"/>
    <cellStyle name="Normal 6 109 4 4" xfId="0"/>
    <cellStyle name="Normal 6 109 4 4 2" xfId="0"/>
    <cellStyle name="Normal 6 109 4 4 2 2" xfId="0"/>
    <cellStyle name="Normal 6 109 4 4 2 2 2" xfId="0"/>
    <cellStyle name="Normal 6 109 4 4 2 2 2 2" xfId="0"/>
    <cellStyle name="Normal 6 109 4 4 2 2 3" xfId="0"/>
    <cellStyle name="Normal 6 109 4 4 2 3" xfId="0"/>
    <cellStyle name="Normal 6 109 4 4 2 3 2" xfId="0"/>
    <cellStyle name="Normal 6 109 4 4 2 4" xfId="0"/>
    <cellStyle name="Normal 6 109 4 4 3" xfId="0"/>
    <cellStyle name="Normal 6 109 4 4 3 2" xfId="0"/>
    <cellStyle name="Normal 6 109 4 4 3 2 2" xfId="0"/>
    <cellStyle name="Normal 6 109 4 4 3 3" xfId="0"/>
    <cellStyle name="Normal 6 109 4 4 4" xfId="0"/>
    <cellStyle name="Normal 6 109 4 4 4 2" xfId="0"/>
    <cellStyle name="Normal 6 109 4 4 5" xfId="0"/>
    <cellStyle name="Normal 6 109 4 5" xfId="0"/>
    <cellStyle name="Normal 6 109 4 5 2" xfId="0"/>
    <cellStyle name="Normal 6 109 4 5 2 2" xfId="0"/>
    <cellStyle name="Normal 6 109 4 5 2 2 2" xfId="0"/>
    <cellStyle name="Normal 6 109 4 5 2 3" xfId="0"/>
    <cellStyle name="Normal 6 109 4 5 3" xfId="0"/>
    <cellStyle name="Normal 6 109 4 5 3 2" xfId="0"/>
    <cellStyle name="Normal 6 109 4 5 4" xfId="0"/>
    <cellStyle name="Normal 6 109 4 6" xfId="0"/>
    <cellStyle name="Normal 6 109 4 6 2" xfId="0"/>
    <cellStyle name="Normal 6 109 4 6 2 2" xfId="0"/>
    <cellStyle name="Normal 6 109 4 6 3" xfId="0"/>
    <cellStyle name="Normal 6 109 4 7" xfId="0"/>
    <cellStyle name="Normal 6 109 4 7 2" xfId="0"/>
    <cellStyle name="Normal 6 109 4 8" xfId="0"/>
    <cellStyle name="Normal 6 109 5" xfId="0"/>
    <cellStyle name="Normal 6 109 5 2" xfId="0"/>
    <cellStyle name="Normal 6 109 5 2 2" xfId="0"/>
    <cellStyle name="Normal 6 109 5 2 2 2" xfId="0"/>
    <cellStyle name="Normal 6 109 5 2 2 2 2" xfId="0"/>
    <cellStyle name="Normal 6 109 5 2 2 2 2 2" xfId="0"/>
    <cellStyle name="Normal 6 109 5 2 2 2 2 2 2" xfId="0"/>
    <cellStyle name="Normal 6 109 5 2 2 2 2 3" xfId="0"/>
    <cellStyle name="Normal 6 109 5 2 2 2 3" xfId="0"/>
    <cellStyle name="Normal 6 109 5 2 2 2 3 2" xfId="0"/>
    <cellStyle name="Normal 6 109 5 2 2 2 4" xfId="0"/>
    <cellStyle name="Normal 6 109 5 2 2 3" xfId="0"/>
    <cellStyle name="Normal 6 109 5 2 2 3 2" xfId="0"/>
    <cellStyle name="Normal 6 109 5 2 2 3 2 2" xfId="0"/>
    <cellStyle name="Normal 6 109 5 2 2 3 3" xfId="0"/>
    <cellStyle name="Normal 6 109 5 2 2 4" xfId="0"/>
    <cellStyle name="Normal 6 109 5 2 2 4 2" xfId="0"/>
    <cellStyle name="Normal 6 109 5 2 2 5" xfId="0"/>
    <cellStyle name="Normal 6 109 5 2 3" xfId="0"/>
    <cellStyle name="Normal 6 109 5 2 3 2" xfId="0"/>
    <cellStyle name="Normal 6 109 5 2 3 2 2" xfId="0"/>
    <cellStyle name="Normal 6 109 5 2 3 2 2 2" xfId="0"/>
    <cellStyle name="Normal 6 109 5 2 3 2 3" xfId="0"/>
    <cellStyle name="Normal 6 109 5 2 3 3" xfId="0"/>
    <cellStyle name="Normal 6 109 5 2 3 3 2" xfId="0"/>
    <cellStyle name="Normal 6 109 5 2 3 4" xfId="0"/>
    <cellStyle name="Normal 6 109 5 2 4" xfId="0"/>
    <cellStyle name="Normal 6 109 5 2 4 2" xfId="0"/>
    <cellStyle name="Normal 6 109 5 2 4 2 2" xfId="0"/>
    <cellStyle name="Normal 6 109 5 2 4 3" xfId="0"/>
    <cellStyle name="Normal 6 109 5 2 5" xfId="0"/>
    <cellStyle name="Normal 6 109 5 2 5 2" xfId="0"/>
    <cellStyle name="Normal 6 109 5 2 6" xfId="0"/>
    <cellStyle name="Normal 6 109 5 3" xfId="0"/>
    <cellStyle name="Normal 6 109 5 3 2" xfId="0"/>
    <cellStyle name="Normal 6 109 5 3 2 2" xfId="0"/>
    <cellStyle name="Normal 6 109 5 3 2 2 2" xfId="0"/>
    <cellStyle name="Normal 6 109 5 3 2 2 2 2" xfId="0"/>
    <cellStyle name="Normal 6 109 5 3 2 2 3" xfId="0"/>
    <cellStyle name="Normal 6 109 5 3 2 3" xfId="0"/>
    <cellStyle name="Normal 6 109 5 3 2 3 2" xfId="0"/>
    <cellStyle name="Normal 6 109 5 3 2 4" xfId="0"/>
    <cellStyle name="Normal 6 109 5 3 3" xfId="0"/>
    <cellStyle name="Normal 6 109 5 3 3 2" xfId="0"/>
    <cellStyle name="Normal 6 109 5 3 3 2 2" xfId="0"/>
    <cellStyle name="Normal 6 109 5 3 3 3" xfId="0"/>
    <cellStyle name="Normal 6 109 5 3 4" xfId="0"/>
    <cellStyle name="Normal 6 109 5 3 4 2" xfId="0"/>
    <cellStyle name="Normal 6 109 5 3 5" xfId="0"/>
    <cellStyle name="Normal 6 109 5 4" xfId="0"/>
    <cellStyle name="Normal 6 109 5 4 2" xfId="0"/>
    <cellStyle name="Normal 6 109 5 4 2 2" xfId="0"/>
    <cellStyle name="Normal 6 109 5 4 2 2 2" xfId="0"/>
    <cellStyle name="Normal 6 109 5 4 2 3" xfId="0"/>
    <cellStyle name="Normal 6 109 5 4 3" xfId="0"/>
    <cellStyle name="Normal 6 109 5 4 3 2" xfId="0"/>
    <cellStyle name="Normal 6 109 5 4 4" xfId="0"/>
    <cellStyle name="Normal 6 109 5 5" xfId="0"/>
    <cellStyle name="Normal 6 109 5 5 2" xfId="0"/>
    <cellStyle name="Normal 6 109 5 5 2 2" xfId="0"/>
    <cellStyle name="Normal 6 109 5 5 3" xfId="0"/>
    <cellStyle name="Normal 6 109 5 6" xfId="0"/>
    <cellStyle name="Normal 6 109 5 6 2" xfId="0"/>
    <cellStyle name="Normal 6 109 5 7" xfId="0"/>
    <cellStyle name="Normal 6 109 6" xfId="0"/>
    <cellStyle name="Normal 6 109 6 2" xfId="0"/>
    <cellStyle name="Normal 6 109 6 2 2" xfId="0"/>
    <cellStyle name="Normal 6 109 6 2 2 2" xfId="0"/>
    <cellStyle name="Normal 6 109 6 2 2 2 2" xfId="0"/>
    <cellStyle name="Normal 6 109 6 2 2 2 2 2" xfId="0"/>
    <cellStyle name="Normal 6 109 6 2 2 2 2 2 2" xfId="0"/>
    <cellStyle name="Normal 6 109 6 2 2 2 2 3" xfId="0"/>
    <cellStyle name="Normal 6 109 6 2 2 2 3" xfId="0"/>
    <cellStyle name="Normal 6 109 6 2 2 2 3 2" xfId="0"/>
    <cellStyle name="Normal 6 109 6 2 2 2 4" xfId="0"/>
    <cellStyle name="Normal 6 109 6 2 2 3" xfId="0"/>
    <cellStyle name="Normal 6 109 6 2 2 3 2" xfId="0"/>
    <cellStyle name="Normal 6 109 6 2 2 3 2 2" xfId="0"/>
    <cellStyle name="Normal 6 109 6 2 2 3 3" xfId="0"/>
    <cellStyle name="Normal 6 109 6 2 2 4" xfId="0"/>
    <cellStyle name="Normal 6 109 6 2 2 4 2" xfId="0"/>
    <cellStyle name="Normal 6 109 6 2 2 5" xfId="0"/>
    <cellStyle name="Normal 6 109 6 2 3" xfId="0"/>
    <cellStyle name="Normal 6 109 6 2 3 2" xfId="0"/>
    <cellStyle name="Normal 6 109 6 2 3 2 2" xfId="0"/>
    <cellStyle name="Normal 6 109 6 2 3 2 2 2" xfId="0"/>
    <cellStyle name="Normal 6 109 6 2 3 2 3" xfId="0"/>
    <cellStyle name="Normal 6 109 6 2 3 3" xfId="0"/>
    <cellStyle name="Normal 6 109 6 2 3 3 2" xfId="0"/>
    <cellStyle name="Normal 6 109 6 2 3 4" xfId="0"/>
    <cellStyle name="Normal 6 109 6 2 4" xfId="0"/>
    <cellStyle name="Normal 6 109 6 2 4 2" xfId="0"/>
    <cellStyle name="Normal 6 109 6 2 4 2 2" xfId="0"/>
    <cellStyle name="Normal 6 109 6 2 4 3" xfId="0"/>
    <cellStyle name="Normal 6 109 6 2 5" xfId="0"/>
    <cellStyle name="Normal 6 109 6 2 5 2" xfId="0"/>
    <cellStyle name="Normal 6 109 6 2 6" xfId="0"/>
    <cellStyle name="Normal 6 109 6 3" xfId="0"/>
    <cellStyle name="Normal 6 109 6 3 2" xfId="0"/>
    <cellStyle name="Normal 6 109 6 3 2 2" xfId="0"/>
    <cellStyle name="Normal 6 109 6 3 2 2 2" xfId="0"/>
    <cellStyle name="Normal 6 109 6 3 2 2 2 2" xfId="0"/>
    <cellStyle name="Normal 6 109 6 3 2 2 3" xfId="0"/>
    <cellStyle name="Normal 6 109 6 3 2 3" xfId="0"/>
    <cellStyle name="Normal 6 109 6 3 2 3 2" xfId="0"/>
    <cellStyle name="Normal 6 109 6 3 2 4" xfId="0"/>
    <cellStyle name="Normal 6 109 6 3 3" xfId="0"/>
    <cellStyle name="Normal 6 109 6 3 3 2" xfId="0"/>
    <cellStyle name="Normal 6 109 6 3 3 2 2" xfId="0"/>
    <cellStyle name="Normal 6 109 6 3 3 3" xfId="0"/>
    <cellStyle name="Normal 6 109 6 3 4" xfId="0"/>
    <cellStyle name="Normal 6 109 6 3 4 2" xfId="0"/>
    <cellStyle name="Normal 6 109 6 3 5" xfId="0"/>
    <cellStyle name="Normal 6 109 6 4" xfId="0"/>
    <cellStyle name="Normal 6 109 6 4 2" xfId="0"/>
    <cellStyle name="Normal 6 109 6 4 2 2" xfId="0"/>
    <cellStyle name="Normal 6 109 6 4 2 2 2" xfId="0"/>
    <cellStyle name="Normal 6 109 6 4 2 3" xfId="0"/>
    <cellStyle name="Normal 6 109 6 4 3" xfId="0"/>
    <cellStyle name="Normal 6 109 6 4 3 2" xfId="0"/>
    <cellStyle name="Normal 6 109 6 4 4" xfId="0"/>
    <cellStyle name="Normal 6 109 6 5" xfId="0"/>
    <cellStyle name="Normal 6 109 6 5 2" xfId="0"/>
    <cellStyle name="Normal 6 109 6 5 2 2" xfId="0"/>
    <cellStyle name="Normal 6 109 6 5 3" xfId="0"/>
    <cellStyle name="Normal 6 109 6 6" xfId="0"/>
    <cellStyle name="Normal 6 109 6 6 2" xfId="0"/>
    <cellStyle name="Normal 6 109 6 7" xfId="0"/>
    <cellStyle name="Normal 6 109 7" xfId="0"/>
    <cellStyle name="Normal 6 109 7 2" xfId="0"/>
    <cellStyle name="Normal 6 109 7 2 2" xfId="0"/>
    <cellStyle name="Normal 6 109 7 2 2 2" xfId="0"/>
    <cellStyle name="Normal 6 109 7 2 2 2 2" xfId="0"/>
    <cellStyle name="Normal 6 109 7 2 2 2 2 2" xfId="0"/>
    <cellStyle name="Normal 6 109 7 2 2 2 3" xfId="0"/>
    <cellStyle name="Normal 6 109 7 2 2 3" xfId="0"/>
    <cellStyle name="Normal 6 109 7 2 2 3 2" xfId="0"/>
    <cellStyle name="Normal 6 109 7 2 2 4" xfId="0"/>
    <cellStyle name="Normal 6 109 7 2 3" xfId="0"/>
    <cellStyle name="Normal 6 109 7 2 3 2" xfId="0"/>
    <cellStyle name="Normal 6 109 7 2 3 2 2" xfId="0"/>
    <cellStyle name="Normal 6 109 7 2 3 3" xfId="0"/>
    <cellStyle name="Normal 6 109 7 2 4" xfId="0"/>
    <cellStyle name="Normal 6 109 7 2 4 2" xfId="0"/>
    <cellStyle name="Normal 6 109 7 2 5" xfId="0"/>
    <cellStyle name="Normal 6 109 7 3" xfId="0"/>
    <cellStyle name="Normal 6 109 7 3 2" xfId="0"/>
    <cellStyle name="Normal 6 109 7 3 2 2" xfId="0"/>
    <cellStyle name="Normal 6 109 7 3 2 2 2" xfId="0"/>
    <cellStyle name="Normal 6 109 7 3 2 3" xfId="0"/>
    <cellStyle name="Normal 6 109 7 3 3" xfId="0"/>
    <cellStyle name="Normal 6 109 7 3 3 2" xfId="0"/>
    <cellStyle name="Normal 6 109 7 3 4" xfId="0"/>
    <cellStyle name="Normal 6 109 7 4" xfId="0"/>
    <cellStyle name="Normal 6 109 7 4 2" xfId="0"/>
    <cellStyle name="Normal 6 109 7 4 2 2" xfId="0"/>
    <cellStyle name="Normal 6 109 7 4 3" xfId="0"/>
    <cellStyle name="Normal 6 109 7 5" xfId="0"/>
    <cellStyle name="Normal 6 109 7 5 2" xfId="0"/>
    <cellStyle name="Normal 6 109 7 6" xfId="0"/>
    <cellStyle name="Normal 6 109 8" xfId="0"/>
    <cellStyle name="Normal 6 109 8 2" xfId="0"/>
    <cellStyle name="Normal 6 109 8 2 2" xfId="0"/>
    <cellStyle name="Normal 6 109 8 2 2 2" xfId="0"/>
    <cellStyle name="Normal 6 109 8 2 2 2 2" xfId="0"/>
    <cellStyle name="Normal 6 109 8 2 2 3" xfId="0"/>
    <cellStyle name="Normal 6 109 8 2 3" xfId="0"/>
    <cellStyle name="Normal 6 109 8 2 3 2" xfId="0"/>
    <cellStyle name="Normal 6 109 8 2 4" xfId="0"/>
    <cellStyle name="Normal 6 109 8 3" xfId="0"/>
    <cellStyle name="Normal 6 109 8 3 2" xfId="0"/>
    <cellStyle name="Normal 6 109 8 3 2 2" xfId="0"/>
    <cellStyle name="Normal 6 109 8 3 3" xfId="0"/>
    <cellStyle name="Normal 6 109 8 4" xfId="0"/>
    <cellStyle name="Normal 6 109 8 4 2" xfId="0"/>
    <cellStyle name="Normal 6 109 8 5" xfId="0"/>
    <cellStyle name="Normal 6 109 9" xfId="0"/>
    <cellStyle name="Normal 6 109 9 2" xfId="0"/>
    <cellStyle name="Normal 6 109 9 2 2" xfId="0"/>
    <cellStyle name="Normal 6 109 9 2 2 2" xfId="0"/>
    <cellStyle name="Normal 6 109 9 2 3" xfId="0"/>
    <cellStyle name="Normal 6 109 9 3" xfId="0"/>
    <cellStyle name="Normal 6 109 9 3 2" xfId="0"/>
    <cellStyle name="Normal 6 109 9 4" xfId="0"/>
    <cellStyle name="Normal 6 11" xfId="0"/>
    <cellStyle name="Normal 6 110" xfId="0"/>
    <cellStyle name="Normal 6 110 10" xfId="0"/>
    <cellStyle name="Normal 6 110 10 2" xfId="0"/>
    <cellStyle name="Normal 6 110 11" xfId="0"/>
    <cellStyle name="Normal 6 110 2" xfId="0"/>
    <cellStyle name="Normal 6 110 2 2" xfId="0"/>
    <cellStyle name="Normal 6 110 2 2 2" xfId="0"/>
    <cellStyle name="Normal 6 110 2 2 2 2" xfId="0"/>
    <cellStyle name="Normal 6 110 2 2 2 2 2" xfId="0"/>
    <cellStyle name="Normal 6 110 2 2 2 2 2 2" xfId="0"/>
    <cellStyle name="Normal 6 110 2 2 2 2 2 2 2" xfId="0"/>
    <cellStyle name="Normal 6 110 2 2 2 2 2 2 2 2" xfId="0"/>
    <cellStyle name="Normal 6 110 2 2 2 2 2 2 3" xfId="0"/>
    <cellStyle name="Normal 6 110 2 2 2 2 2 3" xfId="0"/>
    <cellStyle name="Normal 6 110 2 2 2 2 2 3 2" xfId="0"/>
    <cellStyle name="Normal 6 110 2 2 2 2 2 4" xfId="0"/>
    <cellStyle name="Normal 6 110 2 2 2 2 3" xfId="0"/>
    <cellStyle name="Normal 6 110 2 2 2 2 3 2" xfId="0"/>
    <cellStyle name="Normal 6 110 2 2 2 2 3 2 2" xfId="0"/>
    <cellStyle name="Normal 6 110 2 2 2 2 3 3" xfId="0"/>
    <cellStyle name="Normal 6 110 2 2 2 2 4" xfId="0"/>
    <cellStyle name="Normal 6 110 2 2 2 2 4 2" xfId="0"/>
    <cellStyle name="Normal 6 110 2 2 2 2 5" xfId="0"/>
    <cellStyle name="Normal 6 110 2 2 2 3" xfId="0"/>
    <cellStyle name="Normal 6 110 2 2 2 3 2" xfId="0"/>
    <cellStyle name="Normal 6 110 2 2 2 3 2 2" xfId="0"/>
    <cellStyle name="Normal 6 110 2 2 2 3 2 2 2" xfId="0"/>
    <cellStyle name="Normal 6 110 2 2 2 3 2 3" xfId="0"/>
    <cellStyle name="Normal 6 110 2 2 2 3 3" xfId="0"/>
    <cellStyle name="Normal 6 110 2 2 2 3 3 2" xfId="0"/>
    <cellStyle name="Normal 6 110 2 2 2 3 4" xfId="0"/>
    <cellStyle name="Normal 6 110 2 2 2 4" xfId="0"/>
    <cellStyle name="Normal 6 110 2 2 2 4 2" xfId="0"/>
    <cellStyle name="Normal 6 110 2 2 2 4 2 2" xfId="0"/>
    <cellStyle name="Normal 6 110 2 2 2 4 3" xfId="0"/>
    <cellStyle name="Normal 6 110 2 2 2 5" xfId="0"/>
    <cellStyle name="Normal 6 110 2 2 2 5 2" xfId="0"/>
    <cellStyle name="Normal 6 110 2 2 2 6" xfId="0"/>
    <cellStyle name="Normal 6 110 2 2 3" xfId="0"/>
    <cellStyle name="Normal 6 110 2 2 3 2" xfId="0"/>
    <cellStyle name="Normal 6 110 2 2 3 2 2" xfId="0"/>
    <cellStyle name="Normal 6 110 2 2 3 2 2 2" xfId="0"/>
    <cellStyle name="Normal 6 110 2 2 3 2 2 2 2" xfId="0"/>
    <cellStyle name="Normal 6 110 2 2 3 2 2 3" xfId="0"/>
    <cellStyle name="Normal 6 110 2 2 3 2 3" xfId="0"/>
    <cellStyle name="Normal 6 110 2 2 3 2 3 2" xfId="0"/>
    <cellStyle name="Normal 6 110 2 2 3 2 4" xfId="0"/>
    <cellStyle name="Normal 6 110 2 2 3 3" xfId="0"/>
    <cellStyle name="Normal 6 110 2 2 3 3 2" xfId="0"/>
    <cellStyle name="Normal 6 110 2 2 3 3 2 2" xfId="0"/>
    <cellStyle name="Normal 6 110 2 2 3 3 3" xfId="0"/>
    <cellStyle name="Normal 6 110 2 2 3 4" xfId="0"/>
    <cellStyle name="Normal 6 110 2 2 3 4 2" xfId="0"/>
    <cellStyle name="Normal 6 110 2 2 3 5" xfId="0"/>
    <cellStyle name="Normal 6 110 2 2 4" xfId="0"/>
    <cellStyle name="Normal 6 110 2 2 4 2" xfId="0"/>
    <cellStyle name="Normal 6 110 2 2 4 2 2" xfId="0"/>
    <cellStyle name="Normal 6 110 2 2 4 2 2 2" xfId="0"/>
    <cellStyle name="Normal 6 110 2 2 4 2 3" xfId="0"/>
    <cellStyle name="Normal 6 110 2 2 4 3" xfId="0"/>
    <cellStyle name="Normal 6 110 2 2 4 3 2" xfId="0"/>
    <cellStyle name="Normal 6 110 2 2 4 4" xfId="0"/>
    <cellStyle name="Normal 6 110 2 2 5" xfId="0"/>
    <cellStyle name="Normal 6 110 2 2 5 2" xfId="0"/>
    <cellStyle name="Normal 6 110 2 2 5 2 2" xfId="0"/>
    <cellStyle name="Normal 6 110 2 2 5 3" xfId="0"/>
    <cellStyle name="Normal 6 110 2 2 6" xfId="0"/>
    <cellStyle name="Normal 6 110 2 2 6 2" xfId="0"/>
    <cellStyle name="Normal 6 110 2 2 7" xfId="0"/>
    <cellStyle name="Normal 6 110 2 3" xfId="0"/>
    <cellStyle name="Normal 6 110 2 3 2" xfId="0"/>
    <cellStyle name="Normal 6 110 2 3 2 2" xfId="0"/>
    <cellStyle name="Normal 6 110 2 3 2 2 2" xfId="0"/>
    <cellStyle name="Normal 6 110 2 3 2 2 2 2" xfId="0"/>
    <cellStyle name="Normal 6 110 2 3 2 2 2 2 2" xfId="0"/>
    <cellStyle name="Normal 6 110 2 3 2 2 2 3" xfId="0"/>
    <cellStyle name="Normal 6 110 2 3 2 2 3" xfId="0"/>
    <cellStyle name="Normal 6 110 2 3 2 2 3 2" xfId="0"/>
    <cellStyle name="Normal 6 110 2 3 2 2 4" xfId="0"/>
    <cellStyle name="Normal 6 110 2 3 2 3" xfId="0"/>
    <cellStyle name="Normal 6 110 2 3 2 3 2" xfId="0"/>
    <cellStyle name="Normal 6 110 2 3 2 3 2 2" xfId="0"/>
    <cellStyle name="Normal 6 110 2 3 2 3 3" xfId="0"/>
    <cellStyle name="Normal 6 110 2 3 2 4" xfId="0"/>
    <cellStyle name="Normal 6 110 2 3 2 4 2" xfId="0"/>
    <cellStyle name="Normal 6 110 2 3 2 5" xfId="0"/>
    <cellStyle name="Normal 6 110 2 3 3" xfId="0"/>
    <cellStyle name="Normal 6 110 2 3 3 2" xfId="0"/>
    <cellStyle name="Normal 6 110 2 3 3 2 2" xfId="0"/>
    <cellStyle name="Normal 6 110 2 3 3 2 2 2" xfId="0"/>
    <cellStyle name="Normal 6 110 2 3 3 2 3" xfId="0"/>
    <cellStyle name="Normal 6 110 2 3 3 3" xfId="0"/>
    <cellStyle name="Normal 6 110 2 3 3 3 2" xfId="0"/>
    <cellStyle name="Normal 6 110 2 3 3 4" xfId="0"/>
    <cellStyle name="Normal 6 110 2 3 4" xfId="0"/>
    <cellStyle name="Normal 6 110 2 3 4 2" xfId="0"/>
    <cellStyle name="Normal 6 110 2 3 4 2 2" xfId="0"/>
    <cellStyle name="Normal 6 110 2 3 4 3" xfId="0"/>
    <cellStyle name="Normal 6 110 2 3 5" xfId="0"/>
    <cellStyle name="Normal 6 110 2 3 5 2" xfId="0"/>
    <cellStyle name="Normal 6 110 2 3 6" xfId="0"/>
    <cellStyle name="Normal 6 110 2 4" xfId="0"/>
    <cellStyle name="Normal 6 110 2 4 2" xfId="0"/>
    <cellStyle name="Normal 6 110 2 4 2 2" xfId="0"/>
    <cellStyle name="Normal 6 110 2 4 2 2 2" xfId="0"/>
    <cellStyle name="Normal 6 110 2 4 2 2 2 2" xfId="0"/>
    <cellStyle name="Normal 6 110 2 4 2 2 3" xfId="0"/>
    <cellStyle name="Normal 6 110 2 4 2 3" xfId="0"/>
    <cellStyle name="Normal 6 110 2 4 2 3 2" xfId="0"/>
    <cellStyle name="Normal 6 110 2 4 2 4" xfId="0"/>
    <cellStyle name="Normal 6 110 2 4 3" xfId="0"/>
    <cellStyle name="Normal 6 110 2 4 3 2" xfId="0"/>
    <cellStyle name="Normal 6 110 2 4 3 2 2" xfId="0"/>
    <cellStyle name="Normal 6 110 2 4 3 3" xfId="0"/>
    <cellStyle name="Normal 6 110 2 4 4" xfId="0"/>
    <cellStyle name="Normal 6 110 2 4 4 2" xfId="0"/>
    <cellStyle name="Normal 6 110 2 4 5" xfId="0"/>
    <cellStyle name="Normal 6 110 2 5" xfId="0"/>
    <cellStyle name="Normal 6 110 2 5 2" xfId="0"/>
    <cellStyle name="Normal 6 110 2 5 2 2" xfId="0"/>
    <cellStyle name="Normal 6 110 2 5 2 2 2" xfId="0"/>
    <cellStyle name="Normal 6 110 2 5 2 3" xfId="0"/>
    <cellStyle name="Normal 6 110 2 5 3" xfId="0"/>
    <cellStyle name="Normal 6 110 2 5 3 2" xfId="0"/>
    <cellStyle name="Normal 6 110 2 5 4" xfId="0"/>
    <cellStyle name="Normal 6 110 2 6" xfId="0"/>
    <cellStyle name="Normal 6 110 2 6 2" xfId="0"/>
    <cellStyle name="Normal 6 110 2 6 2 2" xfId="0"/>
    <cellStyle name="Normal 6 110 2 6 3" xfId="0"/>
    <cellStyle name="Normal 6 110 2 7" xfId="0"/>
    <cellStyle name="Normal 6 110 2 7 2" xfId="0"/>
    <cellStyle name="Normal 6 110 2 8" xfId="0"/>
    <cellStyle name="Normal 6 110 3" xfId="0"/>
    <cellStyle name="Normal 6 110 3 2" xfId="0"/>
    <cellStyle name="Normal 6 110 3 2 2" xfId="0"/>
    <cellStyle name="Normal 6 110 3 2 2 2" xfId="0"/>
    <cellStyle name="Normal 6 110 3 2 2 2 2" xfId="0"/>
    <cellStyle name="Normal 6 110 3 2 2 2 2 2" xfId="0"/>
    <cellStyle name="Normal 6 110 3 2 2 2 2 2 2" xfId="0"/>
    <cellStyle name="Normal 6 110 3 2 2 2 2 2 2 2" xfId="0"/>
    <cellStyle name="Normal 6 110 3 2 2 2 2 2 3" xfId="0"/>
    <cellStyle name="Normal 6 110 3 2 2 2 2 3" xfId="0"/>
    <cellStyle name="Normal 6 110 3 2 2 2 2 3 2" xfId="0"/>
    <cellStyle name="Normal 6 110 3 2 2 2 2 4" xfId="0"/>
    <cellStyle name="Normal 6 110 3 2 2 2 3" xfId="0"/>
    <cellStyle name="Normal 6 110 3 2 2 2 3 2" xfId="0"/>
    <cellStyle name="Normal 6 110 3 2 2 2 3 2 2" xfId="0"/>
    <cellStyle name="Normal 6 110 3 2 2 2 3 3" xfId="0"/>
    <cellStyle name="Normal 6 110 3 2 2 2 4" xfId="0"/>
    <cellStyle name="Normal 6 110 3 2 2 2 4 2" xfId="0"/>
    <cellStyle name="Normal 6 110 3 2 2 2 5" xfId="0"/>
    <cellStyle name="Normal 6 110 3 2 2 3" xfId="0"/>
    <cellStyle name="Normal 6 110 3 2 2 3 2" xfId="0"/>
    <cellStyle name="Normal 6 110 3 2 2 3 2 2" xfId="0"/>
    <cellStyle name="Normal 6 110 3 2 2 3 2 2 2" xfId="0"/>
    <cellStyle name="Normal 6 110 3 2 2 3 2 3" xfId="0"/>
    <cellStyle name="Normal 6 110 3 2 2 3 3" xfId="0"/>
    <cellStyle name="Normal 6 110 3 2 2 3 3 2" xfId="0"/>
    <cellStyle name="Normal 6 110 3 2 2 3 4" xfId="0"/>
    <cellStyle name="Normal 6 110 3 2 2 4" xfId="0"/>
    <cellStyle name="Normal 6 110 3 2 2 4 2" xfId="0"/>
    <cellStyle name="Normal 6 110 3 2 2 4 2 2" xfId="0"/>
    <cellStyle name="Normal 6 110 3 2 2 4 3" xfId="0"/>
    <cellStyle name="Normal 6 110 3 2 2 5" xfId="0"/>
    <cellStyle name="Normal 6 110 3 2 2 5 2" xfId="0"/>
    <cellStyle name="Normal 6 110 3 2 2 6" xfId="0"/>
    <cellStyle name="Normal 6 110 3 2 3" xfId="0"/>
    <cellStyle name="Normal 6 110 3 2 3 2" xfId="0"/>
    <cellStyle name="Normal 6 110 3 2 3 2 2" xfId="0"/>
    <cellStyle name="Normal 6 110 3 2 3 2 2 2" xfId="0"/>
    <cellStyle name="Normal 6 110 3 2 3 2 2 2 2" xfId="0"/>
    <cellStyle name="Normal 6 110 3 2 3 2 2 3" xfId="0"/>
    <cellStyle name="Normal 6 110 3 2 3 2 3" xfId="0"/>
    <cellStyle name="Normal 6 110 3 2 3 2 3 2" xfId="0"/>
    <cellStyle name="Normal 6 110 3 2 3 2 4" xfId="0"/>
    <cellStyle name="Normal 6 110 3 2 3 3" xfId="0"/>
    <cellStyle name="Normal 6 110 3 2 3 3 2" xfId="0"/>
    <cellStyle name="Normal 6 110 3 2 3 3 2 2" xfId="0"/>
    <cellStyle name="Normal 6 110 3 2 3 3 3" xfId="0"/>
    <cellStyle name="Normal 6 110 3 2 3 4" xfId="0"/>
    <cellStyle name="Normal 6 110 3 2 3 4 2" xfId="0"/>
    <cellStyle name="Normal 6 110 3 2 3 5" xfId="0"/>
    <cellStyle name="Normal 6 110 3 2 4" xfId="0"/>
    <cellStyle name="Normal 6 110 3 2 4 2" xfId="0"/>
    <cellStyle name="Normal 6 110 3 2 4 2 2" xfId="0"/>
    <cellStyle name="Normal 6 110 3 2 4 2 2 2" xfId="0"/>
    <cellStyle name="Normal 6 110 3 2 4 2 3" xfId="0"/>
    <cellStyle name="Normal 6 110 3 2 4 3" xfId="0"/>
    <cellStyle name="Normal 6 110 3 2 4 3 2" xfId="0"/>
    <cellStyle name="Normal 6 110 3 2 4 4" xfId="0"/>
    <cellStyle name="Normal 6 110 3 2 5" xfId="0"/>
    <cellStyle name="Normal 6 110 3 2 5 2" xfId="0"/>
    <cellStyle name="Normal 6 110 3 2 5 2 2" xfId="0"/>
    <cellStyle name="Normal 6 110 3 2 5 3" xfId="0"/>
    <cellStyle name="Normal 6 110 3 2 6" xfId="0"/>
    <cellStyle name="Normal 6 110 3 2 6 2" xfId="0"/>
    <cellStyle name="Normal 6 110 3 2 7" xfId="0"/>
    <cellStyle name="Normal 6 110 3 3" xfId="0"/>
    <cellStyle name="Normal 6 110 3 3 2" xfId="0"/>
    <cellStyle name="Normal 6 110 3 3 2 2" xfId="0"/>
    <cellStyle name="Normal 6 110 3 3 2 2 2" xfId="0"/>
    <cellStyle name="Normal 6 110 3 3 2 2 2 2" xfId="0"/>
    <cellStyle name="Normal 6 110 3 3 2 2 2 2 2" xfId="0"/>
    <cellStyle name="Normal 6 110 3 3 2 2 2 3" xfId="0"/>
    <cellStyle name="Normal 6 110 3 3 2 2 3" xfId="0"/>
    <cellStyle name="Normal 6 110 3 3 2 2 3 2" xfId="0"/>
    <cellStyle name="Normal 6 110 3 3 2 2 4" xfId="0"/>
    <cellStyle name="Normal 6 110 3 3 2 3" xfId="0"/>
    <cellStyle name="Normal 6 110 3 3 2 3 2" xfId="0"/>
    <cellStyle name="Normal 6 110 3 3 2 3 2 2" xfId="0"/>
    <cellStyle name="Normal 6 110 3 3 2 3 3" xfId="0"/>
    <cellStyle name="Normal 6 110 3 3 2 4" xfId="0"/>
    <cellStyle name="Normal 6 110 3 3 2 4 2" xfId="0"/>
    <cellStyle name="Normal 6 110 3 3 2 5" xfId="0"/>
    <cellStyle name="Normal 6 110 3 3 3" xfId="0"/>
    <cellStyle name="Normal 6 110 3 3 3 2" xfId="0"/>
    <cellStyle name="Normal 6 110 3 3 3 2 2" xfId="0"/>
    <cellStyle name="Normal 6 110 3 3 3 2 2 2" xfId="0"/>
    <cellStyle name="Normal 6 110 3 3 3 2 3" xfId="0"/>
    <cellStyle name="Normal 6 110 3 3 3 3" xfId="0"/>
    <cellStyle name="Normal 6 110 3 3 3 3 2" xfId="0"/>
    <cellStyle name="Normal 6 110 3 3 3 4" xfId="0"/>
    <cellStyle name="Normal 6 110 3 3 4" xfId="0"/>
    <cellStyle name="Normal 6 110 3 3 4 2" xfId="0"/>
    <cellStyle name="Normal 6 110 3 3 4 2 2" xfId="0"/>
    <cellStyle name="Normal 6 110 3 3 4 3" xfId="0"/>
    <cellStyle name="Normal 6 110 3 3 5" xfId="0"/>
    <cellStyle name="Normal 6 110 3 3 5 2" xfId="0"/>
    <cellStyle name="Normal 6 110 3 3 6" xfId="0"/>
    <cellStyle name="Normal 6 110 3 4" xfId="0"/>
    <cellStyle name="Normal 6 110 3 4 2" xfId="0"/>
    <cellStyle name="Normal 6 110 3 4 2 2" xfId="0"/>
    <cellStyle name="Normal 6 110 3 4 2 2 2" xfId="0"/>
    <cellStyle name="Normal 6 110 3 4 2 2 2 2" xfId="0"/>
    <cellStyle name="Normal 6 110 3 4 2 2 3" xfId="0"/>
    <cellStyle name="Normal 6 110 3 4 2 3" xfId="0"/>
    <cellStyle name="Normal 6 110 3 4 2 3 2" xfId="0"/>
    <cellStyle name="Normal 6 110 3 4 2 4" xfId="0"/>
    <cellStyle name="Normal 6 110 3 4 3" xfId="0"/>
    <cellStyle name="Normal 6 110 3 4 3 2" xfId="0"/>
    <cellStyle name="Normal 6 110 3 4 3 2 2" xfId="0"/>
    <cellStyle name="Normal 6 110 3 4 3 3" xfId="0"/>
    <cellStyle name="Normal 6 110 3 4 4" xfId="0"/>
    <cellStyle name="Normal 6 110 3 4 4 2" xfId="0"/>
    <cellStyle name="Normal 6 110 3 4 5" xfId="0"/>
    <cellStyle name="Normal 6 110 3 5" xfId="0"/>
    <cellStyle name="Normal 6 110 3 5 2" xfId="0"/>
    <cellStyle name="Normal 6 110 3 5 2 2" xfId="0"/>
    <cellStyle name="Normal 6 110 3 5 2 2 2" xfId="0"/>
    <cellStyle name="Normal 6 110 3 5 2 3" xfId="0"/>
    <cellStyle name="Normal 6 110 3 5 3" xfId="0"/>
    <cellStyle name="Normal 6 110 3 5 3 2" xfId="0"/>
    <cellStyle name="Normal 6 110 3 5 4" xfId="0"/>
    <cellStyle name="Normal 6 110 3 6" xfId="0"/>
    <cellStyle name="Normal 6 110 3 6 2" xfId="0"/>
    <cellStyle name="Normal 6 110 3 6 2 2" xfId="0"/>
    <cellStyle name="Normal 6 110 3 6 3" xfId="0"/>
    <cellStyle name="Normal 6 110 3 7" xfId="0"/>
    <cellStyle name="Normal 6 110 3 7 2" xfId="0"/>
    <cellStyle name="Normal 6 110 3 8" xfId="0"/>
    <cellStyle name="Normal 6 110 4" xfId="0"/>
    <cellStyle name="Normal 6 110 4 2" xfId="0"/>
    <cellStyle name="Normal 6 110 4 2 2" xfId="0"/>
    <cellStyle name="Normal 6 110 4 2 2 2" xfId="0"/>
    <cellStyle name="Normal 6 110 4 2 2 2 2" xfId="0"/>
    <cellStyle name="Normal 6 110 4 2 2 2 2 2" xfId="0"/>
    <cellStyle name="Normal 6 110 4 2 2 2 2 2 2" xfId="0"/>
    <cellStyle name="Normal 6 110 4 2 2 2 2 3" xfId="0"/>
    <cellStyle name="Normal 6 110 4 2 2 2 3" xfId="0"/>
    <cellStyle name="Normal 6 110 4 2 2 2 3 2" xfId="0"/>
    <cellStyle name="Normal 6 110 4 2 2 2 4" xfId="0"/>
    <cellStyle name="Normal 6 110 4 2 2 3" xfId="0"/>
    <cellStyle name="Normal 6 110 4 2 2 3 2" xfId="0"/>
    <cellStyle name="Normal 6 110 4 2 2 3 2 2" xfId="0"/>
    <cellStyle name="Normal 6 110 4 2 2 3 3" xfId="0"/>
    <cellStyle name="Normal 6 110 4 2 2 4" xfId="0"/>
    <cellStyle name="Normal 6 110 4 2 2 4 2" xfId="0"/>
    <cellStyle name="Normal 6 110 4 2 2 5" xfId="0"/>
    <cellStyle name="Normal 6 110 4 2 3" xfId="0"/>
    <cellStyle name="Normal 6 110 4 2 3 2" xfId="0"/>
    <cellStyle name="Normal 6 110 4 2 3 2 2" xfId="0"/>
    <cellStyle name="Normal 6 110 4 2 3 2 2 2" xfId="0"/>
    <cellStyle name="Normal 6 110 4 2 3 2 3" xfId="0"/>
    <cellStyle name="Normal 6 110 4 2 3 3" xfId="0"/>
    <cellStyle name="Normal 6 110 4 2 3 3 2" xfId="0"/>
    <cellStyle name="Normal 6 110 4 2 3 4" xfId="0"/>
    <cellStyle name="Normal 6 110 4 2 4" xfId="0"/>
    <cellStyle name="Normal 6 110 4 2 4 2" xfId="0"/>
    <cellStyle name="Normal 6 110 4 2 4 2 2" xfId="0"/>
    <cellStyle name="Normal 6 110 4 2 4 3" xfId="0"/>
    <cellStyle name="Normal 6 110 4 2 5" xfId="0"/>
    <cellStyle name="Normal 6 110 4 2 5 2" xfId="0"/>
    <cellStyle name="Normal 6 110 4 2 6" xfId="0"/>
    <cellStyle name="Normal 6 110 4 3" xfId="0"/>
    <cellStyle name="Normal 6 110 4 3 2" xfId="0"/>
    <cellStyle name="Normal 6 110 4 3 2 2" xfId="0"/>
    <cellStyle name="Normal 6 110 4 3 2 2 2" xfId="0"/>
    <cellStyle name="Normal 6 110 4 3 2 2 2 2" xfId="0"/>
    <cellStyle name="Normal 6 110 4 3 2 2 3" xfId="0"/>
    <cellStyle name="Normal 6 110 4 3 2 3" xfId="0"/>
    <cellStyle name="Normal 6 110 4 3 2 3 2" xfId="0"/>
    <cellStyle name="Normal 6 110 4 3 2 4" xfId="0"/>
    <cellStyle name="Normal 6 110 4 3 3" xfId="0"/>
    <cellStyle name="Normal 6 110 4 3 3 2" xfId="0"/>
    <cellStyle name="Normal 6 110 4 3 3 2 2" xfId="0"/>
    <cellStyle name="Normal 6 110 4 3 3 3" xfId="0"/>
    <cellStyle name="Normal 6 110 4 3 4" xfId="0"/>
    <cellStyle name="Normal 6 110 4 3 4 2" xfId="0"/>
    <cellStyle name="Normal 6 110 4 3 5" xfId="0"/>
    <cellStyle name="Normal 6 110 4 4" xfId="0"/>
    <cellStyle name="Normal 6 110 4 4 2" xfId="0"/>
    <cellStyle name="Normal 6 110 4 4 2 2" xfId="0"/>
    <cellStyle name="Normal 6 110 4 4 2 2 2" xfId="0"/>
    <cellStyle name="Normal 6 110 4 4 2 3" xfId="0"/>
    <cellStyle name="Normal 6 110 4 4 3" xfId="0"/>
    <cellStyle name="Normal 6 110 4 4 3 2" xfId="0"/>
    <cellStyle name="Normal 6 110 4 4 4" xfId="0"/>
    <cellStyle name="Normal 6 110 4 5" xfId="0"/>
    <cellStyle name="Normal 6 110 4 5 2" xfId="0"/>
    <cellStyle name="Normal 6 110 4 5 2 2" xfId="0"/>
    <cellStyle name="Normal 6 110 4 5 3" xfId="0"/>
    <cellStyle name="Normal 6 110 4 6" xfId="0"/>
    <cellStyle name="Normal 6 110 4 6 2" xfId="0"/>
    <cellStyle name="Normal 6 110 4 7" xfId="0"/>
    <cellStyle name="Normal 6 110 5" xfId="0"/>
    <cellStyle name="Normal 6 110 5 2" xfId="0"/>
    <cellStyle name="Normal 6 110 5 2 2" xfId="0"/>
    <cellStyle name="Normal 6 110 5 2 2 2" xfId="0"/>
    <cellStyle name="Normal 6 110 5 2 2 2 2" xfId="0"/>
    <cellStyle name="Normal 6 110 5 2 2 2 2 2" xfId="0"/>
    <cellStyle name="Normal 6 110 5 2 2 2 2 2 2" xfId="0"/>
    <cellStyle name="Normal 6 110 5 2 2 2 2 3" xfId="0"/>
    <cellStyle name="Normal 6 110 5 2 2 2 3" xfId="0"/>
    <cellStyle name="Normal 6 110 5 2 2 2 3 2" xfId="0"/>
    <cellStyle name="Normal 6 110 5 2 2 2 4" xfId="0"/>
    <cellStyle name="Normal 6 110 5 2 2 3" xfId="0"/>
    <cellStyle name="Normal 6 110 5 2 2 3 2" xfId="0"/>
    <cellStyle name="Normal 6 110 5 2 2 3 2 2" xfId="0"/>
    <cellStyle name="Normal 6 110 5 2 2 3 3" xfId="0"/>
    <cellStyle name="Normal 6 110 5 2 2 4" xfId="0"/>
    <cellStyle name="Normal 6 110 5 2 2 4 2" xfId="0"/>
    <cellStyle name="Normal 6 110 5 2 2 5" xfId="0"/>
    <cellStyle name="Normal 6 110 5 2 3" xfId="0"/>
    <cellStyle name="Normal 6 110 5 2 3 2" xfId="0"/>
    <cellStyle name="Normal 6 110 5 2 3 2 2" xfId="0"/>
    <cellStyle name="Normal 6 110 5 2 3 2 2 2" xfId="0"/>
    <cellStyle name="Normal 6 110 5 2 3 2 3" xfId="0"/>
    <cellStyle name="Normal 6 110 5 2 3 3" xfId="0"/>
    <cellStyle name="Normal 6 110 5 2 3 3 2" xfId="0"/>
    <cellStyle name="Normal 6 110 5 2 3 4" xfId="0"/>
    <cellStyle name="Normal 6 110 5 2 4" xfId="0"/>
    <cellStyle name="Normal 6 110 5 2 4 2" xfId="0"/>
    <cellStyle name="Normal 6 110 5 2 4 2 2" xfId="0"/>
    <cellStyle name="Normal 6 110 5 2 4 3" xfId="0"/>
    <cellStyle name="Normal 6 110 5 2 5" xfId="0"/>
    <cellStyle name="Normal 6 110 5 2 5 2" xfId="0"/>
    <cellStyle name="Normal 6 110 5 2 6" xfId="0"/>
    <cellStyle name="Normal 6 110 5 3" xfId="0"/>
    <cellStyle name="Normal 6 110 5 3 2" xfId="0"/>
    <cellStyle name="Normal 6 110 5 3 2 2" xfId="0"/>
    <cellStyle name="Normal 6 110 5 3 2 2 2" xfId="0"/>
    <cellStyle name="Normal 6 110 5 3 2 2 2 2" xfId="0"/>
    <cellStyle name="Normal 6 110 5 3 2 2 3" xfId="0"/>
    <cellStyle name="Normal 6 110 5 3 2 3" xfId="0"/>
    <cellStyle name="Normal 6 110 5 3 2 3 2" xfId="0"/>
    <cellStyle name="Normal 6 110 5 3 2 4" xfId="0"/>
    <cellStyle name="Normal 6 110 5 3 3" xfId="0"/>
    <cellStyle name="Normal 6 110 5 3 3 2" xfId="0"/>
    <cellStyle name="Normal 6 110 5 3 3 2 2" xfId="0"/>
    <cellStyle name="Normal 6 110 5 3 3 3" xfId="0"/>
    <cellStyle name="Normal 6 110 5 3 4" xfId="0"/>
    <cellStyle name="Normal 6 110 5 3 4 2" xfId="0"/>
    <cellStyle name="Normal 6 110 5 3 5" xfId="0"/>
    <cellStyle name="Normal 6 110 5 4" xfId="0"/>
    <cellStyle name="Normal 6 110 5 4 2" xfId="0"/>
    <cellStyle name="Normal 6 110 5 4 2 2" xfId="0"/>
    <cellStyle name="Normal 6 110 5 4 2 2 2" xfId="0"/>
    <cellStyle name="Normal 6 110 5 4 2 3" xfId="0"/>
    <cellStyle name="Normal 6 110 5 4 3" xfId="0"/>
    <cellStyle name="Normal 6 110 5 4 3 2" xfId="0"/>
    <cellStyle name="Normal 6 110 5 4 4" xfId="0"/>
    <cellStyle name="Normal 6 110 5 5" xfId="0"/>
    <cellStyle name="Normal 6 110 5 5 2" xfId="0"/>
    <cellStyle name="Normal 6 110 5 5 2 2" xfId="0"/>
    <cellStyle name="Normal 6 110 5 5 3" xfId="0"/>
    <cellStyle name="Normal 6 110 5 6" xfId="0"/>
    <cellStyle name="Normal 6 110 5 6 2" xfId="0"/>
    <cellStyle name="Normal 6 110 5 7" xfId="0"/>
    <cellStyle name="Normal 6 110 6" xfId="0"/>
    <cellStyle name="Normal 6 110 6 2" xfId="0"/>
    <cellStyle name="Normal 6 110 6 2 2" xfId="0"/>
    <cellStyle name="Normal 6 110 6 2 2 2" xfId="0"/>
    <cellStyle name="Normal 6 110 6 2 2 2 2" xfId="0"/>
    <cellStyle name="Normal 6 110 6 2 2 2 2 2" xfId="0"/>
    <cellStyle name="Normal 6 110 6 2 2 2 3" xfId="0"/>
    <cellStyle name="Normal 6 110 6 2 2 3" xfId="0"/>
    <cellStyle name="Normal 6 110 6 2 2 3 2" xfId="0"/>
    <cellStyle name="Normal 6 110 6 2 2 4" xfId="0"/>
    <cellStyle name="Normal 6 110 6 2 3" xfId="0"/>
    <cellStyle name="Normal 6 110 6 2 3 2" xfId="0"/>
    <cellStyle name="Normal 6 110 6 2 3 2 2" xfId="0"/>
    <cellStyle name="Normal 6 110 6 2 3 3" xfId="0"/>
    <cellStyle name="Normal 6 110 6 2 4" xfId="0"/>
    <cellStyle name="Normal 6 110 6 2 4 2" xfId="0"/>
    <cellStyle name="Normal 6 110 6 2 5" xfId="0"/>
    <cellStyle name="Normal 6 110 6 3" xfId="0"/>
    <cellStyle name="Normal 6 110 6 3 2" xfId="0"/>
    <cellStyle name="Normal 6 110 6 3 2 2" xfId="0"/>
    <cellStyle name="Normal 6 110 6 3 2 2 2" xfId="0"/>
    <cellStyle name="Normal 6 110 6 3 2 3" xfId="0"/>
    <cellStyle name="Normal 6 110 6 3 3" xfId="0"/>
    <cellStyle name="Normal 6 110 6 3 3 2" xfId="0"/>
    <cellStyle name="Normal 6 110 6 3 4" xfId="0"/>
    <cellStyle name="Normal 6 110 6 4" xfId="0"/>
    <cellStyle name="Normal 6 110 6 4 2" xfId="0"/>
    <cellStyle name="Normal 6 110 6 4 2 2" xfId="0"/>
    <cellStyle name="Normal 6 110 6 4 3" xfId="0"/>
    <cellStyle name="Normal 6 110 6 5" xfId="0"/>
    <cellStyle name="Normal 6 110 6 5 2" xfId="0"/>
    <cellStyle name="Normal 6 110 6 6" xfId="0"/>
    <cellStyle name="Normal 6 110 7" xfId="0"/>
    <cellStyle name="Normal 6 110 7 2" xfId="0"/>
    <cellStyle name="Normal 6 110 7 2 2" xfId="0"/>
    <cellStyle name="Normal 6 110 7 2 2 2" xfId="0"/>
    <cellStyle name="Normal 6 110 7 2 2 2 2" xfId="0"/>
    <cellStyle name="Normal 6 110 7 2 2 3" xfId="0"/>
    <cellStyle name="Normal 6 110 7 2 3" xfId="0"/>
    <cellStyle name="Normal 6 110 7 2 3 2" xfId="0"/>
    <cellStyle name="Normal 6 110 7 2 4" xfId="0"/>
    <cellStyle name="Normal 6 110 7 3" xfId="0"/>
    <cellStyle name="Normal 6 110 7 3 2" xfId="0"/>
    <cellStyle name="Normal 6 110 7 3 2 2" xfId="0"/>
    <cellStyle name="Normal 6 110 7 3 3" xfId="0"/>
    <cellStyle name="Normal 6 110 7 4" xfId="0"/>
    <cellStyle name="Normal 6 110 7 4 2" xfId="0"/>
    <cellStyle name="Normal 6 110 7 5" xfId="0"/>
    <cellStyle name="Normal 6 110 8" xfId="0"/>
    <cellStyle name="Normal 6 110 8 2" xfId="0"/>
    <cellStyle name="Normal 6 110 8 2 2" xfId="0"/>
    <cellStyle name="Normal 6 110 8 2 2 2" xfId="0"/>
    <cellStyle name="Normal 6 110 8 2 3" xfId="0"/>
    <cellStyle name="Normal 6 110 8 3" xfId="0"/>
    <cellStyle name="Normal 6 110 8 3 2" xfId="0"/>
    <cellStyle name="Normal 6 110 8 4" xfId="0"/>
    <cellStyle name="Normal 6 110 9" xfId="0"/>
    <cellStyle name="Normal 6 110 9 2" xfId="0"/>
    <cellStyle name="Normal 6 110 9 2 2" xfId="0"/>
    <cellStyle name="Normal 6 110 9 3" xfId="0"/>
    <cellStyle name="Normal 6 111" xfId="0"/>
    <cellStyle name="Normal 6 111 2" xfId="0"/>
    <cellStyle name="Normal 6 111 2 2" xfId="0"/>
    <cellStyle name="Normal 6 111 2 2 2" xfId="0"/>
    <cellStyle name="Normal 6 111 2 2 2 2" xfId="0"/>
    <cellStyle name="Normal 6 111 2 2 2 2 2" xfId="0"/>
    <cellStyle name="Normal 6 111 2 2 2 2 2 2" xfId="0"/>
    <cellStyle name="Normal 6 111 2 2 2 2 2 2 2" xfId="0"/>
    <cellStyle name="Normal 6 111 2 2 2 2 2 3" xfId="0"/>
    <cellStyle name="Normal 6 111 2 2 2 2 3" xfId="0"/>
    <cellStyle name="Normal 6 111 2 2 2 2 3 2" xfId="0"/>
    <cellStyle name="Normal 6 111 2 2 2 2 4" xfId="0"/>
    <cellStyle name="Normal 6 111 2 2 2 3" xfId="0"/>
    <cellStyle name="Normal 6 111 2 2 2 3 2" xfId="0"/>
    <cellStyle name="Normal 6 111 2 2 2 3 2 2" xfId="0"/>
    <cellStyle name="Normal 6 111 2 2 2 3 3" xfId="0"/>
    <cellStyle name="Normal 6 111 2 2 2 4" xfId="0"/>
    <cellStyle name="Normal 6 111 2 2 2 4 2" xfId="0"/>
    <cellStyle name="Normal 6 111 2 2 2 5" xfId="0"/>
    <cellStyle name="Normal 6 111 2 2 3" xfId="0"/>
    <cellStyle name="Normal 6 111 2 2 3 2" xfId="0"/>
    <cellStyle name="Normal 6 111 2 2 3 2 2" xfId="0"/>
    <cellStyle name="Normal 6 111 2 2 3 2 2 2" xfId="0"/>
    <cellStyle name="Normal 6 111 2 2 3 2 3" xfId="0"/>
    <cellStyle name="Normal 6 111 2 2 3 3" xfId="0"/>
    <cellStyle name="Normal 6 111 2 2 3 3 2" xfId="0"/>
    <cellStyle name="Normal 6 111 2 2 3 4" xfId="0"/>
    <cellStyle name="Normal 6 111 2 2 4" xfId="0"/>
    <cellStyle name="Normal 6 111 2 2 4 2" xfId="0"/>
    <cellStyle name="Normal 6 111 2 2 4 2 2" xfId="0"/>
    <cellStyle name="Normal 6 111 2 2 4 3" xfId="0"/>
    <cellStyle name="Normal 6 111 2 2 5" xfId="0"/>
    <cellStyle name="Normal 6 111 2 2 5 2" xfId="0"/>
    <cellStyle name="Normal 6 111 2 2 6" xfId="0"/>
    <cellStyle name="Normal 6 111 2 3" xfId="0"/>
    <cellStyle name="Normal 6 111 2 3 2" xfId="0"/>
    <cellStyle name="Normal 6 111 2 3 2 2" xfId="0"/>
    <cellStyle name="Normal 6 111 2 3 2 2 2" xfId="0"/>
    <cellStyle name="Normal 6 111 2 3 2 2 2 2" xfId="0"/>
    <cellStyle name="Normal 6 111 2 3 2 2 3" xfId="0"/>
    <cellStyle name="Normal 6 111 2 3 2 3" xfId="0"/>
    <cellStyle name="Normal 6 111 2 3 2 3 2" xfId="0"/>
    <cellStyle name="Normal 6 111 2 3 2 4" xfId="0"/>
    <cellStyle name="Normal 6 111 2 3 3" xfId="0"/>
    <cellStyle name="Normal 6 111 2 3 3 2" xfId="0"/>
    <cellStyle name="Normal 6 111 2 3 3 2 2" xfId="0"/>
    <cellStyle name="Normal 6 111 2 3 3 3" xfId="0"/>
    <cellStyle name="Normal 6 111 2 3 4" xfId="0"/>
    <cellStyle name="Normal 6 111 2 3 4 2" xfId="0"/>
    <cellStyle name="Normal 6 111 2 3 5" xfId="0"/>
    <cellStyle name="Normal 6 111 2 4" xfId="0"/>
    <cellStyle name="Normal 6 111 2 4 2" xfId="0"/>
    <cellStyle name="Normal 6 111 2 4 2 2" xfId="0"/>
    <cellStyle name="Normal 6 111 2 4 2 2 2" xfId="0"/>
    <cellStyle name="Normal 6 111 2 4 2 3" xfId="0"/>
    <cellStyle name="Normal 6 111 2 4 3" xfId="0"/>
    <cellStyle name="Normal 6 111 2 4 3 2" xfId="0"/>
    <cellStyle name="Normal 6 111 2 4 4" xfId="0"/>
    <cellStyle name="Normal 6 111 2 5" xfId="0"/>
    <cellStyle name="Normal 6 111 2 5 2" xfId="0"/>
    <cellStyle name="Normal 6 111 2 5 2 2" xfId="0"/>
    <cellStyle name="Normal 6 111 2 5 3" xfId="0"/>
    <cellStyle name="Normal 6 111 2 6" xfId="0"/>
    <cellStyle name="Normal 6 111 2 6 2" xfId="0"/>
    <cellStyle name="Normal 6 111 2 7" xfId="0"/>
    <cellStyle name="Normal 6 111 3" xfId="0"/>
    <cellStyle name="Normal 6 111 3 2" xfId="0"/>
    <cellStyle name="Normal 6 111 3 2 2" xfId="0"/>
    <cellStyle name="Normal 6 111 3 2 2 2" xfId="0"/>
    <cellStyle name="Normal 6 111 3 2 2 2 2" xfId="0"/>
    <cellStyle name="Normal 6 111 3 2 2 2 2 2" xfId="0"/>
    <cellStyle name="Normal 6 111 3 2 2 2 3" xfId="0"/>
    <cellStyle name="Normal 6 111 3 2 2 3" xfId="0"/>
    <cellStyle name="Normal 6 111 3 2 2 3 2" xfId="0"/>
    <cellStyle name="Normal 6 111 3 2 2 4" xfId="0"/>
    <cellStyle name="Normal 6 111 3 2 3" xfId="0"/>
    <cellStyle name="Normal 6 111 3 2 3 2" xfId="0"/>
    <cellStyle name="Normal 6 111 3 2 3 2 2" xfId="0"/>
    <cellStyle name="Normal 6 111 3 2 3 3" xfId="0"/>
    <cellStyle name="Normal 6 111 3 2 4" xfId="0"/>
    <cellStyle name="Normal 6 111 3 2 4 2" xfId="0"/>
    <cellStyle name="Normal 6 111 3 2 5" xfId="0"/>
    <cellStyle name="Normal 6 111 3 3" xfId="0"/>
    <cellStyle name="Normal 6 111 3 3 2" xfId="0"/>
    <cellStyle name="Normal 6 111 3 3 2 2" xfId="0"/>
    <cellStyle name="Normal 6 111 3 3 2 2 2" xfId="0"/>
    <cellStyle name="Normal 6 111 3 3 2 3" xfId="0"/>
    <cellStyle name="Normal 6 111 3 3 3" xfId="0"/>
    <cellStyle name="Normal 6 111 3 3 3 2" xfId="0"/>
    <cellStyle name="Normal 6 111 3 3 4" xfId="0"/>
    <cellStyle name="Normal 6 111 3 4" xfId="0"/>
    <cellStyle name="Normal 6 111 3 4 2" xfId="0"/>
    <cellStyle name="Normal 6 111 3 4 2 2" xfId="0"/>
    <cellStyle name="Normal 6 111 3 4 3" xfId="0"/>
    <cellStyle name="Normal 6 111 3 5" xfId="0"/>
    <cellStyle name="Normal 6 111 3 5 2" xfId="0"/>
    <cellStyle name="Normal 6 111 3 6" xfId="0"/>
    <cellStyle name="Normal 6 111 4" xfId="0"/>
    <cellStyle name="Normal 6 111 4 2" xfId="0"/>
    <cellStyle name="Normal 6 111 4 2 2" xfId="0"/>
    <cellStyle name="Normal 6 111 4 2 2 2" xfId="0"/>
    <cellStyle name="Normal 6 111 4 2 2 2 2" xfId="0"/>
    <cellStyle name="Normal 6 111 4 2 2 3" xfId="0"/>
    <cellStyle name="Normal 6 111 4 2 3" xfId="0"/>
    <cellStyle name="Normal 6 111 4 2 3 2" xfId="0"/>
    <cellStyle name="Normal 6 111 4 2 4" xfId="0"/>
    <cellStyle name="Normal 6 111 4 3" xfId="0"/>
    <cellStyle name="Normal 6 111 4 3 2" xfId="0"/>
    <cellStyle name="Normal 6 111 4 3 2 2" xfId="0"/>
    <cellStyle name="Normal 6 111 4 3 3" xfId="0"/>
    <cellStyle name="Normal 6 111 4 4" xfId="0"/>
    <cellStyle name="Normal 6 111 4 4 2" xfId="0"/>
    <cellStyle name="Normal 6 111 4 5" xfId="0"/>
    <cellStyle name="Normal 6 111 5" xfId="0"/>
    <cellStyle name="Normal 6 111 5 2" xfId="0"/>
    <cellStyle name="Normal 6 111 5 2 2" xfId="0"/>
    <cellStyle name="Normal 6 111 5 2 2 2" xfId="0"/>
    <cellStyle name="Normal 6 111 5 2 3" xfId="0"/>
    <cellStyle name="Normal 6 111 5 3" xfId="0"/>
    <cellStyle name="Normal 6 111 5 3 2" xfId="0"/>
    <cellStyle name="Normal 6 111 5 4" xfId="0"/>
    <cellStyle name="Normal 6 111 6" xfId="0"/>
    <cellStyle name="Normal 6 111 6 2" xfId="0"/>
    <cellStyle name="Normal 6 111 6 2 2" xfId="0"/>
    <cellStyle name="Normal 6 111 6 3" xfId="0"/>
    <cellStyle name="Normal 6 111 7" xfId="0"/>
    <cellStyle name="Normal 6 111 7 2" xfId="0"/>
    <cellStyle name="Normal 6 111 8" xfId="0"/>
    <cellStyle name="Normal 6 112" xfId="0"/>
    <cellStyle name="Normal 6 112 2" xfId="0"/>
    <cellStyle name="Normal 6 112 2 2" xfId="0"/>
    <cellStyle name="Normal 6 112 2 2 2" xfId="0"/>
    <cellStyle name="Normal 6 112 2 2 2 2" xfId="0"/>
    <cellStyle name="Normal 6 112 2 2 2 2 2" xfId="0"/>
    <cellStyle name="Normal 6 112 2 2 2 2 2 2" xfId="0"/>
    <cellStyle name="Normal 6 112 2 2 2 2 2 2 2" xfId="0"/>
    <cellStyle name="Normal 6 112 2 2 2 2 2 3" xfId="0"/>
    <cellStyle name="Normal 6 112 2 2 2 2 3" xfId="0"/>
    <cellStyle name="Normal 6 112 2 2 2 2 3 2" xfId="0"/>
    <cellStyle name="Normal 6 112 2 2 2 2 4" xfId="0"/>
    <cellStyle name="Normal 6 112 2 2 2 3" xfId="0"/>
    <cellStyle name="Normal 6 112 2 2 2 3 2" xfId="0"/>
    <cellStyle name="Normal 6 112 2 2 2 3 2 2" xfId="0"/>
    <cellStyle name="Normal 6 112 2 2 2 3 3" xfId="0"/>
    <cellStyle name="Normal 6 112 2 2 2 4" xfId="0"/>
    <cellStyle name="Normal 6 112 2 2 2 4 2" xfId="0"/>
    <cellStyle name="Normal 6 112 2 2 2 5" xfId="0"/>
    <cellStyle name="Normal 6 112 2 2 3" xfId="0"/>
    <cellStyle name="Normal 6 112 2 2 3 2" xfId="0"/>
    <cellStyle name="Normal 6 112 2 2 3 2 2" xfId="0"/>
    <cellStyle name="Normal 6 112 2 2 3 2 2 2" xfId="0"/>
    <cellStyle name="Normal 6 112 2 2 3 2 3" xfId="0"/>
    <cellStyle name="Normal 6 112 2 2 3 3" xfId="0"/>
    <cellStyle name="Normal 6 112 2 2 3 3 2" xfId="0"/>
    <cellStyle name="Normal 6 112 2 2 3 4" xfId="0"/>
    <cellStyle name="Normal 6 112 2 2 4" xfId="0"/>
    <cellStyle name="Normal 6 112 2 2 4 2" xfId="0"/>
    <cellStyle name="Normal 6 112 2 2 4 2 2" xfId="0"/>
    <cellStyle name="Normal 6 112 2 2 4 3" xfId="0"/>
    <cellStyle name="Normal 6 112 2 2 5" xfId="0"/>
    <cellStyle name="Normal 6 112 2 2 5 2" xfId="0"/>
    <cellStyle name="Normal 6 112 2 2 6" xfId="0"/>
    <cellStyle name="Normal 6 112 2 3" xfId="0"/>
    <cellStyle name="Normal 6 112 2 3 2" xfId="0"/>
    <cellStyle name="Normal 6 112 2 3 2 2" xfId="0"/>
    <cellStyle name="Normal 6 112 2 3 2 2 2" xfId="0"/>
    <cellStyle name="Normal 6 112 2 3 2 2 2 2" xfId="0"/>
    <cellStyle name="Normal 6 112 2 3 2 2 3" xfId="0"/>
    <cellStyle name="Normal 6 112 2 3 2 3" xfId="0"/>
    <cellStyle name="Normal 6 112 2 3 2 3 2" xfId="0"/>
    <cellStyle name="Normal 6 112 2 3 2 4" xfId="0"/>
    <cellStyle name="Normal 6 112 2 3 3" xfId="0"/>
    <cellStyle name="Normal 6 112 2 3 3 2" xfId="0"/>
    <cellStyle name="Normal 6 112 2 3 3 2 2" xfId="0"/>
    <cellStyle name="Normal 6 112 2 3 3 3" xfId="0"/>
    <cellStyle name="Normal 6 112 2 3 4" xfId="0"/>
    <cellStyle name="Normal 6 112 2 3 4 2" xfId="0"/>
    <cellStyle name="Normal 6 112 2 3 5" xfId="0"/>
    <cellStyle name="Normal 6 112 2 4" xfId="0"/>
    <cellStyle name="Normal 6 112 2 4 2" xfId="0"/>
    <cellStyle name="Normal 6 112 2 4 2 2" xfId="0"/>
    <cellStyle name="Normal 6 112 2 4 2 2 2" xfId="0"/>
    <cellStyle name="Normal 6 112 2 4 2 3" xfId="0"/>
    <cellStyle name="Normal 6 112 2 4 3" xfId="0"/>
    <cellStyle name="Normal 6 112 2 4 3 2" xfId="0"/>
    <cellStyle name="Normal 6 112 2 4 4" xfId="0"/>
    <cellStyle name="Normal 6 112 2 5" xfId="0"/>
    <cellStyle name="Normal 6 112 2 5 2" xfId="0"/>
    <cellStyle name="Normal 6 112 2 5 2 2" xfId="0"/>
    <cellStyle name="Normal 6 112 2 5 3" xfId="0"/>
    <cellStyle name="Normal 6 112 2 6" xfId="0"/>
    <cellStyle name="Normal 6 112 2 6 2" xfId="0"/>
    <cellStyle name="Normal 6 112 2 7" xfId="0"/>
    <cellStyle name="Normal 6 112 3" xfId="0"/>
    <cellStyle name="Normal 6 112 3 2" xfId="0"/>
    <cellStyle name="Normal 6 112 3 2 2" xfId="0"/>
    <cellStyle name="Normal 6 112 3 2 2 2" xfId="0"/>
    <cellStyle name="Normal 6 112 3 2 2 2 2" xfId="0"/>
    <cellStyle name="Normal 6 112 3 2 2 2 2 2" xfId="0"/>
    <cellStyle name="Normal 6 112 3 2 2 2 3" xfId="0"/>
    <cellStyle name="Normal 6 112 3 2 2 3" xfId="0"/>
    <cellStyle name="Normal 6 112 3 2 2 3 2" xfId="0"/>
    <cellStyle name="Normal 6 112 3 2 2 4" xfId="0"/>
    <cellStyle name="Normal 6 112 3 2 3" xfId="0"/>
    <cellStyle name="Normal 6 112 3 2 3 2" xfId="0"/>
    <cellStyle name="Normal 6 112 3 2 3 2 2" xfId="0"/>
    <cellStyle name="Normal 6 112 3 2 3 3" xfId="0"/>
    <cellStyle name="Normal 6 112 3 2 4" xfId="0"/>
    <cellStyle name="Normal 6 112 3 2 4 2" xfId="0"/>
    <cellStyle name="Normal 6 112 3 2 5" xfId="0"/>
    <cellStyle name="Normal 6 112 3 3" xfId="0"/>
    <cellStyle name="Normal 6 112 3 3 2" xfId="0"/>
    <cellStyle name="Normal 6 112 3 3 2 2" xfId="0"/>
    <cellStyle name="Normal 6 112 3 3 2 2 2" xfId="0"/>
    <cellStyle name="Normal 6 112 3 3 2 3" xfId="0"/>
    <cellStyle name="Normal 6 112 3 3 3" xfId="0"/>
    <cellStyle name="Normal 6 112 3 3 3 2" xfId="0"/>
    <cellStyle name="Normal 6 112 3 3 4" xfId="0"/>
    <cellStyle name="Normal 6 112 3 4" xfId="0"/>
    <cellStyle name="Normal 6 112 3 4 2" xfId="0"/>
    <cellStyle name="Normal 6 112 3 4 2 2" xfId="0"/>
    <cellStyle name="Normal 6 112 3 4 3" xfId="0"/>
    <cellStyle name="Normal 6 112 3 5" xfId="0"/>
    <cellStyle name="Normal 6 112 3 5 2" xfId="0"/>
    <cellStyle name="Normal 6 112 3 6" xfId="0"/>
    <cellStyle name="Normal 6 112 4" xfId="0"/>
    <cellStyle name="Normal 6 112 4 2" xfId="0"/>
    <cellStyle name="Normal 6 112 4 2 2" xfId="0"/>
    <cellStyle name="Normal 6 112 4 2 2 2" xfId="0"/>
    <cellStyle name="Normal 6 112 4 2 2 2 2" xfId="0"/>
    <cellStyle name="Normal 6 112 4 2 2 3" xfId="0"/>
    <cellStyle name="Normal 6 112 4 2 3" xfId="0"/>
    <cellStyle name="Normal 6 112 4 2 3 2" xfId="0"/>
    <cellStyle name="Normal 6 112 4 2 4" xfId="0"/>
    <cellStyle name="Normal 6 112 4 3" xfId="0"/>
    <cellStyle name="Normal 6 112 4 3 2" xfId="0"/>
    <cellStyle name="Normal 6 112 4 3 2 2" xfId="0"/>
    <cellStyle name="Normal 6 112 4 3 3" xfId="0"/>
    <cellStyle name="Normal 6 112 4 4" xfId="0"/>
    <cellStyle name="Normal 6 112 4 4 2" xfId="0"/>
    <cellStyle name="Normal 6 112 4 5" xfId="0"/>
    <cellStyle name="Normal 6 112 5" xfId="0"/>
    <cellStyle name="Normal 6 112 5 2" xfId="0"/>
    <cellStyle name="Normal 6 112 5 2 2" xfId="0"/>
    <cellStyle name="Normal 6 112 5 2 2 2" xfId="0"/>
    <cellStyle name="Normal 6 112 5 2 3" xfId="0"/>
    <cellStyle name="Normal 6 112 5 3" xfId="0"/>
    <cellStyle name="Normal 6 112 5 3 2" xfId="0"/>
    <cellStyle name="Normal 6 112 5 4" xfId="0"/>
    <cellStyle name="Normal 6 112 6" xfId="0"/>
    <cellStyle name="Normal 6 112 6 2" xfId="0"/>
    <cellStyle name="Normal 6 112 6 2 2" xfId="0"/>
    <cellStyle name="Normal 6 112 6 3" xfId="0"/>
    <cellStyle name="Normal 6 112 7" xfId="0"/>
    <cellStyle name="Normal 6 112 7 2" xfId="0"/>
    <cellStyle name="Normal 6 112 8" xfId="0"/>
    <cellStyle name="Normal 6 113" xfId="0"/>
    <cellStyle name="Normal 6 113 2" xfId="0"/>
    <cellStyle name="Normal 6 113 2 2" xfId="0"/>
    <cellStyle name="Normal 6 113 2 2 2" xfId="0"/>
    <cellStyle name="Normal 6 113 2 2 2 2" xfId="0"/>
    <cellStyle name="Normal 6 113 2 2 2 2 2" xfId="0"/>
    <cellStyle name="Normal 6 113 2 2 2 2 2 2" xfId="0"/>
    <cellStyle name="Normal 6 113 2 2 2 2 3" xfId="0"/>
    <cellStyle name="Normal 6 113 2 2 2 3" xfId="0"/>
    <cellStyle name="Normal 6 113 2 2 2 3 2" xfId="0"/>
    <cellStyle name="Normal 6 113 2 2 2 4" xfId="0"/>
    <cellStyle name="Normal 6 113 2 2 3" xfId="0"/>
    <cellStyle name="Normal 6 113 2 2 3 2" xfId="0"/>
    <cellStyle name="Normal 6 113 2 2 3 2 2" xfId="0"/>
    <cellStyle name="Normal 6 113 2 2 3 3" xfId="0"/>
    <cellStyle name="Normal 6 113 2 2 4" xfId="0"/>
    <cellStyle name="Normal 6 113 2 2 4 2" xfId="0"/>
    <cellStyle name="Normal 6 113 2 2 5" xfId="0"/>
    <cellStyle name="Normal 6 113 2 3" xfId="0"/>
    <cellStyle name="Normal 6 113 2 3 2" xfId="0"/>
    <cellStyle name="Normal 6 113 2 3 2 2" xfId="0"/>
    <cellStyle name="Normal 6 113 2 3 2 2 2" xfId="0"/>
    <cellStyle name="Normal 6 113 2 3 2 3" xfId="0"/>
    <cellStyle name="Normal 6 113 2 3 3" xfId="0"/>
    <cellStyle name="Normal 6 113 2 3 3 2" xfId="0"/>
    <cellStyle name="Normal 6 113 2 3 4" xfId="0"/>
    <cellStyle name="Normal 6 113 2 4" xfId="0"/>
    <cellStyle name="Normal 6 113 2 4 2" xfId="0"/>
    <cellStyle name="Normal 6 113 2 4 2 2" xfId="0"/>
    <cellStyle name="Normal 6 113 2 4 3" xfId="0"/>
    <cellStyle name="Normal 6 113 2 5" xfId="0"/>
    <cellStyle name="Normal 6 113 2 5 2" xfId="0"/>
    <cellStyle name="Normal 6 113 2 6" xfId="0"/>
    <cellStyle name="Normal 6 113 3" xfId="0"/>
    <cellStyle name="Normal 6 113 3 2" xfId="0"/>
    <cellStyle name="Normal 6 113 3 2 2" xfId="0"/>
    <cellStyle name="Normal 6 113 3 2 2 2" xfId="0"/>
    <cellStyle name="Normal 6 113 3 2 2 2 2" xfId="0"/>
    <cellStyle name="Normal 6 113 3 2 2 3" xfId="0"/>
    <cellStyle name="Normal 6 113 3 2 3" xfId="0"/>
    <cellStyle name="Normal 6 113 3 2 3 2" xfId="0"/>
    <cellStyle name="Normal 6 113 3 2 4" xfId="0"/>
    <cellStyle name="Normal 6 113 3 3" xfId="0"/>
    <cellStyle name="Normal 6 113 3 3 2" xfId="0"/>
    <cellStyle name="Normal 6 113 3 3 2 2" xfId="0"/>
    <cellStyle name="Normal 6 113 3 3 3" xfId="0"/>
    <cellStyle name="Normal 6 113 3 4" xfId="0"/>
    <cellStyle name="Normal 6 113 3 4 2" xfId="0"/>
    <cellStyle name="Normal 6 113 3 5" xfId="0"/>
    <cellStyle name="Normal 6 113 4" xfId="0"/>
    <cellStyle name="Normal 6 113 4 2" xfId="0"/>
    <cellStyle name="Normal 6 113 4 2 2" xfId="0"/>
    <cellStyle name="Normal 6 113 4 2 2 2" xfId="0"/>
    <cellStyle name="Normal 6 113 4 2 3" xfId="0"/>
    <cellStyle name="Normal 6 113 4 3" xfId="0"/>
    <cellStyle name="Normal 6 113 4 3 2" xfId="0"/>
    <cellStyle name="Normal 6 113 4 4" xfId="0"/>
    <cellStyle name="Normal 6 113 5" xfId="0"/>
    <cellStyle name="Normal 6 113 5 2" xfId="0"/>
    <cellStyle name="Normal 6 113 5 2 2" xfId="0"/>
    <cellStyle name="Normal 6 113 5 3" xfId="0"/>
    <cellStyle name="Normal 6 113 6" xfId="0"/>
    <cellStyle name="Normal 6 113 6 2" xfId="0"/>
    <cellStyle name="Normal 6 113 7" xfId="0"/>
    <cellStyle name="Normal 6 114" xfId="0"/>
    <cellStyle name="Normal 6 114 2" xfId="0"/>
    <cellStyle name="Normal 6 114 2 2" xfId="0"/>
    <cellStyle name="Normal 6 114 2 2 2" xfId="0"/>
    <cellStyle name="Normal 6 114 2 2 2 2" xfId="0"/>
    <cellStyle name="Normal 6 114 2 2 2 2 2" xfId="0"/>
    <cellStyle name="Normal 6 114 2 2 2 2 2 2" xfId="0"/>
    <cellStyle name="Normal 6 114 2 2 2 2 3" xfId="0"/>
    <cellStyle name="Normal 6 114 2 2 2 3" xfId="0"/>
    <cellStyle name="Normal 6 114 2 2 2 3 2" xfId="0"/>
    <cellStyle name="Normal 6 114 2 2 2 4" xfId="0"/>
    <cellStyle name="Normal 6 114 2 2 3" xfId="0"/>
    <cellStyle name="Normal 6 114 2 2 3 2" xfId="0"/>
    <cellStyle name="Normal 6 114 2 2 3 2 2" xfId="0"/>
    <cellStyle name="Normal 6 114 2 2 3 3" xfId="0"/>
    <cellStyle name="Normal 6 114 2 2 4" xfId="0"/>
    <cellStyle name="Normal 6 114 2 2 4 2" xfId="0"/>
    <cellStyle name="Normal 6 114 2 2 5" xfId="0"/>
    <cellStyle name="Normal 6 114 2 3" xfId="0"/>
    <cellStyle name="Normal 6 114 2 3 2" xfId="0"/>
    <cellStyle name="Normal 6 114 2 3 2 2" xfId="0"/>
    <cellStyle name="Normal 6 114 2 3 2 2 2" xfId="0"/>
    <cellStyle name="Normal 6 114 2 3 2 3" xfId="0"/>
    <cellStyle name="Normal 6 114 2 3 3" xfId="0"/>
    <cellStyle name="Normal 6 114 2 3 3 2" xfId="0"/>
    <cellStyle name="Normal 6 114 2 3 4" xfId="0"/>
    <cellStyle name="Normal 6 114 2 4" xfId="0"/>
    <cellStyle name="Normal 6 114 2 4 2" xfId="0"/>
    <cellStyle name="Normal 6 114 2 4 2 2" xfId="0"/>
    <cellStyle name="Normal 6 114 2 4 3" xfId="0"/>
    <cellStyle name="Normal 6 114 2 5" xfId="0"/>
    <cellStyle name="Normal 6 114 2 5 2" xfId="0"/>
    <cellStyle name="Normal 6 114 2 6" xfId="0"/>
    <cellStyle name="Normal 6 114 3" xfId="0"/>
    <cellStyle name="Normal 6 114 3 2" xfId="0"/>
    <cellStyle name="Normal 6 114 3 2 2" xfId="0"/>
    <cellStyle name="Normal 6 114 3 2 2 2" xfId="0"/>
    <cellStyle name="Normal 6 114 3 2 2 2 2" xfId="0"/>
    <cellStyle name="Normal 6 114 3 2 2 3" xfId="0"/>
    <cellStyle name="Normal 6 114 3 2 3" xfId="0"/>
    <cellStyle name="Normal 6 114 3 2 3 2" xfId="0"/>
    <cellStyle name="Normal 6 114 3 2 4" xfId="0"/>
    <cellStyle name="Normal 6 114 3 3" xfId="0"/>
    <cellStyle name="Normal 6 114 3 3 2" xfId="0"/>
    <cellStyle name="Normal 6 114 3 3 2 2" xfId="0"/>
    <cellStyle name="Normal 6 114 3 3 3" xfId="0"/>
    <cellStyle name="Normal 6 114 3 4" xfId="0"/>
    <cellStyle name="Normal 6 114 3 4 2" xfId="0"/>
    <cellStyle name="Normal 6 114 3 5" xfId="0"/>
    <cellStyle name="Normal 6 114 4" xfId="0"/>
    <cellStyle name="Normal 6 114 4 2" xfId="0"/>
    <cellStyle name="Normal 6 114 4 2 2" xfId="0"/>
    <cellStyle name="Normal 6 114 4 2 2 2" xfId="0"/>
    <cellStyle name="Normal 6 114 4 2 3" xfId="0"/>
    <cellStyle name="Normal 6 114 4 3" xfId="0"/>
    <cellStyle name="Normal 6 114 4 3 2" xfId="0"/>
    <cellStyle name="Normal 6 114 4 4" xfId="0"/>
    <cellStyle name="Normal 6 114 5" xfId="0"/>
    <cellStyle name="Normal 6 114 5 2" xfId="0"/>
    <cellStyle name="Normal 6 114 5 2 2" xfId="0"/>
    <cellStyle name="Normal 6 114 5 3" xfId="0"/>
    <cellStyle name="Normal 6 114 6" xfId="0"/>
    <cellStyle name="Normal 6 114 6 2" xfId="0"/>
    <cellStyle name="Normal 6 114 7" xfId="0"/>
    <cellStyle name="Normal 6 115" xfId="0"/>
    <cellStyle name="Normal 6 115 2" xfId="0"/>
    <cellStyle name="Normal 6 115 2 2" xfId="0"/>
    <cellStyle name="Normal 6 115 2 2 2" xfId="0"/>
    <cellStyle name="Normal 6 115 2 2 2 2" xfId="0"/>
    <cellStyle name="Normal 6 115 2 2 2 2 2" xfId="0"/>
    <cellStyle name="Normal 6 115 2 2 2 3" xfId="0"/>
    <cellStyle name="Normal 6 115 2 2 3" xfId="0"/>
    <cellStyle name="Normal 6 115 2 2 3 2" xfId="0"/>
    <cellStyle name="Normal 6 115 2 2 4" xfId="0"/>
    <cellStyle name="Normal 6 115 2 3" xfId="0"/>
    <cellStyle name="Normal 6 115 2 3 2" xfId="0"/>
    <cellStyle name="Normal 6 115 2 3 2 2" xfId="0"/>
    <cellStyle name="Normal 6 115 2 3 3" xfId="0"/>
    <cellStyle name="Normal 6 115 2 4" xfId="0"/>
    <cellStyle name="Normal 6 115 2 4 2" xfId="0"/>
    <cellStyle name="Normal 6 115 2 5" xfId="0"/>
    <cellStyle name="Normal 6 115 3" xfId="0"/>
    <cellStyle name="Normal 6 115 3 2" xfId="0"/>
    <cellStyle name="Normal 6 115 3 2 2" xfId="0"/>
    <cellStyle name="Normal 6 115 3 2 2 2" xfId="0"/>
    <cellStyle name="Normal 6 115 3 2 3" xfId="0"/>
    <cellStyle name="Normal 6 115 3 3" xfId="0"/>
    <cellStyle name="Normal 6 115 3 3 2" xfId="0"/>
    <cellStyle name="Normal 6 115 3 4" xfId="0"/>
    <cellStyle name="Normal 6 115 4" xfId="0"/>
    <cellStyle name="Normal 6 115 4 2" xfId="0"/>
    <cellStyle name="Normal 6 115 4 2 2" xfId="0"/>
    <cellStyle name="Normal 6 115 4 3" xfId="0"/>
    <cellStyle name="Normal 6 115 5" xfId="0"/>
    <cellStyle name="Normal 6 115 5 2" xfId="0"/>
    <cellStyle name="Normal 6 115 6" xfId="0"/>
    <cellStyle name="Normal 6 116" xfId="0"/>
    <cellStyle name="Normal 6 116 2" xfId="0"/>
    <cellStyle name="Normal 6 116 2 2" xfId="0"/>
    <cellStyle name="Normal 6 116 2 2 2" xfId="0"/>
    <cellStyle name="Normal 6 116 2 2 2 2" xfId="0"/>
    <cellStyle name="Normal 6 116 2 2 3" xfId="0"/>
    <cellStyle name="Normal 6 116 2 3" xfId="0"/>
    <cellStyle name="Normal 6 116 2 3 2" xfId="0"/>
    <cellStyle name="Normal 6 116 2 4" xfId="0"/>
    <cellStyle name="Normal 6 116 3" xfId="0"/>
    <cellStyle name="Normal 6 116 3 2" xfId="0"/>
    <cellStyle name="Normal 6 116 3 2 2" xfId="0"/>
    <cellStyle name="Normal 6 116 3 3" xfId="0"/>
    <cellStyle name="Normal 6 116 4" xfId="0"/>
    <cellStyle name="Normal 6 116 4 2" xfId="0"/>
    <cellStyle name="Normal 6 116 5" xfId="0"/>
    <cellStyle name="Normal 6 117" xfId="0"/>
    <cellStyle name="Normal 6 117 2" xfId="0"/>
    <cellStyle name="Normal 6 117 2 2" xfId="0"/>
    <cellStyle name="Normal 6 117 2 2 2" xfId="0"/>
    <cellStyle name="Normal 6 117 2 3" xfId="0"/>
    <cellStyle name="Normal 6 117 3" xfId="0"/>
    <cellStyle name="Normal 6 117 3 2" xfId="0"/>
    <cellStyle name="Normal 6 117 4" xfId="0"/>
    <cellStyle name="Normal 6 118" xfId="0"/>
    <cellStyle name="Normal 6 118 2" xfId="0"/>
    <cellStyle name="Normal 6 118 2 2" xfId="0"/>
    <cellStyle name="Normal 6 118 3" xfId="0"/>
    <cellStyle name="Normal 6 119" xfId="0"/>
    <cellStyle name="Normal 6 119 2" xfId="0"/>
    <cellStyle name="Normal 6 12" xfId="0"/>
    <cellStyle name="Normal 6 120" xfId="0"/>
    <cellStyle name="Normal 6 121" xfId="0"/>
    <cellStyle name="Normal 6 122" xfId="0"/>
    <cellStyle name="Normal 6 13" xfId="0"/>
    <cellStyle name="Normal 6 14" xfId="0"/>
    <cellStyle name="Normal 6 15" xfId="0"/>
    <cellStyle name="Normal 6 16" xfId="0"/>
    <cellStyle name="Normal 6 17" xfId="0"/>
    <cellStyle name="Normal 6 18" xfId="0"/>
    <cellStyle name="Normal 6 19" xfId="0"/>
    <cellStyle name="Normal 6 2" xfId="0"/>
    <cellStyle name="Normal 6 2 10" xfId="0"/>
    <cellStyle name="Normal 6 2 10 2" xfId="0"/>
    <cellStyle name="Normal 6 2 10 2 2" xfId="0"/>
    <cellStyle name="Normal 6 2 10 2 2 2" xfId="0"/>
    <cellStyle name="Normal 6 2 10 2 2 2 2" xfId="0"/>
    <cellStyle name="Normal 6 2 10 2 2 2 2 2" xfId="0"/>
    <cellStyle name="Normal 6 2 10 2 2 2 2 2 2" xfId="0"/>
    <cellStyle name="Normal 6 2 10 2 2 2 2 3" xfId="0"/>
    <cellStyle name="Normal 6 2 10 2 2 2 3" xfId="0"/>
    <cellStyle name="Normal 6 2 10 2 2 2 3 2" xfId="0"/>
    <cellStyle name="Normal 6 2 10 2 2 2 4" xfId="0"/>
    <cellStyle name="Normal 6 2 10 2 2 3" xfId="0"/>
    <cellStyle name="Normal 6 2 10 2 2 3 2" xfId="0"/>
    <cellStyle name="Normal 6 2 10 2 2 3 2 2" xfId="0"/>
    <cellStyle name="Normal 6 2 10 2 2 3 3" xfId="0"/>
    <cellStyle name="Normal 6 2 10 2 2 4" xfId="0"/>
    <cellStyle name="Normal 6 2 10 2 2 4 2" xfId="0"/>
    <cellStyle name="Normal 6 2 10 2 2 5" xfId="0"/>
    <cellStyle name="Normal 6 2 10 2 3" xfId="0"/>
    <cellStyle name="Normal 6 2 10 2 3 2" xfId="0"/>
    <cellStyle name="Normal 6 2 10 2 3 2 2" xfId="0"/>
    <cellStyle name="Normal 6 2 10 2 3 2 2 2" xfId="0"/>
    <cellStyle name="Normal 6 2 10 2 3 2 3" xfId="0"/>
    <cellStyle name="Normal 6 2 10 2 3 3" xfId="0"/>
    <cellStyle name="Normal 6 2 10 2 3 3 2" xfId="0"/>
    <cellStyle name="Normal 6 2 10 2 3 4" xfId="0"/>
    <cellStyle name="Normal 6 2 10 2 4" xfId="0"/>
    <cellStyle name="Normal 6 2 10 2 4 2" xfId="0"/>
    <cellStyle name="Normal 6 2 10 2 4 2 2" xfId="0"/>
    <cellStyle name="Normal 6 2 10 2 4 3" xfId="0"/>
    <cellStyle name="Normal 6 2 10 2 5" xfId="0"/>
    <cellStyle name="Normal 6 2 10 2 5 2" xfId="0"/>
    <cellStyle name="Normal 6 2 10 2 6" xfId="0"/>
    <cellStyle name="Normal 6 2 10 3" xfId="0"/>
    <cellStyle name="Normal 6 2 10 3 2" xfId="0"/>
    <cellStyle name="Normal 6 2 10 3 2 2" xfId="0"/>
    <cellStyle name="Normal 6 2 10 3 2 2 2" xfId="0"/>
    <cellStyle name="Normal 6 2 10 3 2 2 2 2" xfId="0"/>
    <cellStyle name="Normal 6 2 10 3 2 2 3" xfId="0"/>
    <cellStyle name="Normal 6 2 10 3 2 3" xfId="0"/>
    <cellStyle name="Normal 6 2 10 3 2 3 2" xfId="0"/>
    <cellStyle name="Normal 6 2 10 3 2 4" xfId="0"/>
    <cellStyle name="Normal 6 2 10 3 3" xfId="0"/>
    <cellStyle name="Normal 6 2 10 3 3 2" xfId="0"/>
    <cellStyle name="Normal 6 2 10 3 3 2 2" xfId="0"/>
    <cellStyle name="Normal 6 2 10 3 3 3" xfId="0"/>
    <cellStyle name="Normal 6 2 10 3 4" xfId="0"/>
    <cellStyle name="Normal 6 2 10 3 4 2" xfId="0"/>
    <cellStyle name="Normal 6 2 10 3 5" xfId="0"/>
    <cellStyle name="Normal 6 2 10 4" xfId="0"/>
    <cellStyle name="Normal 6 2 10 4 2" xfId="0"/>
    <cellStyle name="Normal 6 2 10 4 2 2" xfId="0"/>
    <cellStyle name="Normal 6 2 10 4 2 2 2" xfId="0"/>
    <cellStyle name="Normal 6 2 10 4 2 3" xfId="0"/>
    <cellStyle name="Normal 6 2 10 4 3" xfId="0"/>
    <cellStyle name="Normal 6 2 10 4 3 2" xfId="0"/>
    <cellStyle name="Normal 6 2 10 4 4" xfId="0"/>
    <cellStyle name="Normal 6 2 10 5" xfId="0"/>
    <cellStyle name="Normal 6 2 10 5 2" xfId="0"/>
    <cellStyle name="Normal 6 2 10 5 2 2" xfId="0"/>
    <cellStyle name="Normal 6 2 10 5 3" xfId="0"/>
    <cellStyle name="Normal 6 2 10 6" xfId="0"/>
    <cellStyle name="Normal 6 2 10 6 2" xfId="0"/>
    <cellStyle name="Normal 6 2 10 7" xfId="0"/>
    <cellStyle name="Normal 6 2 11" xfId="0"/>
    <cellStyle name="Normal 6 2 11 2" xfId="0"/>
    <cellStyle name="Normal 6 2 11 2 2" xfId="0"/>
    <cellStyle name="Normal 6 2 11 2 2 2" xfId="0"/>
    <cellStyle name="Normal 6 2 11 2 2 2 2" xfId="0"/>
    <cellStyle name="Normal 6 2 11 2 2 2 2 2" xfId="0"/>
    <cellStyle name="Normal 6 2 11 2 2 2 3" xfId="0"/>
    <cellStyle name="Normal 6 2 11 2 2 3" xfId="0"/>
    <cellStyle name="Normal 6 2 11 2 2 3 2" xfId="0"/>
    <cellStyle name="Normal 6 2 11 2 2 4" xfId="0"/>
    <cellStyle name="Normal 6 2 11 2 3" xfId="0"/>
    <cellStyle name="Normal 6 2 11 2 3 2" xfId="0"/>
    <cellStyle name="Normal 6 2 11 2 3 2 2" xfId="0"/>
    <cellStyle name="Normal 6 2 11 2 3 3" xfId="0"/>
    <cellStyle name="Normal 6 2 11 2 4" xfId="0"/>
    <cellStyle name="Normal 6 2 11 2 4 2" xfId="0"/>
    <cellStyle name="Normal 6 2 11 2 5" xfId="0"/>
    <cellStyle name="Normal 6 2 11 3" xfId="0"/>
    <cellStyle name="Normal 6 2 11 3 2" xfId="0"/>
    <cellStyle name="Normal 6 2 11 3 2 2" xfId="0"/>
    <cellStyle name="Normal 6 2 11 3 2 2 2" xfId="0"/>
    <cellStyle name="Normal 6 2 11 3 2 3" xfId="0"/>
    <cellStyle name="Normal 6 2 11 3 3" xfId="0"/>
    <cellStyle name="Normal 6 2 11 3 3 2" xfId="0"/>
    <cellStyle name="Normal 6 2 11 3 4" xfId="0"/>
    <cellStyle name="Normal 6 2 11 4" xfId="0"/>
    <cellStyle name="Normal 6 2 11 4 2" xfId="0"/>
    <cellStyle name="Normal 6 2 11 4 2 2" xfId="0"/>
    <cellStyle name="Normal 6 2 11 4 3" xfId="0"/>
    <cellStyle name="Normal 6 2 11 5" xfId="0"/>
    <cellStyle name="Normal 6 2 11 5 2" xfId="0"/>
    <cellStyle name="Normal 6 2 11 6" xfId="0"/>
    <cellStyle name="Normal 6 2 12" xfId="0"/>
    <cellStyle name="Normal 6 2 12 2" xfId="0"/>
    <cellStyle name="Normal 6 2 12 2 2" xfId="0"/>
    <cellStyle name="Normal 6 2 12 2 2 2" xfId="0"/>
    <cellStyle name="Normal 6 2 12 2 2 2 2" xfId="0"/>
    <cellStyle name="Normal 6 2 12 2 2 3" xfId="0"/>
    <cellStyle name="Normal 6 2 12 2 3" xfId="0"/>
    <cellStyle name="Normal 6 2 12 2 3 2" xfId="0"/>
    <cellStyle name="Normal 6 2 12 2 4" xfId="0"/>
    <cellStyle name="Normal 6 2 12 3" xfId="0"/>
    <cellStyle name="Normal 6 2 12 3 2" xfId="0"/>
    <cellStyle name="Normal 6 2 12 3 2 2" xfId="0"/>
    <cellStyle name="Normal 6 2 12 3 3" xfId="0"/>
    <cellStyle name="Normal 6 2 12 4" xfId="0"/>
    <cellStyle name="Normal 6 2 12 4 2" xfId="0"/>
    <cellStyle name="Normal 6 2 12 5" xfId="0"/>
    <cellStyle name="Normal 6 2 13" xfId="0"/>
    <cellStyle name="Normal 6 2 13 2" xfId="0"/>
    <cellStyle name="Normal 6 2 13 2 2" xfId="0"/>
    <cellStyle name="Normal 6 2 13 2 2 2" xfId="0"/>
    <cellStyle name="Normal 6 2 13 2 3" xfId="0"/>
    <cellStyle name="Normal 6 2 13 3" xfId="0"/>
    <cellStyle name="Normal 6 2 13 3 2" xfId="0"/>
    <cellStyle name="Normal 6 2 13 4" xfId="0"/>
    <cellStyle name="Normal 6 2 14" xfId="0"/>
    <cellStyle name="Normal 6 2 14 2" xfId="0"/>
    <cellStyle name="Normal 6 2 14 2 2" xfId="0"/>
    <cellStyle name="Normal 6 2 14 3" xfId="0"/>
    <cellStyle name="Normal 6 2 15" xfId="0"/>
    <cellStyle name="Normal 6 2 15 2" xfId="0"/>
    <cellStyle name="Normal 6 2 16" xfId="0"/>
    <cellStyle name="Normal 6 2 17" xfId="0"/>
    <cellStyle name="Normal 6 2 2" xfId="0"/>
    <cellStyle name="Normal 6 2 2 10" xfId="0"/>
    <cellStyle name="Normal 6 2 2 10 2" xfId="0"/>
    <cellStyle name="Normal 6 2 2 10 2 2" xfId="0"/>
    <cellStyle name="Normal 6 2 2 10 2 2 2" xfId="0"/>
    <cellStyle name="Normal 6 2 2 10 2 2 2 2" xfId="0"/>
    <cellStyle name="Normal 6 2 2 10 2 2 3" xfId="0"/>
    <cellStyle name="Normal 6 2 2 10 2 3" xfId="0"/>
    <cellStyle name="Normal 6 2 2 10 2 3 2" xfId="0"/>
    <cellStyle name="Normal 6 2 2 10 2 4" xfId="0"/>
    <cellStyle name="Normal 6 2 2 10 3" xfId="0"/>
    <cellStyle name="Normal 6 2 2 10 3 2" xfId="0"/>
    <cellStyle name="Normal 6 2 2 10 3 2 2" xfId="0"/>
    <cellStyle name="Normal 6 2 2 10 3 3" xfId="0"/>
    <cellStyle name="Normal 6 2 2 10 4" xfId="0"/>
    <cellStyle name="Normal 6 2 2 10 4 2" xfId="0"/>
    <cellStyle name="Normal 6 2 2 10 5" xfId="0"/>
    <cellStyle name="Normal 6 2 2 11" xfId="0"/>
    <cellStyle name="Normal 6 2 2 11 2" xfId="0"/>
    <cellStyle name="Normal 6 2 2 11 2 2" xfId="0"/>
    <cellStyle name="Normal 6 2 2 11 2 2 2" xfId="0"/>
    <cellStyle name="Normal 6 2 2 11 2 3" xfId="0"/>
    <cellStyle name="Normal 6 2 2 11 3" xfId="0"/>
    <cellStyle name="Normal 6 2 2 11 3 2" xfId="0"/>
    <cellStyle name="Normal 6 2 2 11 4" xfId="0"/>
    <cellStyle name="Normal 6 2 2 12" xfId="0"/>
    <cellStyle name="Normal 6 2 2 12 2" xfId="0"/>
    <cellStyle name="Normal 6 2 2 12 2 2" xfId="0"/>
    <cellStyle name="Normal 6 2 2 12 3" xfId="0"/>
    <cellStyle name="Normal 6 2 2 13" xfId="0"/>
    <cellStyle name="Normal 6 2 2 13 2" xfId="0"/>
    <cellStyle name="Normal 6 2 2 14" xfId="0"/>
    <cellStyle name="Normal 6 2 2 15" xfId="0"/>
    <cellStyle name="Normal 6 2 2 2" xfId="0"/>
    <cellStyle name="Normal 6 2 2 2 10" xfId="0"/>
    <cellStyle name="Normal 6 2 2 2 10 2" xfId="0"/>
    <cellStyle name="Normal 6 2 2 2 10 2 2" xfId="0"/>
    <cellStyle name="Normal 6 2 2 2 10 3" xfId="0"/>
    <cellStyle name="Normal 6 2 2 2 11" xfId="0"/>
    <cellStyle name="Normal 6 2 2 2 11 2" xfId="0"/>
    <cellStyle name="Normal 6 2 2 2 12" xfId="0"/>
    <cellStyle name="Normal 6 2 2 2 2" xfId="0"/>
    <cellStyle name="Normal 6 2 2 2 2 10" xfId="0"/>
    <cellStyle name="Normal 6 2 2 2 2 10 2" xfId="0"/>
    <cellStyle name="Normal 6 2 2 2 2 11" xfId="0"/>
    <cellStyle name="Normal 6 2 2 2 2 2" xfId="0"/>
    <cellStyle name="Normal 6 2 2 2 2 2 2" xfId="0"/>
    <cellStyle name="Normal 6 2 2 2 2 2 2 2" xfId="0"/>
    <cellStyle name="Normal 6 2 2 2 2 2 2 2 2" xfId="0"/>
    <cellStyle name="Normal 6 2 2 2 2 2 2 2 2 2" xfId="0"/>
    <cellStyle name="Normal 6 2 2 2 2 2 2 2 2 2 2" xfId="0"/>
    <cellStyle name="Normal 6 2 2 2 2 2 2 2 2 2 2 2" xfId="0"/>
    <cellStyle name="Normal 6 2 2 2 2 2 2 2 2 2 2 2 2" xfId="0"/>
    <cellStyle name="Normal 6 2 2 2 2 2 2 2 2 2 2 3" xfId="0"/>
    <cellStyle name="Normal 6 2 2 2 2 2 2 2 2 2 3" xfId="0"/>
    <cellStyle name="Normal 6 2 2 2 2 2 2 2 2 2 3 2" xfId="0"/>
    <cellStyle name="Normal 6 2 2 2 2 2 2 2 2 2 4" xfId="0"/>
    <cellStyle name="Normal 6 2 2 2 2 2 2 2 2 3" xfId="0"/>
    <cellStyle name="Normal 6 2 2 2 2 2 2 2 2 3 2" xfId="0"/>
    <cellStyle name="Normal 6 2 2 2 2 2 2 2 2 3 2 2" xfId="0"/>
    <cellStyle name="Normal 6 2 2 2 2 2 2 2 2 3 3" xfId="0"/>
    <cellStyle name="Normal 6 2 2 2 2 2 2 2 2 4" xfId="0"/>
    <cellStyle name="Normal 6 2 2 2 2 2 2 2 2 4 2" xfId="0"/>
    <cellStyle name="Normal 6 2 2 2 2 2 2 2 2 5" xfId="0"/>
    <cellStyle name="Normal 6 2 2 2 2 2 2 2 3" xfId="0"/>
    <cellStyle name="Normal 6 2 2 2 2 2 2 2 3 2" xfId="0"/>
    <cellStyle name="Normal 6 2 2 2 2 2 2 2 3 2 2" xfId="0"/>
    <cellStyle name="Normal 6 2 2 2 2 2 2 2 3 2 2 2" xfId="0"/>
    <cellStyle name="Normal 6 2 2 2 2 2 2 2 3 2 3" xfId="0"/>
    <cellStyle name="Normal 6 2 2 2 2 2 2 2 3 3" xfId="0"/>
    <cellStyle name="Normal 6 2 2 2 2 2 2 2 3 3 2" xfId="0"/>
    <cellStyle name="Normal 6 2 2 2 2 2 2 2 3 4" xfId="0"/>
    <cellStyle name="Normal 6 2 2 2 2 2 2 2 4" xfId="0"/>
    <cellStyle name="Normal 6 2 2 2 2 2 2 2 4 2" xfId="0"/>
    <cellStyle name="Normal 6 2 2 2 2 2 2 2 4 2 2" xfId="0"/>
    <cellStyle name="Normal 6 2 2 2 2 2 2 2 4 3" xfId="0"/>
    <cellStyle name="Normal 6 2 2 2 2 2 2 2 5" xfId="0"/>
    <cellStyle name="Normal 6 2 2 2 2 2 2 2 5 2" xfId="0"/>
    <cellStyle name="Normal 6 2 2 2 2 2 2 2 6" xfId="0"/>
    <cellStyle name="Normal 6 2 2 2 2 2 2 3" xfId="0"/>
    <cellStyle name="Normal 6 2 2 2 2 2 2 3 2" xfId="0"/>
    <cellStyle name="Normal 6 2 2 2 2 2 2 3 2 2" xfId="0"/>
    <cellStyle name="Normal 6 2 2 2 2 2 2 3 2 2 2" xfId="0"/>
    <cellStyle name="Normal 6 2 2 2 2 2 2 3 2 2 2 2" xfId="0"/>
    <cellStyle name="Normal 6 2 2 2 2 2 2 3 2 2 3" xfId="0"/>
    <cellStyle name="Normal 6 2 2 2 2 2 2 3 2 3" xfId="0"/>
    <cellStyle name="Normal 6 2 2 2 2 2 2 3 2 3 2" xfId="0"/>
    <cellStyle name="Normal 6 2 2 2 2 2 2 3 2 4" xfId="0"/>
    <cellStyle name="Normal 6 2 2 2 2 2 2 3 3" xfId="0"/>
    <cellStyle name="Normal 6 2 2 2 2 2 2 3 3 2" xfId="0"/>
    <cellStyle name="Normal 6 2 2 2 2 2 2 3 3 2 2" xfId="0"/>
    <cellStyle name="Normal 6 2 2 2 2 2 2 3 3 3" xfId="0"/>
    <cellStyle name="Normal 6 2 2 2 2 2 2 3 4" xfId="0"/>
    <cellStyle name="Normal 6 2 2 2 2 2 2 3 4 2" xfId="0"/>
    <cellStyle name="Normal 6 2 2 2 2 2 2 3 5" xfId="0"/>
    <cellStyle name="Normal 6 2 2 2 2 2 2 4" xfId="0"/>
    <cellStyle name="Normal 6 2 2 2 2 2 2 4 2" xfId="0"/>
    <cellStyle name="Normal 6 2 2 2 2 2 2 4 2 2" xfId="0"/>
    <cellStyle name="Normal 6 2 2 2 2 2 2 4 2 2 2" xfId="0"/>
    <cellStyle name="Normal 6 2 2 2 2 2 2 4 2 3" xfId="0"/>
    <cellStyle name="Normal 6 2 2 2 2 2 2 4 3" xfId="0"/>
    <cellStyle name="Normal 6 2 2 2 2 2 2 4 3 2" xfId="0"/>
    <cellStyle name="Normal 6 2 2 2 2 2 2 4 4" xfId="0"/>
    <cellStyle name="Normal 6 2 2 2 2 2 2 5" xfId="0"/>
    <cellStyle name="Normal 6 2 2 2 2 2 2 5 2" xfId="0"/>
    <cellStyle name="Normal 6 2 2 2 2 2 2 5 2 2" xfId="0"/>
    <cellStyle name="Normal 6 2 2 2 2 2 2 5 3" xfId="0"/>
    <cellStyle name="Normal 6 2 2 2 2 2 2 6" xfId="0"/>
    <cellStyle name="Normal 6 2 2 2 2 2 2 6 2" xfId="0"/>
    <cellStyle name="Normal 6 2 2 2 2 2 2 7" xfId="0"/>
    <cellStyle name="Normal 6 2 2 2 2 2 3" xfId="0"/>
    <cellStyle name="Normal 6 2 2 2 2 2 3 2" xfId="0"/>
    <cellStyle name="Normal 6 2 2 2 2 2 3 2 2" xfId="0"/>
    <cellStyle name="Normal 6 2 2 2 2 2 3 2 2 2" xfId="0"/>
    <cellStyle name="Normal 6 2 2 2 2 2 3 2 2 2 2" xfId="0"/>
    <cellStyle name="Normal 6 2 2 2 2 2 3 2 2 2 2 2" xfId="0"/>
    <cellStyle name="Normal 6 2 2 2 2 2 3 2 2 2 3" xfId="0"/>
    <cellStyle name="Normal 6 2 2 2 2 2 3 2 2 3" xfId="0"/>
    <cellStyle name="Normal 6 2 2 2 2 2 3 2 2 3 2" xfId="0"/>
    <cellStyle name="Normal 6 2 2 2 2 2 3 2 2 4" xfId="0"/>
    <cellStyle name="Normal 6 2 2 2 2 2 3 2 3" xfId="0"/>
    <cellStyle name="Normal 6 2 2 2 2 2 3 2 3 2" xfId="0"/>
    <cellStyle name="Normal 6 2 2 2 2 2 3 2 3 2 2" xfId="0"/>
    <cellStyle name="Normal 6 2 2 2 2 2 3 2 3 3" xfId="0"/>
    <cellStyle name="Normal 6 2 2 2 2 2 3 2 4" xfId="0"/>
    <cellStyle name="Normal 6 2 2 2 2 2 3 2 4 2" xfId="0"/>
    <cellStyle name="Normal 6 2 2 2 2 2 3 2 5" xfId="0"/>
    <cellStyle name="Normal 6 2 2 2 2 2 3 3" xfId="0"/>
    <cellStyle name="Normal 6 2 2 2 2 2 3 3 2" xfId="0"/>
    <cellStyle name="Normal 6 2 2 2 2 2 3 3 2 2" xfId="0"/>
    <cellStyle name="Normal 6 2 2 2 2 2 3 3 2 2 2" xfId="0"/>
    <cellStyle name="Normal 6 2 2 2 2 2 3 3 2 3" xfId="0"/>
    <cellStyle name="Normal 6 2 2 2 2 2 3 3 3" xfId="0"/>
    <cellStyle name="Normal 6 2 2 2 2 2 3 3 3 2" xfId="0"/>
    <cellStyle name="Normal 6 2 2 2 2 2 3 3 4" xfId="0"/>
    <cellStyle name="Normal 6 2 2 2 2 2 3 4" xfId="0"/>
    <cellStyle name="Normal 6 2 2 2 2 2 3 4 2" xfId="0"/>
    <cellStyle name="Normal 6 2 2 2 2 2 3 4 2 2" xfId="0"/>
    <cellStyle name="Normal 6 2 2 2 2 2 3 4 3" xfId="0"/>
    <cellStyle name="Normal 6 2 2 2 2 2 3 5" xfId="0"/>
    <cellStyle name="Normal 6 2 2 2 2 2 3 5 2" xfId="0"/>
    <cellStyle name="Normal 6 2 2 2 2 2 3 6" xfId="0"/>
    <cellStyle name="Normal 6 2 2 2 2 2 4" xfId="0"/>
    <cellStyle name="Normal 6 2 2 2 2 2 4 2" xfId="0"/>
    <cellStyle name="Normal 6 2 2 2 2 2 4 2 2" xfId="0"/>
    <cellStyle name="Normal 6 2 2 2 2 2 4 2 2 2" xfId="0"/>
    <cellStyle name="Normal 6 2 2 2 2 2 4 2 2 2 2" xfId="0"/>
    <cellStyle name="Normal 6 2 2 2 2 2 4 2 2 3" xfId="0"/>
    <cellStyle name="Normal 6 2 2 2 2 2 4 2 3" xfId="0"/>
    <cellStyle name="Normal 6 2 2 2 2 2 4 2 3 2" xfId="0"/>
    <cellStyle name="Normal 6 2 2 2 2 2 4 2 4" xfId="0"/>
    <cellStyle name="Normal 6 2 2 2 2 2 4 3" xfId="0"/>
    <cellStyle name="Normal 6 2 2 2 2 2 4 3 2" xfId="0"/>
    <cellStyle name="Normal 6 2 2 2 2 2 4 3 2 2" xfId="0"/>
    <cellStyle name="Normal 6 2 2 2 2 2 4 3 3" xfId="0"/>
    <cellStyle name="Normal 6 2 2 2 2 2 4 4" xfId="0"/>
    <cellStyle name="Normal 6 2 2 2 2 2 4 4 2" xfId="0"/>
    <cellStyle name="Normal 6 2 2 2 2 2 4 5" xfId="0"/>
    <cellStyle name="Normal 6 2 2 2 2 2 5" xfId="0"/>
    <cellStyle name="Normal 6 2 2 2 2 2 5 2" xfId="0"/>
    <cellStyle name="Normal 6 2 2 2 2 2 5 2 2" xfId="0"/>
    <cellStyle name="Normal 6 2 2 2 2 2 5 2 2 2" xfId="0"/>
    <cellStyle name="Normal 6 2 2 2 2 2 5 2 3" xfId="0"/>
    <cellStyle name="Normal 6 2 2 2 2 2 5 3" xfId="0"/>
    <cellStyle name="Normal 6 2 2 2 2 2 5 3 2" xfId="0"/>
    <cellStyle name="Normal 6 2 2 2 2 2 5 4" xfId="0"/>
    <cellStyle name="Normal 6 2 2 2 2 2 6" xfId="0"/>
    <cellStyle name="Normal 6 2 2 2 2 2 6 2" xfId="0"/>
    <cellStyle name="Normal 6 2 2 2 2 2 6 2 2" xfId="0"/>
    <cellStyle name="Normal 6 2 2 2 2 2 6 3" xfId="0"/>
    <cellStyle name="Normal 6 2 2 2 2 2 7" xfId="0"/>
    <cellStyle name="Normal 6 2 2 2 2 2 7 2" xfId="0"/>
    <cellStyle name="Normal 6 2 2 2 2 2 8" xfId="0"/>
    <cellStyle name="Normal 6 2 2 2 2 3" xfId="0"/>
    <cellStyle name="Normal 6 2 2 2 2 3 2" xfId="0"/>
    <cellStyle name="Normal 6 2 2 2 2 3 2 2" xfId="0"/>
    <cellStyle name="Normal 6 2 2 2 2 3 2 2 2" xfId="0"/>
    <cellStyle name="Normal 6 2 2 2 2 3 2 2 2 2" xfId="0"/>
    <cellStyle name="Normal 6 2 2 2 2 3 2 2 2 2 2" xfId="0"/>
    <cellStyle name="Normal 6 2 2 2 2 3 2 2 2 2 2 2" xfId="0"/>
    <cellStyle name="Normal 6 2 2 2 2 3 2 2 2 2 2 2 2" xfId="0"/>
    <cellStyle name="Normal 6 2 2 2 2 3 2 2 2 2 2 3" xfId="0"/>
    <cellStyle name="Normal 6 2 2 2 2 3 2 2 2 2 3" xfId="0"/>
    <cellStyle name="Normal 6 2 2 2 2 3 2 2 2 2 3 2" xfId="0"/>
    <cellStyle name="Normal 6 2 2 2 2 3 2 2 2 2 4" xfId="0"/>
    <cellStyle name="Normal 6 2 2 2 2 3 2 2 2 3" xfId="0"/>
    <cellStyle name="Normal 6 2 2 2 2 3 2 2 2 3 2" xfId="0"/>
    <cellStyle name="Normal 6 2 2 2 2 3 2 2 2 3 2 2" xfId="0"/>
    <cellStyle name="Normal 6 2 2 2 2 3 2 2 2 3 3" xfId="0"/>
    <cellStyle name="Normal 6 2 2 2 2 3 2 2 2 4" xfId="0"/>
    <cellStyle name="Normal 6 2 2 2 2 3 2 2 2 4 2" xfId="0"/>
    <cellStyle name="Normal 6 2 2 2 2 3 2 2 2 5" xfId="0"/>
    <cellStyle name="Normal 6 2 2 2 2 3 2 2 3" xfId="0"/>
    <cellStyle name="Normal 6 2 2 2 2 3 2 2 3 2" xfId="0"/>
    <cellStyle name="Normal 6 2 2 2 2 3 2 2 3 2 2" xfId="0"/>
    <cellStyle name="Normal 6 2 2 2 2 3 2 2 3 2 2 2" xfId="0"/>
    <cellStyle name="Normal 6 2 2 2 2 3 2 2 3 2 3" xfId="0"/>
    <cellStyle name="Normal 6 2 2 2 2 3 2 2 3 3" xfId="0"/>
    <cellStyle name="Normal 6 2 2 2 2 3 2 2 3 3 2" xfId="0"/>
    <cellStyle name="Normal 6 2 2 2 2 3 2 2 3 4" xfId="0"/>
    <cellStyle name="Normal 6 2 2 2 2 3 2 2 4" xfId="0"/>
    <cellStyle name="Normal 6 2 2 2 2 3 2 2 4 2" xfId="0"/>
    <cellStyle name="Normal 6 2 2 2 2 3 2 2 4 2 2" xfId="0"/>
    <cellStyle name="Normal 6 2 2 2 2 3 2 2 4 3" xfId="0"/>
    <cellStyle name="Normal 6 2 2 2 2 3 2 2 5" xfId="0"/>
    <cellStyle name="Normal 6 2 2 2 2 3 2 2 5 2" xfId="0"/>
    <cellStyle name="Normal 6 2 2 2 2 3 2 2 6" xfId="0"/>
    <cellStyle name="Normal 6 2 2 2 2 3 2 3" xfId="0"/>
    <cellStyle name="Normal 6 2 2 2 2 3 2 3 2" xfId="0"/>
    <cellStyle name="Normal 6 2 2 2 2 3 2 3 2 2" xfId="0"/>
    <cellStyle name="Normal 6 2 2 2 2 3 2 3 2 2 2" xfId="0"/>
    <cellStyle name="Normal 6 2 2 2 2 3 2 3 2 2 2 2" xfId="0"/>
    <cellStyle name="Normal 6 2 2 2 2 3 2 3 2 2 3" xfId="0"/>
    <cellStyle name="Normal 6 2 2 2 2 3 2 3 2 3" xfId="0"/>
    <cellStyle name="Normal 6 2 2 2 2 3 2 3 2 3 2" xfId="0"/>
    <cellStyle name="Normal 6 2 2 2 2 3 2 3 2 4" xfId="0"/>
    <cellStyle name="Normal 6 2 2 2 2 3 2 3 3" xfId="0"/>
    <cellStyle name="Normal 6 2 2 2 2 3 2 3 3 2" xfId="0"/>
    <cellStyle name="Normal 6 2 2 2 2 3 2 3 3 2 2" xfId="0"/>
    <cellStyle name="Normal 6 2 2 2 2 3 2 3 3 3" xfId="0"/>
    <cellStyle name="Normal 6 2 2 2 2 3 2 3 4" xfId="0"/>
    <cellStyle name="Normal 6 2 2 2 2 3 2 3 4 2" xfId="0"/>
    <cellStyle name="Normal 6 2 2 2 2 3 2 3 5" xfId="0"/>
    <cellStyle name="Normal 6 2 2 2 2 3 2 4" xfId="0"/>
    <cellStyle name="Normal 6 2 2 2 2 3 2 4 2" xfId="0"/>
    <cellStyle name="Normal 6 2 2 2 2 3 2 4 2 2" xfId="0"/>
    <cellStyle name="Normal 6 2 2 2 2 3 2 4 2 2 2" xfId="0"/>
    <cellStyle name="Normal 6 2 2 2 2 3 2 4 2 3" xfId="0"/>
    <cellStyle name="Normal 6 2 2 2 2 3 2 4 3" xfId="0"/>
    <cellStyle name="Normal 6 2 2 2 2 3 2 4 3 2" xfId="0"/>
    <cellStyle name="Normal 6 2 2 2 2 3 2 4 4" xfId="0"/>
    <cellStyle name="Normal 6 2 2 2 2 3 2 5" xfId="0"/>
    <cellStyle name="Normal 6 2 2 2 2 3 2 5 2" xfId="0"/>
    <cellStyle name="Normal 6 2 2 2 2 3 2 5 2 2" xfId="0"/>
    <cellStyle name="Normal 6 2 2 2 2 3 2 5 3" xfId="0"/>
    <cellStyle name="Normal 6 2 2 2 2 3 2 6" xfId="0"/>
    <cellStyle name="Normal 6 2 2 2 2 3 2 6 2" xfId="0"/>
    <cellStyle name="Normal 6 2 2 2 2 3 2 7" xfId="0"/>
    <cellStyle name="Normal 6 2 2 2 2 3 3" xfId="0"/>
    <cellStyle name="Normal 6 2 2 2 2 3 3 2" xfId="0"/>
    <cellStyle name="Normal 6 2 2 2 2 3 3 2 2" xfId="0"/>
    <cellStyle name="Normal 6 2 2 2 2 3 3 2 2 2" xfId="0"/>
    <cellStyle name="Normal 6 2 2 2 2 3 3 2 2 2 2" xfId="0"/>
    <cellStyle name="Normal 6 2 2 2 2 3 3 2 2 2 2 2" xfId="0"/>
    <cellStyle name="Normal 6 2 2 2 2 3 3 2 2 2 3" xfId="0"/>
    <cellStyle name="Normal 6 2 2 2 2 3 3 2 2 3" xfId="0"/>
    <cellStyle name="Normal 6 2 2 2 2 3 3 2 2 3 2" xfId="0"/>
    <cellStyle name="Normal 6 2 2 2 2 3 3 2 2 4" xfId="0"/>
    <cellStyle name="Normal 6 2 2 2 2 3 3 2 3" xfId="0"/>
    <cellStyle name="Normal 6 2 2 2 2 3 3 2 3 2" xfId="0"/>
    <cellStyle name="Normal 6 2 2 2 2 3 3 2 3 2 2" xfId="0"/>
    <cellStyle name="Normal 6 2 2 2 2 3 3 2 3 3" xfId="0"/>
    <cellStyle name="Normal 6 2 2 2 2 3 3 2 4" xfId="0"/>
    <cellStyle name="Normal 6 2 2 2 2 3 3 2 4 2" xfId="0"/>
    <cellStyle name="Normal 6 2 2 2 2 3 3 2 5" xfId="0"/>
    <cellStyle name="Normal 6 2 2 2 2 3 3 3" xfId="0"/>
    <cellStyle name="Normal 6 2 2 2 2 3 3 3 2" xfId="0"/>
    <cellStyle name="Normal 6 2 2 2 2 3 3 3 2 2" xfId="0"/>
    <cellStyle name="Normal 6 2 2 2 2 3 3 3 2 2 2" xfId="0"/>
    <cellStyle name="Normal 6 2 2 2 2 3 3 3 2 3" xfId="0"/>
    <cellStyle name="Normal 6 2 2 2 2 3 3 3 3" xfId="0"/>
    <cellStyle name="Normal 6 2 2 2 2 3 3 3 3 2" xfId="0"/>
    <cellStyle name="Normal 6 2 2 2 2 3 3 3 4" xfId="0"/>
    <cellStyle name="Normal 6 2 2 2 2 3 3 4" xfId="0"/>
    <cellStyle name="Normal 6 2 2 2 2 3 3 4 2" xfId="0"/>
    <cellStyle name="Normal 6 2 2 2 2 3 3 4 2 2" xfId="0"/>
    <cellStyle name="Normal 6 2 2 2 2 3 3 4 3" xfId="0"/>
    <cellStyle name="Normal 6 2 2 2 2 3 3 5" xfId="0"/>
    <cellStyle name="Normal 6 2 2 2 2 3 3 5 2" xfId="0"/>
    <cellStyle name="Normal 6 2 2 2 2 3 3 6" xfId="0"/>
    <cellStyle name="Normal 6 2 2 2 2 3 4" xfId="0"/>
    <cellStyle name="Normal 6 2 2 2 2 3 4 2" xfId="0"/>
    <cellStyle name="Normal 6 2 2 2 2 3 4 2 2" xfId="0"/>
    <cellStyle name="Normal 6 2 2 2 2 3 4 2 2 2" xfId="0"/>
    <cellStyle name="Normal 6 2 2 2 2 3 4 2 2 2 2" xfId="0"/>
    <cellStyle name="Normal 6 2 2 2 2 3 4 2 2 3" xfId="0"/>
    <cellStyle name="Normal 6 2 2 2 2 3 4 2 3" xfId="0"/>
    <cellStyle name="Normal 6 2 2 2 2 3 4 2 3 2" xfId="0"/>
    <cellStyle name="Normal 6 2 2 2 2 3 4 2 4" xfId="0"/>
    <cellStyle name="Normal 6 2 2 2 2 3 4 3" xfId="0"/>
    <cellStyle name="Normal 6 2 2 2 2 3 4 3 2" xfId="0"/>
    <cellStyle name="Normal 6 2 2 2 2 3 4 3 2 2" xfId="0"/>
    <cellStyle name="Normal 6 2 2 2 2 3 4 3 3" xfId="0"/>
    <cellStyle name="Normal 6 2 2 2 2 3 4 4" xfId="0"/>
    <cellStyle name="Normal 6 2 2 2 2 3 4 4 2" xfId="0"/>
    <cellStyle name="Normal 6 2 2 2 2 3 4 5" xfId="0"/>
    <cellStyle name="Normal 6 2 2 2 2 3 5" xfId="0"/>
    <cellStyle name="Normal 6 2 2 2 2 3 5 2" xfId="0"/>
    <cellStyle name="Normal 6 2 2 2 2 3 5 2 2" xfId="0"/>
    <cellStyle name="Normal 6 2 2 2 2 3 5 2 2 2" xfId="0"/>
    <cellStyle name="Normal 6 2 2 2 2 3 5 2 3" xfId="0"/>
    <cellStyle name="Normal 6 2 2 2 2 3 5 3" xfId="0"/>
    <cellStyle name="Normal 6 2 2 2 2 3 5 3 2" xfId="0"/>
    <cellStyle name="Normal 6 2 2 2 2 3 5 4" xfId="0"/>
    <cellStyle name="Normal 6 2 2 2 2 3 6" xfId="0"/>
    <cellStyle name="Normal 6 2 2 2 2 3 6 2" xfId="0"/>
    <cellStyle name="Normal 6 2 2 2 2 3 6 2 2" xfId="0"/>
    <cellStyle name="Normal 6 2 2 2 2 3 6 3" xfId="0"/>
    <cellStyle name="Normal 6 2 2 2 2 3 7" xfId="0"/>
    <cellStyle name="Normal 6 2 2 2 2 3 7 2" xfId="0"/>
    <cellStyle name="Normal 6 2 2 2 2 3 8" xfId="0"/>
    <cellStyle name="Normal 6 2 2 2 2 4" xfId="0"/>
    <cellStyle name="Normal 6 2 2 2 2 4 2" xfId="0"/>
    <cellStyle name="Normal 6 2 2 2 2 4 2 2" xfId="0"/>
    <cellStyle name="Normal 6 2 2 2 2 4 2 2 2" xfId="0"/>
    <cellStyle name="Normal 6 2 2 2 2 4 2 2 2 2" xfId="0"/>
    <cellStyle name="Normal 6 2 2 2 2 4 2 2 2 2 2" xfId="0"/>
    <cellStyle name="Normal 6 2 2 2 2 4 2 2 2 2 2 2" xfId="0"/>
    <cellStyle name="Normal 6 2 2 2 2 4 2 2 2 2 3" xfId="0"/>
    <cellStyle name="Normal 6 2 2 2 2 4 2 2 2 3" xfId="0"/>
    <cellStyle name="Normal 6 2 2 2 2 4 2 2 2 3 2" xfId="0"/>
    <cellStyle name="Normal 6 2 2 2 2 4 2 2 2 4" xfId="0"/>
    <cellStyle name="Normal 6 2 2 2 2 4 2 2 3" xfId="0"/>
    <cellStyle name="Normal 6 2 2 2 2 4 2 2 3 2" xfId="0"/>
    <cellStyle name="Normal 6 2 2 2 2 4 2 2 3 2 2" xfId="0"/>
    <cellStyle name="Normal 6 2 2 2 2 4 2 2 3 3" xfId="0"/>
    <cellStyle name="Normal 6 2 2 2 2 4 2 2 4" xfId="0"/>
    <cellStyle name="Normal 6 2 2 2 2 4 2 2 4 2" xfId="0"/>
    <cellStyle name="Normal 6 2 2 2 2 4 2 2 5" xfId="0"/>
    <cellStyle name="Normal 6 2 2 2 2 4 2 3" xfId="0"/>
    <cellStyle name="Normal 6 2 2 2 2 4 2 3 2" xfId="0"/>
    <cellStyle name="Normal 6 2 2 2 2 4 2 3 2 2" xfId="0"/>
    <cellStyle name="Normal 6 2 2 2 2 4 2 3 2 2 2" xfId="0"/>
    <cellStyle name="Normal 6 2 2 2 2 4 2 3 2 3" xfId="0"/>
    <cellStyle name="Normal 6 2 2 2 2 4 2 3 3" xfId="0"/>
    <cellStyle name="Normal 6 2 2 2 2 4 2 3 3 2" xfId="0"/>
    <cellStyle name="Normal 6 2 2 2 2 4 2 3 4" xfId="0"/>
    <cellStyle name="Normal 6 2 2 2 2 4 2 4" xfId="0"/>
    <cellStyle name="Normal 6 2 2 2 2 4 2 4 2" xfId="0"/>
    <cellStyle name="Normal 6 2 2 2 2 4 2 4 2 2" xfId="0"/>
    <cellStyle name="Normal 6 2 2 2 2 4 2 4 3" xfId="0"/>
    <cellStyle name="Normal 6 2 2 2 2 4 2 5" xfId="0"/>
    <cellStyle name="Normal 6 2 2 2 2 4 2 5 2" xfId="0"/>
    <cellStyle name="Normal 6 2 2 2 2 4 2 6" xfId="0"/>
    <cellStyle name="Normal 6 2 2 2 2 4 3" xfId="0"/>
    <cellStyle name="Normal 6 2 2 2 2 4 3 2" xfId="0"/>
    <cellStyle name="Normal 6 2 2 2 2 4 3 2 2" xfId="0"/>
    <cellStyle name="Normal 6 2 2 2 2 4 3 2 2 2" xfId="0"/>
    <cellStyle name="Normal 6 2 2 2 2 4 3 2 2 2 2" xfId="0"/>
    <cellStyle name="Normal 6 2 2 2 2 4 3 2 2 3" xfId="0"/>
    <cellStyle name="Normal 6 2 2 2 2 4 3 2 3" xfId="0"/>
    <cellStyle name="Normal 6 2 2 2 2 4 3 2 3 2" xfId="0"/>
    <cellStyle name="Normal 6 2 2 2 2 4 3 2 4" xfId="0"/>
    <cellStyle name="Normal 6 2 2 2 2 4 3 3" xfId="0"/>
    <cellStyle name="Normal 6 2 2 2 2 4 3 3 2" xfId="0"/>
    <cellStyle name="Normal 6 2 2 2 2 4 3 3 2 2" xfId="0"/>
    <cellStyle name="Normal 6 2 2 2 2 4 3 3 3" xfId="0"/>
    <cellStyle name="Normal 6 2 2 2 2 4 3 4" xfId="0"/>
    <cellStyle name="Normal 6 2 2 2 2 4 3 4 2" xfId="0"/>
    <cellStyle name="Normal 6 2 2 2 2 4 3 5" xfId="0"/>
    <cellStyle name="Normal 6 2 2 2 2 4 4" xfId="0"/>
    <cellStyle name="Normal 6 2 2 2 2 4 4 2" xfId="0"/>
    <cellStyle name="Normal 6 2 2 2 2 4 4 2 2" xfId="0"/>
    <cellStyle name="Normal 6 2 2 2 2 4 4 2 2 2" xfId="0"/>
    <cellStyle name="Normal 6 2 2 2 2 4 4 2 3" xfId="0"/>
    <cellStyle name="Normal 6 2 2 2 2 4 4 3" xfId="0"/>
    <cellStyle name="Normal 6 2 2 2 2 4 4 3 2" xfId="0"/>
    <cellStyle name="Normal 6 2 2 2 2 4 4 4" xfId="0"/>
    <cellStyle name="Normal 6 2 2 2 2 4 5" xfId="0"/>
    <cellStyle name="Normal 6 2 2 2 2 4 5 2" xfId="0"/>
    <cellStyle name="Normal 6 2 2 2 2 4 5 2 2" xfId="0"/>
    <cellStyle name="Normal 6 2 2 2 2 4 5 3" xfId="0"/>
    <cellStyle name="Normal 6 2 2 2 2 4 6" xfId="0"/>
    <cellStyle name="Normal 6 2 2 2 2 4 6 2" xfId="0"/>
    <cellStyle name="Normal 6 2 2 2 2 4 7" xfId="0"/>
    <cellStyle name="Normal 6 2 2 2 2 5" xfId="0"/>
    <cellStyle name="Normal 6 2 2 2 2 5 2" xfId="0"/>
    <cellStyle name="Normal 6 2 2 2 2 5 2 2" xfId="0"/>
    <cellStyle name="Normal 6 2 2 2 2 5 2 2 2" xfId="0"/>
    <cellStyle name="Normal 6 2 2 2 2 5 2 2 2 2" xfId="0"/>
    <cellStyle name="Normal 6 2 2 2 2 5 2 2 2 2 2" xfId="0"/>
    <cellStyle name="Normal 6 2 2 2 2 5 2 2 2 2 2 2" xfId="0"/>
    <cellStyle name="Normal 6 2 2 2 2 5 2 2 2 2 3" xfId="0"/>
    <cellStyle name="Normal 6 2 2 2 2 5 2 2 2 3" xfId="0"/>
    <cellStyle name="Normal 6 2 2 2 2 5 2 2 2 3 2" xfId="0"/>
    <cellStyle name="Normal 6 2 2 2 2 5 2 2 2 4" xfId="0"/>
    <cellStyle name="Normal 6 2 2 2 2 5 2 2 3" xfId="0"/>
    <cellStyle name="Normal 6 2 2 2 2 5 2 2 3 2" xfId="0"/>
    <cellStyle name="Normal 6 2 2 2 2 5 2 2 3 2 2" xfId="0"/>
    <cellStyle name="Normal 6 2 2 2 2 5 2 2 3 3" xfId="0"/>
    <cellStyle name="Normal 6 2 2 2 2 5 2 2 4" xfId="0"/>
    <cellStyle name="Normal 6 2 2 2 2 5 2 2 4 2" xfId="0"/>
    <cellStyle name="Normal 6 2 2 2 2 5 2 2 5" xfId="0"/>
    <cellStyle name="Normal 6 2 2 2 2 5 2 3" xfId="0"/>
    <cellStyle name="Normal 6 2 2 2 2 5 2 3 2" xfId="0"/>
    <cellStyle name="Normal 6 2 2 2 2 5 2 3 2 2" xfId="0"/>
    <cellStyle name="Normal 6 2 2 2 2 5 2 3 2 2 2" xfId="0"/>
    <cellStyle name="Normal 6 2 2 2 2 5 2 3 2 3" xfId="0"/>
    <cellStyle name="Normal 6 2 2 2 2 5 2 3 3" xfId="0"/>
    <cellStyle name="Normal 6 2 2 2 2 5 2 3 3 2" xfId="0"/>
    <cellStyle name="Normal 6 2 2 2 2 5 2 3 4" xfId="0"/>
    <cellStyle name="Normal 6 2 2 2 2 5 2 4" xfId="0"/>
    <cellStyle name="Normal 6 2 2 2 2 5 2 4 2" xfId="0"/>
    <cellStyle name="Normal 6 2 2 2 2 5 2 4 2 2" xfId="0"/>
    <cellStyle name="Normal 6 2 2 2 2 5 2 4 3" xfId="0"/>
    <cellStyle name="Normal 6 2 2 2 2 5 2 5" xfId="0"/>
    <cellStyle name="Normal 6 2 2 2 2 5 2 5 2" xfId="0"/>
    <cellStyle name="Normal 6 2 2 2 2 5 2 6" xfId="0"/>
    <cellStyle name="Normal 6 2 2 2 2 5 3" xfId="0"/>
    <cellStyle name="Normal 6 2 2 2 2 5 3 2" xfId="0"/>
    <cellStyle name="Normal 6 2 2 2 2 5 3 2 2" xfId="0"/>
    <cellStyle name="Normal 6 2 2 2 2 5 3 2 2 2" xfId="0"/>
    <cellStyle name="Normal 6 2 2 2 2 5 3 2 2 2 2" xfId="0"/>
    <cellStyle name="Normal 6 2 2 2 2 5 3 2 2 3" xfId="0"/>
    <cellStyle name="Normal 6 2 2 2 2 5 3 2 3" xfId="0"/>
    <cellStyle name="Normal 6 2 2 2 2 5 3 2 3 2" xfId="0"/>
    <cellStyle name="Normal 6 2 2 2 2 5 3 2 4" xfId="0"/>
    <cellStyle name="Normal 6 2 2 2 2 5 3 3" xfId="0"/>
    <cellStyle name="Normal 6 2 2 2 2 5 3 3 2" xfId="0"/>
    <cellStyle name="Normal 6 2 2 2 2 5 3 3 2 2" xfId="0"/>
    <cellStyle name="Normal 6 2 2 2 2 5 3 3 3" xfId="0"/>
    <cellStyle name="Normal 6 2 2 2 2 5 3 4" xfId="0"/>
    <cellStyle name="Normal 6 2 2 2 2 5 3 4 2" xfId="0"/>
    <cellStyle name="Normal 6 2 2 2 2 5 3 5" xfId="0"/>
    <cellStyle name="Normal 6 2 2 2 2 5 4" xfId="0"/>
    <cellStyle name="Normal 6 2 2 2 2 5 4 2" xfId="0"/>
    <cellStyle name="Normal 6 2 2 2 2 5 4 2 2" xfId="0"/>
    <cellStyle name="Normal 6 2 2 2 2 5 4 2 2 2" xfId="0"/>
    <cellStyle name="Normal 6 2 2 2 2 5 4 2 3" xfId="0"/>
    <cellStyle name="Normal 6 2 2 2 2 5 4 3" xfId="0"/>
    <cellStyle name="Normal 6 2 2 2 2 5 4 3 2" xfId="0"/>
    <cellStyle name="Normal 6 2 2 2 2 5 4 4" xfId="0"/>
    <cellStyle name="Normal 6 2 2 2 2 5 5" xfId="0"/>
    <cellStyle name="Normal 6 2 2 2 2 5 5 2" xfId="0"/>
    <cellStyle name="Normal 6 2 2 2 2 5 5 2 2" xfId="0"/>
    <cellStyle name="Normal 6 2 2 2 2 5 5 3" xfId="0"/>
    <cellStyle name="Normal 6 2 2 2 2 5 6" xfId="0"/>
    <cellStyle name="Normal 6 2 2 2 2 5 6 2" xfId="0"/>
    <cellStyle name="Normal 6 2 2 2 2 5 7" xfId="0"/>
    <cellStyle name="Normal 6 2 2 2 2 6" xfId="0"/>
    <cellStyle name="Normal 6 2 2 2 2 6 2" xfId="0"/>
    <cellStyle name="Normal 6 2 2 2 2 6 2 2" xfId="0"/>
    <cellStyle name="Normal 6 2 2 2 2 6 2 2 2" xfId="0"/>
    <cellStyle name="Normal 6 2 2 2 2 6 2 2 2 2" xfId="0"/>
    <cellStyle name="Normal 6 2 2 2 2 6 2 2 2 2 2" xfId="0"/>
    <cellStyle name="Normal 6 2 2 2 2 6 2 2 2 3" xfId="0"/>
    <cellStyle name="Normal 6 2 2 2 2 6 2 2 3" xfId="0"/>
    <cellStyle name="Normal 6 2 2 2 2 6 2 2 3 2" xfId="0"/>
    <cellStyle name="Normal 6 2 2 2 2 6 2 2 4" xfId="0"/>
    <cellStyle name="Normal 6 2 2 2 2 6 2 3" xfId="0"/>
    <cellStyle name="Normal 6 2 2 2 2 6 2 3 2" xfId="0"/>
    <cellStyle name="Normal 6 2 2 2 2 6 2 3 2 2" xfId="0"/>
    <cellStyle name="Normal 6 2 2 2 2 6 2 3 3" xfId="0"/>
    <cellStyle name="Normal 6 2 2 2 2 6 2 4" xfId="0"/>
    <cellStyle name="Normal 6 2 2 2 2 6 2 4 2" xfId="0"/>
    <cellStyle name="Normal 6 2 2 2 2 6 2 5" xfId="0"/>
    <cellStyle name="Normal 6 2 2 2 2 6 3" xfId="0"/>
    <cellStyle name="Normal 6 2 2 2 2 6 3 2" xfId="0"/>
    <cellStyle name="Normal 6 2 2 2 2 6 3 2 2" xfId="0"/>
    <cellStyle name="Normal 6 2 2 2 2 6 3 2 2 2" xfId="0"/>
    <cellStyle name="Normal 6 2 2 2 2 6 3 2 3" xfId="0"/>
    <cellStyle name="Normal 6 2 2 2 2 6 3 3" xfId="0"/>
    <cellStyle name="Normal 6 2 2 2 2 6 3 3 2" xfId="0"/>
    <cellStyle name="Normal 6 2 2 2 2 6 3 4" xfId="0"/>
    <cellStyle name="Normal 6 2 2 2 2 6 4" xfId="0"/>
    <cellStyle name="Normal 6 2 2 2 2 6 4 2" xfId="0"/>
    <cellStyle name="Normal 6 2 2 2 2 6 4 2 2" xfId="0"/>
    <cellStyle name="Normal 6 2 2 2 2 6 4 3" xfId="0"/>
    <cellStyle name="Normal 6 2 2 2 2 6 5" xfId="0"/>
    <cellStyle name="Normal 6 2 2 2 2 6 5 2" xfId="0"/>
    <cellStyle name="Normal 6 2 2 2 2 6 6" xfId="0"/>
    <cellStyle name="Normal 6 2 2 2 2 7" xfId="0"/>
    <cellStyle name="Normal 6 2 2 2 2 7 2" xfId="0"/>
    <cellStyle name="Normal 6 2 2 2 2 7 2 2" xfId="0"/>
    <cellStyle name="Normal 6 2 2 2 2 7 2 2 2" xfId="0"/>
    <cellStyle name="Normal 6 2 2 2 2 7 2 2 2 2" xfId="0"/>
    <cellStyle name="Normal 6 2 2 2 2 7 2 2 3" xfId="0"/>
    <cellStyle name="Normal 6 2 2 2 2 7 2 3" xfId="0"/>
    <cellStyle name="Normal 6 2 2 2 2 7 2 3 2" xfId="0"/>
    <cellStyle name="Normal 6 2 2 2 2 7 2 4" xfId="0"/>
    <cellStyle name="Normal 6 2 2 2 2 7 3" xfId="0"/>
    <cellStyle name="Normal 6 2 2 2 2 7 3 2" xfId="0"/>
    <cellStyle name="Normal 6 2 2 2 2 7 3 2 2" xfId="0"/>
    <cellStyle name="Normal 6 2 2 2 2 7 3 3" xfId="0"/>
    <cellStyle name="Normal 6 2 2 2 2 7 4" xfId="0"/>
    <cellStyle name="Normal 6 2 2 2 2 7 4 2" xfId="0"/>
    <cellStyle name="Normal 6 2 2 2 2 7 5" xfId="0"/>
    <cellStyle name="Normal 6 2 2 2 2 8" xfId="0"/>
    <cellStyle name="Normal 6 2 2 2 2 8 2" xfId="0"/>
    <cellStyle name="Normal 6 2 2 2 2 8 2 2" xfId="0"/>
    <cellStyle name="Normal 6 2 2 2 2 8 2 2 2" xfId="0"/>
    <cellStyle name="Normal 6 2 2 2 2 8 2 3" xfId="0"/>
    <cellStyle name="Normal 6 2 2 2 2 8 3" xfId="0"/>
    <cellStyle name="Normal 6 2 2 2 2 8 3 2" xfId="0"/>
    <cellStyle name="Normal 6 2 2 2 2 8 4" xfId="0"/>
    <cellStyle name="Normal 6 2 2 2 2 9" xfId="0"/>
    <cellStyle name="Normal 6 2 2 2 2 9 2" xfId="0"/>
    <cellStyle name="Normal 6 2 2 2 2 9 2 2" xfId="0"/>
    <cellStyle name="Normal 6 2 2 2 2 9 3" xfId="0"/>
    <cellStyle name="Normal 6 2 2 2 3" xfId="0"/>
    <cellStyle name="Normal 6 2 2 2 3 2" xfId="0"/>
    <cellStyle name="Normal 6 2 2 2 3 2 2" xfId="0"/>
    <cellStyle name="Normal 6 2 2 2 3 2 2 2" xfId="0"/>
    <cellStyle name="Normal 6 2 2 2 3 2 2 2 2" xfId="0"/>
    <cellStyle name="Normal 6 2 2 2 3 2 2 2 2 2" xfId="0"/>
    <cellStyle name="Normal 6 2 2 2 3 2 2 2 2 2 2" xfId="0"/>
    <cellStyle name="Normal 6 2 2 2 3 2 2 2 2 2 2 2" xfId="0"/>
    <cellStyle name="Normal 6 2 2 2 3 2 2 2 2 2 3" xfId="0"/>
    <cellStyle name="Normal 6 2 2 2 3 2 2 2 2 3" xfId="0"/>
    <cellStyle name="Normal 6 2 2 2 3 2 2 2 2 3 2" xfId="0"/>
    <cellStyle name="Normal 6 2 2 2 3 2 2 2 2 4" xfId="0"/>
    <cellStyle name="Normal 6 2 2 2 3 2 2 2 3" xfId="0"/>
    <cellStyle name="Normal 6 2 2 2 3 2 2 2 3 2" xfId="0"/>
    <cellStyle name="Normal 6 2 2 2 3 2 2 2 3 2 2" xfId="0"/>
    <cellStyle name="Normal 6 2 2 2 3 2 2 2 3 3" xfId="0"/>
    <cellStyle name="Normal 6 2 2 2 3 2 2 2 4" xfId="0"/>
    <cellStyle name="Normal 6 2 2 2 3 2 2 2 4 2" xfId="0"/>
    <cellStyle name="Normal 6 2 2 2 3 2 2 2 5" xfId="0"/>
    <cellStyle name="Normal 6 2 2 2 3 2 2 3" xfId="0"/>
    <cellStyle name="Normal 6 2 2 2 3 2 2 3 2" xfId="0"/>
    <cellStyle name="Normal 6 2 2 2 3 2 2 3 2 2" xfId="0"/>
    <cellStyle name="Normal 6 2 2 2 3 2 2 3 2 2 2" xfId="0"/>
    <cellStyle name="Normal 6 2 2 2 3 2 2 3 2 3" xfId="0"/>
    <cellStyle name="Normal 6 2 2 2 3 2 2 3 3" xfId="0"/>
    <cellStyle name="Normal 6 2 2 2 3 2 2 3 3 2" xfId="0"/>
    <cellStyle name="Normal 6 2 2 2 3 2 2 3 4" xfId="0"/>
    <cellStyle name="Normal 6 2 2 2 3 2 2 4" xfId="0"/>
    <cellStyle name="Normal 6 2 2 2 3 2 2 4 2" xfId="0"/>
    <cellStyle name="Normal 6 2 2 2 3 2 2 4 2 2" xfId="0"/>
    <cellStyle name="Normal 6 2 2 2 3 2 2 4 3" xfId="0"/>
    <cellStyle name="Normal 6 2 2 2 3 2 2 5" xfId="0"/>
    <cellStyle name="Normal 6 2 2 2 3 2 2 5 2" xfId="0"/>
    <cellStyle name="Normal 6 2 2 2 3 2 2 6" xfId="0"/>
    <cellStyle name="Normal 6 2 2 2 3 2 3" xfId="0"/>
    <cellStyle name="Normal 6 2 2 2 3 2 3 2" xfId="0"/>
    <cellStyle name="Normal 6 2 2 2 3 2 3 2 2" xfId="0"/>
    <cellStyle name="Normal 6 2 2 2 3 2 3 2 2 2" xfId="0"/>
    <cellStyle name="Normal 6 2 2 2 3 2 3 2 2 2 2" xfId="0"/>
    <cellStyle name="Normal 6 2 2 2 3 2 3 2 2 3" xfId="0"/>
    <cellStyle name="Normal 6 2 2 2 3 2 3 2 3" xfId="0"/>
    <cellStyle name="Normal 6 2 2 2 3 2 3 2 3 2" xfId="0"/>
    <cellStyle name="Normal 6 2 2 2 3 2 3 2 4" xfId="0"/>
    <cellStyle name="Normal 6 2 2 2 3 2 3 3" xfId="0"/>
    <cellStyle name="Normal 6 2 2 2 3 2 3 3 2" xfId="0"/>
    <cellStyle name="Normal 6 2 2 2 3 2 3 3 2 2" xfId="0"/>
    <cellStyle name="Normal 6 2 2 2 3 2 3 3 3" xfId="0"/>
    <cellStyle name="Normal 6 2 2 2 3 2 3 4" xfId="0"/>
    <cellStyle name="Normal 6 2 2 2 3 2 3 4 2" xfId="0"/>
    <cellStyle name="Normal 6 2 2 2 3 2 3 5" xfId="0"/>
    <cellStyle name="Normal 6 2 2 2 3 2 4" xfId="0"/>
    <cellStyle name="Normal 6 2 2 2 3 2 4 2" xfId="0"/>
    <cellStyle name="Normal 6 2 2 2 3 2 4 2 2" xfId="0"/>
    <cellStyle name="Normal 6 2 2 2 3 2 4 2 2 2" xfId="0"/>
    <cellStyle name="Normal 6 2 2 2 3 2 4 2 3" xfId="0"/>
    <cellStyle name="Normal 6 2 2 2 3 2 4 3" xfId="0"/>
    <cellStyle name="Normal 6 2 2 2 3 2 4 3 2" xfId="0"/>
    <cellStyle name="Normal 6 2 2 2 3 2 4 4" xfId="0"/>
    <cellStyle name="Normal 6 2 2 2 3 2 5" xfId="0"/>
    <cellStyle name="Normal 6 2 2 2 3 2 5 2" xfId="0"/>
    <cellStyle name="Normal 6 2 2 2 3 2 5 2 2" xfId="0"/>
    <cellStyle name="Normal 6 2 2 2 3 2 5 3" xfId="0"/>
    <cellStyle name="Normal 6 2 2 2 3 2 6" xfId="0"/>
    <cellStyle name="Normal 6 2 2 2 3 2 6 2" xfId="0"/>
    <cellStyle name="Normal 6 2 2 2 3 2 7" xfId="0"/>
    <cellStyle name="Normal 6 2 2 2 3 3" xfId="0"/>
    <cellStyle name="Normal 6 2 2 2 3 3 2" xfId="0"/>
    <cellStyle name="Normal 6 2 2 2 3 3 2 2" xfId="0"/>
    <cellStyle name="Normal 6 2 2 2 3 3 2 2 2" xfId="0"/>
    <cellStyle name="Normal 6 2 2 2 3 3 2 2 2 2" xfId="0"/>
    <cellStyle name="Normal 6 2 2 2 3 3 2 2 2 2 2" xfId="0"/>
    <cellStyle name="Normal 6 2 2 2 3 3 2 2 2 3" xfId="0"/>
    <cellStyle name="Normal 6 2 2 2 3 3 2 2 3" xfId="0"/>
    <cellStyle name="Normal 6 2 2 2 3 3 2 2 3 2" xfId="0"/>
    <cellStyle name="Normal 6 2 2 2 3 3 2 2 4" xfId="0"/>
    <cellStyle name="Normal 6 2 2 2 3 3 2 3" xfId="0"/>
    <cellStyle name="Normal 6 2 2 2 3 3 2 3 2" xfId="0"/>
    <cellStyle name="Normal 6 2 2 2 3 3 2 3 2 2" xfId="0"/>
    <cellStyle name="Normal 6 2 2 2 3 3 2 3 3" xfId="0"/>
    <cellStyle name="Normal 6 2 2 2 3 3 2 4" xfId="0"/>
    <cellStyle name="Normal 6 2 2 2 3 3 2 4 2" xfId="0"/>
    <cellStyle name="Normal 6 2 2 2 3 3 2 5" xfId="0"/>
    <cellStyle name="Normal 6 2 2 2 3 3 3" xfId="0"/>
    <cellStyle name="Normal 6 2 2 2 3 3 3 2" xfId="0"/>
    <cellStyle name="Normal 6 2 2 2 3 3 3 2 2" xfId="0"/>
    <cellStyle name="Normal 6 2 2 2 3 3 3 2 2 2" xfId="0"/>
    <cellStyle name="Normal 6 2 2 2 3 3 3 2 3" xfId="0"/>
    <cellStyle name="Normal 6 2 2 2 3 3 3 3" xfId="0"/>
    <cellStyle name="Normal 6 2 2 2 3 3 3 3 2" xfId="0"/>
    <cellStyle name="Normal 6 2 2 2 3 3 3 4" xfId="0"/>
    <cellStyle name="Normal 6 2 2 2 3 3 4" xfId="0"/>
    <cellStyle name="Normal 6 2 2 2 3 3 4 2" xfId="0"/>
    <cellStyle name="Normal 6 2 2 2 3 3 4 2 2" xfId="0"/>
    <cellStyle name="Normal 6 2 2 2 3 3 4 3" xfId="0"/>
    <cellStyle name="Normal 6 2 2 2 3 3 5" xfId="0"/>
    <cellStyle name="Normal 6 2 2 2 3 3 5 2" xfId="0"/>
    <cellStyle name="Normal 6 2 2 2 3 3 6" xfId="0"/>
    <cellStyle name="Normal 6 2 2 2 3 4" xfId="0"/>
    <cellStyle name="Normal 6 2 2 2 3 4 2" xfId="0"/>
    <cellStyle name="Normal 6 2 2 2 3 4 2 2" xfId="0"/>
    <cellStyle name="Normal 6 2 2 2 3 4 2 2 2" xfId="0"/>
    <cellStyle name="Normal 6 2 2 2 3 4 2 2 2 2" xfId="0"/>
    <cellStyle name="Normal 6 2 2 2 3 4 2 2 3" xfId="0"/>
    <cellStyle name="Normal 6 2 2 2 3 4 2 3" xfId="0"/>
    <cellStyle name="Normal 6 2 2 2 3 4 2 3 2" xfId="0"/>
    <cellStyle name="Normal 6 2 2 2 3 4 2 4" xfId="0"/>
    <cellStyle name="Normal 6 2 2 2 3 4 3" xfId="0"/>
    <cellStyle name="Normal 6 2 2 2 3 4 3 2" xfId="0"/>
    <cellStyle name="Normal 6 2 2 2 3 4 3 2 2" xfId="0"/>
    <cellStyle name="Normal 6 2 2 2 3 4 3 3" xfId="0"/>
    <cellStyle name="Normal 6 2 2 2 3 4 4" xfId="0"/>
    <cellStyle name="Normal 6 2 2 2 3 4 4 2" xfId="0"/>
    <cellStyle name="Normal 6 2 2 2 3 4 5" xfId="0"/>
    <cellStyle name="Normal 6 2 2 2 3 5" xfId="0"/>
    <cellStyle name="Normal 6 2 2 2 3 5 2" xfId="0"/>
    <cellStyle name="Normal 6 2 2 2 3 5 2 2" xfId="0"/>
    <cellStyle name="Normal 6 2 2 2 3 5 2 2 2" xfId="0"/>
    <cellStyle name="Normal 6 2 2 2 3 5 2 3" xfId="0"/>
    <cellStyle name="Normal 6 2 2 2 3 5 3" xfId="0"/>
    <cellStyle name="Normal 6 2 2 2 3 5 3 2" xfId="0"/>
    <cellStyle name="Normal 6 2 2 2 3 5 4" xfId="0"/>
    <cellStyle name="Normal 6 2 2 2 3 6" xfId="0"/>
    <cellStyle name="Normal 6 2 2 2 3 6 2" xfId="0"/>
    <cellStyle name="Normal 6 2 2 2 3 6 2 2" xfId="0"/>
    <cellStyle name="Normal 6 2 2 2 3 6 3" xfId="0"/>
    <cellStyle name="Normal 6 2 2 2 3 7" xfId="0"/>
    <cellStyle name="Normal 6 2 2 2 3 7 2" xfId="0"/>
    <cellStyle name="Normal 6 2 2 2 3 8" xfId="0"/>
    <cellStyle name="Normal 6 2 2 2 4" xfId="0"/>
    <cellStyle name="Normal 6 2 2 2 4 2" xfId="0"/>
    <cellStyle name="Normal 6 2 2 2 4 2 2" xfId="0"/>
    <cellStyle name="Normal 6 2 2 2 4 2 2 2" xfId="0"/>
    <cellStyle name="Normal 6 2 2 2 4 2 2 2 2" xfId="0"/>
    <cellStyle name="Normal 6 2 2 2 4 2 2 2 2 2" xfId="0"/>
    <cellStyle name="Normal 6 2 2 2 4 2 2 2 2 2 2" xfId="0"/>
    <cellStyle name="Normal 6 2 2 2 4 2 2 2 2 2 2 2" xfId="0"/>
    <cellStyle name="Normal 6 2 2 2 4 2 2 2 2 2 3" xfId="0"/>
    <cellStyle name="Normal 6 2 2 2 4 2 2 2 2 3" xfId="0"/>
    <cellStyle name="Normal 6 2 2 2 4 2 2 2 2 3 2" xfId="0"/>
    <cellStyle name="Normal 6 2 2 2 4 2 2 2 2 4" xfId="0"/>
    <cellStyle name="Normal 6 2 2 2 4 2 2 2 3" xfId="0"/>
    <cellStyle name="Normal 6 2 2 2 4 2 2 2 3 2" xfId="0"/>
    <cellStyle name="Normal 6 2 2 2 4 2 2 2 3 2 2" xfId="0"/>
    <cellStyle name="Normal 6 2 2 2 4 2 2 2 3 3" xfId="0"/>
    <cellStyle name="Normal 6 2 2 2 4 2 2 2 4" xfId="0"/>
    <cellStyle name="Normal 6 2 2 2 4 2 2 2 4 2" xfId="0"/>
    <cellStyle name="Normal 6 2 2 2 4 2 2 2 5" xfId="0"/>
    <cellStyle name="Normal 6 2 2 2 4 2 2 3" xfId="0"/>
    <cellStyle name="Normal 6 2 2 2 4 2 2 3 2" xfId="0"/>
    <cellStyle name="Normal 6 2 2 2 4 2 2 3 2 2" xfId="0"/>
    <cellStyle name="Normal 6 2 2 2 4 2 2 3 2 2 2" xfId="0"/>
    <cellStyle name="Normal 6 2 2 2 4 2 2 3 2 3" xfId="0"/>
    <cellStyle name="Normal 6 2 2 2 4 2 2 3 3" xfId="0"/>
    <cellStyle name="Normal 6 2 2 2 4 2 2 3 3 2" xfId="0"/>
    <cellStyle name="Normal 6 2 2 2 4 2 2 3 4" xfId="0"/>
    <cellStyle name="Normal 6 2 2 2 4 2 2 4" xfId="0"/>
    <cellStyle name="Normal 6 2 2 2 4 2 2 4 2" xfId="0"/>
    <cellStyle name="Normal 6 2 2 2 4 2 2 4 2 2" xfId="0"/>
    <cellStyle name="Normal 6 2 2 2 4 2 2 4 3" xfId="0"/>
    <cellStyle name="Normal 6 2 2 2 4 2 2 5" xfId="0"/>
    <cellStyle name="Normal 6 2 2 2 4 2 2 5 2" xfId="0"/>
    <cellStyle name="Normal 6 2 2 2 4 2 2 6" xfId="0"/>
    <cellStyle name="Normal 6 2 2 2 4 2 3" xfId="0"/>
    <cellStyle name="Normal 6 2 2 2 4 2 3 2" xfId="0"/>
    <cellStyle name="Normal 6 2 2 2 4 2 3 2 2" xfId="0"/>
    <cellStyle name="Normal 6 2 2 2 4 2 3 2 2 2" xfId="0"/>
    <cellStyle name="Normal 6 2 2 2 4 2 3 2 2 2 2" xfId="0"/>
    <cellStyle name="Normal 6 2 2 2 4 2 3 2 2 3" xfId="0"/>
    <cellStyle name="Normal 6 2 2 2 4 2 3 2 3" xfId="0"/>
    <cellStyle name="Normal 6 2 2 2 4 2 3 2 3 2" xfId="0"/>
    <cellStyle name="Normal 6 2 2 2 4 2 3 2 4" xfId="0"/>
    <cellStyle name="Normal 6 2 2 2 4 2 3 3" xfId="0"/>
    <cellStyle name="Normal 6 2 2 2 4 2 3 3 2" xfId="0"/>
    <cellStyle name="Normal 6 2 2 2 4 2 3 3 2 2" xfId="0"/>
    <cellStyle name="Normal 6 2 2 2 4 2 3 3 3" xfId="0"/>
    <cellStyle name="Normal 6 2 2 2 4 2 3 4" xfId="0"/>
    <cellStyle name="Normal 6 2 2 2 4 2 3 4 2" xfId="0"/>
    <cellStyle name="Normal 6 2 2 2 4 2 3 5" xfId="0"/>
    <cellStyle name="Normal 6 2 2 2 4 2 4" xfId="0"/>
    <cellStyle name="Normal 6 2 2 2 4 2 4 2" xfId="0"/>
    <cellStyle name="Normal 6 2 2 2 4 2 4 2 2" xfId="0"/>
    <cellStyle name="Normal 6 2 2 2 4 2 4 2 2 2" xfId="0"/>
    <cellStyle name="Normal 6 2 2 2 4 2 4 2 3" xfId="0"/>
    <cellStyle name="Normal 6 2 2 2 4 2 4 3" xfId="0"/>
    <cellStyle name="Normal 6 2 2 2 4 2 4 3 2" xfId="0"/>
    <cellStyle name="Normal 6 2 2 2 4 2 4 4" xfId="0"/>
    <cellStyle name="Normal 6 2 2 2 4 2 5" xfId="0"/>
    <cellStyle name="Normal 6 2 2 2 4 2 5 2" xfId="0"/>
    <cellStyle name="Normal 6 2 2 2 4 2 5 2 2" xfId="0"/>
    <cellStyle name="Normal 6 2 2 2 4 2 5 3" xfId="0"/>
    <cellStyle name="Normal 6 2 2 2 4 2 6" xfId="0"/>
    <cellStyle name="Normal 6 2 2 2 4 2 6 2" xfId="0"/>
    <cellStyle name="Normal 6 2 2 2 4 2 7" xfId="0"/>
    <cellStyle name="Normal 6 2 2 2 4 3" xfId="0"/>
    <cellStyle name="Normal 6 2 2 2 4 3 2" xfId="0"/>
    <cellStyle name="Normal 6 2 2 2 4 3 2 2" xfId="0"/>
    <cellStyle name="Normal 6 2 2 2 4 3 2 2 2" xfId="0"/>
    <cellStyle name="Normal 6 2 2 2 4 3 2 2 2 2" xfId="0"/>
    <cellStyle name="Normal 6 2 2 2 4 3 2 2 2 2 2" xfId="0"/>
    <cellStyle name="Normal 6 2 2 2 4 3 2 2 2 3" xfId="0"/>
    <cellStyle name="Normal 6 2 2 2 4 3 2 2 3" xfId="0"/>
    <cellStyle name="Normal 6 2 2 2 4 3 2 2 3 2" xfId="0"/>
    <cellStyle name="Normal 6 2 2 2 4 3 2 2 4" xfId="0"/>
    <cellStyle name="Normal 6 2 2 2 4 3 2 3" xfId="0"/>
    <cellStyle name="Normal 6 2 2 2 4 3 2 3 2" xfId="0"/>
    <cellStyle name="Normal 6 2 2 2 4 3 2 3 2 2" xfId="0"/>
    <cellStyle name="Normal 6 2 2 2 4 3 2 3 3" xfId="0"/>
    <cellStyle name="Normal 6 2 2 2 4 3 2 4" xfId="0"/>
    <cellStyle name="Normal 6 2 2 2 4 3 2 4 2" xfId="0"/>
    <cellStyle name="Normal 6 2 2 2 4 3 2 5" xfId="0"/>
    <cellStyle name="Normal 6 2 2 2 4 3 3" xfId="0"/>
    <cellStyle name="Normal 6 2 2 2 4 3 3 2" xfId="0"/>
    <cellStyle name="Normal 6 2 2 2 4 3 3 2 2" xfId="0"/>
    <cellStyle name="Normal 6 2 2 2 4 3 3 2 2 2" xfId="0"/>
    <cellStyle name="Normal 6 2 2 2 4 3 3 2 3" xfId="0"/>
    <cellStyle name="Normal 6 2 2 2 4 3 3 3" xfId="0"/>
    <cellStyle name="Normal 6 2 2 2 4 3 3 3 2" xfId="0"/>
    <cellStyle name="Normal 6 2 2 2 4 3 3 4" xfId="0"/>
    <cellStyle name="Normal 6 2 2 2 4 3 4" xfId="0"/>
    <cellStyle name="Normal 6 2 2 2 4 3 4 2" xfId="0"/>
    <cellStyle name="Normal 6 2 2 2 4 3 4 2 2" xfId="0"/>
    <cellStyle name="Normal 6 2 2 2 4 3 4 3" xfId="0"/>
    <cellStyle name="Normal 6 2 2 2 4 3 5" xfId="0"/>
    <cellStyle name="Normal 6 2 2 2 4 3 5 2" xfId="0"/>
    <cellStyle name="Normal 6 2 2 2 4 3 6" xfId="0"/>
    <cellStyle name="Normal 6 2 2 2 4 4" xfId="0"/>
    <cellStyle name="Normal 6 2 2 2 4 4 2" xfId="0"/>
    <cellStyle name="Normal 6 2 2 2 4 4 2 2" xfId="0"/>
    <cellStyle name="Normal 6 2 2 2 4 4 2 2 2" xfId="0"/>
    <cellStyle name="Normal 6 2 2 2 4 4 2 2 2 2" xfId="0"/>
    <cellStyle name="Normal 6 2 2 2 4 4 2 2 3" xfId="0"/>
    <cellStyle name="Normal 6 2 2 2 4 4 2 3" xfId="0"/>
    <cellStyle name="Normal 6 2 2 2 4 4 2 3 2" xfId="0"/>
    <cellStyle name="Normal 6 2 2 2 4 4 2 4" xfId="0"/>
    <cellStyle name="Normal 6 2 2 2 4 4 3" xfId="0"/>
    <cellStyle name="Normal 6 2 2 2 4 4 3 2" xfId="0"/>
    <cellStyle name="Normal 6 2 2 2 4 4 3 2 2" xfId="0"/>
    <cellStyle name="Normal 6 2 2 2 4 4 3 3" xfId="0"/>
    <cellStyle name="Normal 6 2 2 2 4 4 4" xfId="0"/>
    <cellStyle name="Normal 6 2 2 2 4 4 4 2" xfId="0"/>
    <cellStyle name="Normal 6 2 2 2 4 4 5" xfId="0"/>
    <cellStyle name="Normal 6 2 2 2 4 5" xfId="0"/>
    <cellStyle name="Normal 6 2 2 2 4 5 2" xfId="0"/>
    <cellStyle name="Normal 6 2 2 2 4 5 2 2" xfId="0"/>
    <cellStyle name="Normal 6 2 2 2 4 5 2 2 2" xfId="0"/>
    <cellStyle name="Normal 6 2 2 2 4 5 2 3" xfId="0"/>
    <cellStyle name="Normal 6 2 2 2 4 5 3" xfId="0"/>
    <cellStyle name="Normal 6 2 2 2 4 5 3 2" xfId="0"/>
    <cellStyle name="Normal 6 2 2 2 4 5 4" xfId="0"/>
    <cellStyle name="Normal 6 2 2 2 4 6" xfId="0"/>
    <cellStyle name="Normal 6 2 2 2 4 6 2" xfId="0"/>
    <cellStyle name="Normal 6 2 2 2 4 6 2 2" xfId="0"/>
    <cellStyle name="Normal 6 2 2 2 4 6 3" xfId="0"/>
    <cellStyle name="Normal 6 2 2 2 4 7" xfId="0"/>
    <cellStyle name="Normal 6 2 2 2 4 7 2" xfId="0"/>
    <cellStyle name="Normal 6 2 2 2 4 8" xfId="0"/>
    <cellStyle name="Normal 6 2 2 2 5" xfId="0"/>
    <cellStyle name="Normal 6 2 2 2 5 2" xfId="0"/>
    <cellStyle name="Normal 6 2 2 2 5 2 2" xfId="0"/>
    <cellStyle name="Normal 6 2 2 2 5 2 2 2" xfId="0"/>
    <cellStyle name="Normal 6 2 2 2 5 2 2 2 2" xfId="0"/>
    <cellStyle name="Normal 6 2 2 2 5 2 2 2 2 2" xfId="0"/>
    <cellStyle name="Normal 6 2 2 2 5 2 2 2 2 2 2" xfId="0"/>
    <cellStyle name="Normal 6 2 2 2 5 2 2 2 2 3" xfId="0"/>
    <cellStyle name="Normal 6 2 2 2 5 2 2 2 3" xfId="0"/>
    <cellStyle name="Normal 6 2 2 2 5 2 2 2 3 2" xfId="0"/>
    <cellStyle name="Normal 6 2 2 2 5 2 2 2 4" xfId="0"/>
    <cellStyle name="Normal 6 2 2 2 5 2 2 3" xfId="0"/>
    <cellStyle name="Normal 6 2 2 2 5 2 2 3 2" xfId="0"/>
    <cellStyle name="Normal 6 2 2 2 5 2 2 3 2 2" xfId="0"/>
    <cellStyle name="Normal 6 2 2 2 5 2 2 3 3" xfId="0"/>
    <cellStyle name="Normal 6 2 2 2 5 2 2 4" xfId="0"/>
    <cellStyle name="Normal 6 2 2 2 5 2 2 4 2" xfId="0"/>
    <cellStyle name="Normal 6 2 2 2 5 2 2 5" xfId="0"/>
    <cellStyle name="Normal 6 2 2 2 5 2 3" xfId="0"/>
    <cellStyle name="Normal 6 2 2 2 5 2 3 2" xfId="0"/>
    <cellStyle name="Normal 6 2 2 2 5 2 3 2 2" xfId="0"/>
    <cellStyle name="Normal 6 2 2 2 5 2 3 2 2 2" xfId="0"/>
    <cellStyle name="Normal 6 2 2 2 5 2 3 2 3" xfId="0"/>
    <cellStyle name="Normal 6 2 2 2 5 2 3 3" xfId="0"/>
    <cellStyle name="Normal 6 2 2 2 5 2 3 3 2" xfId="0"/>
    <cellStyle name="Normal 6 2 2 2 5 2 3 4" xfId="0"/>
    <cellStyle name="Normal 6 2 2 2 5 2 4" xfId="0"/>
    <cellStyle name="Normal 6 2 2 2 5 2 4 2" xfId="0"/>
    <cellStyle name="Normal 6 2 2 2 5 2 4 2 2" xfId="0"/>
    <cellStyle name="Normal 6 2 2 2 5 2 4 3" xfId="0"/>
    <cellStyle name="Normal 6 2 2 2 5 2 5" xfId="0"/>
    <cellStyle name="Normal 6 2 2 2 5 2 5 2" xfId="0"/>
    <cellStyle name="Normal 6 2 2 2 5 2 6" xfId="0"/>
    <cellStyle name="Normal 6 2 2 2 5 3" xfId="0"/>
    <cellStyle name="Normal 6 2 2 2 5 3 2" xfId="0"/>
    <cellStyle name="Normal 6 2 2 2 5 3 2 2" xfId="0"/>
    <cellStyle name="Normal 6 2 2 2 5 3 2 2 2" xfId="0"/>
    <cellStyle name="Normal 6 2 2 2 5 3 2 2 2 2" xfId="0"/>
    <cellStyle name="Normal 6 2 2 2 5 3 2 2 3" xfId="0"/>
    <cellStyle name="Normal 6 2 2 2 5 3 2 3" xfId="0"/>
    <cellStyle name="Normal 6 2 2 2 5 3 2 3 2" xfId="0"/>
    <cellStyle name="Normal 6 2 2 2 5 3 2 4" xfId="0"/>
    <cellStyle name="Normal 6 2 2 2 5 3 3" xfId="0"/>
    <cellStyle name="Normal 6 2 2 2 5 3 3 2" xfId="0"/>
    <cellStyle name="Normal 6 2 2 2 5 3 3 2 2" xfId="0"/>
    <cellStyle name="Normal 6 2 2 2 5 3 3 3" xfId="0"/>
    <cellStyle name="Normal 6 2 2 2 5 3 4" xfId="0"/>
    <cellStyle name="Normal 6 2 2 2 5 3 4 2" xfId="0"/>
    <cellStyle name="Normal 6 2 2 2 5 3 5" xfId="0"/>
    <cellStyle name="Normal 6 2 2 2 5 4" xfId="0"/>
    <cellStyle name="Normal 6 2 2 2 5 4 2" xfId="0"/>
    <cellStyle name="Normal 6 2 2 2 5 4 2 2" xfId="0"/>
    <cellStyle name="Normal 6 2 2 2 5 4 2 2 2" xfId="0"/>
    <cellStyle name="Normal 6 2 2 2 5 4 2 3" xfId="0"/>
    <cellStyle name="Normal 6 2 2 2 5 4 3" xfId="0"/>
    <cellStyle name="Normal 6 2 2 2 5 4 3 2" xfId="0"/>
    <cellStyle name="Normal 6 2 2 2 5 4 4" xfId="0"/>
    <cellStyle name="Normal 6 2 2 2 5 5" xfId="0"/>
    <cellStyle name="Normal 6 2 2 2 5 5 2" xfId="0"/>
    <cellStyle name="Normal 6 2 2 2 5 5 2 2" xfId="0"/>
    <cellStyle name="Normal 6 2 2 2 5 5 3" xfId="0"/>
    <cellStyle name="Normal 6 2 2 2 5 6" xfId="0"/>
    <cellStyle name="Normal 6 2 2 2 5 6 2" xfId="0"/>
    <cellStyle name="Normal 6 2 2 2 5 7" xfId="0"/>
    <cellStyle name="Normal 6 2 2 2 6" xfId="0"/>
    <cellStyle name="Normal 6 2 2 2 6 2" xfId="0"/>
    <cellStyle name="Normal 6 2 2 2 6 2 2" xfId="0"/>
    <cellStyle name="Normal 6 2 2 2 6 2 2 2" xfId="0"/>
    <cellStyle name="Normal 6 2 2 2 6 2 2 2 2" xfId="0"/>
    <cellStyle name="Normal 6 2 2 2 6 2 2 2 2 2" xfId="0"/>
    <cellStyle name="Normal 6 2 2 2 6 2 2 2 2 2 2" xfId="0"/>
    <cellStyle name="Normal 6 2 2 2 6 2 2 2 2 3" xfId="0"/>
    <cellStyle name="Normal 6 2 2 2 6 2 2 2 3" xfId="0"/>
    <cellStyle name="Normal 6 2 2 2 6 2 2 2 3 2" xfId="0"/>
    <cellStyle name="Normal 6 2 2 2 6 2 2 2 4" xfId="0"/>
    <cellStyle name="Normal 6 2 2 2 6 2 2 3" xfId="0"/>
    <cellStyle name="Normal 6 2 2 2 6 2 2 3 2" xfId="0"/>
    <cellStyle name="Normal 6 2 2 2 6 2 2 3 2 2" xfId="0"/>
    <cellStyle name="Normal 6 2 2 2 6 2 2 3 3" xfId="0"/>
    <cellStyle name="Normal 6 2 2 2 6 2 2 4" xfId="0"/>
    <cellStyle name="Normal 6 2 2 2 6 2 2 4 2" xfId="0"/>
    <cellStyle name="Normal 6 2 2 2 6 2 2 5" xfId="0"/>
    <cellStyle name="Normal 6 2 2 2 6 2 3" xfId="0"/>
    <cellStyle name="Normal 6 2 2 2 6 2 3 2" xfId="0"/>
    <cellStyle name="Normal 6 2 2 2 6 2 3 2 2" xfId="0"/>
    <cellStyle name="Normal 6 2 2 2 6 2 3 2 2 2" xfId="0"/>
    <cellStyle name="Normal 6 2 2 2 6 2 3 2 3" xfId="0"/>
    <cellStyle name="Normal 6 2 2 2 6 2 3 3" xfId="0"/>
    <cellStyle name="Normal 6 2 2 2 6 2 3 3 2" xfId="0"/>
    <cellStyle name="Normal 6 2 2 2 6 2 3 4" xfId="0"/>
    <cellStyle name="Normal 6 2 2 2 6 2 4" xfId="0"/>
    <cellStyle name="Normal 6 2 2 2 6 2 4 2" xfId="0"/>
    <cellStyle name="Normal 6 2 2 2 6 2 4 2 2" xfId="0"/>
    <cellStyle name="Normal 6 2 2 2 6 2 4 3" xfId="0"/>
    <cellStyle name="Normal 6 2 2 2 6 2 5" xfId="0"/>
    <cellStyle name="Normal 6 2 2 2 6 2 5 2" xfId="0"/>
    <cellStyle name="Normal 6 2 2 2 6 2 6" xfId="0"/>
    <cellStyle name="Normal 6 2 2 2 6 3" xfId="0"/>
    <cellStyle name="Normal 6 2 2 2 6 3 2" xfId="0"/>
    <cellStyle name="Normal 6 2 2 2 6 3 2 2" xfId="0"/>
    <cellStyle name="Normal 6 2 2 2 6 3 2 2 2" xfId="0"/>
    <cellStyle name="Normal 6 2 2 2 6 3 2 2 2 2" xfId="0"/>
    <cellStyle name="Normal 6 2 2 2 6 3 2 2 3" xfId="0"/>
    <cellStyle name="Normal 6 2 2 2 6 3 2 3" xfId="0"/>
    <cellStyle name="Normal 6 2 2 2 6 3 2 3 2" xfId="0"/>
    <cellStyle name="Normal 6 2 2 2 6 3 2 4" xfId="0"/>
    <cellStyle name="Normal 6 2 2 2 6 3 3" xfId="0"/>
    <cellStyle name="Normal 6 2 2 2 6 3 3 2" xfId="0"/>
    <cellStyle name="Normal 6 2 2 2 6 3 3 2 2" xfId="0"/>
    <cellStyle name="Normal 6 2 2 2 6 3 3 3" xfId="0"/>
    <cellStyle name="Normal 6 2 2 2 6 3 4" xfId="0"/>
    <cellStyle name="Normal 6 2 2 2 6 3 4 2" xfId="0"/>
    <cellStyle name="Normal 6 2 2 2 6 3 5" xfId="0"/>
    <cellStyle name="Normal 6 2 2 2 6 4" xfId="0"/>
    <cellStyle name="Normal 6 2 2 2 6 4 2" xfId="0"/>
    <cellStyle name="Normal 6 2 2 2 6 4 2 2" xfId="0"/>
    <cellStyle name="Normal 6 2 2 2 6 4 2 2 2" xfId="0"/>
    <cellStyle name="Normal 6 2 2 2 6 4 2 3" xfId="0"/>
    <cellStyle name="Normal 6 2 2 2 6 4 3" xfId="0"/>
    <cellStyle name="Normal 6 2 2 2 6 4 3 2" xfId="0"/>
    <cellStyle name="Normal 6 2 2 2 6 4 4" xfId="0"/>
    <cellStyle name="Normal 6 2 2 2 6 5" xfId="0"/>
    <cellStyle name="Normal 6 2 2 2 6 5 2" xfId="0"/>
    <cellStyle name="Normal 6 2 2 2 6 5 2 2" xfId="0"/>
    <cellStyle name="Normal 6 2 2 2 6 5 3" xfId="0"/>
    <cellStyle name="Normal 6 2 2 2 6 6" xfId="0"/>
    <cellStyle name="Normal 6 2 2 2 6 6 2" xfId="0"/>
    <cellStyle name="Normal 6 2 2 2 6 7" xfId="0"/>
    <cellStyle name="Normal 6 2 2 2 7" xfId="0"/>
    <cellStyle name="Normal 6 2 2 2 7 2" xfId="0"/>
    <cellStyle name="Normal 6 2 2 2 7 2 2" xfId="0"/>
    <cellStyle name="Normal 6 2 2 2 7 2 2 2" xfId="0"/>
    <cellStyle name="Normal 6 2 2 2 7 2 2 2 2" xfId="0"/>
    <cellStyle name="Normal 6 2 2 2 7 2 2 2 2 2" xfId="0"/>
    <cellStyle name="Normal 6 2 2 2 7 2 2 2 3" xfId="0"/>
    <cellStyle name="Normal 6 2 2 2 7 2 2 3" xfId="0"/>
    <cellStyle name="Normal 6 2 2 2 7 2 2 3 2" xfId="0"/>
    <cellStyle name="Normal 6 2 2 2 7 2 2 4" xfId="0"/>
    <cellStyle name="Normal 6 2 2 2 7 2 3" xfId="0"/>
    <cellStyle name="Normal 6 2 2 2 7 2 3 2" xfId="0"/>
    <cellStyle name="Normal 6 2 2 2 7 2 3 2 2" xfId="0"/>
    <cellStyle name="Normal 6 2 2 2 7 2 3 3" xfId="0"/>
    <cellStyle name="Normal 6 2 2 2 7 2 4" xfId="0"/>
    <cellStyle name="Normal 6 2 2 2 7 2 4 2" xfId="0"/>
    <cellStyle name="Normal 6 2 2 2 7 2 5" xfId="0"/>
    <cellStyle name="Normal 6 2 2 2 7 3" xfId="0"/>
    <cellStyle name="Normal 6 2 2 2 7 3 2" xfId="0"/>
    <cellStyle name="Normal 6 2 2 2 7 3 2 2" xfId="0"/>
    <cellStyle name="Normal 6 2 2 2 7 3 2 2 2" xfId="0"/>
    <cellStyle name="Normal 6 2 2 2 7 3 2 3" xfId="0"/>
    <cellStyle name="Normal 6 2 2 2 7 3 3" xfId="0"/>
    <cellStyle name="Normal 6 2 2 2 7 3 3 2" xfId="0"/>
    <cellStyle name="Normal 6 2 2 2 7 3 4" xfId="0"/>
    <cellStyle name="Normal 6 2 2 2 7 4" xfId="0"/>
    <cellStyle name="Normal 6 2 2 2 7 4 2" xfId="0"/>
    <cellStyle name="Normal 6 2 2 2 7 4 2 2" xfId="0"/>
    <cellStyle name="Normal 6 2 2 2 7 4 3" xfId="0"/>
    <cellStyle name="Normal 6 2 2 2 7 5" xfId="0"/>
    <cellStyle name="Normal 6 2 2 2 7 5 2" xfId="0"/>
    <cellStyle name="Normal 6 2 2 2 7 6" xfId="0"/>
    <cellStyle name="Normal 6 2 2 2 8" xfId="0"/>
    <cellStyle name="Normal 6 2 2 2 8 2" xfId="0"/>
    <cellStyle name="Normal 6 2 2 2 8 2 2" xfId="0"/>
    <cellStyle name="Normal 6 2 2 2 8 2 2 2" xfId="0"/>
    <cellStyle name="Normal 6 2 2 2 8 2 2 2 2" xfId="0"/>
    <cellStyle name="Normal 6 2 2 2 8 2 2 3" xfId="0"/>
    <cellStyle name="Normal 6 2 2 2 8 2 3" xfId="0"/>
    <cellStyle name="Normal 6 2 2 2 8 2 3 2" xfId="0"/>
    <cellStyle name="Normal 6 2 2 2 8 2 4" xfId="0"/>
    <cellStyle name="Normal 6 2 2 2 8 3" xfId="0"/>
    <cellStyle name="Normal 6 2 2 2 8 3 2" xfId="0"/>
    <cellStyle name="Normal 6 2 2 2 8 3 2 2" xfId="0"/>
    <cellStyle name="Normal 6 2 2 2 8 3 3" xfId="0"/>
    <cellStyle name="Normal 6 2 2 2 8 4" xfId="0"/>
    <cellStyle name="Normal 6 2 2 2 8 4 2" xfId="0"/>
    <cellStyle name="Normal 6 2 2 2 8 5" xfId="0"/>
    <cellStyle name="Normal 6 2 2 2 9" xfId="0"/>
    <cellStyle name="Normal 6 2 2 2 9 2" xfId="0"/>
    <cellStyle name="Normal 6 2 2 2 9 2 2" xfId="0"/>
    <cellStyle name="Normal 6 2 2 2 9 2 2 2" xfId="0"/>
    <cellStyle name="Normal 6 2 2 2 9 2 3" xfId="0"/>
    <cellStyle name="Normal 6 2 2 2 9 3" xfId="0"/>
    <cellStyle name="Normal 6 2 2 2 9 3 2" xfId="0"/>
    <cellStyle name="Normal 6 2 2 2 9 4" xfId="0"/>
    <cellStyle name="Normal 6 2 2 3" xfId="0"/>
    <cellStyle name="Normal 6 2 2 3 10" xfId="0"/>
    <cellStyle name="Normal 6 2 2 3 10 2" xfId="0"/>
    <cellStyle name="Normal 6 2 2 3 10 2 2" xfId="0"/>
    <cellStyle name="Normal 6 2 2 3 10 3" xfId="0"/>
    <cellStyle name="Normal 6 2 2 3 11" xfId="0"/>
    <cellStyle name="Normal 6 2 2 3 11 2" xfId="0"/>
    <cellStyle name="Normal 6 2 2 3 12" xfId="0"/>
    <cellStyle name="Normal 6 2 2 3 2" xfId="0"/>
    <cellStyle name="Normal 6 2 2 3 2 10" xfId="0"/>
    <cellStyle name="Normal 6 2 2 3 2 10 2" xfId="0"/>
    <cellStyle name="Normal 6 2 2 3 2 11" xfId="0"/>
    <cellStyle name="Normal 6 2 2 3 2 2" xfId="0"/>
    <cellStyle name="Normal 6 2 2 3 2 2 2" xfId="0"/>
    <cellStyle name="Normal 6 2 2 3 2 2 2 2" xfId="0"/>
    <cellStyle name="Normal 6 2 2 3 2 2 2 2 2" xfId="0"/>
    <cellStyle name="Normal 6 2 2 3 2 2 2 2 2 2" xfId="0"/>
    <cellStyle name="Normal 6 2 2 3 2 2 2 2 2 2 2" xfId="0"/>
    <cellStyle name="Normal 6 2 2 3 2 2 2 2 2 2 2 2" xfId="0"/>
    <cellStyle name="Normal 6 2 2 3 2 2 2 2 2 2 2 2 2" xfId="0"/>
    <cellStyle name="Normal 6 2 2 3 2 2 2 2 2 2 2 3" xfId="0"/>
    <cellStyle name="Normal 6 2 2 3 2 2 2 2 2 2 3" xfId="0"/>
    <cellStyle name="Normal 6 2 2 3 2 2 2 2 2 2 3 2" xfId="0"/>
    <cellStyle name="Normal 6 2 2 3 2 2 2 2 2 2 4" xfId="0"/>
    <cellStyle name="Normal 6 2 2 3 2 2 2 2 2 3" xfId="0"/>
    <cellStyle name="Normal 6 2 2 3 2 2 2 2 2 3 2" xfId="0"/>
    <cellStyle name="Normal 6 2 2 3 2 2 2 2 2 3 2 2" xfId="0"/>
    <cellStyle name="Normal 6 2 2 3 2 2 2 2 2 3 3" xfId="0"/>
    <cellStyle name="Normal 6 2 2 3 2 2 2 2 2 4" xfId="0"/>
    <cellStyle name="Normal 6 2 2 3 2 2 2 2 2 4 2" xfId="0"/>
    <cellStyle name="Normal 6 2 2 3 2 2 2 2 2 5" xfId="0"/>
    <cellStyle name="Normal 6 2 2 3 2 2 2 2 3" xfId="0"/>
    <cellStyle name="Normal 6 2 2 3 2 2 2 2 3 2" xfId="0"/>
    <cellStyle name="Normal 6 2 2 3 2 2 2 2 3 2 2" xfId="0"/>
    <cellStyle name="Normal 6 2 2 3 2 2 2 2 3 2 2 2" xfId="0"/>
    <cellStyle name="Normal 6 2 2 3 2 2 2 2 3 2 3" xfId="0"/>
    <cellStyle name="Normal 6 2 2 3 2 2 2 2 3 3" xfId="0"/>
    <cellStyle name="Normal 6 2 2 3 2 2 2 2 3 3 2" xfId="0"/>
    <cellStyle name="Normal 6 2 2 3 2 2 2 2 3 4" xfId="0"/>
    <cellStyle name="Normal 6 2 2 3 2 2 2 2 4" xfId="0"/>
    <cellStyle name="Normal 6 2 2 3 2 2 2 2 4 2" xfId="0"/>
    <cellStyle name="Normal 6 2 2 3 2 2 2 2 4 2 2" xfId="0"/>
    <cellStyle name="Normal 6 2 2 3 2 2 2 2 4 3" xfId="0"/>
    <cellStyle name="Normal 6 2 2 3 2 2 2 2 5" xfId="0"/>
    <cellStyle name="Normal 6 2 2 3 2 2 2 2 5 2" xfId="0"/>
    <cellStyle name="Normal 6 2 2 3 2 2 2 2 6" xfId="0"/>
    <cellStyle name="Normal 6 2 2 3 2 2 2 3" xfId="0"/>
    <cellStyle name="Normal 6 2 2 3 2 2 2 3 2" xfId="0"/>
    <cellStyle name="Normal 6 2 2 3 2 2 2 3 2 2" xfId="0"/>
    <cellStyle name="Normal 6 2 2 3 2 2 2 3 2 2 2" xfId="0"/>
    <cellStyle name="Normal 6 2 2 3 2 2 2 3 2 2 2 2" xfId="0"/>
    <cellStyle name="Normal 6 2 2 3 2 2 2 3 2 2 3" xfId="0"/>
    <cellStyle name="Normal 6 2 2 3 2 2 2 3 2 3" xfId="0"/>
    <cellStyle name="Normal 6 2 2 3 2 2 2 3 2 3 2" xfId="0"/>
    <cellStyle name="Normal 6 2 2 3 2 2 2 3 2 4" xfId="0"/>
    <cellStyle name="Normal 6 2 2 3 2 2 2 3 3" xfId="0"/>
    <cellStyle name="Normal 6 2 2 3 2 2 2 3 3 2" xfId="0"/>
    <cellStyle name="Normal 6 2 2 3 2 2 2 3 3 2 2" xfId="0"/>
    <cellStyle name="Normal 6 2 2 3 2 2 2 3 3 3" xfId="0"/>
    <cellStyle name="Normal 6 2 2 3 2 2 2 3 4" xfId="0"/>
    <cellStyle name="Normal 6 2 2 3 2 2 2 3 4 2" xfId="0"/>
    <cellStyle name="Normal 6 2 2 3 2 2 2 3 5" xfId="0"/>
    <cellStyle name="Normal 6 2 2 3 2 2 2 4" xfId="0"/>
    <cellStyle name="Normal 6 2 2 3 2 2 2 4 2" xfId="0"/>
    <cellStyle name="Normal 6 2 2 3 2 2 2 4 2 2" xfId="0"/>
    <cellStyle name="Normal 6 2 2 3 2 2 2 4 2 2 2" xfId="0"/>
    <cellStyle name="Normal 6 2 2 3 2 2 2 4 2 3" xfId="0"/>
    <cellStyle name="Normal 6 2 2 3 2 2 2 4 3" xfId="0"/>
    <cellStyle name="Normal 6 2 2 3 2 2 2 4 3 2" xfId="0"/>
    <cellStyle name="Normal 6 2 2 3 2 2 2 4 4" xfId="0"/>
    <cellStyle name="Normal 6 2 2 3 2 2 2 5" xfId="0"/>
    <cellStyle name="Normal 6 2 2 3 2 2 2 5 2" xfId="0"/>
    <cellStyle name="Normal 6 2 2 3 2 2 2 5 2 2" xfId="0"/>
    <cellStyle name="Normal 6 2 2 3 2 2 2 5 3" xfId="0"/>
    <cellStyle name="Normal 6 2 2 3 2 2 2 6" xfId="0"/>
    <cellStyle name="Normal 6 2 2 3 2 2 2 6 2" xfId="0"/>
    <cellStyle name="Normal 6 2 2 3 2 2 2 7" xfId="0"/>
    <cellStyle name="Normal 6 2 2 3 2 2 3" xfId="0"/>
    <cellStyle name="Normal 6 2 2 3 2 2 3 2" xfId="0"/>
    <cellStyle name="Normal 6 2 2 3 2 2 3 2 2" xfId="0"/>
    <cellStyle name="Normal 6 2 2 3 2 2 3 2 2 2" xfId="0"/>
    <cellStyle name="Normal 6 2 2 3 2 2 3 2 2 2 2" xfId="0"/>
    <cellStyle name="Normal 6 2 2 3 2 2 3 2 2 2 2 2" xfId="0"/>
    <cellStyle name="Normal 6 2 2 3 2 2 3 2 2 2 3" xfId="0"/>
    <cellStyle name="Normal 6 2 2 3 2 2 3 2 2 3" xfId="0"/>
    <cellStyle name="Normal 6 2 2 3 2 2 3 2 2 3 2" xfId="0"/>
    <cellStyle name="Normal 6 2 2 3 2 2 3 2 2 4" xfId="0"/>
    <cellStyle name="Normal 6 2 2 3 2 2 3 2 3" xfId="0"/>
    <cellStyle name="Normal 6 2 2 3 2 2 3 2 3 2" xfId="0"/>
    <cellStyle name="Normal 6 2 2 3 2 2 3 2 3 2 2" xfId="0"/>
    <cellStyle name="Normal 6 2 2 3 2 2 3 2 3 3" xfId="0"/>
    <cellStyle name="Normal 6 2 2 3 2 2 3 2 4" xfId="0"/>
    <cellStyle name="Normal 6 2 2 3 2 2 3 2 4 2" xfId="0"/>
    <cellStyle name="Normal 6 2 2 3 2 2 3 2 5" xfId="0"/>
    <cellStyle name="Normal 6 2 2 3 2 2 3 3" xfId="0"/>
    <cellStyle name="Normal 6 2 2 3 2 2 3 3 2" xfId="0"/>
    <cellStyle name="Normal 6 2 2 3 2 2 3 3 2 2" xfId="0"/>
    <cellStyle name="Normal 6 2 2 3 2 2 3 3 2 2 2" xfId="0"/>
    <cellStyle name="Normal 6 2 2 3 2 2 3 3 2 3" xfId="0"/>
    <cellStyle name="Normal 6 2 2 3 2 2 3 3 3" xfId="0"/>
    <cellStyle name="Normal 6 2 2 3 2 2 3 3 3 2" xfId="0"/>
    <cellStyle name="Normal 6 2 2 3 2 2 3 3 4" xfId="0"/>
    <cellStyle name="Normal 6 2 2 3 2 2 3 4" xfId="0"/>
    <cellStyle name="Normal 6 2 2 3 2 2 3 4 2" xfId="0"/>
    <cellStyle name="Normal 6 2 2 3 2 2 3 4 2 2" xfId="0"/>
    <cellStyle name="Normal 6 2 2 3 2 2 3 4 3" xfId="0"/>
    <cellStyle name="Normal 6 2 2 3 2 2 3 5" xfId="0"/>
    <cellStyle name="Normal 6 2 2 3 2 2 3 5 2" xfId="0"/>
    <cellStyle name="Normal 6 2 2 3 2 2 3 6" xfId="0"/>
    <cellStyle name="Normal 6 2 2 3 2 2 4" xfId="0"/>
    <cellStyle name="Normal 6 2 2 3 2 2 4 2" xfId="0"/>
    <cellStyle name="Normal 6 2 2 3 2 2 4 2 2" xfId="0"/>
    <cellStyle name="Normal 6 2 2 3 2 2 4 2 2 2" xfId="0"/>
    <cellStyle name="Normal 6 2 2 3 2 2 4 2 2 2 2" xfId="0"/>
    <cellStyle name="Normal 6 2 2 3 2 2 4 2 2 3" xfId="0"/>
    <cellStyle name="Normal 6 2 2 3 2 2 4 2 3" xfId="0"/>
    <cellStyle name="Normal 6 2 2 3 2 2 4 2 3 2" xfId="0"/>
    <cellStyle name="Normal 6 2 2 3 2 2 4 2 4" xfId="0"/>
    <cellStyle name="Normal 6 2 2 3 2 2 4 3" xfId="0"/>
    <cellStyle name="Normal 6 2 2 3 2 2 4 3 2" xfId="0"/>
    <cellStyle name="Normal 6 2 2 3 2 2 4 3 2 2" xfId="0"/>
    <cellStyle name="Normal 6 2 2 3 2 2 4 3 3" xfId="0"/>
    <cellStyle name="Normal 6 2 2 3 2 2 4 4" xfId="0"/>
    <cellStyle name="Normal 6 2 2 3 2 2 4 4 2" xfId="0"/>
    <cellStyle name="Normal 6 2 2 3 2 2 4 5" xfId="0"/>
    <cellStyle name="Normal 6 2 2 3 2 2 5" xfId="0"/>
    <cellStyle name="Normal 6 2 2 3 2 2 5 2" xfId="0"/>
    <cellStyle name="Normal 6 2 2 3 2 2 5 2 2" xfId="0"/>
    <cellStyle name="Normal 6 2 2 3 2 2 5 2 2 2" xfId="0"/>
    <cellStyle name="Normal 6 2 2 3 2 2 5 2 3" xfId="0"/>
    <cellStyle name="Normal 6 2 2 3 2 2 5 3" xfId="0"/>
    <cellStyle name="Normal 6 2 2 3 2 2 5 3 2" xfId="0"/>
    <cellStyle name="Normal 6 2 2 3 2 2 5 4" xfId="0"/>
    <cellStyle name="Normal 6 2 2 3 2 2 6" xfId="0"/>
    <cellStyle name="Normal 6 2 2 3 2 2 6 2" xfId="0"/>
    <cellStyle name="Normal 6 2 2 3 2 2 6 2 2" xfId="0"/>
    <cellStyle name="Normal 6 2 2 3 2 2 6 3" xfId="0"/>
    <cellStyle name="Normal 6 2 2 3 2 2 7" xfId="0"/>
    <cellStyle name="Normal 6 2 2 3 2 2 7 2" xfId="0"/>
    <cellStyle name="Normal 6 2 2 3 2 2 8" xfId="0"/>
    <cellStyle name="Normal 6 2 2 3 2 3" xfId="0"/>
    <cellStyle name="Normal 6 2 2 3 2 3 2" xfId="0"/>
    <cellStyle name="Normal 6 2 2 3 2 3 2 2" xfId="0"/>
    <cellStyle name="Normal 6 2 2 3 2 3 2 2 2" xfId="0"/>
    <cellStyle name="Normal 6 2 2 3 2 3 2 2 2 2" xfId="0"/>
    <cellStyle name="Normal 6 2 2 3 2 3 2 2 2 2 2" xfId="0"/>
    <cellStyle name="Normal 6 2 2 3 2 3 2 2 2 2 2 2" xfId="0"/>
    <cellStyle name="Normal 6 2 2 3 2 3 2 2 2 2 2 2 2" xfId="0"/>
    <cellStyle name="Normal 6 2 2 3 2 3 2 2 2 2 2 3" xfId="0"/>
    <cellStyle name="Normal 6 2 2 3 2 3 2 2 2 2 3" xfId="0"/>
    <cellStyle name="Normal 6 2 2 3 2 3 2 2 2 2 3 2" xfId="0"/>
    <cellStyle name="Normal 6 2 2 3 2 3 2 2 2 2 4" xfId="0"/>
    <cellStyle name="Normal 6 2 2 3 2 3 2 2 2 3" xfId="0"/>
    <cellStyle name="Normal 6 2 2 3 2 3 2 2 2 3 2" xfId="0"/>
    <cellStyle name="Normal 6 2 2 3 2 3 2 2 2 3 2 2" xfId="0"/>
    <cellStyle name="Normal 6 2 2 3 2 3 2 2 2 3 3" xfId="0"/>
    <cellStyle name="Normal 6 2 2 3 2 3 2 2 2 4" xfId="0"/>
    <cellStyle name="Normal 6 2 2 3 2 3 2 2 2 4 2" xfId="0"/>
    <cellStyle name="Normal 6 2 2 3 2 3 2 2 2 5" xfId="0"/>
    <cellStyle name="Normal 6 2 2 3 2 3 2 2 3" xfId="0"/>
    <cellStyle name="Normal 6 2 2 3 2 3 2 2 3 2" xfId="0"/>
    <cellStyle name="Normal 6 2 2 3 2 3 2 2 3 2 2" xfId="0"/>
    <cellStyle name="Normal 6 2 2 3 2 3 2 2 3 2 2 2" xfId="0"/>
    <cellStyle name="Normal 6 2 2 3 2 3 2 2 3 2 3" xfId="0"/>
    <cellStyle name="Normal 6 2 2 3 2 3 2 2 3 3" xfId="0"/>
    <cellStyle name="Normal 6 2 2 3 2 3 2 2 3 3 2" xfId="0"/>
    <cellStyle name="Normal 6 2 2 3 2 3 2 2 3 4" xfId="0"/>
    <cellStyle name="Normal 6 2 2 3 2 3 2 2 4" xfId="0"/>
    <cellStyle name="Normal 6 2 2 3 2 3 2 2 4 2" xfId="0"/>
    <cellStyle name="Normal 6 2 2 3 2 3 2 2 4 2 2" xfId="0"/>
    <cellStyle name="Normal 6 2 2 3 2 3 2 2 4 3" xfId="0"/>
    <cellStyle name="Normal 6 2 2 3 2 3 2 2 5" xfId="0"/>
    <cellStyle name="Normal 6 2 2 3 2 3 2 2 5 2" xfId="0"/>
    <cellStyle name="Normal 6 2 2 3 2 3 2 2 6" xfId="0"/>
    <cellStyle name="Normal 6 2 2 3 2 3 2 3" xfId="0"/>
    <cellStyle name="Normal 6 2 2 3 2 3 2 3 2" xfId="0"/>
    <cellStyle name="Normal 6 2 2 3 2 3 2 3 2 2" xfId="0"/>
    <cellStyle name="Normal 6 2 2 3 2 3 2 3 2 2 2" xfId="0"/>
    <cellStyle name="Normal 6 2 2 3 2 3 2 3 2 2 2 2" xfId="0"/>
    <cellStyle name="Normal 6 2 2 3 2 3 2 3 2 2 3" xfId="0"/>
    <cellStyle name="Normal 6 2 2 3 2 3 2 3 2 3" xfId="0"/>
    <cellStyle name="Normal 6 2 2 3 2 3 2 3 2 3 2" xfId="0"/>
    <cellStyle name="Normal 6 2 2 3 2 3 2 3 2 4" xfId="0"/>
    <cellStyle name="Normal 6 2 2 3 2 3 2 3 3" xfId="0"/>
    <cellStyle name="Normal 6 2 2 3 2 3 2 3 3 2" xfId="0"/>
    <cellStyle name="Normal 6 2 2 3 2 3 2 3 3 2 2" xfId="0"/>
    <cellStyle name="Normal 6 2 2 3 2 3 2 3 3 3" xfId="0"/>
    <cellStyle name="Normal 6 2 2 3 2 3 2 3 4" xfId="0"/>
    <cellStyle name="Normal 6 2 2 3 2 3 2 3 4 2" xfId="0"/>
    <cellStyle name="Normal 6 2 2 3 2 3 2 3 5" xfId="0"/>
    <cellStyle name="Normal 6 2 2 3 2 3 2 4" xfId="0"/>
    <cellStyle name="Normal 6 2 2 3 2 3 2 4 2" xfId="0"/>
    <cellStyle name="Normal 6 2 2 3 2 3 2 4 2 2" xfId="0"/>
    <cellStyle name="Normal 6 2 2 3 2 3 2 4 2 2 2" xfId="0"/>
    <cellStyle name="Normal 6 2 2 3 2 3 2 4 2 3" xfId="0"/>
    <cellStyle name="Normal 6 2 2 3 2 3 2 4 3" xfId="0"/>
    <cellStyle name="Normal 6 2 2 3 2 3 2 4 3 2" xfId="0"/>
    <cellStyle name="Normal 6 2 2 3 2 3 2 4 4" xfId="0"/>
    <cellStyle name="Normal 6 2 2 3 2 3 2 5" xfId="0"/>
    <cellStyle name="Normal 6 2 2 3 2 3 2 5 2" xfId="0"/>
    <cellStyle name="Normal 6 2 2 3 2 3 2 5 2 2" xfId="0"/>
    <cellStyle name="Normal 6 2 2 3 2 3 2 5 3" xfId="0"/>
    <cellStyle name="Normal 6 2 2 3 2 3 2 6" xfId="0"/>
    <cellStyle name="Normal 6 2 2 3 2 3 2 6 2" xfId="0"/>
    <cellStyle name="Normal 6 2 2 3 2 3 2 7" xfId="0"/>
    <cellStyle name="Normal 6 2 2 3 2 3 3" xfId="0"/>
    <cellStyle name="Normal 6 2 2 3 2 3 3 2" xfId="0"/>
    <cellStyle name="Normal 6 2 2 3 2 3 3 2 2" xfId="0"/>
    <cellStyle name="Normal 6 2 2 3 2 3 3 2 2 2" xfId="0"/>
    <cellStyle name="Normal 6 2 2 3 2 3 3 2 2 2 2" xfId="0"/>
    <cellStyle name="Normal 6 2 2 3 2 3 3 2 2 2 2 2" xfId="0"/>
    <cellStyle name="Normal 6 2 2 3 2 3 3 2 2 2 3" xfId="0"/>
    <cellStyle name="Normal 6 2 2 3 2 3 3 2 2 3" xfId="0"/>
    <cellStyle name="Normal 6 2 2 3 2 3 3 2 2 3 2" xfId="0"/>
    <cellStyle name="Normal 6 2 2 3 2 3 3 2 2 4" xfId="0"/>
    <cellStyle name="Normal 6 2 2 3 2 3 3 2 3" xfId="0"/>
    <cellStyle name="Normal 6 2 2 3 2 3 3 2 3 2" xfId="0"/>
    <cellStyle name="Normal 6 2 2 3 2 3 3 2 3 2 2" xfId="0"/>
    <cellStyle name="Normal 6 2 2 3 2 3 3 2 3 3" xfId="0"/>
    <cellStyle name="Normal 6 2 2 3 2 3 3 2 4" xfId="0"/>
    <cellStyle name="Normal 6 2 2 3 2 3 3 2 4 2" xfId="0"/>
    <cellStyle name="Normal 6 2 2 3 2 3 3 2 5" xfId="0"/>
    <cellStyle name="Normal 6 2 2 3 2 3 3 3" xfId="0"/>
    <cellStyle name="Normal 6 2 2 3 2 3 3 3 2" xfId="0"/>
    <cellStyle name="Normal 6 2 2 3 2 3 3 3 2 2" xfId="0"/>
    <cellStyle name="Normal 6 2 2 3 2 3 3 3 2 2 2" xfId="0"/>
    <cellStyle name="Normal 6 2 2 3 2 3 3 3 2 3" xfId="0"/>
    <cellStyle name="Normal 6 2 2 3 2 3 3 3 3" xfId="0"/>
    <cellStyle name="Normal 6 2 2 3 2 3 3 3 3 2" xfId="0"/>
    <cellStyle name="Normal 6 2 2 3 2 3 3 3 4" xfId="0"/>
    <cellStyle name="Normal 6 2 2 3 2 3 3 4" xfId="0"/>
    <cellStyle name="Normal 6 2 2 3 2 3 3 4 2" xfId="0"/>
    <cellStyle name="Normal 6 2 2 3 2 3 3 4 2 2" xfId="0"/>
    <cellStyle name="Normal 6 2 2 3 2 3 3 4 3" xfId="0"/>
    <cellStyle name="Normal 6 2 2 3 2 3 3 5" xfId="0"/>
    <cellStyle name="Normal 6 2 2 3 2 3 3 5 2" xfId="0"/>
    <cellStyle name="Normal 6 2 2 3 2 3 3 6" xfId="0"/>
    <cellStyle name="Normal 6 2 2 3 2 3 4" xfId="0"/>
    <cellStyle name="Normal 6 2 2 3 2 3 4 2" xfId="0"/>
    <cellStyle name="Normal 6 2 2 3 2 3 4 2 2" xfId="0"/>
    <cellStyle name="Normal 6 2 2 3 2 3 4 2 2 2" xfId="0"/>
    <cellStyle name="Normal 6 2 2 3 2 3 4 2 2 2 2" xfId="0"/>
    <cellStyle name="Normal 6 2 2 3 2 3 4 2 2 3" xfId="0"/>
    <cellStyle name="Normal 6 2 2 3 2 3 4 2 3" xfId="0"/>
    <cellStyle name="Normal 6 2 2 3 2 3 4 2 3 2" xfId="0"/>
    <cellStyle name="Normal 6 2 2 3 2 3 4 2 4" xfId="0"/>
    <cellStyle name="Normal 6 2 2 3 2 3 4 3" xfId="0"/>
    <cellStyle name="Normal 6 2 2 3 2 3 4 3 2" xfId="0"/>
    <cellStyle name="Normal 6 2 2 3 2 3 4 3 2 2" xfId="0"/>
    <cellStyle name="Normal 6 2 2 3 2 3 4 3 3" xfId="0"/>
    <cellStyle name="Normal 6 2 2 3 2 3 4 4" xfId="0"/>
    <cellStyle name="Normal 6 2 2 3 2 3 4 4 2" xfId="0"/>
    <cellStyle name="Normal 6 2 2 3 2 3 4 5" xfId="0"/>
    <cellStyle name="Normal 6 2 2 3 2 3 5" xfId="0"/>
    <cellStyle name="Normal 6 2 2 3 2 3 5 2" xfId="0"/>
    <cellStyle name="Normal 6 2 2 3 2 3 5 2 2" xfId="0"/>
    <cellStyle name="Normal 6 2 2 3 2 3 5 2 2 2" xfId="0"/>
    <cellStyle name="Normal 6 2 2 3 2 3 5 2 3" xfId="0"/>
    <cellStyle name="Normal 6 2 2 3 2 3 5 3" xfId="0"/>
    <cellStyle name="Normal 6 2 2 3 2 3 5 3 2" xfId="0"/>
    <cellStyle name="Normal 6 2 2 3 2 3 5 4" xfId="0"/>
    <cellStyle name="Normal 6 2 2 3 2 3 6" xfId="0"/>
    <cellStyle name="Normal 6 2 2 3 2 3 6 2" xfId="0"/>
    <cellStyle name="Normal 6 2 2 3 2 3 6 2 2" xfId="0"/>
    <cellStyle name="Normal 6 2 2 3 2 3 6 3" xfId="0"/>
    <cellStyle name="Normal 6 2 2 3 2 3 7" xfId="0"/>
    <cellStyle name="Normal 6 2 2 3 2 3 7 2" xfId="0"/>
    <cellStyle name="Normal 6 2 2 3 2 3 8" xfId="0"/>
    <cellStyle name="Normal 6 2 2 3 2 4" xfId="0"/>
    <cellStyle name="Normal 6 2 2 3 2 4 2" xfId="0"/>
    <cellStyle name="Normal 6 2 2 3 2 4 2 2" xfId="0"/>
    <cellStyle name="Normal 6 2 2 3 2 4 2 2 2" xfId="0"/>
    <cellStyle name="Normal 6 2 2 3 2 4 2 2 2 2" xfId="0"/>
    <cellStyle name="Normal 6 2 2 3 2 4 2 2 2 2 2" xfId="0"/>
    <cellStyle name="Normal 6 2 2 3 2 4 2 2 2 2 2 2" xfId="0"/>
    <cellStyle name="Normal 6 2 2 3 2 4 2 2 2 2 3" xfId="0"/>
    <cellStyle name="Normal 6 2 2 3 2 4 2 2 2 3" xfId="0"/>
    <cellStyle name="Normal 6 2 2 3 2 4 2 2 2 3 2" xfId="0"/>
    <cellStyle name="Normal 6 2 2 3 2 4 2 2 2 4" xfId="0"/>
    <cellStyle name="Normal 6 2 2 3 2 4 2 2 3" xfId="0"/>
    <cellStyle name="Normal 6 2 2 3 2 4 2 2 3 2" xfId="0"/>
    <cellStyle name="Normal 6 2 2 3 2 4 2 2 3 2 2" xfId="0"/>
    <cellStyle name="Normal 6 2 2 3 2 4 2 2 3 3" xfId="0"/>
    <cellStyle name="Normal 6 2 2 3 2 4 2 2 4" xfId="0"/>
    <cellStyle name="Normal 6 2 2 3 2 4 2 2 4 2" xfId="0"/>
    <cellStyle name="Normal 6 2 2 3 2 4 2 2 5" xfId="0"/>
    <cellStyle name="Normal 6 2 2 3 2 4 2 3" xfId="0"/>
    <cellStyle name="Normal 6 2 2 3 2 4 2 3 2" xfId="0"/>
    <cellStyle name="Normal 6 2 2 3 2 4 2 3 2 2" xfId="0"/>
    <cellStyle name="Normal 6 2 2 3 2 4 2 3 2 2 2" xfId="0"/>
    <cellStyle name="Normal 6 2 2 3 2 4 2 3 2 3" xfId="0"/>
    <cellStyle name="Normal 6 2 2 3 2 4 2 3 3" xfId="0"/>
    <cellStyle name="Normal 6 2 2 3 2 4 2 3 3 2" xfId="0"/>
    <cellStyle name="Normal 6 2 2 3 2 4 2 3 4" xfId="0"/>
    <cellStyle name="Normal 6 2 2 3 2 4 2 4" xfId="0"/>
    <cellStyle name="Normal 6 2 2 3 2 4 2 4 2" xfId="0"/>
    <cellStyle name="Normal 6 2 2 3 2 4 2 4 2 2" xfId="0"/>
    <cellStyle name="Normal 6 2 2 3 2 4 2 4 3" xfId="0"/>
    <cellStyle name="Normal 6 2 2 3 2 4 2 5" xfId="0"/>
    <cellStyle name="Normal 6 2 2 3 2 4 2 5 2" xfId="0"/>
    <cellStyle name="Normal 6 2 2 3 2 4 2 6" xfId="0"/>
    <cellStyle name="Normal 6 2 2 3 2 4 3" xfId="0"/>
    <cellStyle name="Normal 6 2 2 3 2 4 3 2" xfId="0"/>
    <cellStyle name="Normal 6 2 2 3 2 4 3 2 2" xfId="0"/>
    <cellStyle name="Normal 6 2 2 3 2 4 3 2 2 2" xfId="0"/>
    <cellStyle name="Normal 6 2 2 3 2 4 3 2 2 2 2" xfId="0"/>
    <cellStyle name="Normal 6 2 2 3 2 4 3 2 2 3" xfId="0"/>
    <cellStyle name="Normal 6 2 2 3 2 4 3 2 3" xfId="0"/>
    <cellStyle name="Normal 6 2 2 3 2 4 3 2 3 2" xfId="0"/>
    <cellStyle name="Normal 6 2 2 3 2 4 3 2 4" xfId="0"/>
    <cellStyle name="Normal 6 2 2 3 2 4 3 3" xfId="0"/>
    <cellStyle name="Normal 6 2 2 3 2 4 3 3 2" xfId="0"/>
    <cellStyle name="Normal 6 2 2 3 2 4 3 3 2 2" xfId="0"/>
    <cellStyle name="Normal 6 2 2 3 2 4 3 3 3" xfId="0"/>
    <cellStyle name="Normal 6 2 2 3 2 4 3 4" xfId="0"/>
    <cellStyle name="Normal 6 2 2 3 2 4 3 4 2" xfId="0"/>
    <cellStyle name="Normal 6 2 2 3 2 4 3 5" xfId="0"/>
    <cellStyle name="Normal 6 2 2 3 2 4 4" xfId="0"/>
    <cellStyle name="Normal 6 2 2 3 2 4 4 2" xfId="0"/>
    <cellStyle name="Normal 6 2 2 3 2 4 4 2 2" xfId="0"/>
    <cellStyle name="Normal 6 2 2 3 2 4 4 2 2 2" xfId="0"/>
    <cellStyle name="Normal 6 2 2 3 2 4 4 2 3" xfId="0"/>
    <cellStyle name="Normal 6 2 2 3 2 4 4 3" xfId="0"/>
    <cellStyle name="Normal 6 2 2 3 2 4 4 3 2" xfId="0"/>
    <cellStyle name="Normal 6 2 2 3 2 4 4 4" xfId="0"/>
    <cellStyle name="Normal 6 2 2 3 2 4 5" xfId="0"/>
    <cellStyle name="Normal 6 2 2 3 2 4 5 2" xfId="0"/>
    <cellStyle name="Normal 6 2 2 3 2 4 5 2 2" xfId="0"/>
    <cellStyle name="Normal 6 2 2 3 2 4 5 3" xfId="0"/>
    <cellStyle name="Normal 6 2 2 3 2 4 6" xfId="0"/>
    <cellStyle name="Normal 6 2 2 3 2 4 6 2" xfId="0"/>
    <cellStyle name="Normal 6 2 2 3 2 4 7" xfId="0"/>
    <cellStyle name="Normal 6 2 2 3 2 5" xfId="0"/>
    <cellStyle name="Normal 6 2 2 3 2 5 2" xfId="0"/>
    <cellStyle name="Normal 6 2 2 3 2 5 2 2" xfId="0"/>
    <cellStyle name="Normal 6 2 2 3 2 5 2 2 2" xfId="0"/>
    <cellStyle name="Normal 6 2 2 3 2 5 2 2 2 2" xfId="0"/>
    <cellStyle name="Normal 6 2 2 3 2 5 2 2 2 2 2" xfId="0"/>
    <cellStyle name="Normal 6 2 2 3 2 5 2 2 2 2 2 2" xfId="0"/>
    <cellStyle name="Normal 6 2 2 3 2 5 2 2 2 2 3" xfId="0"/>
    <cellStyle name="Normal 6 2 2 3 2 5 2 2 2 3" xfId="0"/>
    <cellStyle name="Normal 6 2 2 3 2 5 2 2 2 3 2" xfId="0"/>
    <cellStyle name="Normal 6 2 2 3 2 5 2 2 2 4" xfId="0"/>
    <cellStyle name="Normal 6 2 2 3 2 5 2 2 3" xfId="0"/>
    <cellStyle name="Normal 6 2 2 3 2 5 2 2 3 2" xfId="0"/>
    <cellStyle name="Normal 6 2 2 3 2 5 2 2 3 2 2" xfId="0"/>
    <cellStyle name="Normal 6 2 2 3 2 5 2 2 3 3" xfId="0"/>
    <cellStyle name="Normal 6 2 2 3 2 5 2 2 4" xfId="0"/>
    <cellStyle name="Normal 6 2 2 3 2 5 2 2 4 2" xfId="0"/>
    <cellStyle name="Normal 6 2 2 3 2 5 2 2 5" xfId="0"/>
    <cellStyle name="Normal 6 2 2 3 2 5 2 3" xfId="0"/>
    <cellStyle name="Normal 6 2 2 3 2 5 2 3 2" xfId="0"/>
    <cellStyle name="Normal 6 2 2 3 2 5 2 3 2 2" xfId="0"/>
    <cellStyle name="Normal 6 2 2 3 2 5 2 3 2 2 2" xfId="0"/>
    <cellStyle name="Normal 6 2 2 3 2 5 2 3 2 3" xfId="0"/>
    <cellStyle name="Normal 6 2 2 3 2 5 2 3 3" xfId="0"/>
    <cellStyle name="Normal 6 2 2 3 2 5 2 3 3 2" xfId="0"/>
    <cellStyle name="Normal 6 2 2 3 2 5 2 3 4" xfId="0"/>
    <cellStyle name="Normal 6 2 2 3 2 5 2 4" xfId="0"/>
    <cellStyle name="Normal 6 2 2 3 2 5 2 4 2" xfId="0"/>
    <cellStyle name="Normal 6 2 2 3 2 5 2 4 2 2" xfId="0"/>
    <cellStyle name="Normal 6 2 2 3 2 5 2 4 3" xfId="0"/>
    <cellStyle name="Normal 6 2 2 3 2 5 2 5" xfId="0"/>
    <cellStyle name="Normal 6 2 2 3 2 5 2 5 2" xfId="0"/>
    <cellStyle name="Normal 6 2 2 3 2 5 2 6" xfId="0"/>
    <cellStyle name="Normal 6 2 2 3 2 5 3" xfId="0"/>
    <cellStyle name="Normal 6 2 2 3 2 5 3 2" xfId="0"/>
    <cellStyle name="Normal 6 2 2 3 2 5 3 2 2" xfId="0"/>
    <cellStyle name="Normal 6 2 2 3 2 5 3 2 2 2" xfId="0"/>
    <cellStyle name="Normal 6 2 2 3 2 5 3 2 2 2 2" xfId="0"/>
    <cellStyle name="Normal 6 2 2 3 2 5 3 2 2 3" xfId="0"/>
    <cellStyle name="Normal 6 2 2 3 2 5 3 2 3" xfId="0"/>
    <cellStyle name="Normal 6 2 2 3 2 5 3 2 3 2" xfId="0"/>
    <cellStyle name="Normal 6 2 2 3 2 5 3 2 4" xfId="0"/>
    <cellStyle name="Normal 6 2 2 3 2 5 3 3" xfId="0"/>
    <cellStyle name="Normal 6 2 2 3 2 5 3 3 2" xfId="0"/>
    <cellStyle name="Normal 6 2 2 3 2 5 3 3 2 2" xfId="0"/>
    <cellStyle name="Normal 6 2 2 3 2 5 3 3 3" xfId="0"/>
    <cellStyle name="Normal 6 2 2 3 2 5 3 4" xfId="0"/>
    <cellStyle name="Normal 6 2 2 3 2 5 3 4 2" xfId="0"/>
    <cellStyle name="Normal 6 2 2 3 2 5 3 5" xfId="0"/>
    <cellStyle name="Normal 6 2 2 3 2 5 4" xfId="0"/>
    <cellStyle name="Normal 6 2 2 3 2 5 4 2" xfId="0"/>
    <cellStyle name="Normal 6 2 2 3 2 5 4 2 2" xfId="0"/>
    <cellStyle name="Normal 6 2 2 3 2 5 4 2 2 2" xfId="0"/>
    <cellStyle name="Normal 6 2 2 3 2 5 4 2 3" xfId="0"/>
    <cellStyle name="Normal 6 2 2 3 2 5 4 3" xfId="0"/>
    <cellStyle name="Normal 6 2 2 3 2 5 4 3 2" xfId="0"/>
    <cellStyle name="Normal 6 2 2 3 2 5 4 4" xfId="0"/>
    <cellStyle name="Normal 6 2 2 3 2 5 5" xfId="0"/>
    <cellStyle name="Normal 6 2 2 3 2 5 5 2" xfId="0"/>
    <cellStyle name="Normal 6 2 2 3 2 5 5 2 2" xfId="0"/>
    <cellStyle name="Normal 6 2 2 3 2 5 5 3" xfId="0"/>
    <cellStyle name="Normal 6 2 2 3 2 5 6" xfId="0"/>
    <cellStyle name="Normal 6 2 2 3 2 5 6 2" xfId="0"/>
    <cellStyle name="Normal 6 2 2 3 2 5 7" xfId="0"/>
    <cellStyle name="Normal 6 2 2 3 2 6" xfId="0"/>
    <cellStyle name="Normal 6 2 2 3 2 6 2" xfId="0"/>
    <cellStyle name="Normal 6 2 2 3 2 6 2 2" xfId="0"/>
    <cellStyle name="Normal 6 2 2 3 2 6 2 2 2" xfId="0"/>
    <cellStyle name="Normal 6 2 2 3 2 6 2 2 2 2" xfId="0"/>
    <cellStyle name="Normal 6 2 2 3 2 6 2 2 2 2 2" xfId="0"/>
    <cellStyle name="Normal 6 2 2 3 2 6 2 2 2 3" xfId="0"/>
    <cellStyle name="Normal 6 2 2 3 2 6 2 2 3" xfId="0"/>
    <cellStyle name="Normal 6 2 2 3 2 6 2 2 3 2" xfId="0"/>
    <cellStyle name="Normal 6 2 2 3 2 6 2 2 4" xfId="0"/>
    <cellStyle name="Normal 6 2 2 3 2 6 2 3" xfId="0"/>
    <cellStyle name="Normal 6 2 2 3 2 6 2 3 2" xfId="0"/>
    <cellStyle name="Normal 6 2 2 3 2 6 2 3 2 2" xfId="0"/>
    <cellStyle name="Normal 6 2 2 3 2 6 2 3 3" xfId="0"/>
    <cellStyle name="Normal 6 2 2 3 2 6 2 4" xfId="0"/>
    <cellStyle name="Normal 6 2 2 3 2 6 2 4 2" xfId="0"/>
    <cellStyle name="Normal 6 2 2 3 2 6 2 5" xfId="0"/>
    <cellStyle name="Normal 6 2 2 3 2 6 3" xfId="0"/>
    <cellStyle name="Normal 6 2 2 3 2 6 3 2" xfId="0"/>
    <cellStyle name="Normal 6 2 2 3 2 6 3 2 2" xfId="0"/>
    <cellStyle name="Normal 6 2 2 3 2 6 3 2 2 2" xfId="0"/>
    <cellStyle name="Normal 6 2 2 3 2 6 3 2 3" xfId="0"/>
    <cellStyle name="Normal 6 2 2 3 2 6 3 3" xfId="0"/>
    <cellStyle name="Normal 6 2 2 3 2 6 3 3 2" xfId="0"/>
    <cellStyle name="Normal 6 2 2 3 2 6 3 4" xfId="0"/>
    <cellStyle name="Normal 6 2 2 3 2 6 4" xfId="0"/>
    <cellStyle name="Normal 6 2 2 3 2 6 4 2" xfId="0"/>
    <cellStyle name="Normal 6 2 2 3 2 6 4 2 2" xfId="0"/>
    <cellStyle name="Normal 6 2 2 3 2 6 4 3" xfId="0"/>
    <cellStyle name="Normal 6 2 2 3 2 6 5" xfId="0"/>
    <cellStyle name="Normal 6 2 2 3 2 6 5 2" xfId="0"/>
    <cellStyle name="Normal 6 2 2 3 2 6 6" xfId="0"/>
    <cellStyle name="Normal 6 2 2 3 2 7" xfId="0"/>
    <cellStyle name="Normal 6 2 2 3 2 7 2" xfId="0"/>
    <cellStyle name="Normal 6 2 2 3 2 7 2 2" xfId="0"/>
    <cellStyle name="Normal 6 2 2 3 2 7 2 2 2" xfId="0"/>
    <cellStyle name="Normal 6 2 2 3 2 7 2 2 2 2" xfId="0"/>
    <cellStyle name="Normal 6 2 2 3 2 7 2 2 3" xfId="0"/>
    <cellStyle name="Normal 6 2 2 3 2 7 2 3" xfId="0"/>
    <cellStyle name="Normal 6 2 2 3 2 7 2 3 2" xfId="0"/>
    <cellStyle name="Normal 6 2 2 3 2 7 2 4" xfId="0"/>
    <cellStyle name="Normal 6 2 2 3 2 7 3" xfId="0"/>
    <cellStyle name="Normal 6 2 2 3 2 7 3 2" xfId="0"/>
    <cellStyle name="Normal 6 2 2 3 2 7 3 2 2" xfId="0"/>
    <cellStyle name="Normal 6 2 2 3 2 7 3 3" xfId="0"/>
    <cellStyle name="Normal 6 2 2 3 2 7 4" xfId="0"/>
    <cellStyle name="Normal 6 2 2 3 2 7 4 2" xfId="0"/>
    <cellStyle name="Normal 6 2 2 3 2 7 5" xfId="0"/>
    <cellStyle name="Normal 6 2 2 3 2 8" xfId="0"/>
    <cellStyle name="Normal 6 2 2 3 2 8 2" xfId="0"/>
    <cellStyle name="Normal 6 2 2 3 2 8 2 2" xfId="0"/>
    <cellStyle name="Normal 6 2 2 3 2 8 2 2 2" xfId="0"/>
    <cellStyle name="Normal 6 2 2 3 2 8 2 3" xfId="0"/>
    <cellStyle name="Normal 6 2 2 3 2 8 3" xfId="0"/>
    <cellStyle name="Normal 6 2 2 3 2 8 3 2" xfId="0"/>
    <cellStyle name="Normal 6 2 2 3 2 8 4" xfId="0"/>
    <cellStyle name="Normal 6 2 2 3 2 9" xfId="0"/>
    <cellStyle name="Normal 6 2 2 3 2 9 2" xfId="0"/>
    <cellStyle name="Normal 6 2 2 3 2 9 2 2" xfId="0"/>
    <cellStyle name="Normal 6 2 2 3 2 9 3" xfId="0"/>
    <cellStyle name="Normal 6 2 2 3 3" xfId="0"/>
    <cellStyle name="Normal 6 2 2 3 3 2" xfId="0"/>
    <cellStyle name="Normal 6 2 2 3 3 2 2" xfId="0"/>
    <cellStyle name="Normal 6 2 2 3 3 2 2 2" xfId="0"/>
    <cellStyle name="Normal 6 2 2 3 3 2 2 2 2" xfId="0"/>
    <cellStyle name="Normal 6 2 2 3 3 2 2 2 2 2" xfId="0"/>
    <cellStyle name="Normal 6 2 2 3 3 2 2 2 2 2 2" xfId="0"/>
    <cellStyle name="Normal 6 2 2 3 3 2 2 2 2 2 2 2" xfId="0"/>
    <cellStyle name="Normal 6 2 2 3 3 2 2 2 2 2 3" xfId="0"/>
    <cellStyle name="Normal 6 2 2 3 3 2 2 2 2 3" xfId="0"/>
    <cellStyle name="Normal 6 2 2 3 3 2 2 2 2 3 2" xfId="0"/>
    <cellStyle name="Normal 6 2 2 3 3 2 2 2 2 4" xfId="0"/>
    <cellStyle name="Normal 6 2 2 3 3 2 2 2 3" xfId="0"/>
    <cellStyle name="Normal 6 2 2 3 3 2 2 2 3 2" xfId="0"/>
    <cellStyle name="Normal 6 2 2 3 3 2 2 2 3 2 2" xfId="0"/>
    <cellStyle name="Normal 6 2 2 3 3 2 2 2 3 3" xfId="0"/>
    <cellStyle name="Normal 6 2 2 3 3 2 2 2 4" xfId="0"/>
    <cellStyle name="Normal 6 2 2 3 3 2 2 2 4 2" xfId="0"/>
    <cellStyle name="Normal 6 2 2 3 3 2 2 2 5" xfId="0"/>
    <cellStyle name="Normal 6 2 2 3 3 2 2 3" xfId="0"/>
    <cellStyle name="Normal 6 2 2 3 3 2 2 3 2" xfId="0"/>
    <cellStyle name="Normal 6 2 2 3 3 2 2 3 2 2" xfId="0"/>
    <cellStyle name="Normal 6 2 2 3 3 2 2 3 2 2 2" xfId="0"/>
    <cellStyle name="Normal 6 2 2 3 3 2 2 3 2 3" xfId="0"/>
    <cellStyle name="Normal 6 2 2 3 3 2 2 3 3" xfId="0"/>
    <cellStyle name="Normal 6 2 2 3 3 2 2 3 3 2" xfId="0"/>
    <cellStyle name="Normal 6 2 2 3 3 2 2 3 4" xfId="0"/>
    <cellStyle name="Normal 6 2 2 3 3 2 2 4" xfId="0"/>
    <cellStyle name="Normal 6 2 2 3 3 2 2 4 2" xfId="0"/>
    <cellStyle name="Normal 6 2 2 3 3 2 2 4 2 2" xfId="0"/>
    <cellStyle name="Normal 6 2 2 3 3 2 2 4 3" xfId="0"/>
    <cellStyle name="Normal 6 2 2 3 3 2 2 5" xfId="0"/>
    <cellStyle name="Normal 6 2 2 3 3 2 2 5 2" xfId="0"/>
    <cellStyle name="Normal 6 2 2 3 3 2 2 6" xfId="0"/>
    <cellStyle name="Normal 6 2 2 3 3 2 3" xfId="0"/>
    <cellStyle name="Normal 6 2 2 3 3 2 3 2" xfId="0"/>
    <cellStyle name="Normal 6 2 2 3 3 2 3 2 2" xfId="0"/>
    <cellStyle name="Normal 6 2 2 3 3 2 3 2 2 2" xfId="0"/>
    <cellStyle name="Normal 6 2 2 3 3 2 3 2 2 2 2" xfId="0"/>
    <cellStyle name="Normal 6 2 2 3 3 2 3 2 2 3" xfId="0"/>
    <cellStyle name="Normal 6 2 2 3 3 2 3 2 3" xfId="0"/>
    <cellStyle name="Normal 6 2 2 3 3 2 3 2 3 2" xfId="0"/>
    <cellStyle name="Normal 6 2 2 3 3 2 3 2 4" xfId="0"/>
    <cellStyle name="Normal 6 2 2 3 3 2 3 3" xfId="0"/>
    <cellStyle name="Normal 6 2 2 3 3 2 3 3 2" xfId="0"/>
    <cellStyle name="Normal 6 2 2 3 3 2 3 3 2 2" xfId="0"/>
    <cellStyle name="Normal 6 2 2 3 3 2 3 3 3" xfId="0"/>
    <cellStyle name="Normal 6 2 2 3 3 2 3 4" xfId="0"/>
    <cellStyle name="Normal 6 2 2 3 3 2 3 4 2" xfId="0"/>
    <cellStyle name="Normal 6 2 2 3 3 2 3 5" xfId="0"/>
    <cellStyle name="Normal 6 2 2 3 3 2 4" xfId="0"/>
    <cellStyle name="Normal 6 2 2 3 3 2 4 2" xfId="0"/>
    <cellStyle name="Normal 6 2 2 3 3 2 4 2 2" xfId="0"/>
    <cellStyle name="Normal 6 2 2 3 3 2 4 2 2 2" xfId="0"/>
    <cellStyle name="Normal 6 2 2 3 3 2 4 2 3" xfId="0"/>
    <cellStyle name="Normal 6 2 2 3 3 2 4 3" xfId="0"/>
    <cellStyle name="Normal 6 2 2 3 3 2 4 3 2" xfId="0"/>
    <cellStyle name="Normal 6 2 2 3 3 2 4 4" xfId="0"/>
    <cellStyle name="Normal 6 2 2 3 3 2 5" xfId="0"/>
    <cellStyle name="Normal 6 2 2 3 3 2 5 2" xfId="0"/>
    <cellStyle name="Normal 6 2 2 3 3 2 5 2 2" xfId="0"/>
    <cellStyle name="Normal 6 2 2 3 3 2 5 3" xfId="0"/>
    <cellStyle name="Normal 6 2 2 3 3 2 6" xfId="0"/>
    <cellStyle name="Normal 6 2 2 3 3 2 6 2" xfId="0"/>
    <cellStyle name="Normal 6 2 2 3 3 2 7" xfId="0"/>
    <cellStyle name="Normal 6 2 2 3 3 3" xfId="0"/>
    <cellStyle name="Normal 6 2 2 3 3 3 2" xfId="0"/>
    <cellStyle name="Normal 6 2 2 3 3 3 2 2" xfId="0"/>
    <cellStyle name="Normal 6 2 2 3 3 3 2 2 2" xfId="0"/>
    <cellStyle name="Normal 6 2 2 3 3 3 2 2 2 2" xfId="0"/>
    <cellStyle name="Normal 6 2 2 3 3 3 2 2 2 2 2" xfId="0"/>
    <cellStyle name="Normal 6 2 2 3 3 3 2 2 2 3" xfId="0"/>
    <cellStyle name="Normal 6 2 2 3 3 3 2 2 3" xfId="0"/>
    <cellStyle name="Normal 6 2 2 3 3 3 2 2 3 2" xfId="0"/>
    <cellStyle name="Normal 6 2 2 3 3 3 2 2 4" xfId="0"/>
    <cellStyle name="Normal 6 2 2 3 3 3 2 3" xfId="0"/>
    <cellStyle name="Normal 6 2 2 3 3 3 2 3 2" xfId="0"/>
    <cellStyle name="Normal 6 2 2 3 3 3 2 3 2 2" xfId="0"/>
    <cellStyle name="Normal 6 2 2 3 3 3 2 3 3" xfId="0"/>
    <cellStyle name="Normal 6 2 2 3 3 3 2 4" xfId="0"/>
    <cellStyle name="Normal 6 2 2 3 3 3 2 4 2" xfId="0"/>
    <cellStyle name="Normal 6 2 2 3 3 3 2 5" xfId="0"/>
    <cellStyle name="Normal 6 2 2 3 3 3 3" xfId="0"/>
    <cellStyle name="Normal 6 2 2 3 3 3 3 2" xfId="0"/>
    <cellStyle name="Normal 6 2 2 3 3 3 3 2 2" xfId="0"/>
    <cellStyle name="Normal 6 2 2 3 3 3 3 2 2 2" xfId="0"/>
    <cellStyle name="Normal 6 2 2 3 3 3 3 2 3" xfId="0"/>
    <cellStyle name="Normal 6 2 2 3 3 3 3 3" xfId="0"/>
    <cellStyle name="Normal 6 2 2 3 3 3 3 3 2" xfId="0"/>
    <cellStyle name="Normal 6 2 2 3 3 3 3 4" xfId="0"/>
    <cellStyle name="Normal 6 2 2 3 3 3 4" xfId="0"/>
    <cellStyle name="Normal 6 2 2 3 3 3 4 2" xfId="0"/>
    <cellStyle name="Normal 6 2 2 3 3 3 4 2 2" xfId="0"/>
    <cellStyle name="Normal 6 2 2 3 3 3 4 3" xfId="0"/>
    <cellStyle name="Normal 6 2 2 3 3 3 5" xfId="0"/>
    <cellStyle name="Normal 6 2 2 3 3 3 5 2" xfId="0"/>
    <cellStyle name="Normal 6 2 2 3 3 3 6" xfId="0"/>
    <cellStyle name="Normal 6 2 2 3 3 4" xfId="0"/>
    <cellStyle name="Normal 6 2 2 3 3 4 2" xfId="0"/>
    <cellStyle name="Normal 6 2 2 3 3 4 2 2" xfId="0"/>
    <cellStyle name="Normal 6 2 2 3 3 4 2 2 2" xfId="0"/>
    <cellStyle name="Normal 6 2 2 3 3 4 2 2 2 2" xfId="0"/>
    <cellStyle name="Normal 6 2 2 3 3 4 2 2 3" xfId="0"/>
    <cellStyle name="Normal 6 2 2 3 3 4 2 3" xfId="0"/>
    <cellStyle name="Normal 6 2 2 3 3 4 2 3 2" xfId="0"/>
    <cellStyle name="Normal 6 2 2 3 3 4 2 4" xfId="0"/>
    <cellStyle name="Normal 6 2 2 3 3 4 3" xfId="0"/>
    <cellStyle name="Normal 6 2 2 3 3 4 3 2" xfId="0"/>
    <cellStyle name="Normal 6 2 2 3 3 4 3 2 2" xfId="0"/>
    <cellStyle name="Normal 6 2 2 3 3 4 3 3" xfId="0"/>
    <cellStyle name="Normal 6 2 2 3 3 4 4" xfId="0"/>
    <cellStyle name="Normal 6 2 2 3 3 4 4 2" xfId="0"/>
    <cellStyle name="Normal 6 2 2 3 3 4 5" xfId="0"/>
    <cellStyle name="Normal 6 2 2 3 3 5" xfId="0"/>
    <cellStyle name="Normal 6 2 2 3 3 5 2" xfId="0"/>
    <cellStyle name="Normal 6 2 2 3 3 5 2 2" xfId="0"/>
    <cellStyle name="Normal 6 2 2 3 3 5 2 2 2" xfId="0"/>
    <cellStyle name="Normal 6 2 2 3 3 5 2 3" xfId="0"/>
    <cellStyle name="Normal 6 2 2 3 3 5 3" xfId="0"/>
    <cellStyle name="Normal 6 2 2 3 3 5 3 2" xfId="0"/>
    <cellStyle name="Normal 6 2 2 3 3 5 4" xfId="0"/>
    <cellStyle name="Normal 6 2 2 3 3 6" xfId="0"/>
    <cellStyle name="Normal 6 2 2 3 3 6 2" xfId="0"/>
    <cellStyle name="Normal 6 2 2 3 3 6 2 2" xfId="0"/>
    <cellStyle name="Normal 6 2 2 3 3 6 3" xfId="0"/>
    <cellStyle name="Normal 6 2 2 3 3 7" xfId="0"/>
    <cellStyle name="Normal 6 2 2 3 3 7 2" xfId="0"/>
    <cellStyle name="Normal 6 2 2 3 3 8" xfId="0"/>
    <cellStyle name="Normal 6 2 2 3 4" xfId="0"/>
    <cellStyle name="Normal 6 2 2 3 4 2" xfId="0"/>
    <cellStyle name="Normal 6 2 2 3 4 2 2" xfId="0"/>
    <cellStyle name="Normal 6 2 2 3 4 2 2 2" xfId="0"/>
    <cellStyle name="Normal 6 2 2 3 4 2 2 2 2" xfId="0"/>
    <cellStyle name="Normal 6 2 2 3 4 2 2 2 2 2" xfId="0"/>
    <cellStyle name="Normal 6 2 2 3 4 2 2 2 2 2 2" xfId="0"/>
    <cellStyle name="Normal 6 2 2 3 4 2 2 2 2 2 2 2" xfId="0"/>
    <cellStyle name="Normal 6 2 2 3 4 2 2 2 2 2 3" xfId="0"/>
    <cellStyle name="Normal 6 2 2 3 4 2 2 2 2 3" xfId="0"/>
    <cellStyle name="Normal 6 2 2 3 4 2 2 2 2 3 2" xfId="0"/>
    <cellStyle name="Normal 6 2 2 3 4 2 2 2 2 4" xfId="0"/>
    <cellStyle name="Normal 6 2 2 3 4 2 2 2 3" xfId="0"/>
    <cellStyle name="Normal 6 2 2 3 4 2 2 2 3 2" xfId="0"/>
    <cellStyle name="Normal 6 2 2 3 4 2 2 2 3 2 2" xfId="0"/>
    <cellStyle name="Normal 6 2 2 3 4 2 2 2 3 3" xfId="0"/>
    <cellStyle name="Normal 6 2 2 3 4 2 2 2 4" xfId="0"/>
    <cellStyle name="Normal 6 2 2 3 4 2 2 2 4 2" xfId="0"/>
    <cellStyle name="Normal 6 2 2 3 4 2 2 2 5" xfId="0"/>
    <cellStyle name="Normal 6 2 2 3 4 2 2 3" xfId="0"/>
    <cellStyle name="Normal 6 2 2 3 4 2 2 3 2" xfId="0"/>
    <cellStyle name="Normal 6 2 2 3 4 2 2 3 2 2" xfId="0"/>
    <cellStyle name="Normal 6 2 2 3 4 2 2 3 2 2 2" xfId="0"/>
    <cellStyle name="Normal 6 2 2 3 4 2 2 3 2 3" xfId="0"/>
    <cellStyle name="Normal 6 2 2 3 4 2 2 3 3" xfId="0"/>
    <cellStyle name="Normal 6 2 2 3 4 2 2 3 3 2" xfId="0"/>
    <cellStyle name="Normal 6 2 2 3 4 2 2 3 4" xfId="0"/>
    <cellStyle name="Normal 6 2 2 3 4 2 2 4" xfId="0"/>
    <cellStyle name="Normal 6 2 2 3 4 2 2 4 2" xfId="0"/>
    <cellStyle name="Normal 6 2 2 3 4 2 2 4 2 2" xfId="0"/>
    <cellStyle name="Normal 6 2 2 3 4 2 2 4 3" xfId="0"/>
    <cellStyle name="Normal 6 2 2 3 4 2 2 5" xfId="0"/>
    <cellStyle name="Normal 6 2 2 3 4 2 2 5 2" xfId="0"/>
    <cellStyle name="Normal 6 2 2 3 4 2 2 6" xfId="0"/>
    <cellStyle name="Normal 6 2 2 3 4 2 3" xfId="0"/>
    <cellStyle name="Normal 6 2 2 3 4 2 3 2" xfId="0"/>
    <cellStyle name="Normal 6 2 2 3 4 2 3 2 2" xfId="0"/>
    <cellStyle name="Normal 6 2 2 3 4 2 3 2 2 2" xfId="0"/>
    <cellStyle name="Normal 6 2 2 3 4 2 3 2 2 2 2" xfId="0"/>
    <cellStyle name="Normal 6 2 2 3 4 2 3 2 2 3" xfId="0"/>
    <cellStyle name="Normal 6 2 2 3 4 2 3 2 3" xfId="0"/>
    <cellStyle name="Normal 6 2 2 3 4 2 3 2 3 2" xfId="0"/>
    <cellStyle name="Normal 6 2 2 3 4 2 3 2 4" xfId="0"/>
    <cellStyle name="Normal 6 2 2 3 4 2 3 3" xfId="0"/>
    <cellStyle name="Normal 6 2 2 3 4 2 3 3 2" xfId="0"/>
    <cellStyle name="Normal 6 2 2 3 4 2 3 3 2 2" xfId="0"/>
    <cellStyle name="Normal 6 2 2 3 4 2 3 3 3" xfId="0"/>
    <cellStyle name="Normal 6 2 2 3 4 2 3 4" xfId="0"/>
    <cellStyle name="Normal 6 2 2 3 4 2 3 4 2" xfId="0"/>
    <cellStyle name="Normal 6 2 2 3 4 2 3 5" xfId="0"/>
    <cellStyle name="Normal 6 2 2 3 4 2 4" xfId="0"/>
    <cellStyle name="Normal 6 2 2 3 4 2 4 2" xfId="0"/>
    <cellStyle name="Normal 6 2 2 3 4 2 4 2 2" xfId="0"/>
    <cellStyle name="Normal 6 2 2 3 4 2 4 2 2 2" xfId="0"/>
    <cellStyle name="Normal 6 2 2 3 4 2 4 2 3" xfId="0"/>
    <cellStyle name="Normal 6 2 2 3 4 2 4 3" xfId="0"/>
    <cellStyle name="Normal 6 2 2 3 4 2 4 3 2" xfId="0"/>
    <cellStyle name="Normal 6 2 2 3 4 2 4 4" xfId="0"/>
    <cellStyle name="Normal 6 2 2 3 4 2 5" xfId="0"/>
    <cellStyle name="Normal 6 2 2 3 4 2 5 2" xfId="0"/>
    <cellStyle name="Normal 6 2 2 3 4 2 5 2 2" xfId="0"/>
    <cellStyle name="Normal 6 2 2 3 4 2 5 3" xfId="0"/>
    <cellStyle name="Normal 6 2 2 3 4 2 6" xfId="0"/>
    <cellStyle name="Normal 6 2 2 3 4 2 6 2" xfId="0"/>
    <cellStyle name="Normal 6 2 2 3 4 2 7" xfId="0"/>
    <cellStyle name="Normal 6 2 2 3 4 3" xfId="0"/>
    <cellStyle name="Normal 6 2 2 3 4 3 2" xfId="0"/>
    <cellStyle name="Normal 6 2 2 3 4 3 2 2" xfId="0"/>
    <cellStyle name="Normal 6 2 2 3 4 3 2 2 2" xfId="0"/>
    <cellStyle name="Normal 6 2 2 3 4 3 2 2 2 2" xfId="0"/>
    <cellStyle name="Normal 6 2 2 3 4 3 2 2 2 2 2" xfId="0"/>
    <cellStyle name="Normal 6 2 2 3 4 3 2 2 2 3" xfId="0"/>
    <cellStyle name="Normal 6 2 2 3 4 3 2 2 3" xfId="0"/>
    <cellStyle name="Normal 6 2 2 3 4 3 2 2 3 2" xfId="0"/>
    <cellStyle name="Normal 6 2 2 3 4 3 2 2 4" xfId="0"/>
    <cellStyle name="Normal 6 2 2 3 4 3 2 3" xfId="0"/>
    <cellStyle name="Normal 6 2 2 3 4 3 2 3 2" xfId="0"/>
    <cellStyle name="Normal 6 2 2 3 4 3 2 3 2 2" xfId="0"/>
    <cellStyle name="Normal 6 2 2 3 4 3 2 3 3" xfId="0"/>
    <cellStyle name="Normal 6 2 2 3 4 3 2 4" xfId="0"/>
    <cellStyle name="Normal 6 2 2 3 4 3 2 4 2" xfId="0"/>
    <cellStyle name="Normal 6 2 2 3 4 3 2 5" xfId="0"/>
    <cellStyle name="Normal 6 2 2 3 4 3 3" xfId="0"/>
    <cellStyle name="Normal 6 2 2 3 4 3 3 2" xfId="0"/>
    <cellStyle name="Normal 6 2 2 3 4 3 3 2 2" xfId="0"/>
    <cellStyle name="Normal 6 2 2 3 4 3 3 2 2 2" xfId="0"/>
    <cellStyle name="Normal 6 2 2 3 4 3 3 2 3" xfId="0"/>
    <cellStyle name="Normal 6 2 2 3 4 3 3 3" xfId="0"/>
    <cellStyle name="Normal 6 2 2 3 4 3 3 3 2" xfId="0"/>
    <cellStyle name="Normal 6 2 2 3 4 3 3 4" xfId="0"/>
    <cellStyle name="Normal 6 2 2 3 4 3 4" xfId="0"/>
    <cellStyle name="Normal 6 2 2 3 4 3 4 2" xfId="0"/>
    <cellStyle name="Normal 6 2 2 3 4 3 4 2 2" xfId="0"/>
    <cellStyle name="Normal 6 2 2 3 4 3 4 3" xfId="0"/>
    <cellStyle name="Normal 6 2 2 3 4 3 5" xfId="0"/>
    <cellStyle name="Normal 6 2 2 3 4 3 5 2" xfId="0"/>
    <cellStyle name="Normal 6 2 2 3 4 3 6" xfId="0"/>
    <cellStyle name="Normal 6 2 2 3 4 4" xfId="0"/>
    <cellStyle name="Normal 6 2 2 3 4 4 2" xfId="0"/>
    <cellStyle name="Normal 6 2 2 3 4 4 2 2" xfId="0"/>
    <cellStyle name="Normal 6 2 2 3 4 4 2 2 2" xfId="0"/>
    <cellStyle name="Normal 6 2 2 3 4 4 2 2 2 2" xfId="0"/>
    <cellStyle name="Normal 6 2 2 3 4 4 2 2 3" xfId="0"/>
    <cellStyle name="Normal 6 2 2 3 4 4 2 3" xfId="0"/>
    <cellStyle name="Normal 6 2 2 3 4 4 2 3 2" xfId="0"/>
    <cellStyle name="Normal 6 2 2 3 4 4 2 4" xfId="0"/>
    <cellStyle name="Normal 6 2 2 3 4 4 3" xfId="0"/>
    <cellStyle name="Normal 6 2 2 3 4 4 3 2" xfId="0"/>
    <cellStyle name="Normal 6 2 2 3 4 4 3 2 2" xfId="0"/>
    <cellStyle name="Normal 6 2 2 3 4 4 3 3" xfId="0"/>
    <cellStyle name="Normal 6 2 2 3 4 4 4" xfId="0"/>
    <cellStyle name="Normal 6 2 2 3 4 4 4 2" xfId="0"/>
    <cellStyle name="Normal 6 2 2 3 4 4 5" xfId="0"/>
    <cellStyle name="Normal 6 2 2 3 4 5" xfId="0"/>
    <cellStyle name="Normal 6 2 2 3 4 5 2" xfId="0"/>
    <cellStyle name="Normal 6 2 2 3 4 5 2 2" xfId="0"/>
    <cellStyle name="Normal 6 2 2 3 4 5 2 2 2" xfId="0"/>
    <cellStyle name="Normal 6 2 2 3 4 5 2 3" xfId="0"/>
    <cellStyle name="Normal 6 2 2 3 4 5 3" xfId="0"/>
    <cellStyle name="Normal 6 2 2 3 4 5 3 2" xfId="0"/>
    <cellStyle name="Normal 6 2 2 3 4 5 4" xfId="0"/>
    <cellStyle name="Normal 6 2 2 3 4 6" xfId="0"/>
    <cellStyle name="Normal 6 2 2 3 4 6 2" xfId="0"/>
    <cellStyle name="Normal 6 2 2 3 4 6 2 2" xfId="0"/>
    <cellStyle name="Normal 6 2 2 3 4 6 3" xfId="0"/>
    <cellStyle name="Normal 6 2 2 3 4 7" xfId="0"/>
    <cellStyle name="Normal 6 2 2 3 4 7 2" xfId="0"/>
    <cellStyle name="Normal 6 2 2 3 4 8" xfId="0"/>
    <cellStyle name="Normal 6 2 2 3 5" xfId="0"/>
    <cellStyle name="Normal 6 2 2 3 5 2" xfId="0"/>
    <cellStyle name="Normal 6 2 2 3 5 2 2" xfId="0"/>
    <cellStyle name="Normal 6 2 2 3 5 2 2 2" xfId="0"/>
    <cellStyle name="Normal 6 2 2 3 5 2 2 2 2" xfId="0"/>
    <cellStyle name="Normal 6 2 2 3 5 2 2 2 2 2" xfId="0"/>
    <cellStyle name="Normal 6 2 2 3 5 2 2 2 2 2 2" xfId="0"/>
    <cellStyle name="Normal 6 2 2 3 5 2 2 2 2 3" xfId="0"/>
    <cellStyle name="Normal 6 2 2 3 5 2 2 2 3" xfId="0"/>
    <cellStyle name="Normal 6 2 2 3 5 2 2 2 3 2" xfId="0"/>
    <cellStyle name="Normal 6 2 2 3 5 2 2 2 4" xfId="0"/>
    <cellStyle name="Normal 6 2 2 3 5 2 2 3" xfId="0"/>
    <cellStyle name="Normal 6 2 2 3 5 2 2 3 2" xfId="0"/>
    <cellStyle name="Normal 6 2 2 3 5 2 2 3 2 2" xfId="0"/>
    <cellStyle name="Normal 6 2 2 3 5 2 2 3 3" xfId="0"/>
    <cellStyle name="Normal 6 2 2 3 5 2 2 4" xfId="0"/>
    <cellStyle name="Normal 6 2 2 3 5 2 2 4 2" xfId="0"/>
    <cellStyle name="Normal 6 2 2 3 5 2 2 5" xfId="0"/>
    <cellStyle name="Normal 6 2 2 3 5 2 3" xfId="0"/>
    <cellStyle name="Normal 6 2 2 3 5 2 3 2" xfId="0"/>
    <cellStyle name="Normal 6 2 2 3 5 2 3 2 2" xfId="0"/>
    <cellStyle name="Normal 6 2 2 3 5 2 3 2 2 2" xfId="0"/>
    <cellStyle name="Normal 6 2 2 3 5 2 3 2 3" xfId="0"/>
    <cellStyle name="Normal 6 2 2 3 5 2 3 3" xfId="0"/>
    <cellStyle name="Normal 6 2 2 3 5 2 3 3 2" xfId="0"/>
    <cellStyle name="Normal 6 2 2 3 5 2 3 4" xfId="0"/>
    <cellStyle name="Normal 6 2 2 3 5 2 4" xfId="0"/>
    <cellStyle name="Normal 6 2 2 3 5 2 4 2" xfId="0"/>
    <cellStyle name="Normal 6 2 2 3 5 2 4 2 2" xfId="0"/>
    <cellStyle name="Normal 6 2 2 3 5 2 4 3" xfId="0"/>
    <cellStyle name="Normal 6 2 2 3 5 2 5" xfId="0"/>
    <cellStyle name="Normal 6 2 2 3 5 2 5 2" xfId="0"/>
    <cellStyle name="Normal 6 2 2 3 5 2 6" xfId="0"/>
    <cellStyle name="Normal 6 2 2 3 5 3" xfId="0"/>
    <cellStyle name="Normal 6 2 2 3 5 3 2" xfId="0"/>
    <cellStyle name="Normal 6 2 2 3 5 3 2 2" xfId="0"/>
    <cellStyle name="Normal 6 2 2 3 5 3 2 2 2" xfId="0"/>
    <cellStyle name="Normal 6 2 2 3 5 3 2 2 2 2" xfId="0"/>
    <cellStyle name="Normal 6 2 2 3 5 3 2 2 3" xfId="0"/>
    <cellStyle name="Normal 6 2 2 3 5 3 2 3" xfId="0"/>
    <cellStyle name="Normal 6 2 2 3 5 3 2 3 2" xfId="0"/>
    <cellStyle name="Normal 6 2 2 3 5 3 2 4" xfId="0"/>
    <cellStyle name="Normal 6 2 2 3 5 3 3" xfId="0"/>
    <cellStyle name="Normal 6 2 2 3 5 3 3 2" xfId="0"/>
    <cellStyle name="Normal 6 2 2 3 5 3 3 2 2" xfId="0"/>
    <cellStyle name="Normal 6 2 2 3 5 3 3 3" xfId="0"/>
    <cellStyle name="Normal 6 2 2 3 5 3 4" xfId="0"/>
    <cellStyle name="Normal 6 2 2 3 5 3 4 2" xfId="0"/>
    <cellStyle name="Normal 6 2 2 3 5 3 5" xfId="0"/>
    <cellStyle name="Normal 6 2 2 3 5 4" xfId="0"/>
    <cellStyle name="Normal 6 2 2 3 5 4 2" xfId="0"/>
    <cellStyle name="Normal 6 2 2 3 5 4 2 2" xfId="0"/>
    <cellStyle name="Normal 6 2 2 3 5 4 2 2 2" xfId="0"/>
    <cellStyle name="Normal 6 2 2 3 5 4 2 3" xfId="0"/>
    <cellStyle name="Normal 6 2 2 3 5 4 3" xfId="0"/>
    <cellStyle name="Normal 6 2 2 3 5 4 3 2" xfId="0"/>
    <cellStyle name="Normal 6 2 2 3 5 4 4" xfId="0"/>
    <cellStyle name="Normal 6 2 2 3 5 5" xfId="0"/>
    <cellStyle name="Normal 6 2 2 3 5 5 2" xfId="0"/>
    <cellStyle name="Normal 6 2 2 3 5 5 2 2" xfId="0"/>
    <cellStyle name="Normal 6 2 2 3 5 5 3" xfId="0"/>
    <cellStyle name="Normal 6 2 2 3 5 6" xfId="0"/>
    <cellStyle name="Normal 6 2 2 3 5 6 2" xfId="0"/>
    <cellStyle name="Normal 6 2 2 3 5 7" xfId="0"/>
    <cellStyle name="Normal 6 2 2 3 6" xfId="0"/>
    <cellStyle name="Normal 6 2 2 3 6 2" xfId="0"/>
    <cellStyle name="Normal 6 2 2 3 6 2 2" xfId="0"/>
    <cellStyle name="Normal 6 2 2 3 6 2 2 2" xfId="0"/>
    <cellStyle name="Normal 6 2 2 3 6 2 2 2 2" xfId="0"/>
    <cellStyle name="Normal 6 2 2 3 6 2 2 2 2 2" xfId="0"/>
    <cellStyle name="Normal 6 2 2 3 6 2 2 2 2 2 2" xfId="0"/>
    <cellStyle name="Normal 6 2 2 3 6 2 2 2 2 3" xfId="0"/>
    <cellStyle name="Normal 6 2 2 3 6 2 2 2 3" xfId="0"/>
    <cellStyle name="Normal 6 2 2 3 6 2 2 2 3 2" xfId="0"/>
    <cellStyle name="Normal 6 2 2 3 6 2 2 2 4" xfId="0"/>
    <cellStyle name="Normal 6 2 2 3 6 2 2 3" xfId="0"/>
    <cellStyle name="Normal 6 2 2 3 6 2 2 3 2" xfId="0"/>
    <cellStyle name="Normal 6 2 2 3 6 2 2 3 2 2" xfId="0"/>
    <cellStyle name="Normal 6 2 2 3 6 2 2 3 3" xfId="0"/>
    <cellStyle name="Normal 6 2 2 3 6 2 2 4" xfId="0"/>
    <cellStyle name="Normal 6 2 2 3 6 2 2 4 2" xfId="0"/>
    <cellStyle name="Normal 6 2 2 3 6 2 2 5" xfId="0"/>
    <cellStyle name="Normal 6 2 2 3 6 2 3" xfId="0"/>
    <cellStyle name="Normal 6 2 2 3 6 2 3 2" xfId="0"/>
    <cellStyle name="Normal 6 2 2 3 6 2 3 2 2" xfId="0"/>
    <cellStyle name="Normal 6 2 2 3 6 2 3 2 2 2" xfId="0"/>
    <cellStyle name="Normal 6 2 2 3 6 2 3 2 3" xfId="0"/>
    <cellStyle name="Normal 6 2 2 3 6 2 3 3" xfId="0"/>
    <cellStyle name="Normal 6 2 2 3 6 2 3 3 2" xfId="0"/>
    <cellStyle name="Normal 6 2 2 3 6 2 3 4" xfId="0"/>
    <cellStyle name="Normal 6 2 2 3 6 2 4" xfId="0"/>
    <cellStyle name="Normal 6 2 2 3 6 2 4 2" xfId="0"/>
    <cellStyle name="Normal 6 2 2 3 6 2 4 2 2" xfId="0"/>
    <cellStyle name="Normal 6 2 2 3 6 2 4 3" xfId="0"/>
    <cellStyle name="Normal 6 2 2 3 6 2 5" xfId="0"/>
    <cellStyle name="Normal 6 2 2 3 6 2 5 2" xfId="0"/>
    <cellStyle name="Normal 6 2 2 3 6 2 6" xfId="0"/>
    <cellStyle name="Normal 6 2 2 3 6 3" xfId="0"/>
    <cellStyle name="Normal 6 2 2 3 6 3 2" xfId="0"/>
    <cellStyle name="Normal 6 2 2 3 6 3 2 2" xfId="0"/>
    <cellStyle name="Normal 6 2 2 3 6 3 2 2 2" xfId="0"/>
    <cellStyle name="Normal 6 2 2 3 6 3 2 2 2 2" xfId="0"/>
    <cellStyle name="Normal 6 2 2 3 6 3 2 2 3" xfId="0"/>
    <cellStyle name="Normal 6 2 2 3 6 3 2 3" xfId="0"/>
    <cellStyle name="Normal 6 2 2 3 6 3 2 3 2" xfId="0"/>
    <cellStyle name="Normal 6 2 2 3 6 3 2 4" xfId="0"/>
    <cellStyle name="Normal 6 2 2 3 6 3 3" xfId="0"/>
    <cellStyle name="Normal 6 2 2 3 6 3 3 2" xfId="0"/>
    <cellStyle name="Normal 6 2 2 3 6 3 3 2 2" xfId="0"/>
    <cellStyle name="Normal 6 2 2 3 6 3 3 3" xfId="0"/>
    <cellStyle name="Normal 6 2 2 3 6 3 4" xfId="0"/>
    <cellStyle name="Normal 6 2 2 3 6 3 4 2" xfId="0"/>
    <cellStyle name="Normal 6 2 2 3 6 3 5" xfId="0"/>
    <cellStyle name="Normal 6 2 2 3 6 4" xfId="0"/>
    <cellStyle name="Normal 6 2 2 3 6 4 2" xfId="0"/>
    <cellStyle name="Normal 6 2 2 3 6 4 2 2" xfId="0"/>
    <cellStyle name="Normal 6 2 2 3 6 4 2 2 2" xfId="0"/>
    <cellStyle name="Normal 6 2 2 3 6 4 2 3" xfId="0"/>
    <cellStyle name="Normal 6 2 2 3 6 4 3" xfId="0"/>
    <cellStyle name="Normal 6 2 2 3 6 4 3 2" xfId="0"/>
    <cellStyle name="Normal 6 2 2 3 6 4 4" xfId="0"/>
    <cellStyle name="Normal 6 2 2 3 6 5" xfId="0"/>
    <cellStyle name="Normal 6 2 2 3 6 5 2" xfId="0"/>
    <cellStyle name="Normal 6 2 2 3 6 5 2 2" xfId="0"/>
    <cellStyle name="Normal 6 2 2 3 6 5 3" xfId="0"/>
    <cellStyle name="Normal 6 2 2 3 6 6" xfId="0"/>
    <cellStyle name="Normal 6 2 2 3 6 6 2" xfId="0"/>
    <cellStyle name="Normal 6 2 2 3 6 7" xfId="0"/>
    <cellStyle name="Normal 6 2 2 3 7" xfId="0"/>
    <cellStyle name="Normal 6 2 2 3 7 2" xfId="0"/>
    <cellStyle name="Normal 6 2 2 3 7 2 2" xfId="0"/>
    <cellStyle name="Normal 6 2 2 3 7 2 2 2" xfId="0"/>
    <cellStyle name="Normal 6 2 2 3 7 2 2 2 2" xfId="0"/>
    <cellStyle name="Normal 6 2 2 3 7 2 2 2 2 2" xfId="0"/>
    <cellStyle name="Normal 6 2 2 3 7 2 2 2 3" xfId="0"/>
    <cellStyle name="Normal 6 2 2 3 7 2 2 3" xfId="0"/>
    <cellStyle name="Normal 6 2 2 3 7 2 2 3 2" xfId="0"/>
    <cellStyle name="Normal 6 2 2 3 7 2 2 4" xfId="0"/>
    <cellStyle name="Normal 6 2 2 3 7 2 3" xfId="0"/>
    <cellStyle name="Normal 6 2 2 3 7 2 3 2" xfId="0"/>
    <cellStyle name="Normal 6 2 2 3 7 2 3 2 2" xfId="0"/>
    <cellStyle name="Normal 6 2 2 3 7 2 3 3" xfId="0"/>
    <cellStyle name="Normal 6 2 2 3 7 2 4" xfId="0"/>
    <cellStyle name="Normal 6 2 2 3 7 2 4 2" xfId="0"/>
    <cellStyle name="Normal 6 2 2 3 7 2 5" xfId="0"/>
    <cellStyle name="Normal 6 2 2 3 7 3" xfId="0"/>
    <cellStyle name="Normal 6 2 2 3 7 3 2" xfId="0"/>
    <cellStyle name="Normal 6 2 2 3 7 3 2 2" xfId="0"/>
    <cellStyle name="Normal 6 2 2 3 7 3 2 2 2" xfId="0"/>
    <cellStyle name="Normal 6 2 2 3 7 3 2 3" xfId="0"/>
    <cellStyle name="Normal 6 2 2 3 7 3 3" xfId="0"/>
    <cellStyle name="Normal 6 2 2 3 7 3 3 2" xfId="0"/>
    <cellStyle name="Normal 6 2 2 3 7 3 4" xfId="0"/>
    <cellStyle name="Normal 6 2 2 3 7 4" xfId="0"/>
    <cellStyle name="Normal 6 2 2 3 7 4 2" xfId="0"/>
    <cellStyle name="Normal 6 2 2 3 7 4 2 2" xfId="0"/>
    <cellStyle name="Normal 6 2 2 3 7 4 3" xfId="0"/>
    <cellStyle name="Normal 6 2 2 3 7 5" xfId="0"/>
    <cellStyle name="Normal 6 2 2 3 7 5 2" xfId="0"/>
    <cellStyle name="Normal 6 2 2 3 7 6" xfId="0"/>
    <cellStyle name="Normal 6 2 2 3 8" xfId="0"/>
    <cellStyle name="Normal 6 2 2 3 8 2" xfId="0"/>
    <cellStyle name="Normal 6 2 2 3 8 2 2" xfId="0"/>
    <cellStyle name="Normal 6 2 2 3 8 2 2 2" xfId="0"/>
    <cellStyle name="Normal 6 2 2 3 8 2 2 2 2" xfId="0"/>
    <cellStyle name="Normal 6 2 2 3 8 2 2 3" xfId="0"/>
    <cellStyle name="Normal 6 2 2 3 8 2 3" xfId="0"/>
    <cellStyle name="Normal 6 2 2 3 8 2 3 2" xfId="0"/>
    <cellStyle name="Normal 6 2 2 3 8 2 4" xfId="0"/>
    <cellStyle name="Normal 6 2 2 3 8 3" xfId="0"/>
    <cellStyle name="Normal 6 2 2 3 8 3 2" xfId="0"/>
    <cellStyle name="Normal 6 2 2 3 8 3 2 2" xfId="0"/>
    <cellStyle name="Normal 6 2 2 3 8 3 3" xfId="0"/>
    <cellStyle name="Normal 6 2 2 3 8 4" xfId="0"/>
    <cellStyle name="Normal 6 2 2 3 8 4 2" xfId="0"/>
    <cellStyle name="Normal 6 2 2 3 8 5" xfId="0"/>
    <cellStyle name="Normal 6 2 2 3 9" xfId="0"/>
    <cellStyle name="Normal 6 2 2 3 9 2" xfId="0"/>
    <cellStyle name="Normal 6 2 2 3 9 2 2" xfId="0"/>
    <cellStyle name="Normal 6 2 2 3 9 2 2 2" xfId="0"/>
    <cellStyle name="Normal 6 2 2 3 9 2 3" xfId="0"/>
    <cellStyle name="Normal 6 2 2 3 9 3" xfId="0"/>
    <cellStyle name="Normal 6 2 2 3 9 3 2" xfId="0"/>
    <cellStyle name="Normal 6 2 2 3 9 4" xfId="0"/>
    <cellStyle name="Normal 6 2 2 4" xfId="0"/>
    <cellStyle name="Normal 6 2 2 4 10" xfId="0"/>
    <cellStyle name="Normal 6 2 2 4 10 2" xfId="0"/>
    <cellStyle name="Normal 6 2 2 4 11" xfId="0"/>
    <cellStyle name="Normal 6 2 2 4 2" xfId="0"/>
    <cellStyle name="Normal 6 2 2 4 2 2" xfId="0"/>
    <cellStyle name="Normal 6 2 2 4 2 2 2" xfId="0"/>
    <cellStyle name="Normal 6 2 2 4 2 2 2 2" xfId="0"/>
    <cellStyle name="Normal 6 2 2 4 2 2 2 2 2" xfId="0"/>
    <cellStyle name="Normal 6 2 2 4 2 2 2 2 2 2" xfId="0"/>
    <cellStyle name="Normal 6 2 2 4 2 2 2 2 2 2 2" xfId="0"/>
    <cellStyle name="Normal 6 2 2 4 2 2 2 2 2 2 2 2" xfId="0"/>
    <cellStyle name="Normal 6 2 2 4 2 2 2 2 2 2 3" xfId="0"/>
    <cellStyle name="Normal 6 2 2 4 2 2 2 2 2 3" xfId="0"/>
    <cellStyle name="Normal 6 2 2 4 2 2 2 2 2 3 2" xfId="0"/>
    <cellStyle name="Normal 6 2 2 4 2 2 2 2 2 4" xfId="0"/>
    <cellStyle name="Normal 6 2 2 4 2 2 2 2 3" xfId="0"/>
    <cellStyle name="Normal 6 2 2 4 2 2 2 2 3 2" xfId="0"/>
    <cellStyle name="Normal 6 2 2 4 2 2 2 2 3 2 2" xfId="0"/>
    <cellStyle name="Normal 6 2 2 4 2 2 2 2 3 3" xfId="0"/>
    <cellStyle name="Normal 6 2 2 4 2 2 2 2 4" xfId="0"/>
    <cellStyle name="Normal 6 2 2 4 2 2 2 2 4 2" xfId="0"/>
    <cellStyle name="Normal 6 2 2 4 2 2 2 2 5" xfId="0"/>
    <cellStyle name="Normal 6 2 2 4 2 2 2 3" xfId="0"/>
    <cellStyle name="Normal 6 2 2 4 2 2 2 3 2" xfId="0"/>
    <cellStyle name="Normal 6 2 2 4 2 2 2 3 2 2" xfId="0"/>
    <cellStyle name="Normal 6 2 2 4 2 2 2 3 2 2 2" xfId="0"/>
    <cellStyle name="Normal 6 2 2 4 2 2 2 3 2 3" xfId="0"/>
    <cellStyle name="Normal 6 2 2 4 2 2 2 3 3" xfId="0"/>
    <cellStyle name="Normal 6 2 2 4 2 2 2 3 3 2" xfId="0"/>
    <cellStyle name="Normal 6 2 2 4 2 2 2 3 4" xfId="0"/>
    <cellStyle name="Normal 6 2 2 4 2 2 2 4" xfId="0"/>
    <cellStyle name="Normal 6 2 2 4 2 2 2 4 2" xfId="0"/>
    <cellStyle name="Normal 6 2 2 4 2 2 2 4 2 2" xfId="0"/>
    <cellStyle name="Normal 6 2 2 4 2 2 2 4 3" xfId="0"/>
    <cellStyle name="Normal 6 2 2 4 2 2 2 5" xfId="0"/>
    <cellStyle name="Normal 6 2 2 4 2 2 2 5 2" xfId="0"/>
    <cellStyle name="Normal 6 2 2 4 2 2 2 6" xfId="0"/>
    <cellStyle name="Normal 6 2 2 4 2 2 3" xfId="0"/>
    <cellStyle name="Normal 6 2 2 4 2 2 3 2" xfId="0"/>
    <cellStyle name="Normal 6 2 2 4 2 2 3 2 2" xfId="0"/>
    <cellStyle name="Normal 6 2 2 4 2 2 3 2 2 2" xfId="0"/>
    <cellStyle name="Normal 6 2 2 4 2 2 3 2 2 2 2" xfId="0"/>
    <cellStyle name="Normal 6 2 2 4 2 2 3 2 2 3" xfId="0"/>
    <cellStyle name="Normal 6 2 2 4 2 2 3 2 3" xfId="0"/>
    <cellStyle name="Normal 6 2 2 4 2 2 3 2 3 2" xfId="0"/>
    <cellStyle name="Normal 6 2 2 4 2 2 3 2 4" xfId="0"/>
    <cellStyle name="Normal 6 2 2 4 2 2 3 3" xfId="0"/>
    <cellStyle name="Normal 6 2 2 4 2 2 3 3 2" xfId="0"/>
    <cellStyle name="Normal 6 2 2 4 2 2 3 3 2 2" xfId="0"/>
    <cellStyle name="Normal 6 2 2 4 2 2 3 3 3" xfId="0"/>
    <cellStyle name="Normal 6 2 2 4 2 2 3 4" xfId="0"/>
    <cellStyle name="Normal 6 2 2 4 2 2 3 4 2" xfId="0"/>
    <cellStyle name="Normal 6 2 2 4 2 2 3 5" xfId="0"/>
    <cellStyle name="Normal 6 2 2 4 2 2 4" xfId="0"/>
    <cellStyle name="Normal 6 2 2 4 2 2 4 2" xfId="0"/>
    <cellStyle name="Normal 6 2 2 4 2 2 4 2 2" xfId="0"/>
    <cellStyle name="Normal 6 2 2 4 2 2 4 2 2 2" xfId="0"/>
    <cellStyle name="Normal 6 2 2 4 2 2 4 2 3" xfId="0"/>
    <cellStyle name="Normal 6 2 2 4 2 2 4 3" xfId="0"/>
    <cellStyle name="Normal 6 2 2 4 2 2 4 3 2" xfId="0"/>
    <cellStyle name="Normal 6 2 2 4 2 2 4 4" xfId="0"/>
    <cellStyle name="Normal 6 2 2 4 2 2 5" xfId="0"/>
    <cellStyle name="Normal 6 2 2 4 2 2 5 2" xfId="0"/>
    <cellStyle name="Normal 6 2 2 4 2 2 5 2 2" xfId="0"/>
    <cellStyle name="Normal 6 2 2 4 2 2 5 3" xfId="0"/>
    <cellStyle name="Normal 6 2 2 4 2 2 6" xfId="0"/>
    <cellStyle name="Normal 6 2 2 4 2 2 6 2" xfId="0"/>
    <cellStyle name="Normal 6 2 2 4 2 2 7" xfId="0"/>
    <cellStyle name="Normal 6 2 2 4 2 3" xfId="0"/>
    <cellStyle name="Normal 6 2 2 4 2 3 2" xfId="0"/>
    <cellStyle name="Normal 6 2 2 4 2 3 2 2" xfId="0"/>
    <cellStyle name="Normal 6 2 2 4 2 3 2 2 2" xfId="0"/>
    <cellStyle name="Normal 6 2 2 4 2 3 2 2 2 2" xfId="0"/>
    <cellStyle name="Normal 6 2 2 4 2 3 2 2 2 2 2" xfId="0"/>
    <cellStyle name="Normal 6 2 2 4 2 3 2 2 2 3" xfId="0"/>
    <cellStyle name="Normal 6 2 2 4 2 3 2 2 3" xfId="0"/>
    <cellStyle name="Normal 6 2 2 4 2 3 2 2 3 2" xfId="0"/>
    <cellStyle name="Normal 6 2 2 4 2 3 2 2 4" xfId="0"/>
    <cellStyle name="Normal 6 2 2 4 2 3 2 3" xfId="0"/>
    <cellStyle name="Normal 6 2 2 4 2 3 2 3 2" xfId="0"/>
    <cellStyle name="Normal 6 2 2 4 2 3 2 3 2 2" xfId="0"/>
    <cellStyle name="Normal 6 2 2 4 2 3 2 3 3" xfId="0"/>
    <cellStyle name="Normal 6 2 2 4 2 3 2 4" xfId="0"/>
    <cellStyle name="Normal 6 2 2 4 2 3 2 4 2" xfId="0"/>
    <cellStyle name="Normal 6 2 2 4 2 3 2 5" xfId="0"/>
    <cellStyle name="Normal 6 2 2 4 2 3 3" xfId="0"/>
    <cellStyle name="Normal 6 2 2 4 2 3 3 2" xfId="0"/>
    <cellStyle name="Normal 6 2 2 4 2 3 3 2 2" xfId="0"/>
    <cellStyle name="Normal 6 2 2 4 2 3 3 2 2 2" xfId="0"/>
    <cellStyle name="Normal 6 2 2 4 2 3 3 2 3" xfId="0"/>
    <cellStyle name="Normal 6 2 2 4 2 3 3 3" xfId="0"/>
    <cellStyle name="Normal 6 2 2 4 2 3 3 3 2" xfId="0"/>
    <cellStyle name="Normal 6 2 2 4 2 3 3 4" xfId="0"/>
    <cellStyle name="Normal 6 2 2 4 2 3 4" xfId="0"/>
    <cellStyle name="Normal 6 2 2 4 2 3 4 2" xfId="0"/>
    <cellStyle name="Normal 6 2 2 4 2 3 4 2 2" xfId="0"/>
    <cellStyle name="Normal 6 2 2 4 2 3 4 3" xfId="0"/>
    <cellStyle name="Normal 6 2 2 4 2 3 5" xfId="0"/>
    <cellStyle name="Normal 6 2 2 4 2 3 5 2" xfId="0"/>
    <cellStyle name="Normal 6 2 2 4 2 3 6" xfId="0"/>
    <cellStyle name="Normal 6 2 2 4 2 4" xfId="0"/>
    <cellStyle name="Normal 6 2 2 4 2 4 2" xfId="0"/>
    <cellStyle name="Normal 6 2 2 4 2 4 2 2" xfId="0"/>
    <cellStyle name="Normal 6 2 2 4 2 4 2 2 2" xfId="0"/>
    <cellStyle name="Normal 6 2 2 4 2 4 2 2 2 2" xfId="0"/>
    <cellStyle name="Normal 6 2 2 4 2 4 2 2 3" xfId="0"/>
    <cellStyle name="Normal 6 2 2 4 2 4 2 3" xfId="0"/>
    <cellStyle name="Normal 6 2 2 4 2 4 2 3 2" xfId="0"/>
    <cellStyle name="Normal 6 2 2 4 2 4 2 4" xfId="0"/>
    <cellStyle name="Normal 6 2 2 4 2 4 3" xfId="0"/>
    <cellStyle name="Normal 6 2 2 4 2 4 3 2" xfId="0"/>
    <cellStyle name="Normal 6 2 2 4 2 4 3 2 2" xfId="0"/>
    <cellStyle name="Normal 6 2 2 4 2 4 3 3" xfId="0"/>
    <cellStyle name="Normal 6 2 2 4 2 4 4" xfId="0"/>
    <cellStyle name="Normal 6 2 2 4 2 4 4 2" xfId="0"/>
    <cellStyle name="Normal 6 2 2 4 2 4 5" xfId="0"/>
    <cellStyle name="Normal 6 2 2 4 2 5" xfId="0"/>
    <cellStyle name="Normal 6 2 2 4 2 5 2" xfId="0"/>
    <cellStyle name="Normal 6 2 2 4 2 5 2 2" xfId="0"/>
    <cellStyle name="Normal 6 2 2 4 2 5 2 2 2" xfId="0"/>
    <cellStyle name="Normal 6 2 2 4 2 5 2 3" xfId="0"/>
    <cellStyle name="Normal 6 2 2 4 2 5 3" xfId="0"/>
    <cellStyle name="Normal 6 2 2 4 2 5 3 2" xfId="0"/>
    <cellStyle name="Normal 6 2 2 4 2 5 4" xfId="0"/>
    <cellStyle name="Normal 6 2 2 4 2 6" xfId="0"/>
    <cellStyle name="Normal 6 2 2 4 2 6 2" xfId="0"/>
    <cellStyle name="Normal 6 2 2 4 2 6 2 2" xfId="0"/>
    <cellStyle name="Normal 6 2 2 4 2 6 3" xfId="0"/>
    <cellStyle name="Normal 6 2 2 4 2 7" xfId="0"/>
    <cellStyle name="Normal 6 2 2 4 2 7 2" xfId="0"/>
    <cellStyle name="Normal 6 2 2 4 2 8" xfId="0"/>
    <cellStyle name="Normal 6 2 2 4 3" xfId="0"/>
    <cellStyle name="Normal 6 2 2 4 3 2" xfId="0"/>
    <cellStyle name="Normal 6 2 2 4 3 2 2" xfId="0"/>
    <cellStyle name="Normal 6 2 2 4 3 2 2 2" xfId="0"/>
    <cellStyle name="Normal 6 2 2 4 3 2 2 2 2" xfId="0"/>
    <cellStyle name="Normal 6 2 2 4 3 2 2 2 2 2" xfId="0"/>
    <cellStyle name="Normal 6 2 2 4 3 2 2 2 2 2 2" xfId="0"/>
    <cellStyle name="Normal 6 2 2 4 3 2 2 2 2 2 2 2" xfId="0"/>
    <cellStyle name="Normal 6 2 2 4 3 2 2 2 2 2 3" xfId="0"/>
    <cellStyle name="Normal 6 2 2 4 3 2 2 2 2 3" xfId="0"/>
    <cellStyle name="Normal 6 2 2 4 3 2 2 2 2 3 2" xfId="0"/>
    <cellStyle name="Normal 6 2 2 4 3 2 2 2 2 4" xfId="0"/>
    <cellStyle name="Normal 6 2 2 4 3 2 2 2 3" xfId="0"/>
    <cellStyle name="Normal 6 2 2 4 3 2 2 2 3 2" xfId="0"/>
    <cellStyle name="Normal 6 2 2 4 3 2 2 2 3 2 2" xfId="0"/>
    <cellStyle name="Normal 6 2 2 4 3 2 2 2 3 3" xfId="0"/>
    <cellStyle name="Normal 6 2 2 4 3 2 2 2 4" xfId="0"/>
    <cellStyle name="Normal 6 2 2 4 3 2 2 2 4 2" xfId="0"/>
    <cellStyle name="Normal 6 2 2 4 3 2 2 2 5" xfId="0"/>
    <cellStyle name="Normal 6 2 2 4 3 2 2 3" xfId="0"/>
    <cellStyle name="Normal 6 2 2 4 3 2 2 3 2" xfId="0"/>
    <cellStyle name="Normal 6 2 2 4 3 2 2 3 2 2" xfId="0"/>
    <cellStyle name="Normal 6 2 2 4 3 2 2 3 2 2 2" xfId="0"/>
    <cellStyle name="Normal 6 2 2 4 3 2 2 3 2 3" xfId="0"/>
    <cellStyle name="Normal 6 2 2 4 3 2 2 3 3" xfId="0"/>
    <cellStyle name="Normal 6 2 2 4 3 2 2 3 3 2" xfId="0"/>
    <cellStyle name="Normal 6 2 2 4 3 2 2 3 4" xfId="0"/>
    <cellStyle name="Normal 6 2 2 4 3 2 2 4" xfId="0"/>
    <cellStyle name="Normal 6 2 2 4 3 2 2 4 2" xfId="0"/>
    <cellStyle name="Normal 6 2 2 4 3 2 2 4 2 2" xfId="0"/>
    <cellStyle name="Normal 6 2 2 4 3 2 2 4 3" xfId="0"/>
    <cellStyle name="Normal 6 2 2 4 3 2 2 5" xfId="0"/>
    <cellStyle name="Normal 6 2 2 4 3 2 2 5 2" xfId="0"/>
    <cellStyle name="Normal 6 2 2 4 3 2 2 6" xfId="0"/>
    <cellStyle name="Normal 6 2 2 4 3 2 3" xfId="0"/>
    <cellStyle name="Normal 6 2 2 4 3 2 3 2" xfId="0"/>
    <cellStyle name="Normal 6 2 2 4 3 2 3 2 2" xfId="0"/>
    <cellStyle name="Normal 6 2 2 4 3 2 3 2 2 2" xfId="0"/>
    <cellStyle name="Normal 6 2 2 4 3 2 3 2 2 2 2" xfId="0"/>
    <cellStyle name="Normal 6 2 2 4 3 2 3 2 2 3" xfId="0"/>
    <cellStyle name="Normal 6 2 2 4 3 2 3 2 3" xfId="0"/>
    <cellStyle name="Normal 6 2 2 4 3 2 3 2 3 2" xfId="0"/>
    <cellStyle name="Normal 6 2 2 4 3 2 3 2 4" xfId="0"/>
    <cellStyle name="Normal 6 2 2 4 3 2 3 3" xfId="0"/>
    <cellStyle name="Normal 6 2 2 4 3 2 3 3 2" xfId="0"/>
    <cellStyle name="Normal 6 2 2 4 3 2 3 3 2 2" xfId="0"/>
    <cellStyle name="Normal 6 2 2 4 3 2 3 3 3" xfId="0"/>
    <cellStyle name="Normal 6 2 2 4 3 2 3 4" xfId="0"/>
    <cellStyle name="Normal 6 2 2 4 3 2 3 4 2" xfId="0"/>
    <cellStyle name="Normal 6 2 2 4 3 2 3 5" xfId="0"/>
    <cellStyle name="Normal 6 2 2 4 3 2 4" xfId="0"/>
    <cellStyle name="Normal 6 2 2 4 3 2 4 2" xfId="0"/>
    <cellStyle name="Normal 6 2 2 4 3 2 4 2 2" xfId="0"/>
    <cellStyle name="Normal 6 2 2 4 3 2 4 2 2 2" xfId="0"/>
    <cellStyle name="Normal 6 2 2 4 3 2 4 2 3" xfId="0"/>
    <cellStyle name="Normal 6 2 2 4 3 2 4 3" xfId="0"/>
    <cellStyle name="Normal 6 2 2 4 3 2 4 3 2" xfId="0"/>
    <cellStyle name="Normal 6 2 2 4 3 2 4 4" xfId="0"/>
    <cellStyle name="Normal 6 2 2 4 3 2 5" xfId="0"/>
    <cellStyle name="Normal 6 2 2 4 3 2 5 2" xfId="0"/>
    <cellStyle name="Normal 6 2 2 4 3 2 5 2 2" xfId="0"/>
    <cellStyle name="Normal 6 2 2 4 3 2 5 3" xfId="0"/>
    <cellStyle name="Normal 6 2 2 4 3 2 6" xfId="0"/>
    <cellStyle name="Normal 6 2 2 4 3 2 6 2" xfId="0"/>
    <cellStyle name="Normal 6 2 2 4 3 2 7" xfId="0"/>
    <cellStyle name="Normal 6 2 2 4 3 3" xfId="0"/>
    <cellStyle name="Normal 6 2 2 4 3 3 2" xfId="0"/>
    <cellStyle name="Normal 6 2 2 4 3 3 2 2" xfId="0"/>
    <cellStyle name="Normal 6 2 2 4 3 3 2 2 2" xfId="0"/>
    <cellStyle name="Normal 6 2 2 4 3 3 2 2 2 2" xfId="0"/>
    <cellStyle name="Normal 6 2 2 4 3 3 2 2 2 2 2" xfId="0"/>
    <cellStyle name="Normal 6 2 2 4 3 3 2 2 2 3" xfId="0"/>
    <cellStyle name="Normal 6 2 2 4 3 3 2 2 3" xfId="0"/>
    <cellStyle name="Normal 6 2 2 4 3 3 2 2 3 2" xfId="0"/>
    <cellStyle name="Normal 6 2 2 4 3 3 2 2 4" xfId="0"/>
    <cellStyle name="Normal 6 2 2 4 3 3 2 3" xfId="0"/>
    <cellStyle name="Normal 6 2 2 4 3 3 2 3 2" xfId="0"/>
    <cellStyle name="Normal 6 2 2 4 3 3 2 3 2 2" xfId="0"/>
    <cellStyle name="Normal 6 2 2 4 3 3 2 3 3" xfId="0"/>
    <cellStyle name="Normal 6 2 2 4 3 3 2 4" xfId="0"/>
    <cellStyle name="Normal 6 2 2 4 3 3 2 4 2" xfId="0"/>
    <cellStyle name="Normal 6 2 2 4 3 3 2 5" xfId="0"/>
    <cellStyle name="Normal 6 2 2 4 3 3 3" xfId="0"/>
    <cellStyle name="Normal 6 2 2 4 3 3 3 2" xfId="0"/>
    <cellStyle name="Normal 6 2 2 4 3 3 3 2 2" xfId="0"/>
    <cellStyle name="Normal 6 2 2 4 3 3 3 2 2 2" xfId="0"/>
    <cellStyle name="Normal 6 2 2 4 3 3 3 2 3" xfId="0"/>
    <cellStyle name="Normal 6 2 2 4 3 3 3 3" xfId="0"/>
    <cellStyle name="Normal 6 2 2 4 3 3 3 3 2" xfId="0"/>
    <cellStyle name="Normal 6 2 2 4 3 3 3 4" xfId="0"/>
    <cellStyle name="Normal 6 2 2 4 3 3 4" xfId="0"/>
    <cellStyle name="Normal 6 2 2 4 3 3 4 2" xfId="0"/>
    <cellStyle name="Normal 6 2 2 4 3 3 4 2 2" xfId="0"/>
    <cellStyle name="Normal 6 2 2 4 3 3 4 3" xfId="0"/>
    <cellStyle name="Normal 6 2 2 4 3 3 5" xfId="0"/>
    <cellStyle name="Normal 6 2 2 4 3 3 5 2" xfId="0"/>
    <cellStyle name="Normal 6 2 2 4 3 3 6" xfId="0"/>
    <cellStyle name="Normal 6 2 2 4 3 4" xfId="0"/>
    <cellStyle name="Normal 6 2 2 4 3 4 2" xfId="0"/>
    <cellStyle name="Normal 6 2 2 4 3 4 2 2" xfId="0"/>
    <cellStyle name="Normal 6 2 2 4 3 4 2 2 2" xfId="0"/>
    <cellStyle name="Normal 6 2 2 4 3 4 2 2 2 2" xfId="0"/>
    <cellStyle name="Normal 6 2 2 4 3 4 2 2 3" xfId="0"/>
    <cellStyle name="Normal 6 2 2 4 3 4 2 3" xfId="0"/>
    <cellStyle name="Normal 6 2 2 4 3 4 2 3 2" xfId="0"/>
    <cellStyle name="Normal 6 2 2 4 3 4 2 4" xfId="0"/>
    <cellStyle name="Normal 6 2 2 4 3 4 3" xfId="0"/>
    <cellStyle name="Normal 6 2 2 4 3 4 3 2" xfId="0"/>
    <cellStyle name="Normal 6 2 2 4 3 4 3 2 2" xfId="0"/>
    <cellStyle name="Normal 6 2 2 4 3 4 3 3" xfId="0"/>
    <cellStyle name="Normal 6 2 2 4 3 4 4" xfId="0"/>
    <cellStyle name="Normal 6 2 2 4 3 4 4 2" xfId="0"/>
    <cellStyle name="Normal 6 2 2 4 3 4 5" xfId="0"/>
    <cellStyle name="Normal 6 2 2 4 3 5" xfId="0"/>
    <cellStyle name="Normal 6 2 2 4 3 5 2" xfId="0"/>
    <cellStyle name="Normal 6 2 2 4 3 5 2 2" xfId="0"/>
    <cellStyle name="Normal 6 2 2 4 3 5 2 2 2" xfId="0"/>
    <cellStyle name="Normal 6 2 2 4 3 5 2 3" xfId="0"/>
    <cellStyle name="Normal 6 2 2 4 3 5 3" xfId="0"/>
    <cellStyle name="Normal 6 2 2 4 3 5 3 2" xfId="0"/>
    <cellStyle name="Normal 6 2 2 4 3 5 4" xfId="0"/>
    <cellStyle name="Normal 6 2 2 4 3 6" xfId="0"/>
    <cellStyle name="Normal 6 2 2 4 3 6 2" xfId="0"/>
    <cellStyle name="Normal 6 2 2 4 3 6 2 2" xfId="0"/>
    <cellStyle name="Normal 6 2 2 4 3 6 3" xfId="0"/>
    <cellStyle name="Normal 6 2 2 4 3 7" xfId="0"/>
    <cellStyle name="Normal 6 2 2 4 3 7 2" xfId="0"/>
    <cellStyle name="Normal 6 2 2 4 3 8" xfId="0"/>
    <cellStyle name="Normal 6 2 2 4 4" xfId="0"/>
    <cellStyle name="Normal 6 2 2 4 4 2" xfId="0"/>
    <cellStyle name="Normal 6 2 2 4 4 2 2" xfId="0"/>
    <cellStyle name="Normal 6 2 2 4 4 2 2 2" xfId="0"/>
    <cellStyle name="Normal 6 2 2 4 4 2 2 2 2" xfId="0"/>
    <cellStyle name="Normal 6 2 2 4 4 2 2 2 2 2" xfId="0"/>
    <cellStyle name="Normal 6 2 2 4 4 2 2 2 2 2 2" xfId="0"/>
    <cellStyle name="Normal 6 2 2 4 4 2 2 2 2 3" xfId="0"/>
    <cellStyle name="Normal 6 2 2 4 4 2 2 2 3" xfId="0"/>
    <cellStyle name="Normal 6 2 2 4 4 2 2 2 3 2" xfId="0"/>
    <cellStyle name="Normal 6 2 2 4 4 2 2 2 4" xfId="0"/>
    <cellStyle name="Normal 6 2 2 4 4 2 2 3" xfId="0"/>
    <cellStyle name="Normal 6 2 2 4 4 2 2 3 2" xfId="0"/>
    <cellStyle name="Normal 6 2 2 4 4 2 2 3 2 2" xfId="0"/>
    <cellStyle name="Normal 6 2 2 4 4 2 2 3 3" xfId="0"/>
    <cellStyle name="Normal 6 2 2 4 4 2 2 4" xfId="0"/>
    <cellStyle name="Normal 6 2 2 4 4 2 2 4 2" xfId="0"/>
    <cellStyle name="Normal 6 2 2 4 4 2 2 5" xfId="0"/>
    <cellStyle name="Normal 6 2 2 4 4 2 3" xfId="0"/>
    <cellStyle name="Normal 6 2 2 4 4 2 3 2" xfId="0"/>
    <cellStyle name="Normal 6 2 2 4 4 2 3 2 2" xfId="0"/>
    <cellStyle name="Normal 6 2 2 4 4 2 3 2 2 2" xfId="0"/>
    <cellStyle name="Normal 6 2 2 4 4 2 3 2 3" xfId="0"/>
    <cellStyle name="Normal 6 2 2 4 4 2 3 3" xfId="0"/>
    <cellStyle name="Normal 6 2 2 4 4 2 3 3 2" xfId="0"/>
    <cellStyle name="Normal 6 2 2 4 4 2 3 4" xfId="0"/>
    <cellStyle name="Normal 6 2 2 4 4 2 4" xfId="0"/>
    <cellStyle name="Normal 6 2 2 4 4 2 4 2" xfId="0"/>
    <cellStyle name="Normal 6 2 2 4 4 2 4 2 2" xfId="0"/>
    <cellStyle name="Normal 6 2 2 4 4 2 4 3" xfId="0"/>
    <cellStyle name="Normal 6 2 2 4 4 2 5" xfId="0"/>
    <cellStyle name="Normal 6 2 2 4 4 2 5 2" xfId="0"/>
    <cellStyle name="Normal 6 2 2 4 4 2 6" xfId="0"/>
    <cellStyle name="Normal 6 2 2 4 4 3" xfId="0"/>
    <cellStyle name="Normal 6 2 2 4 4 3 2" xfId="0"/>
    <cellStyle name="Normal 6 2 2 4 4 3 2 2" xfId="0"/>
    <cellStyle name="Normal 6 2 2 4 4 3 2 2 2" xfId="0"/>
    <cellStyle name="Normal 6 2 2 4 4 3 2 2 2 2" xfId="0"/>
    <cellStyle name="Normal 6 2 2 4 4 3 2 2 3" xfId="0"/>
    <cellStyle name="Normal 6 2 2 4 4 3 2 3" xfId="0"/>
    <cellStyle name="Normal 6 2 2 4 4 3 2 3 2" xfId="0"/>
    <cellStyle name="Normal 6 2 2 4 4 3 2 4" xfId="0"/>
    <cellStyle name="Normal 6 2 2 4 4 3 3" xfId="0"/>
    <cellStyle name="Normal 6 2 2 4 4 3 3 2" xfId="0"/>
    <cellStyle name="Normal 6 2 2 4 4 3 3 2 2" xfId="0"/>
    <cellStyle name="Normal 6 2 2 4 4 3 3 3" xfId="0"/>
    <cellStyle name="Normal 6 2 2 4 4 3 4" xfId="0"/>
    <cellStyle name="Normal 6 2 2 4 4 3 4 2" xfId="0"/>
    <cellStyle name="Normal 6 2 2 4 4 3 5" xfId="0"/>
    <cellStyle name="Normal 6 2 2 4 4 4" xfId="0"/>
    <cellStyle name="Normal 6 2 2 4 4 4 2" xfId="0"/>
    <cellStyle name="Normal 6 2 2 4 4 4 2 2" xfId="0"/>
    <cellStyle name="Normal 6 2 2 4 4 4 2 2 2" xfId="0"/>
    <cellStyle name="Normal 6 2 2 4 4 4 2 3" xfId="0"/>
    <cellStyle name="Normal 6 2 2 4 4 4 3" xfId="0"/>
    <cellStyle name="Normal 6 2 2 4 4 4 3 2" xfId="0"/>
    <cellStyle name="Normal 6 2 2 4 4 4 4" xfId="0"/>
    <cellStyle name="Normal 6 2 2 4 4 5" xfId="0"/>
    <cellStyle name="Normal 6 2 2 4 4 5 2" xfId="0"/>
    <cellStyle name="Normal 6 2 2 4 4 5 2 2" xfId="0"/>
    <cellStyle name="Normal 6 2 2 4 4 5 3" xfId="0"/>
    <cellStyle name="Normal 6 2 2 4 4 6" xfId="0"/>
    <cellStyle name="Normal 6 2 2 4 4 6 2" xfId="0"/>
    <cellStyle name="Normal 6 2 2 4 4 7" xfId="0"/>
    <cellStyle name="Normal 6 2 2 4 5" xfId="0"/>
    <cellStyle name="Normal 6 2 2 4 5 2" xfId="0"/>
    <cellStyle name="Normal 6 2 2 4 5 2 2" xfId="0"/>
    <cellStyle name="Normal 6 2 2 4 5 2 2 2" xfId="0"/>
    <cellStyle name="Normal 6 2 2 4 5 2 2 2 2" xfId="0"/>
    <cellStyle name="Normal 6 2 2 4 5 2 2 2 2 2" xfId="0"/>
    <cellStyle name="Normal 6 2 2 4 5 2 2 2 2 2 2" xfId="0"/>
    <cellStyle name="Normal 6 2 2 4 5 2 2 2 2 3" xfId="0"/>
    <cellStyle name="Normal 6 2 2 4 5 2 2 2 3" xfId="0"/>
    <cellStyle name="Normal 6 2 2 4 5 2 2 2 3 2" xfId="0"/>
    <cellStyle name="Normal 6 2 2 4 5 2 2 2 4" xfId="0"/>
    <cellStyle name="Normal 6 2 2 4 5 2 2 3" xfId="0"/>
    <cellStyle name="Normal 6 2 2 4 5 2 2 3 2" xfId="0"/>
    <cellStyle name="Normal 6 2 2 4 5 2 2 3 2 2" xfId="0"/>
    <cellStyle name="Normal 6 2 2 4 5 2 2 3 3" xfId="0"/>
    <cellStyle name="Normal 6 2 2 4 5 2 2 4" xfId="0"/>
    <cellStyle name="Normal 6 2 2 4 5 2 2 4 2" xfId="0"/>
    <cellStyle name="Normal 6 2 2 4 5 2 2 5" xfId="0"/>
    <cellStyle name="Normal 6 2 2 4 5 2 3" xfId="0"/>
    <cellStyle name="Normal 6 2 2 4 5 2 3 2" xfId="0"/>
    <cellStyle name="Normal 6 2 2 4 5 2 3 2 2" xfId="0"/>
    <cellStyle name="Normal 6 2 2 4 5 2 3 2 2 2" xfId="0"/>
    <cellStyle name="Normal 6 2 2 4 5 2 3 2 3" xfId="0"/>
    <cellStyle name="Normal 6 2 2 4 5 2 3 3" xfId="0"/>
    <cellStyle name="Normal 6 2 2 4 5 2 3 3 2" xfId="0"/>
    <cellStyle name="Normal 6 2 2 4 5 2 3 4" xfId="0"/>
    <cellStyle name="Normal 6 2 2 4 5 2 4" xfId="0"/>
    <cellStyle name="Normal 6 2 2 4 5 2 4 2" xfId="0"/>
    <cellStyle name="Normal 6 2 2 4 5 2 4 2 2" xfId="0"/>
    <cellStyle name="Normal 6 2 2 4 5 2 4 3" xfId="0"/>
    <cellStyle name="Normal 6 2 2 4 5 2 5" xfId="0"/>
    <cellStyle name="Normal 6 2 2 4 5 2 5 2" xfId="0"/>
    <cellStyle name="Normal 6 2 2 4 5 2 6" xfId="0"/>
    <cellStyle name="Normal 6 2 2 4 5 3" xfId="0"/>
    <cellStyle name="Normal 6 2 2 4 5 3 2" xfId="0"/>
    <cellStyle name="Normal 6 2 2 4 5 3 2 2" xfId="0"/>
    <cellStyle name="Normal 6 2 2 4 5 3 2 2 2" xfId="0"/>
    <cellStyle name="Normal 6 2 2 4 5 3 2 2 2 2" xfId="0"/>
    <cellStyle name="Normal 6 2 2 4 5 3 2 2 3" xfId="0"/>
    <cellStyle name="Normal 6 2 2 4 5 3 2 3" xfId="0"/>
    <cellStyle name="Normal 6 2 2 4 5 3 2 3 2" xfId="0"/>
    <cellStyle name="Normal 6 2 2 4 5 3 2 4" xfId="0"/>
    <cellStyle name="Normal 6 2 2 4 5 3 3" xfId="0"/>
    <cellStyle name="Normal 6 2 2 4 5 3 3 2" xfId="0"/>
    <cellStyle name="Normal 6 2 2 4 5 3 3 2 2" xfId="0"/>
    <cellStyle name="Normal 6 2 2 4 5 3 3 3" xfId="0"/>
    <cellStyle name="Normal 6 2 2 4 5 3 4" xfId="0"/>
    <cellStyle name="Normal 6 2 2 4 5 3 4 2" xfId="0"/>
    <cellStyle name="Normal 6 2 2 4 5 3 5" xfId="0"/>
    <cellStyle name="Normal 6 2 2 4 5 4" xfId="0"/>
    <cellStyle name="Normal 6 2 2 4 5 4 2" xfId="0"/>
    <cellStyle name="Normal 6 2 2 4 5 4 2 2" xfId="0"/>
    <cellStyle name="Normal 6 2 2 4 5 4 2 2 2" xfId="0"/>
    <cellStyle name="Normal 6 2 2 4 5 4 2 3" xfId="0"/>
    <cellStyle name="Normal 6 2 2 4 5 4 3" xfId="0"/>
    <cellStyle name="Normal 6 2 2 4 5 4 3 2" xfId="0"/>
    <cellStyle name="Normal 6 2 2 4 5 4 4" xfId="0"/>
    <cellStyle name="Normal 6 2 2 4 5 5" xfId="0"/>
    <cellStyle name="Normal 6 2 2 4 5 5 2" xfId="0"/>
    <cellStyle name="Normal 6 2 2 4 5 5 2 2" xfId="0"/>
    <cellStyle name="Normal 6 2 2 4 5 5 3" xfId="0"/>
    <cellStyle name="Normal 6 2 2 4 5 6" xfId="0"/>
    <cellStyle name="Normal 6 2 2 4 5 6 2" xfId="0"/>
    <cellStyle name="Normal 6 2 2 4 5 7" xfId="0"/>
    <cellStyle name="Normal 6 2 2 4 6" xfId="0"/>
    <cellStyle name="Normal 6 2 2 4 6 2" xfId="0"/>
    <cellStyle name="Normal 6 2 2 4 6 2 2" xfId="0"/>
    <cellStyle name="Normal 6 2 2 4 6 2 2 2" xfId="0"/>
    <cellStyle name="Normal 6 2 2 4 6 2 2 2 2" xfId="0"/>
    <cellStyle name="Normal 6 2 2 4 6 2 2 2 2 2" xfId="0"/>
    <cellStyle name="Normal 6 2 2 4 6 2 2 2 3" xfId="0"/>
    <cellStyle name="Normal 6 2 2 4 6 2 2 3" xfId="0"/>
    <cellStyle name="Normal 6 2 2 4 6 2 2 3 2" xfId="0"/>
    <cellStyle name="Normal 6 2 2 4 6 2 2 4" xfId="0"/>
    <cellStyle name="Normal 6 2 2 4 6 2 3" xfId="0"/>
    <cellStyle name="Normal 6 2 2 4 6 2 3 2" xfId="0"/>
    <cellStyle name="Normal 6 2 2 4 6 2 3 2 2" xfId="0"/>
    <cellStyle name="Normal 6 2 2 4 6 2 3 3" xfId="0"/>
    <cellStyle name="Normal 6 2 2 4 6 2 4" xfId="0"/>
    <cellStyle name="Normal 6 2 2 4 6 2 4 2" xfId="0"/>
    <cellStyle name="Normal 6 2 2 4 6 2 5" xfId="0"/>
    <cellStyle name="Normal 6 2 2 4 6 3" xfId="0"/>
    <cellStyle name="Normal 6 2 2 4 6 3 2" xfId="0"/>
    <cellStyle name="Normal 6 2 2 4 6 3 2 2" xfId="0"/>
    <cellStyle name="Normal 6 2 2 4 6 3 2 2 2" xfId="0"/>
    <cellStyle name="Normal 6 2 2 4 6 3 2 3" xfId="0"/>
    <cellStyle name="Normal 6 2 2 4 6 3 3" xfId="0"/>
    <cellStyle name="Normal 6 2 2 4 6 3 3 2" xfId="0"/>
    <cellStyle name="Normal 6 2 2 4 6 3 4" xfId="0"/>
    <cellStyle name="Normal 6 2 2 4 6 4" xfId="0"/>
    <cellStyle name="Normal 6 2 2 4 6 4 2" xfId="0"/>
    <cellStyle name="Normal 6 2 2 4 6 4 2 2" xfId="0"/>
    <cellStyle name="Normal 6 2 2 4 6 4 3" xfId="0"/>
    <cellStyle name="Normal 6 2 2 4 6 5" xfId="0"/>
    <cellStyle name="Normal 6 2 2 4 6 5 2" xfId="0"/>
    <cellStyle name="Normal 6 2 2 4 6 6" xfId="0"/>
    <cellStyle name="Normal 6 2 2 4 7" xfId="0"/>
    <cellStyle name="Normal 6 2 2 4 7 2" xfId="0"/>
    <cellStyle name="Normal 6 2 2 4 7 2 2" xfId="0"/>
    <cellStyle name="Normal 6 2 2 4 7 2 2 2" xfId="0"/>
    <cellStyle name="Normal 6 2 2 4 7 2 2 2 2" xfId="0"/>
    <cellStyle name="Normal 6 2 2 4 7 2 2 3" xfId="0"/>
    <cellStyle name="Normal 6 2 2 4 7 2 3" xfId="0"/>
    <cellStyle name="Normal 6 2 2 4 7 2 3 2" xfId="0"/>
    <cellStyle name="Normal 6 2 2 4 7 2 4" xfId="0"/>
    <cellStyle name="Normal 6 2 2 4 7 3" xfId="0"/>
    <cellStyle name="Normal 6 2 2 4 7 3 2" xfId="0"/>
    <cellStyle name="Normal 6 2 2 4 7 3 2 2" xfId="0"/>
    <cellStyle name="Normal 6 2 2 4 7 3 3" xfId="0"/>
    <cellStyle name="Normal 6 2 2 4 7 4" xfId="0"/>
    <cellStyle name="Normal 6 2 2 4 7 4 2" xfId="0"/>
    <cellStyle name="Normal 6 2 2 4 7 5" xfId="0"/>
    <cellStyle name="Normal 6 2 2 4 8" xfId="0"/>
    <cellStyle name="Normal 6 2 2 4 8 2" xfId="0"/>
    <cellStyle name="Normal 6 2 2 4 8 2 2" xfId="0"/>
    <cellStyle name="Normal 6 2 2 4 8 2 2 2" xfId="0"/>
    <cellStyle name="Normal 6 2 2 4 8 2 3" xfId="0"/>
    <cellStyle name="Normal 6 2 2 4 8 3" xfId="0"/>
    <cellStyle name="Normal 6 2 2 4 8 3 2" xfId="0"/>
    <cellStyle name="Normal 6 2 2 4 8 4" xfId="0"/>
    <cellStyle name="Normal 6 2 2 4 9" xfId="0"/>
    <cellStyle name="Normal 6 2 2 4 9 2" xfId="0"/>
    <cellStyle name="Normal 6 2 2 4 9 2 2" xfId="0"/>
    <cellStyle name="Normal 6 2 2 4 9 3" xfId="0"/>
    <cellStyle name="Normal 6 2 2 5" xfId="0"/>
    <cellStyle name="Normal 6 2 2 5 2" xfId="0"/>
    <cellStyle name="Normal 6 2 2 5 2 2" xfId="0"/>
    <cellStyle name="Normal 6 2 2 5 2 2 2" xfId="0"/>
    <cellStyle name="Normal 6 2 2 5 2 2 2 2" xfId="0"/>
    <cellStyle name="Normal 6 2 2 5 2 2 2 2 2" xfId="0"/>
    <cellStyle name="Normal 6 2 2 5 2 2 2 2 2 2" xfId="0"/>
    <cellStyle name="Normal 6 2 2 5 2 2 2 2 2 2 2" xfId="0"/>
    <cellStyle name="Normal 6 2 2 5 2 2 2 2 2 3" xfId="0"/>
    <cellStyle name="Normal 6 2 2 5 2 2 2 2 3" xfId="0"/>
    <cellStyle name="Normal 6 2 2 5 2 2 2 2 3 2" xfId="0"/>
    <cellStyle name="Normal 6 2 2 5 2 2 2 2 4" xfId="0"/>
    <cellStyle name="Normal 6 2 2 5 2 2 2 3" xfId="0"/>
    <cellStyle name="Normal 6 2 2 5 2 2 2 3 2" xfId="0"/>
    <cellStyle name="Normal 6 2 2 5 2 2 2 3 2 2" xfId="0"/>
    <cellStyle name="Normal 6 2 2 5 2 2 2 3 3" xfId="0"/>
    <cellStyle name="Normal 6 2 2 5 2 2 2 4" xfId="0"/>
    <cellStyle name="Normal 6 2 2 5 2 2 2 4 2" xfId="0"/>
    <cellStyle name="Normal 6 2 2 5 2 2 2 5" xfId="0"/>
    <cellStyle name="Normal 6 2 2 5 2 2 3" xfId="0"/>
    <cellStyle name="Normal 6 2 2 5 2 2 3 2" xfId="0"/>
    <cellStyle name="Normal 6 2 2 5 2 2 3 2 2" xfId="0"/>
    <cellStyle name="Normal 6 2 2 5 2 2 3 2 2 2" xfId="0"/>
    <cellStyle name="Normal 6 2 2 5 2 2 3 2 3" xfId="0"/>
    <cellStyle name="Normal 6 2 2 5 2 2 3 3" xfId="0"/>
    <cellStyle name="Normal 6 2 2 5 2 2 3 3 2" xfId="0"/>
    <cellStyle name="Normal 6 2 2 5 2 2 3 4" xfId="0"/>
    <cellStyle name="Normal 6 2 2 5 2 2 4" xfId="0"/>
    <cellStyle name="Normal 6 2 2 5 2 2 4 2" xfId="0"/>
    <cellStyle name="Normal 6 2 2 5 2 2 4 2 2" xfId="0"/>
    <cellStyle name="Normal 6 2 2 5 2 2 4 3" xfId="0"/>
    <cellStyle name="Normal 6 2 2 5 2 2 5" xfId="0"/>
    <cellStyle name="Normal 6 2 2 5 2 2 5 2" xfId="0"/>
    <cellStyle name="Normal 6 2 2 5 2 2 6" xfId="0"/>
    <cellStyle name="Normal 6 2 2 5 2 3" xfId="0"/>
    <cellStyle name="Normal 6 2 2 5 2 3 2" xfId="0"/>
    <cellStyle name="Normal 6 2 2 5 2 3 2 2" xfId="0"/>
    <cellStyle name="Normal 6 2 2 5 2 3 2 2 2" xfId="0"/>
    <cellStyle name="Normal 6 2 2 5 2 3 2 2 2 2" xfId="0"/>
    <cellStyle name="Normal 6 2 2 5 2 3 2 2 3" xfId="0"/>
    <cellStyle name="Normal 6 2 2 5 2 3 2 3" xfId="0"/>
    <cellStyle name="Normal 6 2 2 5 2 3 2 3 2" xfId="0"/>
    <cellStyle name="Normal 6 2 2 5 2 3 2 4" xfId="0"/>
    <cellStyle name="Normal 6 2 2 5 2 3 3" xfId="0"/>
    <cellStyle name="Normal 6 2 2 5 2 3 3 2" xfId="0"/>
    <cellStyle name="Normal 6 2 2 5 2 3 3 2 2" xfId="0"/>
    <cellStyle name="Normal 6 2 2 5 2 3 3 3" xfId="0"/>
    <cellStyle name="Normal 6 2 2 5 2 3 4" xfId="0"/>
    <cellStyle name="Normal 6 2 2 5 2 3 4 2" xfId="0"/>
    <cellStyle name="Normal 6 2 2 5 2 3 5" xfId="0"/>
    <cellStyle name="Normal 6 2 2 5 2 4" xfId="0"/>
    <cellStyle name="Normal 6 2 2 5 2 4 2" xfId="0"/>
    <cellStyle name="Normal 6 2 2 5 2 4 2 2" xfId="0"/>
    <cellStyle name="Normal 6 2 2 5 2 4 2 2 2" xfId="0"/>
    <cellStyle name="Normal 6 2 2 5 2 4 2 3" xfId="0"/>
    <cellStyle name="Normal 6 2 2 5 2 4 3" xfId="0"/>
    <cellStyle name="Normal 6 2 2 5 2 4 3 2" xfId="0"/>
    <cellStyle name="Normal 6 2 2 5 2 4 4" xfId="0"/>
    <cellStyle name="Normal 6 2 2 5 2 5" xfId="0"/>
    <cellStyle name="Normal 6 2 2 5 2 5 2" xfId="0"/>
    <cellStyle name="Normal 6 2 2 5 2 5 2 2" xfId="0"/>
    <cellStyle name="Normal 6 2 2 5 2 5 3" xfId="0"/>
    <cellStyle name="Normal 6 2 2 5 2 6" xfId="0"/>
    <cellStyle name="Normal 6 2 2 5 2 6 2" xfId="0"/>
    <cellStyle name="Normal 6 2 2 5 2 7" xfId="0"/>
    <cellStyle name="Normal 6 2 2 5 3" xfId="0"/>
    <cellStyle name="Normal 6 2 2 5 3 2" xfId="0"/>
    <cellStyle name="Normal 6 2 2 5 3 2 2" xfId="0"/>
    <cellStyle name="Normal 6 2 2 5 3 2 2 2" xfId="0"/>
    <cellStyle name="Normal 6 2 2 5 3 2 2 2 2" xfId="0"/>
    <cellStyle name="Normal 6 2 2 5 3 2 2 2 2 2" xfId="0"/>
    <cellStyle name="Normal 6 2 2 5 3 2 2 2 3" xfId="0"/>
    <cellStyle name="Normal 6 2 2 5 3 2 2 3" xfId="0"/>
    <cellStyle name="Normal 6 2 2 5 3 2 2 3 2" xfId="0"/>
    <cellStyle name="Normal 6 2 2 5 3 2 2 4" xfId="0"/>
    <cellStyle name="Normal 6 2 2 5 3 2 3" xfId="0"/>
    <cellStyle name="Normal 6 2 2 5 3 2 3 2" xfId="0"/>
    <cellStyle name="Normal 6 2 2 5 3 2 3 2 2" xfId="0"/>
    <cellStyle name="Normal 6 2 2 5 3 2 3 3" xfId="0"/>
    <cellStyle name="Normal 6 2 2 5 3 2 4" xfId="0"/>
    <cellStyle name="Normal 6 2 2 5 3 2 4 2" xfId="0"/>
    <cellStyle name="Normal 6 2 2 5 3 2 5" xfId="0"/>
    <cellStyle name="Normal 6 2 2 5 3 3" xfId="0"/>
    <cellStyle name="Normal 6 2 2 5 3 3 2" xfId="0"/>
    <cellStyle name="Normal 6 2 2 5 3 3 2 2" xfId="0"/>
    <cellStyle name="Normal 6 2 2 5 3 3 2 2 2" xfId="0"/>
    <cellStyle name="Normal 6 2 2 5 3 3 2 3" xfId="0"/>
    <cellStyle name="Normal 6 2 2 5 3 3 3" xfId="0"/>
    <cellStyle name="Normal 6 2 2 5 3 3 3 2" xfId="0"/>
    <cellStyle name="Normal 6 2 2 5 3 3 4" xfId="0"/>
    <cellStyle name="Normal 6 2 2 5 3 4" xfId="0"/>
    <cellStyle name="Normal 6 2 2 5 3 4 2" xfId="0"/>
    <cellStyle name="Normal 6 2 2 5 3 4 2 2" xfId="0"/>
    <cellStyle name="Normal 6 2 2 5 3 4 3" xfId="0"/>
    <cellStyle name="Normal 6 2 2 5 3 5" xfId="0"/>
    <cellStyle name="Normal 6 2 2 5 3 5 2" xfId="0"/>
    <cellStyle name="Normal 6 2 2 5 3 6" xfId="0"/>
    <cellStyle name="Normal 6 2 2 5 4" xfId="0"/>
    <cellStyle name="Normal 6 2 2 5 4 2" xfId="0"/>
    <cellStyle name="Normal 6 2 2 5 4 2 2" xfId="0"/>
    <cellStyle name="Normal 6 2 2 5 4 2 2 2" xfId="0"/>
    <cellStyle name="Normal 6 2 2 5 4 2 2 2 2" xfId="0"/>
    <cellStyle name="Normal 6 2 2 5 4 2 2 3" xfId="0"/>
    <cellStyle name="Normal 6 2 2 5 4 2 3" xfId="0"/>
    <cellStyle name="Normal 6 2 2 5 4 2 3 2" xfId="0"/>
    <cellStyle name="Normal 6 2 2 5 4 2 4" xfId="0"/>
    <cellStyle name="Normal 6 2 2 5 4 3" xfId="0"/>
    <cellStyle name="Normal 6 2 2 5 4 3 2" xfId="0"/>
    <cellStyle name="Normal 6 2 2 5 4 3 2 2" xfId="0"/>
    <cellStyle name="Normal 6 2 2 5 4 3 3" xfId="0"/>
    <cellStyle name="Normal 6 2 2 5 4 4" xfId="0"/>
    <cellStyle name="Normal 6 2 2 5 4 4 2" xfId="0"/>
    <cellStyle name="Normal 6 2 2 5 4 5" xfId="0"/>
    <cellStyle name="Normal 6 2 2 5 5" xfId="0"/>
    <cellStyle name="Normal 6 2 2 5 5 2" xfId="0"/>
    <cellStyle name="Normal 6 2 2 5 5 2 2" xfId="0"/>
    <cellStyle name="Normal 6 2 2 5 5 2 2 2" xfId="0"/>
    <cellStyle name="Normal 6 2 2 5 5 2 3" xfId="0"/>
    <cellStyle name="Normal 6 2 2 5 5 3" xfId="0"/>
    <cellStyle name="Normal 6 2 2 5 5 3 2" xfId="0"/>
    <cellStyle name="Normal 6 2 2 5 5 4" xfId="0"/>
    <cellStyle name="Normal 6 2 2 5 6" xfId="0"/>
    <cellStyle name="Normal 6 2 2 5 6 2" xfId="0"/>
    <cellStyle name="Normal 6 2 2 5 6 2 2" xfId="0"/>
    <cellStyle name="Normal 6 2 2 5 6 3" xfId="0"/>
    <cellStyle name="Normal 6 2 2 5 7" xfId="0"/>
    <cellStyle name="Normal 6 2 2 5 7 2" xfId="0"/>
    <cellStyle name="Normal 6 2 2 5 8" xfId="0"/>
    <cellStyle name="Normal 6 2 2 6" xfId="0"/>
    <cellStyle name="Normal 6 2 2 6 2" xfId="0"/>
    <cellStyle name="Normal 6 2 2 6 2 2" xfId="0"/>
    <cellStyle name="Normal 6 2 2 6 2 2 2" xfId="0"/>
    <cellStyle name="Normal 6 2 2 6 2 2 2 2" xfId="0"/>
    <cellStyle name="Normal 6 2 2 6 2 2 2 2 2" xfId="0"/>
    <cellStyle name="Normal 6 2 2 6 2 2 2 2 2 2" xfId="0"/>
    <cellStyle name="Normal 6 2 2 6 2 2 2 2 2 2 2" xfId="0"/>
    <cellStyle name="Normal 6 2 2 6 2 2 2 2 2 3" xfId="0"/>
    <cellStyle name="Normal 6 2 2 6 2 2 2 2 3" xfId="0"/>
    <cellStyle name="Normal 6 2 2 6 2 2 2 2 3 2" xfId="0"/>
    <cellStyle name="Normal 6 2 2 6 2 2 2 2 4" xfId="0"/>
    <cellStyle name="Normal 6 2 2 6 2 2 2 3" xfId="0"/>
    <cellStyle name="Normal 6 2 2 6 2 2 2 3 2" xfId="0"/>
    <cellStyle name="Normal 6 2 2 6 2 2 2 3 2 2" xfId="0"/>
    <cellStyle name="Normal 6 2 2 6 2 2 2 3 3" xfId="0"/>
    <cellStyle name="Normal 6 2 2 6 2 2 2 4" xfId="0"/>
    <cellStyle name="Normal 6 2 2 6 2 2 2 4 2" xfId="0"/>
    <cellStyle name="Normal 6 2 2 6 2 2 2 5" xfId="0"/>
    <cellStyle name="Normal 6 2 2 6 2 2 3" xfId="0"/>
    <cellStyle name="Normal 6 2 2 6 2 2 3 2" xfId="0"/>
    <cellStyle name="Normal 6 2 2 6 2 2 3 2 2" xfId="0"/>
    <cellStyle name="Normal 6 2 2 6 2 2 3 2 2 2" xfId="0"/>
    <cellStyle name="Normal 6 2 2 6 2 2 3 2 3" xfId="0"/>
    <cellStyle name="Normal 6 2 2 6 2 2 3 3" xfId="0"/>
    <cellStyle name="Normal 6 2 2 6 2 2 3 3 2" xfId="0"/>
    <cellStyle name="Normal 6 2 2 6 2 2 3 4" xfId="0"/>
    <cellStyle name="Normal 6 2 2 6 2 2 4" xfId="0"/>
    <cellStyle name="Normal 6 2 2 6 2 2 4 2" xfId="0"/>
    <cellStyle name="Normal 6 2 2 6 2 2 4 2 2" xfId="0"/>
    <cellStyle name="Normal 6 2 2 6 2 2 4 3" xfId="0"/>
    <cellStyle name="Normal 6 2 2 6 2 2 5" xfId="0"/>
    <cellStyle name="Normal 6 2 2 6 2 2 5 2" xfId="0"/>
    <cellStyle name="Normal 6 2 2 6 2 2 6" xfId="0"/>
    <cellStyle name="Normal 6 2 2 6 2 3" xfId="0"/>
    <cellStyle name="Normal 6 2 2 6 2 3 2" xfId="0"/>
    <cellStyle name="Normal 6 2 2 6 2 3 2 2" xfId="0"/>
    <cellStyle name="Normal 6 2 2 6 2 3 2 2 2" xfId="0"/>
    <cellStyle name="Normal 6 2 2 6 2 3 2 2 2 2" xfId="0"/>
    <cellStyle name="Normal 6 2 2 6 2 3 2 2 3" xfId="0"/>
    <cellStyle name="Normal 6 2 2 6 2 3 2 3" xfId="0"/>
    <cellStyle name="Normal 6 2 2 6 2 3 2 3 2" xfId="0"/>
    <cellStyle name="Normal 6 2 2 6 2 3 2 4" xfId="0"/>
    <cellStyle name="Normal 6 2 2 6 2 3 3" xfId="0"/>
    <cellStyle name="Normal 6 2 2 6 2 3 3 2" xfId="0"/>
    <cellStyle name="Normal 6 2 2 6 2 3 3 2 2" xfId="0"/>
    <cellStyle name="Normal 6 2 2 6 2 3 3 3" xfId="0"/>
    <cellStyle name="Normal 6 2 2 6 2 3 4" xfId="0"/>
    <cellStyle name="Normal 6 2 2 6 2 3 4 2" xfId="0"/>
    <cellStyle name="Normal 6 2 2 6 2 3 5" xfId="0"/>
    <cellStyle name="Normal 6 2 2 6 2 4" xfId="0"/>
    <cellStyle name="Normal 6 2 2 6 2 4 2" xfId="0"/>
    <cellStyle name="Normal 6 2 2 6 2 4 2 2" xfId="0"/>
    <cellStyle name="Normal 6 2 2 6 2 4 2 2 2" xfId="0"/>
    <cellStyle name="Normal 6 2 2 6 2 4 2 3" xfId="0"/>
    <cellStyle name="Normal 6 2 2 6 2 4 3" xfId="0"/>
    <cellStyle name="Normal 6 2 2 6 2 4 3 2" xfId="0"/>
    <cellStyle name="Normal 6 2 2 6 2 4 4" xfId="0"/>
    <cellStyle name="Normal 6 2 2 6 2 5" xfId="0"/>
    <cellStyle name="Normal 6 2 2 6 2 5 2" xfId="0"/>
    <cellStyle name="Normal 6 2 2 6 2 5 2 2" xfId="0"/>
    <cellStyle name="Normal 6 2 2 6 2 5 3" xfId="0"/>
    <cellStyle name="Normal 6 2 2 6 2 6" xfId="0"/>
    <cellStyle name="Normal 6 2 2 6 2 6 2" xfId="0"/>
    <cellStyle name="Normal 6 2 2 6 2 7" xfId="0"/>
    <cellStyle name="Normal 6 2 2 6 3" xfId="0"/>
    <cellStyle name="Normal 6 2 2 6 3 2" xfId="0"/>
    <cellStyle name="Normal 6 2 2 6 3 2 2" xfId="0"/>
    <cellStyle name="Normal 6 2 2 6 3 2 2 2" xfId="0"/>
    <cellStyle name="Normal 6 2 2 6 3 2 2 2 2" xfId="0"/>
    <cellStyle name="Normal 6 2 2 6 3 2 2 2 2 2" xfId="0"/>
    <cellStyle name="Normal 6 2 2 6 3 2 2 2 3" xfId="0"/>
    <cellStyle name="Normal 6 2 2 6 3 2 2 3" xfId="0"/>
    <cellStyle name="Normal 6 2 2 6 3 2 2 3 2" xfId="0"/>
    <cellStyle name="Normal 6 2 2 6 3 2 2 4" xfId="0"/>
    <cellStyle name="Normal 6 2 2 6 3 2 3" xfId="0"/>
    <cellStyle name="Normal 6 2 2 6 3 2 3 2" xfId="0"/>
    <cellStyle name="Normal 6 2 2 6 3 2 3 2 2" xfId="0"/>
    <cellStyle name="Normal 6 2 2 6 3 2 3 3" xfId="0"/>
    <cellStyle name="Normal 6 2 2 6 3 2 4" xfId="0"/>
    <cellStyle name="Normal 6 2 2 6 3 2 4 2" xfId="0"/>
    <cellStyle name="Normal 6 2 2 6 3 2 5" xfId="0"/>
    <cellStyle name="Normal 6 2 2 6 3 3" xfId="0"/>
    <cellStyle name="Normal 6 2 2 6 3 3 2" xfId="0"/>
    <cellStyle name="Normal 6 2 2 6 3 3 2 2" xfId="0"/>
    <cellStyle name="Normal 6 2 2 6 3 3 2 2 2" xfId="0"/>
    <cellStyle name="Normal 6 2 2 6 3 3 2 3" xfId="0"/>
    <cellStyle name="Normal 6 2 2 6 3 3 3" xfId="0"/>
    <cellStyle name="Normal 6 2 2 6 3 3 3 2" xfId="0"/>
    <cellStyle name="Normal 6 2 2 6 3 3 4" xfId="0"/>
    <cellStyle name="Normal 6 2 2 6 3 4" xfId="0"/>
    <cellStyle name="Normal 6 2 2 6 3 4 2" xfId="0"/>
    <cellStyle name="Normal 6 2 2 6 3 4 2 2" xfId="0"/>
    <cellStyle name="Normal 6 2 2 6 3 4 3" xfId="0"/>
    <cellStyle name="Normal 6 2 2 6 3 5" xfId="0"/>
    <cellStyle name="Normal 6 2 2 6 3 5 2" xfId="0"/>
    <cellStyle name="Normal 6 2 2 6 3 6" xfId="0"/>
    <cellStyle name="Normal 6 2 2 6 4" xfId="0"/>
    <cellStyle name="Normal 6 2 2 6 4 2" xfId="0"/>
    <cellStyle name="Normal 6 2 2 6 4 2 2" xfId="0"/>
    <cellStyle name="Normal 6 2 2 6 4 2 2 2" xfId="0"/>
    <cellStyle name="Normal 6 2 2 6 4 2 2 2 2" xfId="0"/>
    <cellStyle name="Normal 6 2 2 6 4 2 2 3" xfId="0"/>
    <cellStyle name="Normal 6 2 2 6 4 2 3" xfId="0"/>
    <cellStyle name="Normal 6 2 2 6 4 2 3 2" xfId="0"/>
    <cellStyle name="Normal 6 2 2 6 4 2 4" xfId="0"/>
    <cellStyle name="Normal 6 2 2 6 4 3" xfId="0"/>
    <cellStyle name="Normal 6 2 2 6 4 3 2" xfId="0"/>
    <cellStyle name="Normal 6 2 2 6 4 3 2 2" xfId="0"/>
    <cellStyle name="Normal 6 2 2 6 4 3 3" xfId="0"/>
    <cellStyle name="Normal 6 2 2 6 4 4" xfId="0"/>
    <cellStyle name="Normal 6 2 2 6 4 4 2" xfId="0"/>
    <cellStyle name="Normal 6 2 2 6 4 5" xfId="0"/>
    <cellStyle name="Normal 6 2 2 6 5" xfId="0"/>
    <cellStyle name="Normal 6 2 2 6 5 2" xfId="0"/>
    <cellStyle name="Normal 6 2 2 6 5 2 2" xfId="0"/>
    <cellStyle name="Normal 6 2 2 6 5 2 2 2" xfId="0"/>
    <cellStyle name="Normal 6 2 2 6 5 2 3" xfId="0"/>
    <cellStyle name="Normal 6 2 2 6 5 3" xfId="0"/>
    <cellStyle name="Normal 6 2 2 6 5 3 2" xfId="0"/>
    <cellStyle name="Normal 6 2 2 6 5 4" xfId="0"/>
    <cellStyle name="Normal 6 2 2 6 6" xfId="0"/>
    <cellStyle name="Normal 6 2 2 6 6 2" xfId="0"/>
    <cellStyle name="Normal 6 2 2 6 6 2 2" xfId="0"/>
    <cellStyle name="Normal 6 2 2 6 6 3" xfId="0"/>
    <cellStyle name="Normal 6 2 2 6 7" xfId="0"/>
    <cellStyle name="Normal 6 2 2 6 7 2" xfId="0"/>
    <cellStyle name="Normal 6 2 2 6 8" xfId="0"/>
    <cellStyle name="Normal 6 2 2 7" xfId="0"/>
    <cellStyle name="Normal 6 2 2 7 2" xfId="0"/>
    <cellStyle name="Normal 6 2 2 7 2 2" xfId="0"/>
    <cellStyle name="Normal 6 2 2 7 2 2 2" xfId="0"/>
    <cellStyle name="Normal 6 2 2 7 2 2 2 2" xfId="0"/>
    <cellStyle name="Normal 6 2 2 7 2 2 2 2 2" xfId="0"/>
    <cellStyle name="Normal 6 2 2 7 2 2 2 2 2 2" xfId="0"/>
    <cellStyle name="Normal 6 2 2 7 2 2 2 2 3" xfId="0"/>
    <cellStyle name="Normal 6 2 2 7 2 2 2 3" xfId="0"/>
    <cellStyle name="Normal 6 2 2 7 2 2 2 3 2" xfId="0"/>
    <cellStyle name="Normal 6 2 2 7 2 2 2 4" xfId="0"/>
    <cellStyle name="Normal 6 2 2 7 2 2 3" xfId="0"/>
    <cellStyle name="Normal 6 2 2 7 2 2 3 2" xfId="0"/>
    <cellStyle name="Normal 6 2 2 7 2 2 3 2 2" xfId="0"/>
    <cellStyle name="Normal 6 2 2 7 2 2 3 3" xfId="0"/>
    <cellStyle name="Normal 6 2 2 7 2 2 4" xfId="0"/>
    <cellStyle name="Normal 6 2 2 7 2 2 4 2" xfId="0"/>
    <cellStyle name="Normal 6 2 2 7 2 2 5" xfId="0"/>
    <cellStyle name="Normal 6 2 2 7 2 3" xfId="0"/>
    <cellStyle name="Normal 6 2 2 7 2 3 2" xfId="0"/>
    <cellStyle name="Normal 6 2 2 7 2 3 2 2" xfId="0"/>
    <cellStyle name="Normal 6 2 2 7 2 3 2 2 2" xfId="0"/>
    <cellStyle name="Normal 6 2 2 7 2 3 2 3" xfId="0"/>
    <cellStyle name="Normal 6 2 2 7 2 3 3" xfId="0"/>
    <cellStyle name="Normal 6 2 2 7 2 3 3 2" xfId="0"/>
    <cellStyle name="Normal 6 2 2 7 2 3 4" xfId="0"/>
    <cellStyle name="Normal 6 2 2 7 2 4" xfId="0"/>
    <cellStyle name="Normal 6 2 2 7 2 4 2" xfId="0"/>
    <cellStyle name="Normal 6 2 2 7 2 4 2 2" xfId="0"/>
    <cellStyle name="Normal 6 2 2 7 2 4 3" xfId="0"/>
    <cellStyle name="Normal 6 2 2 7 2 5" xfId="0"/>
    <cellStyle name="Normal 6 2 2 7 2 5 2" xfId="0"/>
    <cellStyle name="Normal 6 2 2 7 2 6" xfId="0"/>
    <cellStyle name="Normal 6 2 2 7 3" xfId="0"/>
    <cellStyle name="Normal 6 2 2 7 3 2" xfId="0"/>
    <cellStyle name="Normal 6 2 2 7 3 2 2" xfId="0"/>
    <cellStyle name="Normal 6 2 2 7 3 2 2 2" xfId="0"/>
    <cellStyle name="Normal 6 2 2 7 3 2 2 2 2" xfId="0"/>
    <cellStyle name="Normal 6 2 2 7 3 2 2 3" xfId="0"/>
    <cellStyle name="Normal 6 2 2 7 3 2 3" xfId="0"/>
    <cellStyle name="Normal 6 2 2 7 3 2 3 2" xfId="0"/>
    <cellStyle name="Normal 6 2 2 7 3 2 4" xfId="0"/>
    <cellStyle name="Normal 6 2 2 7 3 3" xfId="0"/>
    <cellStyle name="Normal 6 2 2 7 3 3 2" xfId="0"/>
    <cellStyle name="Normal 6 2 2 7 3 3 2 2" xfId="0"/>
    <cellStyle name="Normal 6 2 2 7 3 3 3" xfId="0"/>
    <cellStyle name="Normal 6 2 2 7 3 4" xfId="0"/>
    <cellStyle name="Normal 6 2 2 7 3 4 2" xfId="0"/>
    <cellStyle name="Normal 6 2 2 7 3 5" xfId="0"/>
    <cellStyle name="Normal 6 2 2 7 4" xfId="0"/>
    <cellStyle name="Normal 6 2 2 7 4 2" xfId="0"/>
    <cellStyle name="Normal 6 2 2 7 4 2 2" xfId="0"/>
    <cellStyle name="Normal 6 2 2 7 4 2 2 2" xfId="0"/>
    <cellStyle name="Normal 6 2 2 7 4 2 3" xfId="0"/>
    <cellStyle name="Normal 6 2 2 7 4 3" xfId="0"/>
    <cellStyle name="Normal 6 2 2 7 4 3 2" xfId="0"/>
    <cellStyle name="Normal 6 2 2 7 4 4" xfId="0"/>
    <cellStyle name="Normal 6 2 2 7 5" xfId="0"/>
    <cellStyle name="Normal 6 2 2 7 5 2" xfId="0"/>
    <cellStyle name="Normal 6 2 2 7 5 2 2" xfId="0"/>
    <cellStyle name="Normal 6 2 2 7 5 3" xfId="0"/>
    <cellStyle name="Normal 6 2 2 7 6" xfId="0"/>
    <cellStyle name="Normal 6 2 2 7 6 2" xfId="0"/>
    <cellStyle name="Normal 6 2 2 7 7" xfId="0"/>
    <cellStyle name="Normal 6 2 2 8" xfId="0"/>
    <cellStyle name="Normal 6 2 2 8 2" xfId="0"/>
    <cellStyle name="Normal 6 2 2 8 2 2" xfId="0"/>
    <cellStyle name="Normal 6 2 2 8 2 2 2" xfId="0"/>
    <cellStyle name="Normal 6 2 2 8 2 2 2 2" xfId="0"/>
    <cellStyle name="Normal 6 2 2 8 2 2 2 2 2" xfId="0"/>
    <cellStyle name="Normal 6 2 2 8 2 2 2 2 2 2" xfId="0"/>
    <cellStyle name="Normal 6 2 2 8 2 2 2 2 3" xfId="0"/>
    <cellStyle name="Normal 6 2 2 8 2 2 2 3" xfId="0"/>
    <cellStyle name="Normal 6 2 2 8 2 2 2 3 2" xfId="0"/>
    <cellStyle name="Normal 6 2 2 8 2 2 2 4" xfId="0"/>
    <cellStyle name="Normal 6 2 2 8 2 2 3" xfId="0"/>
    <cellStyle name="Normal 6 2 2 8 2 2 3 2" xfId="0"/>
    <cellStyle name="Normal 6 2 2 8 2 2 3 2 2" xfId="0"/>
    <cellStyle name="Normal 6 2 2 8 2 2 3 3" xfId="0"/>
    <cellStyle name="Normal 6 2 2 8 2 2 4" xfId="0"/>
    <cellStyle name="Normal 6 2 2 8 2 2 4 2" xfId="0"/>
    <cellStyle name="Normal 6 2 2 8 2 2 5" xfId="0"/>
    <cellStyle name="Normal 6 2 2 8 2 3" xfId="0"/>
    <cellStyle name="Normal 6 2 2 8 2 3 2" xfId="0"/>
    <cellStyle name="Normal 6 2 2 8 2 3 2 2" xfId="0"/>
    <cellStyle name="Normal 6 2 2 8 2 3 2 2 2" xfId="0"/>
    <cellStyle name="Normal 6 2 2 8 2 3 2 3" xfId="0"/>
    <cellStyle name="Normal 6 2 2 8 2 3 3" xfId="0"/>
    <cellStyle name="Normal 6 2 2 8 2 3 3 2" xfId="0"/>
    <cellStyle name="Normal 6 2 2 8 2 3 4" xfId="0"/>
    <cellStyle name="Normal 6 2 2 8 2 4" xfId="0"/>
    <cellStyle name="Normal 6 2 2 8 2 4 2" xfId="0"/>
    <cellStyle name="Normal 6 2 2 8 2 4 2 2" xfId="0"/>
    <cellStyle name="Normal 6 2 2 8 2 4 3" xfId="0"/>
    <cellStyle name="Normal 6 2 2 8 2 5" xfId="0"/>
    <cellStyle name="Normal 6 2 2 8 2 5 2" xfId="0"/>
    <cellStyle name="Normal 6 2 2 8 2 6" xfId="0"/>
    <cellStyle name="Normal 6 2 2 8 3" xfId="0"/>
    <cellStyle name="Normal 6 2 2 8 3 2" xfId="0"/>
    <cellStyle name="Normal 6 2 2 8 3 2 2" xfId="0"/>
    <cellStyle name="Normal 6 2 2 8 3 2 2 2" xfId="0"/>
    <cellStyle name="Normal 6 2 2 8 3 2 2 2 2" xfId="0"/>
    <cellStyle name="Normal 6 2 2 8 3 2 2 3" xfId="0"/>
    <cellStyle name="Normal 6 2 2 8 3 2 3" xfId="0"/>
    <cellStyle name="Normal 6 2 2 8 3 2 3 2" xfId="0"/>
    <cellStyle name="Normal 6 2 2 8 3 2 4" xfId="0"/>
    <cellStyle name="Normal 6 2 2 8 3 3" xfId="0"/>
    <cellStyle name="Normal 6 2 2 8 3 3 2" xfId="0"/>
    <cellStyle name="Normal 6 2 2 8 3 3 2 2" xfId="0"/>
    <cellStyle name="Normal 6 2 2 8 3 3 3" xfId="0"/>
    <cellStyle name="Normal 6 2 2 8 3 4" xfId="0"/>
    <cellStyle name="Normal 6 2 2 8 3 4 2" xfId="0"/>
    <cellStyle name="Normal 6 2 2 8 3 5" xfId="0"/>
    <cellStyle name="Normal 6 2 2 8 4" xfId="0"/>
    <cellStyle name="Normal 6 2 2 8 4 2" xfId="0"/>
    <cellStyle name="Normal 6 2 2 8 4 2 2" xfId="0"/>
    <cellStyle name="Normal 6 2 2 8 4 2 2 2" xfId="0"/>
    <cellStyle name="Normal 6 2 2 8 4 2 3" xfId="0"/>
    <cellStyle name="Normal 6 2 2 8 4 3" xfId="0"/>
    <cellStyle name="Normal 6 2 2 8 4 3 2" xfId="0"/>
    <cellStyle name="Normal 6 2 2 8 4 4" xfId="0"/>
    <cellStyle name="Normal 6 2 2 8 5" xfId="0"/>
    <cellStyle name="Normal 6 2 2 8 5 2" xfId="0"/>
    <cellStyle name="Normal 6 2 2 8 5 2 2" xfId="0"/>
    <cellStyle name="Normal 6 2 2 8 5 3" xfId="0"/>
    <cellStyle name="Normal 6 2 2 8 6" xfId="0"/>
    <cellStyle name="Normal 6 2 2 8 6 2" xfId="0"/>
    <cellStyle name="Normal 6 2 2 8 7" xfId="0"/>
    <cellStyle name="Normal 6 2 2 9" xfId="0"/>
    <cellStyle name="Normal 6 2 2 9 2" xfId="0"/>
    <cellStyle name="Normal 6 2 2 9 2 2" xfId="0"/>
    <cellStyle name="Normal 6 2 2 9 2 2 2" xfId="0"/>
    <cellStyle name="Normal 6 2 2 9 2 2 2 2" xfId="0"/>
    <cellStyle name="Normal 6 2 2 9 2 2 2 2 2" xfId="0"/>
    <cellStyle name="Normal 6 2 2 9 2 2 2 3" xfId="0"/>
    <cellStyle name="Normal 6 2 2 9 2 2 3" xfId="0"/>
    <cellStyle name="Normal 6 2 2 9 2 2 3 2" xfId="0"/>
    <cellStyle name="Normal 6 2 2 9 2 2 4" xfId="0"/>
    <cellStyle name="Normal 6 2 2 9 2 3" xfId="0"/>
    <cellStyle name="Normal 6 2 2 9 2 3 2" xfId="0"/>
    <cellStyle name="Normal 6 2 2 9 2 3 2 2" xfId="0"/>
    <cellStyle name="Normal 6 2 2 9 2 3 3" xfId="0"/>
    <cellStyle name="Normal 6 2 2 9 2 4" xfId="0"/>
    <cellStyle name="Normal 6 2 2 9 2 4 2" xfId="0"/>
    <cellStyle name="Normal 6 2 2 9 2 5" xfId="0"/>
    <cellStyle name="Normal 6 2 2 9 3" xfId="0"/>
    <cellStyle name="Normal 6 2 2 9 3 2" xfId="0"/>
    <cellStyle name="Normal 6 2 2 9 3 2 2" xfId="0"/>
    <cellStyle name="Normal 6 2 2 9 3 2 2 2" xfId="0"/>
    <cellStyle name="Normal 6 2 2 9 3 2 3" xfId="0"/>
    <cellStyle name="Normal 6 2 2 9 3 3" xfId="0"/>
    <cellStyle name="Normal 6 2 2 9 3 3 2" xfId="0"/>
    <cellStyle name="Normal 6 2 2 9 3 4" xfId="0"/>
    <cellStyle name="Normal 6 2 2 9 4" xfId="0"/>
    <cellStyle name="Normal 6 2 2 9 4 2" xfId="0"/>
    <cellStyle name="Normal 6 2 2 9 4 2 2" xfId="0"/>
    <cellStyle name="Normal 6 2 2 9 4 3" xfId="0"/>
    <cellStyle name="Normal 6 2 2 9 5" xfId="0"/>
    <cellStyle name="Normal 6 2 2 9 5 2" xfId="0"/>
    <cellStyle name="Normal 6 2 2 9 6" xfId="0"/>
    <cellStyle name="Normal 6 2 3" xfId="0"/>
    <cellStyle name="Normal 6 2 4" xfId="0"/>
    <cellStyle name="Normal 6 2 4 10" xfId="0"/>
    <cellStyle name="Normal 6 2 4 10 2" xfId="0"/>
    <cellStyle name="Normal 6 2 4 10 2 2" xfId="0"/>
    <cellStyle name="Normal 6 2 4 10 3" xfId="0"/>
    <cellStyle name="Normal 6 2 4 11" xfId="0"/>
    <cellStyle name="Normal 6 2 4 11 2" xfId="0"/>
    <cellStyle name="Normal 6 2 4 12" xfId="0"/>
    <cellStyle name="Normal 6 2 4 2" xfId="0"/>
    <cellStyle name="Normal 6 2 4 2 10" xfId="0"/>
    <cellStyle name="Normal 6 2 4 2 10 2" xfId="0"/>
    <cellStyle name="Normal 6 2 4 2 11" xfId="0"/>
    <cellStyle name="Normal 6 2 4 2 2" xfId="0"/>
    <cellStyle name="Normal 6 2 4 2 2 2" xfId="0"/>
    <cellStyle name="Normal 6 2 4 2 2 2 2" xfId="0"/>
    <cellStyle name="Normal 6 2 4 2 2 2 2 2" xfId="0"/>
    <cellStyle name="Normal 6 2 4 2 2 2 2 2 2" xfId="0"/>
    <cellStyle name="Normal 6 2 4 2 2 2 2 2 2 2" xfId="0"/>
    <cellStyle name="Normal 6 2 4 2 2 2 2 2 2 2 2" xfId="0"/>
    <cellStyle name="Normal 6 2 4 2 2 2 2 2 2 2 2 2" xfId="0"/>
    <cellStyle name="Normal 6 2 4 2 2 2 2 2 2 2 3" xfId="0"/>
    <cellStyle name="Normal 6 2 4 2 2 2 2 2 2 3" xfId="0"/>
    <cellStyle name="Normal 6 2 4 2 2 2 2 2 2 3 2" xfId="0"/>
    <cellStyle name="Normal 6 2 4 2 2 2 2 2 2 4" xfId="0"/>
    <cellStyle name="Normal 6 2 4 2 2 2 2 2 3" xfId="0"/>
    <cellStyle name="Normal 6 2 4 2 2 2 2 2 3 2" xfId="0"/>
    <cellStyle name="Normal 6 2 4 2 2 2 2 2 3 2 2" xfId="0"/>
    <cellStyle name="Normal 6 2 4 2 2 2 2 2 3 3" xfId="0"/>
    <cellStyle name="Normal 6 2 4 2 2 2 2 2 4" xfId="0"/>
    <cellStyle name="Normal 6 2 4 2 2 2 2 2 4 2" xfId="0"/>
    <cellStyle name="Normal 6 2 4 2 2 2 2 2 5" xfId="0"/>
    <cellStyle name="Normal 6 2 4 2 2 2 2 3" xfId="0"/>
    <cellStyle name="Normal 6 2 4 2 2 2 2 3 2" xfId="0"/>
    <cellStyle name="Normal 6 2 4 2 2 2 2 3 2 2" xfId="0"/>
    <cellStyle name="Normal 6 2 4 2 2 2 2 3 2 2 2" xfId="0"/>
    <cellStyle name="Normal 6 2 4 2 2 2 2 3 2 3" xfId="0"/>
    <cellStyle name="Normal 6 2 4 2 2 2 2 3 3" xfId="0"/>
    <cellStyle name="Normal 6 2 4 2 2 2 2 3 3 2" xfId="0"/>
    <cellStyle name="Normal 6 2 4 2 2 2 2 3 4" xfId="0"/>
    <cellStyle name="Normal 6 2 4 2 2 2 2 4" xfId="0"/>
    <cellStyle name="Normal 6 2 4 2 2 2 2 4 2" xfId="0"/>
    <cellStyle name="Normal 6 2 4 2 2 2 2 4 2 2" xfId="0"/>
    <cellStyle name="Normal 6 2 4 2 2 2 2 4 3" xfId="0"/>
    <cellStyle name="Normal 6 2 4 2 2 2 2 5" xfId="0"/>
    <cellStyle name="Normal 6 2 4 2 2 2 2 5 2" xfId="0"/>
    <cellStyle name="Normal 6 2 4 2 2 2 2 6" xfId="0"/>
    <cellStyle name="Normal 6 2 4 2 2 2 3" xfId="0"/>
    <cellStyle name="Normal 6 2 4 2 2 2 3 2" xfId="0"/>
    <cellStyle name="Normal 6 2 4 2 2 2 3 2 2" xfId="0"/>
    <cellStyle name="Normal 6 2 4 2 2 2 3 2 2 2" xfId="0"/>
    <cellStyle name="Normal 6 2 4 2 2 2 3 2 2 2 2" xfId="0"/>
    <cellStyle name="Normal 6 2 4 2 2 2 3 2 2 3" xfId="0"/>
    <cellStyle name="Normal 6 2 4 2 2 2 3 2 3" xfId="0"/>
    <cellStyle name="Normal 6 2 4 2 2 2 3 2 3 2" xfId="0"/>
    <cellStyle name="Normal 6 2 4 2 2 2 3 2 4" xfId="0"/>
    <cellStyle name="Normal 6 2 4 2 2 2 3 3" xfId="0"/>
    <cellStyle name="Normal 6 2 4 2 2 2 3 3 2" xfId="0"/>
    <cellStyle name="Normal 6 2 4 2 2 2 3 3 2 2" xfId="0"/>
    <cellStyle name="Normal 6 2 4 2 2 2 3 3 3" xfId="0"/>
    <cellStyle name="Normal 6 2 4 2 2 2 3 4" xfId="0"/>
    <cellStyle name="Normal 6 2 4 2 2 2 3 4 2" xfId="0"/>
    <cellStyle name="Normal 6 2 4 2 2 2 3 5" xfId="0"/>
    <cellStyle name="Normal 6 2 4 2 2 2 4" xfId="0"/>
    <cellStyle name="Normal 6 2 4 2 2 2 4 2" xfId="0"/>
    <cellStyle name="Normal 6 2 4 2 2 2 4 2 2" xfId="0"/>
    <cellStyle name="Normal 6 2 4 2 2 2 4 2 2 2" xfId="0"/>
    <cellStyle name="Normal 6 2 4 2 2 2 4 2 3" xfId="0"/>
    <cellStyle name="Normal 6 2 4 2 2 2 4 3" xfId="0"/>
    <cellStyle name="Normal 6 2 4 2 2 2 4 3 2" xfId="0"/>
    <cellStyle name="Normal 6 2 4 2 2 2 4 4" xfId="0"/>
    <cellStyle name="Normal 6 2 4 2 2 2 5" xfId="0"/>
    <cellStyle name="Normal 6 2 4 2 2 2 5 2" xfId="0"/>
    <cellStyle name="Normal 6 2 4 2 2 2 5 2 2" xfId="0"/>
    <cellStyle name="Normal 6 2 4 2 2 2 5 3" xfId="0"/>
    <cellStyle name="Normal 6 2 4 2 2 2 6" xfId="0"/>
    <cellStyle name="Normal 6 2 4 2 2 2 6 2" xfId="0"/>
    <cellStyle name="Normal 6 2 4 2 2 2 7" xfId="0"/>
    <cellStyle name="Normal 6 2 4 2 2 3" xfId="0"/>
    <cellStyle name="Normal 6 2 4 2 2 3 2" xfId="0"/>
    <cellStyle name="Normal 6 2 4 2 2 3 2 2" xfId="0"/>
    <cellStyle name="Normal 6 2 4 2 2 3 2 2 2" xfId="0"/>
    <cellStyle name="Normal 6 2 4 2 2 3 2 2 2 2" xfId="0"/>
    <cellStyle name="Normal 6 2 4 2 2 3 2 2 2 2 2" xfId="0"/>
    <cellStyle name="Normal 6 2 4 2 2 3 2 2 2 3" xfId="0"/>
    <cellStyle name="Normal 6 2 4 2 2 3 2 2 3" xfId="0"/>
    <cellStyle name="Normal 6 2 4 2 2 3 2 2 3 2" xfId="0"/>
    <cellStyle name="Normal 6 2 4 2 2 3 2 2 4" xfId="0"/>
    <cellStyle name="Normal 6 2 4 2 2 3 2 3" xfId="0"/>
    <cellStyle name="Normal 6 2 4 2 2 3 2 3 2" xfId="0"/>
    <cellStyle name="Normal 6 2 4 2 2 3 2 3 2 2" xfId="0"/>
    <cellStyle name="Normal 6 2 4 2 2 3 2 3 3" xfId="0"/>
    <cellStyle name="Normal 6 2 4 2 2 3 2 4" xfId="0"/>
    <cellStyle name="Normal 6 2 4 2 2 3 2 4 2" xfId="0"/>
    <cellStyle name="Normal 6 2 4 2 2 3 2 5" xfId="0"/>
    <cellStyle name="Normal 6 2 4 2 2 3 3" xfId="0"/>
    <cellStyle name="Normal 6 2 4 2 2 3 3 2" xfId="0"/>
    <cellStyle name="Normal 6 2 4 2 2 3 3 2 2" xfId="0"/>
    <cellStyle name="Normal 6 2 4 2 2 3 3 2 2 2" xfId="0"/>
    <cellStyle name="Normal 6 2 4 2 2 3 3 2 3" xfId="0"/>
    <cellStyle name="Normal 6 2 4 2 2 3 3 3" xfId="0"/>
    <cellStyle name="Normal 6 2 4 2 2 3 3 3 2" xfId="0"/>
    <cellStyle name="Normal 6 2 4 2 2 3 3 4" xfId="0"/>
    <cellStyle name="Normal 6 2 4 2 2 3 4" xfId="0"/>
    <cellStyle name="Normal 6 2 4 2 2 3 4 2" xfId="0"/>
    <cellStyle name="Normal 6 2 4 2 2 3 4 2 2" xfId="0"/>
    <cellStyle name="Normal 6 2 4 2 2 3 4 3" xfId="0"/>
    <cellStyle name="Normal 6 2 4 2 2 3 5" xfId="0"/>
    <cellStyle name="Normal 6 2 4 2 2 3 5 2" xfId="0"/>
    <cellStyle name="Normal 6 2 4 2 2 3 6" xfId="0"/>
    <cellStyle name="Normal 6 2 4 2 2 4" xfId="0"/>
    <cellStyle name="Normal 6 2 4 2 2 4 2" xfId="0"/>
    <cellStyle name="Normal 6 2 4 2 2 4 2 2" xfId="0"/>
    <cellStyle name="Normal 6 2 4 2 2 4 2 2 2" xfId="0"/>
    <cellStyle name="Normal 6 2 4 2 2 4 2 2 2 2" xfId="0"/>
    <cellStyle name="Normal 6 2 4 2 2 4 2 2 3" xfId="0"/>
    <cellStyle name="Normal 6 2 4 2 2 4 2 3" xfId="0"/>
    <cellStyle name="Normal 6 2 4 2 2 4 2 3 2" xfId="0"/>
    <cellStyle name="Normal 6 2 4 2 2 4 2 4" xfId="0"/>
    <cellStyle name="Normal 6 2 4 2 2 4 3" xfId="0"/>
    <cellStyle name="Normal 6 2 4 2 2 4 3 2" xfId="0"/>
    <cellStyle name="Normal 6 2 4 2 2 4 3 2 2" xfId="0"/>
    <cellStyle name="Normal 6 2 4 2 2 4 3 3" xfId="0"/>
    <cellStyle name="Normal 6 2 4 2 2 4 4" xfId="0"/>
    <cellStyle name="Normal 6 2 4 2 2 4 4 2" xfId="0"/>
    <cellStyle name="Normal 6 2 4 2 2 4 5" xfId="0"/>
    <cellStyle name="Normal 6 2 4 2 2 5" xfId="0"/>
    <cellStyle name="Normal 6 2 4 2 2 5 2" xfId="0"/>
    <cellStyle name="Normal 6 2 4 2 2 5 2 2" xfId="0"/>
    <cellStyle name="Normal 6 2 4 2 2 5 2 2 2" xfId="0"/>
    <cellStyle name="Normal 6 2 4 2 2 5 2 3" xfId="0"/>
    <cellStyle name="Normal 6 2 4 2 2 5 3" xfId="0"/>
    <cellStyle name="Normal 6 2 4 2 2 5 3 2" xfId="0"/>
    <cellStyle name="Normal 6 2 4 2 2 5 4" xfId="0"/>
    <cellStyle name="Normal 6 2 4 2 2 6" xfId="0"/>
    <cellStyle name="Normal 6 2 4 2 2 6 2" xfId="0"/>
    <cellStyle name="Normal 6 2 4 2 2 6 2 2" xfId="0"/>
    <cellStyle name="Normal 6 2 4 2 2 6 3" xfId="0"/>
    <cellStyle name="Normal 6 2 4 2 2 7" xfId="0"/>
    <cellStyle name="Normal 6 2 4 2 2 7 2" xfId="0"/>
    <cellStyle name="Normal 6 2 4 2 2 8" xfId="0"/>
    <cellStyle name="Normal 6 2 4 2 3" xfId="0"/>
    <cellStyle name="Normal 6 2 4 2 3 2" xfId="0"/>
    <cellStyle name="Normal 6 2 4 2 3 2 2" xfId="0"/>
    <cellStyle name="Normal 6 2 4 2 3 2 2 2" xfId="0"/>
    <cellStyle name="Normal 6 2 4 2 3 2 2 2 2" xfId="0"/>
    <cellStyle name="Normal 6 2 4 2 3 2 2 2 2 2" xfId="0"/>
    <cellStyle name="Normal 6 2 4 2 3 2 2 2 2 2 2" xfId="0"/>
    <cellStyle name="Normal 6 2 4 2 3 2 2 2 2 2 2 2" xfId="0"/>
    <cellStyle name="Normal 6 2 4 2 3 2 2 2 2 2 3" xfId="0"/>
    <cellStyle name="Normal 6 2 4 2 3 2 2 2 2 3" xfId="0"/>
    <cellStyle name="Normal 6 2 4 2 3 2 2 2 2 3 2" xfId="0"/>
    <cellStyle name="Normal 6 2 4 2 3 2 2 2 2 4" xfId="0"/>
    <cellStyle name="Normal 6 2 4 2 3 2 2 2 3" xfId="0"/>
    <cellStyle name="Normal 6 2 4 2 3 2 2 2 3 2" xfId="0"/>
    <cellStyle name="Normal 6 2 4 2 3 2 2 2 3 2 2" xfId="0"/>
    <cellStyle name="Normal 6 2 4 2 3 2 2 2 3 3" xfId="0"/>
    <cellStyle name="Normal 6 2 4 2 3 2 2 2 4" xfId="0"/>
    <cellStyle name="Normal 6 2 4 2 3 2 2 2 4 2" xfId="0"/>
    <cellStyle name="Normal 6 2 4 2 3 2 2 2 5" xfId="0"/>
    <cellStyle name="Normal 6 2 4 2 3 2 2 3" xfId="0"/>
    <cellStyle name="Normal 6 2 4 2 3 2 2 3 2" xfId="0"/>
    <cellStyle name="Normal 6 2 4 2 3 2 2 3 2 2" xfId="0"/>
    <cellStyle name="Normal 6 2 4 2 3 2 2 3 2 2 2" xfId="0"/>
    <cellStyle name="Normal 6 2 4 2 3 2 2 3 2 3" xfId="0"/>
    <cellStyle name="Normal 6 2 4 2 3 2 2 3 3" xfId="0"/>
    <cellStyle name="Normal 6 2 4 2 3 2 2 3 3 2" xfId="0"/>
    <cellStyle name="Normal 6 2 4 2 3 2 2 3 4" xfId="0"/>
    <cellStyle name="Normal 6 2 4 2 3 2 2 4" xfId="0"/>
    <cellStyle name="Normal 6 2 4 2 3 2 2 4 2" xfId="0"/>
    <cellStyle name="Normal 6 2 4 2 3 2 2 4 2 2" xfId="0"/>
    <cellStyle name="Normal 6 2 4 2 3 2 2 4 3" xfId="0"/>
    <cellStyle name="Normal 6 2 4 2 3 2 2 5" xfId="0"/>
    <cellStyle name="Normal 6 2 4 2 3 2 2 5 2" xfId="0"/>
    <cellStyle name="Normal 6 2 4 2 3 2 2 6" xfId="0"/>
    <cellStyle name="Normal 6 2 4 2 3 2 3" xfId="0"/>
    <cellStyle name="Normal 6 2 4 2 3 2 3 2" xfId="0"/>
    <cellStyle name="Normal 6 2 4 2 3 2 3 2 2" xfId="0"/>
    <cellStyle name="Normal 6 2 4 2 3 2 3 2 2 2" xfId="0"/>
    <cellStyle name="Normal 6 2 4 2 3 2 3 2 2 2 2" xfId="0"/>
    <cellStyle name="Normal 6 2 4 2 3 2 3 2 2 3" xfId="0"/>
    <cellStyle name="Normal 6 2 4 2 3 2 3 2 3" xfId="0"/>
    <cellStyle name="Normal 6 2 4 2 3 2 3 2 3 2" xfId="0"/>
    <cellStyle name="Normal 6 2 4 2 3 2 3 2 4" xfId="0"/>
    <cellStyle name="Normal 6 2 4 2 3 2 3 3" xfId="0"/>
    <cellStyle name="Normal 6 2 4 2 3 2 3 3 2" xfId="0"/>
    <cellStyle name="Normal 6 2 4 2 3 2 3 3 2 2" xfId="0"/>
    <cellStyle name="Normal 6 2 4 2 3 2 3 3 3" xfId="0"/>
    <cellStyle name="Normal 6 2 4 2 3 2 3 4" xfId="0"/>
    <cellStyle name="Normal 6 2 4 2 3 2 3 4 2" xfId="0"/>
    <cellStyle name="Normal 6 2 4 2 3 2 3 5" xfId="0"/>
    <cellStyle name="Normal 6 2 4 2 3 2 4" xfId="0"/>
    <cellStyle name="Normal 6 2 4 2 3 2 4 2" xfId="0"/>
    <cellStyle name="Normal 6 2 4 2 3 2 4 2 2" xfId="0"/>
    <cellStyle name="Normal 6 2 4 2 3 2 4 2 2 2" xfId="0"/>
    <cellStyle name="Normal 6 2 4 2 3 2 4 2 3" xfId="0"/>
    <cellStyle name="Normal 6 2 4 2 3 2 4 3" xfId="0"/>
    <cellStyle name="Normal 6 2 4 2 3 2 4 3 2" xfId="0"/>
    <cellStyle name="Normal 6 2 4 2 3 2 4 4" xfId="0"/>
    <cellStyle name="Normal 6 2 4 2 3 2 5" xfId="0"/>
    <cellStyle name="Normal 6 2 4 2 3 2 5 2" xfId="0"/>
    <cellStyle name="Normal 6 2 4 2 3 2 5 2 2" xfId="0"/>
    <cellStyle name="Normal 6 2 4 2 3 2 5 3" xfId="0"/>
    <cellStyle name="Normal 6 2 4 2 3 2 6" xfId="0"/>
    <cellStyle name="Normal 6 2 4 2 3 2 6 2" xfId="0"/>
    <cellStyle name="Normal 6 2 4 2 3 2 7" xfId="0"/>
    <cellStyle name="Normal 6 2 4 2 3 3" xfId="0"/>
    <cellStyle name="Normal 6 2 4 2 3 3 2" xfId="0"/>
    <cellStyle name="Normal 6 2 4 2 3 3 2 2" xfId="0"/>
    <cellStyle name="Normal 6 2 4 2 3 3 2 2 2" xfId="0"/>
    <cellStyle name="Normal 6 2 4 2 3 3 2 2 2 2" xfId="0"/>
    <cellStyle name="Normal 6 2 4 2 3 3 2 2 2 2 2" xfId="0"/>
    <cellStyle name="Normal 6 2 4 2 3 3 2 2 2 3" xfId="0"/>
    <cellStyle name="Normal 6 2 4 2 3 3 2 2 3" xfId="0"/>
    <cellStyle name="Normal 6 2 4 2 3 3 2 2 3 2" xfId="0"/>
    <cellStyle name="Normal 6 2 4 2 3 3 2 2 4" xfId="0"/>
    <cellStyle name="Normal 6 2 4 2 3 3 2 3" xfId="0"/>
    <cellStyle name="Normal 6 2 4 2 3 3 2 3 2" xfId="0"/>
    <cellStyle name="Normal 6 2 4 2 3 3 2 3 2 2" xfId="0"/>
    <cellStyle name="Normal 6 2 4 2 3 3 2 3 3" xfId="0"/>
    <cellStyle name="Normal 6 2 4 2 3 3 2 4" xfId="0"/>
    <cellStyle name="Normal 6 2 4 2 3 3 2 4 2" xfId="0"/>
    <cellStyle name="Normal 6 2 4 2 3 3 2 5" xfId="0"/>
    <cellStyle name="Normal 6 2 4 2 3 3 3" xfId="0"/>
    <cellStyle name="Normal 6 2 4 2 3 3 3 2" xfId="0"/>
    <cellStyle name="Normal 6 2 4 2 3 3 3 2 2" xfId="0"/>
    <cellStyle name="Normal 6 2 4 2 3 3 3 2 2 2" xfId="0"/>
    <cellStyle name="Normal 6 2 4 2 3 3 3 2 3" xfId="0"/>
    <cellStyle name="Normal 6 2 4 2 3 3 3 3" xfId="0"/>
    <cellStyle name="Normal 6 2 4 2 3 3 3 3 2" xfId="0"/>
    <cellStyle name="Normal 6 2 4 2 3 3 3 4" xfId="0"/>
    <cellStyle name="Normal 6 2 4 2 3 3 4" xfId="0"/>
    <cellStyle name="Normal 6 2 4 2 3 3 4 2" xfId="0"/>
    <cellStyle name="Normal 6 2 4 2 3 3 4 2 2" xfId="0"/>
    <cellStyle name="Normal 6 2 4 2 3 3 4 3" xfId="0"/>
    <cellStyle name="Normal 6 2 4 2 3 3 5" xfId="0"/>
    <cellStyle name="Normal 6 2 4 2 3 3 5 2" xfId="0"/>
    <cellStyle name="Normal 6 2 4 2 3 3 6" xfId="0"/>
    <cellStyle name="Normal 6 2 4 2 3 4" xfId="0"/>
    <cellStyle name="Normal 6 2 4 2 3 4 2" xfId="0"/>
    <cellStyle name="Normal 6 2 4 2 3 4 2 2" xfId="0"/>
    <cellStyle name="Normal 6 2 4 2 3 4 2 2 2" xfId="0"/>
    <cellStyle name="Normal 6 2 4 2 3 4 2 2 2 2" xfId="0"/>
    <cellStyle name="Normal 6 2 4 2 3 4 2 2 3" xfId="0"/>
    <cellStyle name="Normal 6 2 4 2 3 4 2 3" xfId="0"/>
    <cellStyle name="Normal 6 2 4 2 3 4 2 3 2" xfId="0"/>
    <cellStyle name="Normal 6 2 4 2 3 4 2 4" xfId="0"/>
    <cellStyle name="Normal 6 2 4 2 3 4 3" xfId="0"/>
    <cellStyle name="Normal 6 2 4 2 3 4 3 2" xfId="0"/>
    <cellStyle name="Normal 6 2 4 2 3 4 3 2 2" xfId="0"/>
    <cellStyle name="Normal 6 2 4 2 3 4 3 3" xfId="0"/>
    <cellStyle name="Normal 6 2 4 2 3 4 4" xfId="0"/>
    <cellStyle name="Normal 6 2 4 2 3 4 4 2" xfId="0"/>
    <cellStyle name="Normal 6 2 4 2 3 4 5" xfId="0"/>
    <cellStyle name="Normal 6 2 4 2 3 5" xfId="0"/>
    <cellStyle name="Normal 6 2 4 2 3 5 2" xfId="0"/>
    <cellStyle name="Normal 6 2 4 2 3 5 2 2" xfId="0"/>
    <cellStyle name="Normal 6 2 4 2 3 5 2 2 2" xfId="0"/>
    <cellStyle name="Normal 6 2 4 2 3 5 2 3" xfId="0"/>
    <cellStyle name="Normal 6 2 4 2 3 5 3" xfId="0"/>
    <cellStyle name="Normal 6 2 4 2 3 5 3 2" xfId="0"/>
    <cellStyle name="Normal 6 2 4 2 3 5 4" xfId="0"/>
    <cellStyle name="Normal 6 2 4 2 3 6" xfId="0"/>
    <cellStyle name="Normal 6 2 4 2 3 6 2" xfId="0"/>
    <cellStyle name="Normal 6 2 4 2 3 6 2 2" xfId="0"/>
    <cellStyle name="Normal 6 2 4 2 3 6 3" xfId="0"/>
    <cellStyle name="Normal 6 2 4 2 3 7" xfId="0"/>
    <cellStyle name="Normal 6 2 4 2 3 7 2" xfId="0"/>
    <cellStyle name="Normal 6 2 4 2 3 8" xfId="0"/>
    <cellStyle name="Normal 6 2 4 2 4" xfId="0"/>
    <cellStyle name="Normal 6 2 4 2 4 2" xfId="0"/>
    <cellStyle name="Normal 6 2 4 2 4 2 2" xfId="0"/>
    <cellStyle name="Normal 6 2 4 2 4 2 2 2" xfId="0"/>
    <cellStyle name="Normal 6 2 4 2 4 2 2 2 2" xfId="0"/>
    <cellStyle name="Normal 6 2 4 2 4 2 2 2 2 2" xfId="0"/>
    <cellStyle name="Normal 6 2 4 2 4 2 2 2 2 2 2" xfId="0"/>
    <cellStyle name="Normal 6 2 4 2 4 2 2 2 2 3" xfId="0"/>
    <cellStyle name="Normal 6 2 4 2 4 2 2 2 3" xfId="0"/>
    <cellStyle name="Normal 6 2 4 2 4 2 2 2 3 2" xfId="0"/>
    <cellStyle name="Normal 6 2 4 2 4 2 2 2 4" xfId="0"/>
    <cellStyle name="Normal 6 2 4 2 4 2 2 3" xfId="0"/>
    <cellStyle name="Normal 6 2 4 2 4 2 2 3 2" xfId="0"/>
    <cellStyle name="Normal 6 2 4 2 4 2 2 3 2 2" xfId="0"/>
    <cellStyle name="Normal 6 2 4 2 4 2 2 3 3" xfId="0"/>
    <cellStyle name="Normal 6 2 4 2 4 2 2 4" xfId="0"/>
    <cellStyle name="Normal 6 2 4 2 4 2 2 4 2" xfId="0"/>
    <cellStyle name="Normal 6 2 4 2 4 2 2 5" xfId="0"/>
    <cellStyle name="Normal 6 2 4 2 4 2 3" xfId="0"/>
    <cellStyle name="Normal 6 2 4 2 4 2 3 2" xfId="0"/>
    <cellStyle name="Normal 6 2 4 2 4 2 3 2 2" xfId="0"/>
    <cellStyle name="Normal 6 2 4 2 4 2 3 2 2 2" xfId="0"/>
    <cellStyle name="Normal 6 2 4 2 4 2 3 2 3" xfId="0"/>
    <cellStyle name="Normal 6 2 4 2 4 2 3 3" xfId="0"/>
    <cellStyle name="Normal 6 2 4 2 4 2 3 3 2" xfId="0"/>
    <cellStyle name="Normal 6 2 4 2 4 2 3 4" xfId="0"/>
    <cellStyle name="Normal 6 2 4 2 4 2 4" xfId="0"/>
    <cellStyle name="Normal 6 2 4 2 4 2 4 2" xfId="0"/>
    <cellStyle name="Normal 6 2 4 2 4 2 4 2 2" xfId="0"/>
    <cellStyle name="Normal 6 2 4 2 4 2 4 3" xfId="0"/>
    <cellStyle name="Normal 6 2 4 2 4 2 5" xfId="0"/>
    <cellStyle name="Normal 6 2 4 2 4 2 5 2" xfId="0"/>
    <cellStyle name="Normal 6 2 4 2 4 2 6" xfId="0"/>
    <cellStyle name="Normal 6 2 4 2 4 3" xfId="0"/>
    <cellStyle name="Normal 6 2 4 2 4 3 2" xfId="0"/>
    <cellStyle name="Normal 6 2 4 2 4 3 2 2" xfId="0"/>
    <cellStyle name="Normal 6 2 4 2 4 3 2 2 2" xfId="0"/>
    <cellStyle name="Normal 6 2 4 2 4 3 2 2 2 2" xfId="0"/>
    <cellStyle name="Normal 6 2 4 2 4 3 2 2 3" xfId="0"/>
    <cellStyle name="Normal 6 2 4 2 4 3 2 3" xfId="0"/>
    <cellStyle name="Normal 6 2 4 2 4 3 2 3 2" xfId="0"/>
    <cellStyle name="Normal 6 2 4 2 4 3 2 4" xfId="0"/>
    <cellStyle name="Normal 6 2 4 2 4 3 3" xfId="0"/>
    <cellStyle name="Normal 6 2 4 2 4 3 3 2" xfId="0"/>
    <cellStyle name="Normal 6 2 4 2 4 3 3 2 2" xfId="0"/>
    <cellStyle name="Normal 6 2 4 2 4 3 3 3" xfId="0"/>
    <cellStyle name="Normal 6 2 4 2 4 3 4" xfId="0"/>
    <cellStyle name="Normal 6 2 4 2 4 3 4 2" xfId="0"/>
    <cellStyle name="Normal 6 2 4 2 4 3 5" xfId="0"/>
    <cellStyle name="Normal 6 2 4 2 4 4" xfId="0"/>
    <cellStyle name="Normal 6 2 4 2 4 4 2" xfId="0"/>
    <cellStyle name="Normal 6 2 4 2 4 4 2 2" xfId="0"/>
    <cellStyle name="Normal 6 2 4 2 4 4 2 2 2" xfId="0"/>
    <cellStyle name="Normal 6 2 4 2 4 4 2 3" xfId="0"/>
    <cellStyle name="Normal 6 2 4 2 4 4 3" xfId="0"/>
    <cellStyle name="Normal 6 2 4 2 4 4 3 2" xfId="0"/>
    <cellStyle name="Normal 6 2 4 2 4 4 4" xfId="0"/>
    <cellStyle name="Normal 6 2 4 2 4 5" xfId="0"/>
    <cellStyle name="Normal 6 2 4 2 4 5 2" xfId="0"/>
    <cellStyle name="Normal 6 2 4 2 4 5 2 2" xfId="0"/>
    <cellStyle name="Normal 6 2 4 2 4 5 3" xfId="0"/>
    <cellStyle name="Normal 6 2 4 2 4 6" xfId="0"/>
    <cellStyle name="Normal 6 2 4 2 4 6 2" xfId="0"/>
    <cellStyle name="Normal 6 2 4 2 4 7" xfId="0"/>
    <cellStyle name="Normal 6 2 4 2 5" xfId="0"/>
    <cellStyle name="Normal 6 2 4 2 5 2" xfId="0"/>
    <cellStyle name="Normal 6 2 4 2 5 2 2" xfId="0"/>
    <cellStyle name="Normal 6 2 4 2 5 2 2 2" xfId="0"/>
    <cellStyle name="Normal 6 2 4 2 5 2 2 2 2" xfId="0"/>
    <cellStyle name="Normal 6 2 4 2 5 2 2 2 2 2" xfId="0"/>
    <cellStyle name="Normal 6 2 4 2 5 2 2 2 2 2 2" xfId="0"/>
    <cellStyle name="Normal 6 2 4 2 5 2 2 2 2 3" xfId="0"/>
    <cellStyle name="Normal 6 2 4 2 5 2 2 2 3" xfId="0"/>
    <cellStyle name="Normal 6 2 4 2 5 2 2 2 3 2" xfId="0"/>
    <cellStyle name="Normal 6 2 4 2 5 2 2 2 4" xfId="0"/>
    <cellStyle name="Normal 6 2 4 2 5 2 2 3" xfId="0"/>
    <cellStyle name="Normal 6 2 4 2 5 2 2 3 2" xfId="0"/>
    <cellStyle name="Normal 6 2 4 2 5 2 2 3 2 2" xfId="0"/>
    <cellStyle name="Normal 6 2 4 2 5 2 2 3 3" xfId="0"/>
    <cellStyle name="Normal 6 2 4 2 5 2 2 4" xfId="0"/>
    <cellStyle name="Normal 6 2 4 2 5 2 2 4 2" xfId="0"/>
    <cellStyle name="Normal 6 2 4 2 5 2 2 5" xfId="0"/>
    <cellStyle name="Normal 6 2 4 2 5 2 3" xfId="0"/>
    <cellStyle name="Normal 6 2 4 2 5 2 3 2" xfId="0"/>
    <cellStyle name="Normal 6 2 4 2 5 2 3 2 2" xfId="0"/>
    <cellStyle name="Normal 6 2 4 2 5 2 3 2 2 2" xfId="0"/>
    <cellStyle name="Normal 6 2 4 2 5 2 3 2 3" xfId="0"/>
    <cellStyle name="Normal 6 2 4 2 5 2 3 3" xfId="0"/>
    <cellStyle name="Normal 6 2 4 2 5 2 3 3 2" xfId="0"/>
    <cellStyle name="Normal 6 2 4 2 5 2 3 4" xfId="0"/>
    <cellStyle name="Normal 6 2 4 2 5 2 4" xfId="0"/>
    <cellStyle name="Normal 6 2 4 2 5 2 4 2" xfId="0"/>
    <cellStyle name="Normal 6 2 4 2 5 2 4 2 2" xfId="0"/>
    <cellStyle name="Normal 6 2 4 2 5 2 4 3" xfId="0"/>
    <cellStyle name="Normal 6 2 4 2 5 2 5" xfId="0"/>
    <cellStyle name="Normal 6 2 4 2 5 2 5 2" xfId="0"/>
    <cellStyle name="Normal 6 2 4 2 5 2 6" xfId="0"/>
    <cellStyle name="Normal 6 2 4 2 5 3" xfId="0"/>
    <cellStyle name="Normal 6 2 4 2 5 3 2" xfId="0"/>
    <cellStyle name="Normal 6 2 4 2 5 3 2 2" xfId="0"/>
    <cellStyle name="Normal 6 2 4 2 5 3 2 2 2" xfId="0"/>
    <cellStyle name="Normal 6 2 4 2 5 3 2 2 2 2" xfId="0"/>
    <cellStyle name="Normal 6 2 4 2 5 3 2 2 3" xfId="0"/>
    <cellStyle name="Normal 6 2 4 2 5 3 2 3" xfId="0"/>
    <cellStyle name="Normal 6 2 4 2 5 3 2 3 2" xfId="0"/>
    <cellStyle name="Normal 6 2 4 2 5 3 2 4" xfId="0"/>
    <cellStyle name="Normal 6 2 4 2 5 3 3" xfId="0"/>
    <cellStyle name="Normal 6 2 4 2 5 3 3 2" xfId="0"/>
    <cellStyle name="Normal 6 2 4 2 5 3 3 2 2" xfId="0"/>
    <cellStyle name="Normal 6 2 4 2 5 3 3 3" xfId="0"/>
    <cellStyle name="Normal 6 2 4 2 5 3 4" xfId="0"/>
    <cellStyle name="Normal 6 2 4 2 5 3 4 2" xfId="0"/>
    <cellStyle name="Normal 6 2 4 2 5 3 5" xfId="0"/>
    <cellStyle name="Normal 6 2 4 2 5 4" xfId="0"/>
    <cellStyle name="Normal 6 2 4 2 5 4 2" xfId="0"/>
    <cellStyle name="Normal 6 2 4 2 5 4 2 2" xfId="0"/>
    <cellStyle name="Normal 6 2 4 2 5 4 2 2 2" xfId="0"/>
    <cellStyle name="Normal 6 2 4 2 5 4 2 3" xfId="0"/>
    <cellStyle name="Normal 6 2 4 2 5 4 3" xfId="0"/>
    <cellStyle name="Normal 6 2 4 2 5 4 3 2" xfId="0"/>
    <cellStyle name="Normal 6 2 4 2 5 4 4" xfId="0"/>
    <cellStyle name="Normal 6 2 4 2 5 5" xfId="0"/>
    <cellStyle name="Normal 6 2 4 2 5 5 2" xfId="0"/>
    <cellStyle name="Normal 6 2 4 2 5 5 2 2" xfId="0"/>
    <cellStyle name="Normal 6 2 4 2 5 5 3" xfId="0"/>
    <cellStyle name="Normal 6 2 4 2 5 6" xfId="0"/>
    <cellStyle name="Normal 6 2 4 2 5 6 2" xfId="0"/>
    <cellStyle name="Normal 6 2 4 2 5 7" xfId="0"/>
    <cellStyle name="Normal 6 2 4 2 6" xfId="0"/>
    <cellStyle name="Normal 6 2 4 2 6 2" xfId="0"/>
    <cellStyle name="Normal 6 2 4 2 6 2 2" xfId="0"/>
    <cellStyle name="Normal 6 2 4 2 6 2 2 2" xfId="0"/>
    <cellStyle name="Normal 6 2 4 2 6 2 2 2 2" xfId="0"/>
    <cellStyle name="Normal 6 2 4 2 6 2 2 2 2 2" xfId="0"/>
    <cellStyle name="Normal 6 2 4 2 6 2 2 2 3" xfId="0"/>
    <cellStyle name="Normal 6 2 4 2 6 2 2 3" xfId="0"/>
    <cellStyle name="Normal 6 2 4 2 6 2 2 3 2" xfId="0"/>
    <cellStyle name="Normal 6 2 4 2 6 2 2 4" xfId="0"/>
    <cellStyle name="Normal 6 2 4 2 6 2 3" xfId="0"/>
    <cellStyle name="Normal 6 2 4 2 6 2 3 2" xfId="0"/>
    <cellStyle name="Normal 6 2 4 2 6 2 3 2 2" xfId="0"/>
    <cellStyle name="Normal 6 2 4 2 6 2 3 3" xfId="0"/>
    <cellStyle name="Normal 6 2 4 2 6 2 4" xfId="0"/>
    <cellStyle name="Normal 6 2 4 2 6 2 4 2" xfId="0"/>
    <cellStyle name="Normal 6 2 4 2 6 2 5" xfId="0"/>
    <cellStyle name="Normal 6 2 4 2 6 3" xfId="0"/>
    <cellStyle name="Normal 6 2 4 2 6 3 2" xfId="0"/>
    <cellStyle name="Normal 6 2 4 2 6 3 2 2" xfId="0"/>
    <cellStyle name="Normal 6 2 4 2 6 3 2 2 2" xfId="0"/>
    <cellStyle name="Normal 6 2 4 2 6 3 2 3" xfId="0"/>
    <cellStyle name="Normal 6 2 4 2 6 3 3" xfId="0"/>
    <cellStyle name="Normal 6 2 4 2 6 3 3 2" xfId="0"/>
    <cellStyle name="Normal 6 2 4 2 6 3 4" xfId="0"/>
    <cellStyle name="Normal 6 2 4 2 6 4" xfId="0"/>
    <cellStyle name="Normal 6 2 4 2 6 4 2" xfId="0"/>
    <cellStyle name="Normal 6 2 4 2 6 4 2 2" xfId="0"/>
    <cellStyle name="Normal 6 2 4 2 6 4 3" xfId="0"/>
    <cellStyle name="Normal 6 2 4 2 6 5" xfId="0"/>
    <cellStyle name="Normal 6 2 4 2 6 5 2" xfId="0"/>
    <cellStyle name="Normal 6 2 4 2 6 6" xfId="0"/>
    <cellStyle name="Normal 6 2 4 2 7" xfId="0"/>
    <cellStyle name="Normal 6 2 4 2 7 2" xfId="0"/>
    <cellStyle name="Normal 6 2 4 2 7 2 2" xfId="0"/>
    <cellStyle name="Normal 6 2 4 2 7 2 2 2" xfId="0"/>
    <cellStyle name="Normal 6 2 4 2 7 2 2 2 2" xfId="0"/>
    <cellStyle name="Normal 6 2 4 2 7 2 2 3" xfId="0"/>
    <cellStyle name="Normal 6 2 4 2 7 2 3" xfId="0"/>
    <cellStyle name="Normal 6 2 4 2 7 2 3 2" xfId="0"/>
    <cellStyle name="Normal 6 2 4 2 7 2 4" xfId="0"/>
    <cellStyle name="Normal 6 2 4 2 7 3" xfId="0"/>
    <cellStyle name="Normal 6 2 4 2 7 3 2" xfId="0"/>
    <cellStyle name="Normal 6 2 4 2 7 3 2 2" xfId="0"/>
    <cellStyle name="Normal 6 2 4 2 7 3 3" xfId="0"/>
    <cellStyle name="Normal 6 2 4 2 7 4" xfId="0"/>
    <cellStyle name="Normal 6 2 4 2 7 4 2" xfId="0"/>
    <cellStyle name="Normal 6 2 4 2 7 5" xfId="0"/>
    <cellStyle name="Normal 6 2 4 2 8" xfId="0"/>
    <cellStyle name="Normal 6 2 4 2 8 2" xfId="0"/>
    <cellStyle name="Normal 6 2 4 2 8 2 2" xfId="0"/>
    <cellStyle name="Normal 6 2 4 2 8 2 2 2" xfId="0"/>
    <cellStyle name="Normal 6 2 4 2 8 2 3" xfId="0"/>
    <cellStyle name="Normal 6 2 4 2 8 3" xfId="0"/>
    <cellStyle name="Normal 6 2 4 2 8 3 2" xfId="0"/>
    <cellStyle name="Normal 6 2 4 2 8 4" xfId="0"/>
    <cellStyle name="Normal 6 2 4 2 9" xfId="0"/>
    <cellStyle name="Normal 6 2 4 2 9 2" xfId="0"/>
    <cellStyle name="Normal 6 2 4 2 9 2 2" xfId="0"/>
    <cellStyle name="Normal 6 2 4 2 9 3" xfId="0"/>
    <cellStyle name="Normal 6 2 4 3" xfId="0"/>
    <cellStyle name="Normal 6 2 4 3 2" xfId="0"/>
    <cellStyle name="Normal 6 2 4 3 2 2" xfId="0"/>
    <cellStyle name="Normal 6 2 4 3 2 2 2" xfId="0"/>
    <cellStyle name="Normal 6 2 4 3 2 2 2 2" xfId="0"/>
    <cellStyle name="Normal 6 2 4 3 2 2 2 2 2" xfId="0"/>
    <cellStyle name="Normal 6 2 4 3 2 2 2 2 2 2" xfId="0"/>
    <cellStyle name="Normal 6 2 4 3 2 2 2 2 2 2 2" xfId="0"/>
    <cellStyle name="Normal 6 2 4 3 2 2 2 2 2 3" xfId="0"/>
    <cellStyle name="Normal 6 2 4 3 2 2 2 2 3" xfId="0"/>
    <cellStyle name="Normal 6 2 4 3 2 2 2 2 3 2" xfId="0"/>
    <cellStyle name="Normal 6 2 4 3 2 2 2 2 4" xfId="0"/>
    <cellStyle name="Normal 6 2 4 3 2 2 2 3" xfId="0"/>
    <cellStyle name="Normal 6 2 4 3 2 2 2 3 2" xfId="0"/>
    <cellStyle name="Normal 6 2 4 3 2 2 2 3 2 2" xfId="0"/>
    <cellStyle name="Normal 6 2 4 3 2 2 2 3 3" xfId="0"/>
    <cellStyle name="Normal 6 2 4 3 2 2 2 4" xfId="0"/>
    <cellStyle name="Normal 6 2 4 3 2 2 2 4 2" xfId="0"/>
    <cellStyle name="Normal 6 2 4 3 2 2 2 5" xfId="0"/>
    <cellStyle name="Normal 6 2 4 3 2 2 3" xfId="0"/>
    <cellStyle name="Normal 6 2 4 3 2 2 3 2" xfId="0"/>
    <cellStyle name="Normal 6 2 4 3 2 2 3 2 2" xfId="0"/>
    <cellStyle name="Normal 6 2 4 3 2 2 3 2 2 2" xfId="0"/>
    <cellStyle name="Normal 6 2 4 3 2 2 3 2 3" xfId="0"/>
    <cellStyle name="Normal 6 2 4 3 2 2 3 3" xfId="0"/>
    <cellStyle name="Normal 6 2 4 3 2 2 3 3 2" xfId="0"/>
    <cellStyle name="Normal 6 2 4 3 2 2 3 4" xfId="0"/>
    <cellStyle name="Normal 6 2 4 3 2 2 4" xfId="0"/>
    <cellStyle name="Normal 6 2 4 3 2 2 4 2" xfId="0"/>
    <cellStyle name="Normal 6 2 4 3 2 2 4 2 2" xfId="0"/>
    <cellStyle name="Normal 6 2 4 3 2 2 4 3" xfId="0"/>
    <cellStyle name="Normal 6 2 4 3 2 2 5" xfId="0"/>
    <cellStyle name="Normal 6 2 4 3 2 2 5 2" xfId="0"/>
    <cellStyle name="Normal 6 2 4 3 2 2 6" xfId="0"/>
    <cellStyle name="Normal 6 2 4 3 2 3" xfId="0"/>
    <cellStyle name="Normal 6 2 4 3 2 3 2" xfId="0"/>
    <cellStyle name="Normal 6 2 4 3 2 3 2 2" xfId="0"/>
    <cellStyle name="Normal 6 2 4 3 2 3 2 2 2" xfId="0"/>
    <cellStyle name="Normal 6 2 4 3 2 3 2 2 2 2" xfId="0"/>
    <cellStyle name="Normal 6 2 4 3 2 3 2 2 3" xfId="0"/>
    <cellStyle name="Normal 6 2 4 3 2 3 2 3" xfId="0"/>
    <cellStyle name="Normal 6 2 4 3 2 3 2 3 2" xfId="0"/>
    <cellStyle name="Normal 6 2 4 3 2 3 2 4" xfId="0"/>
    <cellStyle name="Normal 6 2 4 3 2 3 3" xfId="0"/>
    <cellStyle name="Normal 6 2 4 3 2 3 3 2" xfId="0"/>
    <cellStyle name="Normal 6 2 4 3 2 3 3 2 2" xfId="0"/>
    <cellStyle name="Normal 6 2 4 3 2 3 3 3" xfId="0"/>
    <cellStyle name="Normal 6 2 4 3 2 3 4" xfId="0"/>
    <cellStyle name="Normal 6 2 4 3 2 3 4 2" xfId="0"/>
    <cellStyle name="Normal 6 2 4 3 2 3 5" xfId="0"/>
    <cellStyle name="Normal 6 2 4 3 2 4" xfId="0"/>
    <cellStyle name="Normal 6 2 4 3 2 4 2" xfId="0"/>
    <cellStyle name="Normal 6 2 4 3 2 4 2 2" xfId="0"/>
    <cellStyle name="Normal 6 2 4 3 2 4 2 2 2" xfId="0"/>
    <cellStyle name="Normal 6 2 4 3 2 4 2 3" xfId="0"/>
    <cellStyle name="Normal 6 2 4 3 2 4 3" xfId="0"/>
    <cellStyle name="Normal 6 2 4 3 2 4 3 2" xfId="0"/>
    <cellStyle name="Normal 6 2 4 3 2 4 4" xfId="0"/>
    <cellStyle name="Normal 6 2 4 3 2 5" xfId="0"/>
    <cellStyle name="Normal 6 2 4 3 2 5 2" xfId="0"/>
    <cellStyle name="Normal 6 2 4 3 2 5 2 2" xfId="0"/>
    <cellStyle name="Normal 6 2 4 3 2 5 3" xfId="0"/>
    <cellStyle name="Normal 6 2 4 3 2 6" xfId="0"/>
    <cellStyle name="Normal 6 2 4 3 2 6 2" xfId="0"/>
    <cellStyle name="Normal 6 2 4 3 2 7" xfId="0"/>
    <cellStyle name="Normal 6 2 4 3 3" xfId="0"/>
    <cellStyle name="Normal 6 2 4 3 3 2" xfId="0"/>
    <cellStyle name="Normal 6 2 4 3 3 2 2" xfId="0"/>
    <cellStyle name="Normal 6 2 4 3 3 2 2 2" xfId="0"/>
    <cellStyle name="Normal 6 2 4 3 3 2 2 2 2" xfId="0"/>
    <cellStyle name="Normal 6 2 4 3 3 2 2 2 2 2" xfId="0"/>
    <cellStyle name="Normal 6 2 4 3 3 2 2 2 3" xfId="0"/>
    <cellStyle name="Normal 6 2 4 3 3 2 2 3" xfId="0"/>
    <cellStyle name="Normal 6 2 4 3 3 2 2 3 2" xfId="0"/>
    <cellStyle name="Normal 6 2 4 3 3 2 2 4" xfId="0"/>
    <cellStyle name="Normal 6 2 4 3 3 2 3" xfId="0"/>
    <cellStyle name="Normal 6 2 4 3 3 2 3 2" xfId="0"/>
    <cellStyle name="Normal 6 2 4 3 3 2 3 2 2" xfId="0"/>
    <cellStyle name="Normal 6 2 4 3 3 2 3 3" xfId="0"/>
    <cellStyle name="Normal 6 2 4 3 3 2 4" xfId="0"/>
    <cellStyle name="Normal 6 2 4 3 3 2 4 2" xfId="0"/>
    <cellStyle name="Normal 6 2 4 3 3 2 5" xfId="0"/>
    <cellStyle name="Normal 6 2 4 3 3 3" xfId="0"/>
    <cellStyle name="Normal 6 2 4 3 3 3 2" xfId="0"/>
    <cellStyle name="Normal 6 2 4 3 3 3 2 2" xfId="0"/>
    <cellStyle name="Normal 6 2 4 3 3 3 2 2 2" xfId="0"/>
    <cellStyle name="Normal 6 2 4 3 3 3 2 3" xfId="0"/>
    <cellStyle name="Normal 6 2 4 3 3 3 3" xfId="0"/>
    <cellStyle name="Normal 6 2 4 3 3 3 3 2" xfId="0"/>
    <cellStyle name="Normal 6 2 4 3 3 3 4" xfId="0"/>
    <cellStyle name="Normal 6 2 4 3 3 4" xfId="0"/>
    <cellStyle name="Normal 6 2 4 3 3 4 2" xfId="0"/>
    <cellStyle name="Normal 6 2 4 3 3 4 2 2" xfId="0"/>
    <cellStyle name="Normal 6 2 4 3 3 4 3" xfId="0"/>
    <cellStyle name="Normal 6 2 4 3 3 5" xfId="0"/>
    <cellStyle name="Normal 6 2 4 3 3 5 2" xfId="0"/>
    <cellStyle name="Normal 6 2 4 3 3 6" xfId="0"/>
    <cellStyle name="Normal 6 2 4 3 4" xfId="0"/>
    <cellStyle name="Normal 6 2 4 3 4 2" xfId="0"/>
    <cellStyle name="Normal 6 2 4 3 4 2 2" xfId="0"/>
    <cellStyle name="Normal 6 2 4 3 4 2 2 2" xfId="0"/>
    <cellStyle name="Normal 6 2 4 3 4 2 2 2 2" xfId="0"/>
    <cellStyle name="Normal 6 2 4 3 4 2 2 3" xfId="0"/>
    <cellStyle name="Normal 6 2 4 3 4 2 3" xfId="0"/>
    <cellStyle name="Normal 6 2 4 3 4 2 3 2" xfId="0"/>
    <cellStyle name="Normal 6 2 4 3 4 2 4" xfId="0"/>
    <cellStyle name="Normal 6 2 4 3 4 3" xfId="0"/>
    <cellStyle name="Normal 6 2 4 3 4 3 2" xfId="0"/>
    <cellStyle name="Normal 6 2 4 3 4 3 2 2" xfId="0"/>
    <cellStyle name="Normal 6 2 4 3 4 3 3" xfId="0"/>
    <cellStyle name="Normal 6 2 4 3 4 4" xfId="0"/>
    <cellStyle name="Normal 6 2 4 3 4 4 2" xfId="0"/>
    <cellStyle name="Normal 6 2 4 3 4 5" xfId="0"/>
    <cellStyle name="Normal 6 2 4 3 5" xfId="0"/>
    <cellStyle name="Normal 6 2 4 3 5 2" xfId="0"/>
    <cellStyle name="Normal 6 2 4 3 5 2 2" xfId="0"/>
    <cellStyle name="Normal 6 2 4 3 5 2 2 2" xfId="0"/>
    <cellStyle name="Normal 6 2 4 3 5 2 3" xfId="0"/>
    <cellStyle name="Normal 6 2 4 3 5 3" xfId="0"/>
    <cellStyle name="Normal 6 2 4 3 5 3 2" xfId="0"/>
    <cellStyle name="Normal 6 2 4 3 5 4" xfId="0"/>
    <cellStyle name="Normal 6 2 4 3 6" xfId="0"/>
    <cellStyle name="Normal 6 2 4 3 6 2" xfId="0"/>
    <cellStyle name="Normal 6 2 4 3 6 2 2" xfId="0"/>
    <cellStyle name="Normal 6 2 4 3 6 3" xfId="0"/>
    <cellStyle name="Normal 6 2 4 3 7" xfId="0"/>
    <cellStyle name="Normal 6 2 4 3 7 2" xfId="0"/>
    <cellStyle name="Normal 6 2 4 3 8" xfId="0"/>
    <cellStyle name="Normal 6 2 4 4" xfId="0"/>
    <cellStyle name="Normal 6 2 4 4 2" xfId="0"/>
    <cellStyle name="Normal 6 2 4 4 2 2" xfId="0"/>
    <cellStyle name="Normal 6 2 4 4 2 2 2" xfId="0"/>
    <cellStyle name="Normal 6 2 4 4 2 2 2 2" xfId="0"/>
    <cellStyle name="Normal 6 2 4 4 2 2 2 2 2" xfId="0"/>
    <cellStyle name="Normal 6 2 4 4 2 2 2 2 2 2" xfId="0"/>
    <cellStyle name="Normal 6 2 4 4 2 2 2 2 2 2 2" xfId="0"/>
    <cellStyle name="Normal 6 2 4 4 2 2 2 2 2 3" xfId="0"/>
    <cellStyle name="Normal 6 2 4 4 2 2 2 2 3" xfId="0"/>
    <cellStyle name="Normal 6 2 4 4 2 2 2 2 3 2" xfId="0"/>
    <cellStyle name="Normal 6 2 4 4 2 2 2 2 4" xfId="0"/>
    <cellStyle name="Normal 6 2 4 4 2 2 2 3" xfId="0"/>
    <cellStyle name="Normal 6 2 4 4 2 2 2 3 2" xfId="0"/>
    <cellStyle name="Normal 6 2 4 4 2 2 2 3 2 2" xfId="0"/>
    <cellStyle name="Normal 6 2 4 4 2 2 2 3 3" xfId="0"/>
    <cellStyle name="Normal 6 2 4 4 2 2 2 4" xfId="0"/>
    <cellStyle name="Normal 6 2 4 4 2 2 2 4 2" xfId="0"/>
    <cellStyle name="Normal 6 2 4 4 2 2 2 5" xfId="0"/>
    <cellStyle name="Normal 6 2 4 4 2 2 3" xfId="0"/>
    <cellStyle name="Normal 6 2 4 4 2 2 3 2" xfId="0"/>
    <cellStyle name="Normal 6 2 4 4 2 2 3 2 2" xfId="0"/>
    <cellStyle name="Normal 6 2 4 4 2 2 3 2 2 2" xfId="0"/>
    <cellStyle name="Normal 6 2 4 4 2 2 3 2 3" xfId="0"/>
    <cellStyle name="Normal 6 2 4 4 2 2 3 3" xfId="0"/>
    <cellStyle name="Normal 6 2 4 4 2 2 3 3 2" xfId="0"/>
    <cellStyle name="Normal 6 2 4 4 2 2 3 4" xfId="0"/>
    <cellStyle name="Normal 6 2 4 4 2 2 4" xfId="0"/>
    <cellStyle name="Normal 6 2 4 4 2 2 4 2" xfId="0"/>
    <cellStyle name="Normal 6 2 4 4 2 2 4 2 2" xfId="0"/>
    <cellStyle name="Normal 6 2 4 4 2 2 4 3" xfId="0"/>
    <cellStyle name="Normal 6 2 4 4 2 2 5" xfId="0"/>
    <cellStyle name="Normal 6 2 4 4 2 2 5 2" xfId="0"/>
    <cellStyle name="Normal 6 2 4 4 2 2 6" xfId="0"/>
    <cellStyle name="Normal 6 2 4 4 2 3" xfId="0"/>
    <cellStyle name="Normal 6 2 4 4 2 3 2" xfId="0"/>
    <cellStyle name="Normal 6 2 4 4 2 3 2 2" xfId="0"/>
    <cellStyle name="Normal 6 2 4 4 2 3 2 2 2" xfId="0"/>
    <cellStyle name="Normal 6 2 4 4 2 3 2 2 2 2" xfId="0"/>
    <cellStyle name="Normal 6 2 4 4 2 3 2 2 3" xfId="0"/>
    <cellStyle name="Normal 6 2 4 4 2 3 2 3" xfId="0"/>
    <cellStyle name="Normal 6 2 4 4 2 3 2 3 2" xfId="0"/>
    <cellStyle name="Normal 6 2 4 4 2 3 2 4" xfId="0"/>
    <cellStyle name="Normal 6 2 4 4 2 3 3" xfId="0"/>
    <cellStyle name="Normal 6 2 4 4 2 3 3 2" xfId="0"/>
    <cellStyle name="Normal 6 2 4 4 2 3 3 2 2" xfId="0"/>
    <cellStyle name="Normal 6 2 4 4 2 3 3 3" xfId="0"/>
    <cellStyle name="Normal 6 2 4 4 2 3 4" xfId="0"/>
    <cellStyle name="Normal 6 2 4 4 2 3 4 2" xfId="0"/>
    <cellStyle name="Normal 6 2 4 4 2 3 5" xfId="0"/>
    <cellStyle name="Normal 6 2 4 4 2 4" xfId="0"/>
    <cellStyle name="Normal 6 2 4 4 2 4 2" xfId="0"/>
    <cellStyle name="Normal 6 2 4 4 2 4 2 2" xfId="0"/>
    <cellStyle name="Normal 6 2 4 4 2 4 2 2 2" xfId="0"/>
    <cellStyle name="Normal 6 2 4 4 2 4 2 3" xfId="0"/>
    <cellStyle name="Normal 6 2 4 4 2 4 3" xfId="0"/>
    <cellStyle name="Normal 6 2 4 4 2 4 3 2" xfId="0"/>
    <cellStyle name="Normal 6 2 4 4 2 4 4" xfId="0"/>
    <cellStyle name="Normal 6 2 4 4 2 5" xfId="0"/>
    <cellStyle name="Normal 6 2 4 4 2 5 2" xfId="0"/>
    <cellStyle name="Normal 6 2 4 4 2 5 2 2" xfId="0"/>
    <cellStyle name="Normal 6 2 4 4 2 5 3" xfId="0"/>
    <cellStyle name="Normal 6 2 4 4 2 6" xfId="0"/>
    <cellStyle name="Normal 6 2 4 4 2 6 2" xfId="0"/>
    <cellStyle name="Normal 6 2 4 4 2 7" xfId="0"/>
    <cellStyle name="Normal 6 2 4 4 3" xfId="0"/>
    <cellStyle name="Normal 6 2 4 4 3 2" xfId="0"/>
    <cellStyle name="Normal 6 2 4 4 3 2 2" xfId="0"/>
    <cellStyle name="Normal 6 2 4 4 3 2 2 2" xfId="0"/>
    <cellStyle name="Normal 6 2 4 4 3 2 2 2 2" xfId="0"/>
    <cellStyle name="Normal 6 2 4 4 3 2 2 2 2 2" xfId="0"/>
    <cellStyle name="Normal 6 2 4 4 3 2 2 2 3" xfId="0"/>
    <cellStyle name="Normal 6 2 4 4 3 2 2 3" xfId="0"/>
    <cellStyle name="Normal 6 2 4 4 3 2 2 3 2" xfId="0"/>
    <cellStyle name="Normal 6 2 4 4 3 2 2 4" xfId="0"/>
    <cellStyle name="Normal 6 2 4 4 3 2 3" xfId="0"/>
    <cellStyle name="Normal 6 2 4 4 3 2 3 2" xfId="0"/>
    <cellStyle name="Normal 6 2 4 4 3 2 3 2 2" xfId="0"/>
    <cellStyle name="Normal 6 2 4 4 3 2 3 3" xfId="0"/>
    <cellStyle name="Normal 6 2 4 4 3 2 4" xfId="0"/>
    <cellStyle name="Normal 6 2 4 4 3 2 4 2" xfId="0"/>
    <cellStyle name="Normal 6 2 4 4 3 2 5" xfId="0"/>
    <cellStyle name="Normal 6 2 4 4 3 3" xfId="0"/>
    <cellStyle name="Normal 6 2 4 4 3 3 2" xfId="0"/>
    <cellStyle name="Normal 6 2 4 4 3 3 2 2" xfId="0"/>
    <cellStyle name="Normal 6 2 4 4 3 3 2 2 2" xfId="0"/>
    <cellStyle name="Normal 6 2 4 4 3 3 2 3" xfId="0"/>
    <cellStyle name="Normal 6 2 4 4 3 3 3" xfId="0"/>
    <cellStyle name="Normal 6 2 4 4 3 3 3 2" xfId="0"/>
    <cellStyle name="Normal 6 2 4 4 3 3 4" xfId="0"/>
    <cellStyle name="Normal 6 2 4 4 3 4" xfId="0"/>
    <cellStyle name="Normal 6 2 4 4 3 4 2" xfId="0"/>
    <cellStyle name="Normal 6 2 4 4 3 4 2 2" xfId="0"/>
    <cellStyle name="Normal 6 2 4 4 3 4 3" xfId="0"/>
    <cellStyle name="Normal 6 2 4 4 3 5" xfId="0"/>
    <cellStyle name="Normal 6 2 4 4 3 5 2" xfId="0"/>
    <cellStyle name="Normal 6 2 4 4 3 6" xfId="0"/>
    <cellStyle name="Normal 6 2 4 4 4" xfId="0"/>
    <cellStyle name="Normal 6 2 4 4 4 2" xfId="0"/>
    <cellStyle name="Normal 6 2 4 4 4 2 2" xfId="0"/>
    <cellStyle name="Normal 6 2 4 4 4 2 2 2" xfId="0"/>
    <cellStyle name="Normal 6 2 4 4 4 2 2 2 2" xfId="0"/>
    <cellStyle name="Normal 6 2 4 4 4 2 2 3" xfId="0"/>
    <cellStyle name="Normal 6 2 4 4 4 2 3" xfId="0"/>
    <cellStyle name="Normal 6 2 4 4 4 2 3 2" xfId="0"/>
    <cellStyle name="Normal 6 2 4 4 4 2 4" xfId="0"/>
    <cellStyle name="Normal 6 2 4 4 4 3" xfId="0"/>
    <cellStyle name="Normal 6 2 4 4 4 3 2" xfId="0"/>
    <cellStyle name="Normal 6 2 4 4 4 3 2 2" xfId="0"/>
    <cellStyle name="Normal 6 2 4 4 4 3 3" xfId="0"/>
    <cellStyle name="Normal 6 2 4 4 4 4" xfId="0"/>
    <cellStyle name="Normal 6 2 4 4 4 4 2" xfId="0"/>
    <cellStyle name="Normal 6 2 4 4 4 5" xfId="0"/>
    <cellStyle name="Normal 6 2 4 4 5" xfId="0"/>
    <cellStyle name="Normal 6 2 4 4 5 2" xfId="0"/>
    <cellStyle name="Normal 6 2 4 4 5 2 2" xfId="0"/>
    <cellStyle name="Normal 6 2 4 4 5 2 2 2" xfId="0"/>
    <cellStyle name="Normal 6 2 4 4 5 2 3" xfId="0"/>
    <cellStyle name="Normal 6 2 4 4 5 3" xfId="0"/>
    <cellStyle name="Normal 6 2 4 4 5 3 2" xfId="0"/>
    <cellStyle name="Normal 6 2 4 4 5 4" xfId="0"/>
    <cellStyle name="Normal 6 2 4 4 6" xfId="0"/>
    <cellStyle name="Normal 6 2 4 4 6 2" xfId="0"/>
    <cellStyle name="Normal 6 2 4 4 6 2 2" xfId="0"/>
    <cellStyle name="Normal 6 2 4 4 6 3" xfId="0"/>
    <cellStyle name="Normal 6 2 4 4 7" xfId="0"/>
    <cellStyle name="Normal 6 2 4 4 7 2" xfId="0"/>
    <cellStyle name="Normal 6 2 4 4 8" xfId="0"/>
    <cellStyle name="Normal 6 2 4 5" xfId="0"/>
    <cellStyle name="Normal 6 2 4 5 2" xfId="0"/>
    <cellStyle name="Normal 6 2 4 5 2 2" xfId="0"/>
    <cellStyle name="Normal 6 2 4 5 2 2 2" xfId="0"/>
    <cellStyle name="Normal 6 2 4 5 2 2 2 2" xfId="0"/>
    <cellStyle name="Normal 6 2 4 5 2 2 2 2 2" xfId="0"/>
    <cellStyle name="Normal 6 2 4 5 2 2 2 2 2 2" xfId="0"/>
    <cellStyle name="Normal 6 2 4 5 2 2 2 2 3" xfId="0"/>
    <cellStyle name="Normal 6 2 4 5 2 2 2 3" xfId="0"/>
    <cellStyle name="Normal 6 2 4 5 2 2 2 3 2" xfId="0"/>
    <cellStyle name="Normal 6 2 4 5 2 2 2 4" xfId="0"/>
    <cellStyle name="Normal 6 2 4 5 2 2 3" xfId="0"/>
    <cellStyle name="Normal 6 2 4 5 2 2 3 2" xfId="0"/>
    <cellStyle name="Normal 6 2 4 5 2 2 3 2 2" xfId="0"/>
    <cellStyle name="Normal 6 2 4 5 2 2 3 3" xfId="0"/>
    <cellStyle name="Normal 6 2 4 5 2 2 4" xfId="0"/>
    <cellStyle name="Normal 6 2 4 5 2 2 4 2" xfId="0"/>
    <cellStyle name="Normal 6 2 4 5 2 2 5" xfId="0"/>
    <cellStyle name="Normal 6 2 4 5 2 3" xfId="0"/>
    <cellStyle name="Normal 6 2 4 5 2 3 2" xfId="0"/>
    <cellStyle name="Normal 6 2 4 5 2 3 2 2" xfId="0"/>
    <cellStyle name="Normal 6 2 4 5 2 3 2 2 2" xfId="0"/>
    <cellStyle name="Normal 6 2 4 5 2 3 2 3" xfId="0"/>
    <cellStyle name="Normal 6 2 4 5 2 3 3" xfId="0"/>
    <cellStyle name="Normal 6 2 4 5 2 3 3 2" xfId="0"/>
    <cellStyle name="Normal 6 2 4 5 2 3 4" xfId="0"/>
    <cellStyle name="Normal 6 2 4 5 2 4" xfId="0"/>
    <cellStyle name="Normal 6 2 4 5 2 4 2" xfId="0"/>
    <cellStyle name="Normal 6 2 4 5 2 4 2 2" xfId="0"/>
    <cellStyle name="Normal 6 2 4 5 2 4 3" xfId="0"/>
    <cellStyle name="Normal 6 2 4 5 2 5" xfId="0"/>
    <cellStyle name="Normal 6 2 4 5 2 5 2" xfId="0"/>
    <cellStyle name="Normal 6 2 4 5 2 6" xfId="0"/>
    <cellStyle name="Normal 6 2 4 5 3" xfId="0"/>
    <cellStyle name="Normal 6 2 4 5 3 2" xfId="0"/>
    <cellStyle name="Normal 6 2 4 5 3 2 2" xfId="0"/>
    <cellStyle name="Normal 6 2 4 5 3 2 2 2" xfId="0"/>
    <cellStyle name="Normal 6 2 4 5 3 2 2 2 2" xfId="0"/>
    <cellStyle name="Normal 6 2 4 5 3 2 2 3" xfId="0"/>
    <cellStyle name="Normal 6 2 4 5 3 2 3" xfId="0"/>
    <cellStyle name="Normal 6 2 4 5 3 2 3 2" xfId="0"/>
    <cellStyle name="Normal 6 2 4 5 3 2 4" xfId="0"/>
    <cellStyle name="Normal 6 2 4 5 3 3" xfId="0"/>
    <cellStyle name="Normal 6 2 4 5 3 3 2" xfId="0"/>
    <cellStyle name="Normal 6 2 4 5 3 3 2 2" xfId="0"/>
    <cellStyle name="Normal 6 2 4 5 3 3 3" xfId="0"/>
    <cellStyle name="Normal 6 2 4 5 3 4" xfId="0"/>
    <cellStyle name="Normal 6 2 4 5 3 4 2" xfId="0"/>
    <cellStyle name="Normal 6 2 4 5 3 5" xfId="0"/>
    <cellStyle name="Normal 6 2 4 5 4" xfId="0"/>
    <cellStyle name="Normal 6 2 4 5 4 2" xfId="0"/>
    <cellStyle name="Normal 6 2 4 5 4 2 2" xfId="0"/>
    <cellStyle name="Normal 6 2 4 5 4 2 2 2" xfId="0"/>
    <cellStyle name="Normal 6 2 4 5 4 2 3" xfId="0"/>
    <cellStyle name="Normal 6 2 4 5 4 3" xfId="0"/>
    <cellStyle name="Normal 6 2 4 5 4 3 2" xfId="0"/>
    <cellStyle name="Normal 6 2 4 5 4 4" xfId="0"/>
    <cellStyle name="Normal 6 2 4 5 5" xfId="0"/>
    <cellStyle name="Normal 6 2 4 5 5 2" xfId="0"/>
    <cellStyle name="Normal 6 2 4 5 5 2 2" xfId="0"/>
    <cellStyle name="Normal 6 2 4 5 5 3" xfId="0"/>
    <cellStyle name="Normal 6 2 4 5 6" xfId="0"/>
    <cellStyle name="Normal 6 2 4 5 6 2" xfId="0"/>
    <cellStyle name="Normal 6 2 4 5 7" xfId="0"/>
    <cellStyle name="Normal 6 2 4 6" xfId="0"/>
    <cellStyle name="Normal 6 2 4 6 2" xfId="0"/>
    <cellStyle name="Normal 6 2 4 6 2 2" xfId="0"/>
    <cellStyle name="Normal 6 2 4 6 2 2 2" xfId="0"/>
    <cellStyle name="Normal 6 2 4 6 2 2 2 2" xfId="0"/>
    <cellStyle name="Normal 6 2 4 6 2 2 2 2 2" xfId="0"/>
    <cellStyle name="Normal 6 2 4 6 2 2 2 2 2 2" xfId="0"/>
    <cellStyle name="Normal 6 2 4 6 2 2 2 2 3" xfId="0"/>
    <cellStyle name="Normal 6 2 4 6 2 2 2 3" xfId="0"/>
    <cellStyle name="Normal 6 2 4 6 2 2 2 3 2" xfId="0"/>
    <cellStyle name="Normal 6 2 4 6 2 2 2 4" xfId="0"/>
    <cellStyle name="Normal 6 2 4 6 2 2 3" xfId="0"/>
    <cellStyle name="Normal 6 2 4 6 2 2 3 2" xfId="0"/>
    <cellStyle name="Normal 6 2 4 6 2 2 3 2 2" xfId="0"/>
    <cellStyle name="Normal 6 2 4 6 2 2 3 3" xfId="0"/>
    <cellStyle name="Normal 6 2 4 6 2 2 4" xfId="0"/>
    <cellStyle name="Normal 6 2 4 6 2 2 4 2" xfId="0"/>
    <cellStyle name="Normal 6 2 4 6 2 2 5" xfId="0"/>
    <cellStyle name="Normal 6 2 4 6 2 3" xfId="0"/>
    <cellStyle name="Normal 6 2 4 6 2 3 2" xfId="0"/>
    <cellStyle name="Normal 6 2 4 6 2 3 2 2" xfId="0"/>
    <cellStyle name="Normal 6 2 4 6 2 3 2 2 2" xfId="0"/>
    <cellStyle name="Normal 6 2 4 6 2 3 2 3" xfId="0"/>
    <cellStyle name="Normal 6 2 4 6 2 3 3" xfId="0"/>
    <cellStyle name="Normal 6 2 4 6 2 3 3 2" xfId="0"/>
    <cellStyle name="Normal 6 2 4 6 2 3 4" xfId="0"/>
    <cellStyle name="Normal 6 2 4 6 2 4" xfId="0"/>
    <cellStyle name="Normal 6 2 4 6 2 4 2" xfId="0"/>
    <cellStyle name="Normal 6 2 4 6 2 4 2 2" xfId="0"/>
    <cellStyle name="Normal 6 2 4 6 2 4 3" xfId="0"/>
    <cellStyle name="Normal 6 2 4 6 2 5" xfId="0"/>
    <cellStyle name="Normal 6 2 4 6 2 5 2" xfId="0"/>
    <cellStyle name="Normal 6 2 4 6 2 6" xfId="0"/>
    <cellStyle name="Normal 6 2 4 6 3" xfId="0"/>
    <cellStyle name="Normal 6 2 4 6 3 2" xfId="0"/>
    <cellStyle name="Normal 6 2 4 6 3 2 2" xfId="0"/>
    <cellStyle name="Normal 6 2 4 6 3 2 2 2" xfId="0"/>
    <cellStyle name="Normal 6 2 4 6 3 2 2 2 2" xfId="0"/>
    <cellStyle name="Normal 6 2 4 6 3 2 2 3" xfId="0"/>
    <cellStyle name="Normal 6 2 4 6 3 2 3" xfId="0"/>
    <cellStyle name="Normal 6 2 4 6 3 2 3 2" xfId="0"/>
    <cellStyle name="Normal 6 2 4 6 3 2 4" xfId="0"/>
    <cellStyle name="Normal 6 2 4 6 3 3" xfId="0"/>
    <cellStyle name="Normal 6 2 4 6 3 3 2" xfId="0"/>
    <cellStyle name="Normal 6 2 4 6 3 3 2 2" xfId="0"/>
    <cellStyle name="Normal 6 2 4 6 3 3 3" xfId="0"/>
    <cellStyle name="Normal 6 2 4 6 3 4" xfId="0"/>
    <cellStyle name="Normal 6 2 4 6 3 4 2" xfId="0"/>
    <cellStyle name="Normal 6 2 4 6 3 5" xfId="0"/>
    <cellStyle name="Normal 6 2 4 6 4" xfId="0"/>
    <cellStyle name="Normal 6 2 4 6 4 2" xfId="0"/>
    <cellStyle name="Normal 6 2 4 6 4 2 2" xfId="0"/>
    <cellStyle name="Normal 6 2 4 6 4 2 2 2" xfId="0"/>
    <cellStyle name="Normal 6 2 4 6 4 2 3" xfId="0"/>
    <cellStyle name="Normal 6 2 4 6 4 3" xfId="0"/>
    <cellStyle name="Normal 6 2 4 6 4 3 2" xfId="0"/>
    <cellStyle name="Normal 6 2 4 6 4 4" xfId="0"/>
    <cellStyle name="Normal 6 2 4 6 5" xfId="0"/>
    <cellStyle name="Normal 6 2 4 6 5 2" xfId="0"/>
    <cellStyle name="Normal 6 2 4 6 5 2 2" xfId="0"/>
    <cellStyle name="Normal 6 2 4 6 5 3" xfId="0"/>
    <cellStyle name="Normal 6 2 4 6 6" xfId="0"/>
    <cellStyle name="Normal 6 2 4 6 6 2" xfId="0"/>
    <cellStyle name="Normal 6 2 4 6 7" xfId="0"/>
    <cellStyle name="Normal 6 2 4 7" xfId="0"/>
    <cellStyle name="Normal 6 2 4 7 2" xfId="0"/>
    <cellStyle name="Normal 6 2 4 7 2 2" xfId="0"/>
    <cellStyle name="Normal 6 2 4 7 2 2 2" xfId="0"/>
    <cellStyle name="Normal 6 2 4 7 2 2 2 2" xfId="0"/>
    <cellStyle name="Normal 6 2 4 7 2 2 2 2 2" xfId="0"/>
    <cellStyle name="Normal 6 2 4 7 2 2 2 3" xfId="0"/>
    <cellStyle name="Normal 6 2 4 7 2 2 3" xfId="0"/>
    <cellStyle name="Normal 6 2 4 7 2 2 3 2" xfId="0"/>
    <cellStyle name="Normal 6 2 4 7 2 2 4" xfId="0"/>
    <cellStyle name="Normal 6 2 4 7 2 3" xfId="0"/>
    <cellStyle name="Normal 6 2 4 7 2 3 2" xfId="0"/>
    <cellStyle name="Normal 6 2 4 7 2 3 2 2" xfId="0"/>
    <cellStyle name="Normal 6 2 4 7 2 3 3" xfId="0"/>
    <cellStyle name="Normal 6 2 4 7 2 4" xfId="0"/>
    <cellStyle name="Normal 6 2 4 7 2 4 2" xfId="0"/>
    <cellStyle name="Normal 6 2 4 7 2 5" xfId="0"/>
    <cellStyle name="Normal 6 2 4 7 3" xfId="0"/>
    <cellStyle name="Normal 6 2 4 7 3 2" xfId="0"/>
    <cellStyle name="Normal 6 2 4 7 3 2 2" xfId="0"/>
    <cellStyle name="Normal 6 2 4 7 3 2 2 2" xfId="0"/>
    <cellStyle name="Normal 6 2 4 7 3 2 3" xfId="0"/>
    <cellStyle name="Normal 6 2 4 7 3 3" xfId="0"/>
    <cellStyle name="Normal 6 2 4 7 3 3 2" xfId="0"/>
    <cellStyle name="Normal 6 2 4 7 3 4" xfId="0"/>
    <cellStyle name="Normal 6 2 4 7 4" xfId="0"/>
    <cellStyle name="Normal 6 2 4 7 4 2" xfId="0"/>
    <cellStyle name="Normal 6 2 4 7 4 2 2" xfId="0"/>
    <cellStyle name="Normal 6 2 4 7 4 3" xfId="0"/>
    <cellStyle name="Normal 6 2 4 7 5" xfId="0"/>
    <cellStyle name="Normal 6 2 4 7 5 2" xfId="0"/>
    <cellStyle name="Normal 6 2 4 7 6" xfId="0"/>
    <cellStyle name="Normal 6 2 4 8" xfId="0"/>
    <cellStyle name="Normal 6 2 4 8 2" xfId="0"/>
    <cellStyle name="Normal 6 2 4 8 2 2" xfId="0"/>
    <cellStyle name="Normal 6 2 4 8 2 2 2" xfId="0"/>
    <cellStyle name="Normal 6 2 4 8 2 2 2 2" xfId="0"/>
    <cellStyle name="Normal 6 2 4 8 2 2 3" xfId="0"/>
    <cellStyle name="Normal 6 2 4 8 2 3" xfId="0"/>
    <cellStyle name="Normal 6 2 4 8 2 3 2" xfId="0"/>
    <cellStyle name="Normal 6 2 4 8 2 4" xfId="0"/>
    <cellStyle name="Normal 6 2 4 8 3" xfId="0"/>
    <cellStyle name="Normal 6 2 4 8 3 2" xfId="0"/>
    <cellStyle name="Normal 6 2 4 8 3 2 2" xfId="0"/>
    <cellStyle name="Normal 6 2 4 8 3 3" xfId="0"/>
    <cellStyle name="Normal 6 2 4 8 4" xfId="0"/>
    <cellStyle name="Normal 6 2 4 8 4 2" xfId="0"/>
    <cellStyle name="Normal 6 2 4 8 5" xfId="0"/>
    <cellStyle name="Normal 6 2 4 9" xfId="0"/>
    <cellStyle name="Normal 6 2 4 9 2" xfId="0"/>
    <cellStyle name="Normal 6 2 4 9 2 2" xfId="0"/>
    <cellStyle name="Normal 6 2 4 9 2 2 2" xfId="0"/>
    <cellStyle name="Normal 6 2 4 9 2 3" xfId="0"/>
    <cellStyle name="Normal 6 2 4 9 3" xfId="0"/>
    <cellStyle name="Normal 6 2 4 9 3 2" xfId="0"/>
    <cellStyle name="Normal 6 2 4 9 4" xfId="0"/>
    <cellStyle name="Normal 6 2 5" xfId="0"/>
    <cellStyle name="Normal 6 2 5 10" xfId="0"/>
    <cellStyle name="Normal 6 2 5 10 2" xfId="0"/>
    <cellStyle name="Normal 6 2 5 10 2 2" xfId="0"/>
    <cellStyle name="Normal 6 2 5 10 3" xfId="0"/>
    <cellStyle name="Normal 6 2 5 11" xfId="0"/>
    <cellStyle name="Normal 6 2 5 11 2" xfId="0"/>
    <cellStyle name="Normal 6 2 5 12" xfId="0"/>
    <cellStyle name="Normal 6 2 5 2" xfId="0"/>
    <cellStyle name="Normal 6 2 5 2 10" xfId="0"/>
    <cellStyle name="Normal 6 2 5 2 10 2" xfId="0"/>
    <cellStyle name="Normal 6 2 5 2 11" xfId="0"/>
    <cellStyle name="Normal 6 2 5 2 2" xfId="0"/>
    <cellStyle name="Normal 6 2 5 2 2 2" xfId="0"/>
    <cellStyle name="Normal 6 2 5 2 2 2 2" xfId="0"/>
    <cellStyle name="Normal 6 2 5 2 2 2 2 2" xfId="0"/>
    <cellStyle name="Normal 6 2 5 2 2 2 2 2 2" xfId="0"/>
    <cellStyle name="Normal 6 2 5 2 2 2 2 2 2 2" xfId="0"/>
    <cellStyle name="Normal 6 2 5 2 2 2 2 2 2 2 2" xfId="0"/>
    <cellStyle name="Normal 6 2 5 2 2 2 2 2 2 2 2 2" xfId="0"/>
    <cellStyle name="Normal 6 2 5 2 2 2 2 2 2 2 3" xfId="0"/>
    <cellStyle name="Normal 6 2 5 2 2 2 2 2 2 3" xfId="0"/>
    <cellStyle name="Normal 6 2 5 2 2 2 2 2 2 3 2" xfId="0"/>
    <cellStyle name="Normal 6 2 5 2 2 2 2 2 2 4" xfId="0"/>
    <cellStyle name="Normal 6 2 5 2 2 2 2 2 3" xfId="0"/>
    <cellStyle name="Normal 6 2 5 2 2 2 2 2 3 2" xfId="0"/>
    <cellStyle name="Normal 6 2 5 2 2 2 2 2 3 2 2" xfId="0"/>
    <cellStyle name="Normal 6 2 5 2 2 2 2 2 3 3" xfId="0"/>
    <cellStyle name="Normal 6 2 5 2 2 2 2 2 4" xfId="0"/>
    <cellStyle name="Normal 6 2 5 2 2 2 2 2 4 2" xfId="0"/>
    <cellStyle name="Normal 6 2 5 2 2 2 2 2 5" xfId="0"/>
    <cellStyle name="Normal 6 2 5 2 2 2 2 3" xfId="0"/>
    <cellStyle name="Normal 6 2 5 2 2 2 2 3 2" xfId="0"/>
    <cellStyle name="Normal 6 2 5 2 2 2 2 3 2 2" xfId="0"/>
    <cellStyle name="Normal 6 2 5 2 2 2 2 3 2 2 2" xfId="0"/>
    <cellStyle name="Normal 6 2 5 2 2 2 2 3 2 3" xfId="0"/>
    <cellStyle name="Normal 6 2 5 2 2 2 2 3 3" xfId="0"/>
    <cellStyle name="Normal 6 2 5 2 2 2 2 3 3 2" xfId="0"/>
    <cellStyle name="Normal 6 2 5 2 2 2 2 3 4" xfId="0"/>
    <cellStyle name="Normal 6 2 5 2 2 2 2 4" xfId="0"/>
    <cellStyle name="Normal 6 2 5 2 2 2 2 4 2" xfId="0"/>
    <cellStyle name="Normal 6 2 5 2 2 2 2 4 2 2" xfId="0"/>
    <cellStyle name="Normal 6 2 5 2 2 2 2 4 3" xfId="0"/>
    <cellStyle name="Normal 6 2 5 2 2 2 2 5" xfId="0"/>
    <cellStyle name="Normal 6 2 5 2 2 2 2 5 2" xfId="0"/>
    <cellStyle name="Normal 6 2 5 2 2 2 2 6" xfId="0"/>
    <cellStyle name="Normal 6 2 5 2 2 2 3" xfId="0"/>
    <cellStyle name="Normal 6 2 5 2 2 2 3 2" xfId="0"/>
    <cellStyle name="Normal 6 2 5 2 2 2 3 2 2" xfId="0"/>
    <cellStyle name="Normal 6 2 5 2 2 2 3 2 2 2" xfId="0"/>
    <cellStyle name="Normal 6 2 5 2 2 2 3 2 2 2 2" xfId="0"/>
    <cellStyle name="Normal 6 2 5 2 2 2 3 2 2 3" xfId="0"/>
    <cellStyle name="Normal 6 2 5 2 2 2 3 2 3" xfId="0"/>
    <cellStyle name="Normal 6 2 5 2 2 2 3 2 3 2" xfId="0"/>
    <cellStyle name="Normal 6 2 5 2 2 2 3 2 4" xfId="0"/>
    <cellStyle name="Normal 6 2 5 2 2 2 3 3" xfId="0"/>
    <cellStyle name="Normal 6 2 5 2 2 2 3 3 2" xfId="0"/>
    <cellStyle name="Normal 6 2 5 2 2 2 3 3 2 2" xfId="0"/>
    <cellStyle name="Normal 6 2 5 2 2 2 3 3 3" xfId="0"/>
    <cellStyle name="Normal 6 2 5 2 2 2 3 4" xfId="0"/>
    <cellStyle name="Normal 6 2 5 2 2 2 3 4 2" xfId="0"/>
    <cellStyle name="Normal 6 2 5 2 2 2 3 5" xfId="0"/>
    <cellStyle name="Normal 6 2 5 2 2 2 4" xfId="0"/>
    <cellStyle name="Normal 6 2 5 2 2 2 4 2" xfId="0"/>
    <cellStyle name="Normal 6 2 5 2 2 2 4 2 2" xfId="0"/>
    <cellStyle name="Normal 6 2 5 2 2 2 4 2 2 2" xfId="0"/>
    <cellStyle name="Normal 6 2 5 2 2 2 4 2 3" xfId="0"/>
    <cellStyle name="Normal 6 2 5 2 2 2 4 3" xfId="0"/>
    <cellStyle name="Normal 6 2 5 2 2 2 4 3 2" xfId="0"/>
    <cellStyle name="Normal 6 2 5 2 2 2 4 4" xfId="0"/>
    <cellStyle name="Normal 6 2 5 2 2 2 5" xfId="0"/>
    <cellStyle name="Normal 6 2 5 2 2 2 5 2" xfId="0"/>
    <cellStyle name="Normal 6 2 5 2 2 2 5 2 2" xfId="0"/>
    <cellStyle name="Normal 6 2 5 2 2 2 5 3" xfId="0"/>
    <cellStyle name="Normal 6 2 5 2 2 2 6" xfId="0"/>
    <cellStyle name="Normal 6 2 5 2 2 2 6 2" xfId="0"/>
    <cellStyle name="Normal 6 2 5 2 2 2 7" xfId="0"/>
    <cellStyle name="Normal 6 2 5 2 2 3" xfId="0"/>
    <cellStyle name="Normal 6 2 5 2 2 3 2" xfId="0"/>
    <cellStyle name="Normal 6 2 5 2 2 3 2 2" xfId="0"/>
    <cellStyle name="Normal 6 2 5 2 2 3 2 2 2" xfId="0"/>
    <cellStyle name="Normal 6 2 5 2 2 3 2 2 2 2" xfId="0"/>
    <cellStyle name="Normal 6 2 5 2 2 3 2 2 2 2 2" xfId="0"/>
    <cellStyle name="Normal 6 2 5 2 2 3 2 2 2 3" xfId="0"/>
    <cellStyle name="Normal 6 2 5 2 2 3 2 2 3" xfId="0"/>
    <cellStyle name="Normal 6 2 5 2 2 3 2 2 3 2" xfId="0"/>
    <cellStyle name="Normal 6 2 5 2 2 3 2 2 4" xfId="0"/>
    <cellStyle name="Normal 6 2 5 2 2 3 2 3" xfId="0"/>
    <cellStyle name="Normal 6 2 5 2 2 3 2 3 2" xfId="0"/>
    <cellStyle name="Normal 6 2 5 2 2 3 2 3 2 2" xfId="0"/>
    <cellStyle name="Normal 6 2 5 2 2 3 2 3 3" xfId="0"/>
    <cellStyle name="Normal 6 2 5 2 2 3 2 4" xfId="0"/>
    <cellStyle name="Normal 6 2 5 2 2 3 2 4 2" xfId="0"/>
    <cellStyle name="Normal 6 2 5 2 2 3 2 5" xfId="0"/>
    <cellStyle name="Normal 6 2 5 2 2 3 3" xfId="0"/>
    <cellStyle name="Normal 6 2 5 2 2 3 3 2" xfId="0"/>
    <cellStyle name="Normal 6 2 5 2 2 3 3 2 2" xfId="0"/>
    <cellStyle name="Normal 6 2 5 2 2 3 3 2 2 2" xfId="0"/>
    <cellStyle name="Normal 6 2 5 2 2 3 3 2 3" xfId="0"/>
    <cellStyle name="Normal 6 2 5 2 2 3 3 3" xfId="0"/>
    <cellStyle name="Normal 6 2 5 2 2 3 3 3 2" xfId="0"/>
    <cellStyle name="Normal 6 2 5 2 2 3 3 4" xfId="0"/>
    <cellStyle name="Normal 6 2 5 2 2 3 4" xfId="0"/>
    <cellStyle name="Normal 6 2 5 2 2 3 4 2" xfId="0"/>
    <cellStyle name="Normal 6 2 5 2 2 3 4 2 2" xfId="0"/>
    <cellStyle name="Normal 6 2 5 2 2 3 4 3" xfId="0"/>
    <cellStyle name="Normal 6 2 5 2 2 3 5" xfId="0"/>
    <cellStyle name="Normal 6 2 5 2 2 3 5 2" xfId="0"/>
    <cellStyle name="Normal 6 2 5 2 2 3 6" xfId="0"/>
    <cellStyle name="Normal 6 2 5 2 2 4" xfId="0"/>
    <cellStyle name="Normal 6 2 5 2 2 4 2" xfId="0"/>
    <cellStyle name="Normal 6 2 5 2 2 4 2 2" xfId="0"/>
    <cellStyle name="Normal 6 2 5 2 2 4 2 2 2" xfId="0"/>
    <cellStyle name="Normal 6 2 5 2 2 4 2 2 2 2" xfId="0"/>
    <cellStyle name="Normal 6 2 5 2 2 4 2 2 3" xfId="0"/>
    <cellStyle name="Normal 6 2 5 2 2 4 2 3" xfId="0"/>
    <cellStyle name="Normal 6 2 5 2 2 4 2 3 2" xfId="0"/>
    <cellStyle name="Normal 6 2 5 2 2 4 2 4" xfId="0"/>
    <cellStyle name="Normal 6 2 5 2 2 4 3" xfId="0"/>
    <cellStyle name="Normal 6 2 5 2 2 4 3 2" xfId="0"/>
    <cellStyle name="Normal 6 2 5 2 2 4 3 2 2" xfId="0"/>
    <cellStyle name="Normal 6 2 5 2 2 4 3 3" xfId="0"/>
    <cellStyle name="Normal 6 2 5 2 2 4 4" xfId="0"/>
    <cellStyle name="Normal 6 2 5 2 2 4 4 2" xfId="0"/>
    <cellStyle name="Normal 6 2 5 2 2 4 5" xfId="0"/>
    <cellStyle name="Normal 6 2 5 2 2 5" xfId="0"/>
    <cellStyle name="Normal 6 2 5 2 2 5 2" xfId="0"/>
    <cellStyle name="Normal 6 2 5 2 2 5 2 2" xfId="0"/>
    <cellStyle name="Normal 6 2 5 2 2 5 2 2 2" xfId="0"/>
    <cellStyle name="Normal 6 2 5 2 2 5 2 3" xfId="0"/>
    <cellStyle name="Normal 6 2 5 2 2 5 3" xfId="0"/>
    <cellStyle name="Normal 6 2 5 2 2 5 3 2" xfId="0"/>
    <cellStyle name="Normal 6 2 5 2 2 5 4" xfId="0"/>
    <cellStyle name="Normal 6 2 5 2 2 6" xfId="0"/>
    <cellStyle name="Normal 6 2 5 2 2 6 2" xfId="0"/>
    <cellStyle name="Normal 6 2 5 2 2 6 2 2" xfId="0"/>
    <cellStyle name="Normal 6 2 5 2 2 6 3" xfId="0"/>
    <cellStyle name="Normal 6 2 5 2 2 7" xfId="0"/>
    <cellStyle name="Normal 6 2 5 2 2 7 2" xfId="0"/>
    <cellStyle name="Normal 6 2 5 2 2 8" xfId="0"/>
    <cellStyle name="Normal 6 2 5 2 3" xfId="0"/>
    <cellStyle name="Normal 6 2 5 2 3 2" xfId="0"/>
    <cellStyle name="Normal 6 2 5 2 3 2 2" xfId="0"/>
    <cellStyle name="Normal 6 2 5 2 3 2 2 2" xfId="0"/>
    <cellStyle name="Normal 6 2 5 2 3 2 2 2 2" xfId="0"/>
    <cellStyle name="Normal 6 2 5 2 3 2 2 2 2 2" xfId="0"/>
    <cellStyle name="Normal 6 2 5 2 3 2 2 2 2 2 2" xfId="0"/>
    <cellStyle name="Normal 6 2 5 2 3 2 2 2 2 2 2 2" xfId="0"/>
    <cellStyle name="Normal 6 2 5 2 3 2 2 2 2 2 3" xfId="0"/>
    <cellStyle name="Normal 6 2 5 2 3 2 2 2 2 3" xfId="0"/>
    <cellStyle name="Normal 6 2 5 2 3 2 2 2 2 3 2" xfId="0"/>
    <cellStyle name="Normal 6 2 5 2 3 2 2 2 2 4" xfId="0"/>
    <cellStyle name="Normal 6 2 5 2 3 2 2 2 3" xfId="0"/>
    <cellStyle name="Normal 6 2 5 2 3 2 2 2 3 2" xfId="0"/>
    <cellStyle name="Normal 6 2 5 2 3 2 2 2 3 2 2" xfId="0"/>
    <cellStyle name="Normal 6 2 5 2 3 2 2 2 3 3" xfId="0"/>
    <cellStyle name="Normal 6 2 5 2 3 2 2 2 4" xfId="0"/>
    <cellStyle name="Normal 6 2 5 2 3 2 2 2 4 2" xfId="0"/>
    <cellStyle name="Normal 6 2 5 2 3 2 2 2 5" xfId="0"/>
    <cellStyle name="Normal 6 2 5 2 3 2 2 3" xfId="0"/>
    <cellStyle name="Normal 6 2 5 2 3 2 2 3 2" xfId="0"/>
    <cellStyle name="Normal 6 2 5 2 3 2 2 3 2 2" xfId="0"/>
    <cellStyle name="Normal 6 2 5 2 3 2 2 3 2 2 2" xfId="0"/>
    <cellStyle name="Normal 6 2 5 2 3 2 2 3 2 3" xfId="0"/>
    <cellStyle name="Normal 6 2 5 2 3 2 2 3 3" xfId="0"/>
    <cellStyle name="Normal 6 2 5 2 3 2 2 3 3 2" xfId="0"/>
    <cellStyle name="Normal 6 2 5 2 3 2 2 3 4" xfId="0"/>
    <cellStyle name="Normal 6 2 5 2 3 2 2 4" xfId="0"/>
    <cellStyle name="Normal 6 2 5 2 3 2 2 4 2" xfId="0"/>
    <cellStyle name="Normal 6 2 5 2 3 2 2 4 2 2" xfId="0"/>
    <cellStyle name="Normal 6 2 5 2 3 2 2 4 3" xfId="0"/>
    <cellStyle name="Normal 6 2 5 2 3 2 2 5" xfId="0"/>
    <cellStyle name="Normal 6 2 5 2 3 2 2 5 2" xfId="0"/>
    <cellStyle name="Normal 6 2 5 2 3 2 2 6" xfId="0"/>
    <cellStyle name="Normal 6 2 5 2 3 2 3" xfId="0"/>
    <cellStyle name="Normal 6 2 5 2 3 2 3 2" xfId="0"/>
    <cellStyle name="Normal 6 2 5 2 3 2 3 2 2" xfId="0"/>
    <cellStyle name="Normal 6 2 5 2 3 2 3 2 2 2" xfId="0"/>
    <cellStyle name="Normal 6 2 5 2 3 2 3 2 2 2 2" xfId="0"/>
    <cellStyle name="Normal 6 2 5 2 3 2 3 2 2 3" xfId="0"/>
    <cellStyle name="Normal 6 2 5 2 3 2 3 2 3" xfId="0"/>
    <cellStyle name="Normal 6 2 5 2 3 2 3 2 3 2" xfId="0"/>
    <cellStyle name="Normal 6 2 5 2 3 2 3 2 4" xfId="0"/>
    <cellStyle name="Normal 6 2 5 2 3 2 3 3" xfId="0"/>
    <cellStyle name="Normal 6 2 5 2 3 2 3 3 2" xfId="0"/>
    <cellStyle name="Normal 6 2 5 2 3 2 3 3 2 2" xfId="0"/>
    <cellStyle name="Normal 6 2 5 2 3 2 3 3 3" xfId="0"/>
    <cellStyle name="Normal 6 2 5 2 3 2 3 4" xfId="0"/>
    <cellStyle name="Normal 6 2 5 2 3 2 3 4 2" xfId="0"/>
    <cellStyle name="Normal 6 2 5 2 3 2 3 5" xfId="0"/>
    <cellStyle name="Normal 6 2 5 2 3 2 4" xfId="0"/>
    <cellStyle name="Normal 6 2 5 2 3 2 4 2" xfId="0"/>
    <cellStyle name="Normal 6 2 5 2 3 2 4 2 2" xfId="0"/>
    <cellStyle name="Normal 6 2 5 2 3 2 4 2 2 2" xfId="0"/>
    <cellStyle name="Normal 6 2 5 2 3 2 4 2 3" xfId="0"/>
    <cellStyle name="Normal 6 2 5 2 3 2 4 3" xfId="0"/>
    <cellStyle name="Normal 6 2 5 2 3 2 4 3 2" xfId="0"/>
    <cellStyle name="Normal 6 2 5 2 3 2 4 4" xfId="0"/>
    <cellStyle name="Normal 6 2 5 2 3 2 5" xfId="0"/>
    <cellStyle name="Normal 6 2 5 2 3 2 5 2" xfId="0"/>
    <cellStyle name="Normal 6 2 5 2 3 2 5 2 2" xfId="0"/>
    <cellStyle name="Normal 6 2 5 2 3 2 5 3" xfId="0"/>
    <cellStyle name="Normal 6 2 5 2 3 2 6" xfId="0"/>
    <cellStyle name="Normal 6 2 5 2 3 2 6 2" xfId="0"/>
    <cellStyle name="Normal 6 2 5 2 3 2 7" xfId="0"/>
    <cellStyle name="Normal 6 2 5 2 3 3" xfId="0"/>
    <cellStyle name="Normal 6 2 5 2 3 3 2" xfId="0"/>
    <cellStyle name="Normal 6 2 5 2 3 3 2 2" xfId="0"/>
    <cellStyle name="Normal 6 2 5 2 3 3 2 2 2" xfId="0"/>
    <cellStyle name="Normal 6 2 5 2 3 3 2 2 2 2" xfId="0"/>
    <cellStyle name="Normal 6 2 5 2 3 3 2 2 2 2 2" xfId="0"/>
    <cellStyle name="Normal 6 2 5 2 3 3 2 2 2 3" xfId="0"/>
    <cellStyle name="Normal 6 2 5 2 3 3 2 2 3" xfId="0"/>
    <cellStyle name="Normal 6 2 5 2 3 3 2 2 3 2" xfId="0"/>
    <cellStyle name="Normal 6 2 5 2 3 3 2 2 4" xfId="0"/>
    <cellStyle name="Normal 6 2 5 2 3 3 2 3" xfId="0"/>
    <cellStyle name="Normal 6 2 5 2 3 3 2 3 2" xfId="0"/>
    <cellStyle name="Normal 6 2 5 2 3 3 2 3 2 2" xfId="0"/>
    <cellStyle name="Normal 6 2 5 2 3 3 2 3 3" xfId="0"/>
    <cellStyle name="Normal 6 2 5 2 3 3 2 4" xfId="0"/>
    <cellStyle name="Normal 6 2 5 2 3 3 2 4 2" xfId="0"/>
    <cellStyle name="Normal 6 2 5 2 3 3 2 5" xfId="0"/>
    <cellStyle name="Normal 6 2 5 2 3 3 3" xfId="0"/>
    <cellStyle name="Normal 6 2 5 2 3 3 3 2" xfId="0"/>
    <cellStyle name="Normal 6 2 5 2 3 3 3 2 2" xfId="0"/>
    <cellStyle name="Normal 6 2 5 2 3 3 3 2 2 2" xfId="0"/>
    <cellStyle name="Normal 6 2 5 2 3 3 3 2 3" xfId="0"/>
    <cellStyle name="Normal 6 2 5 2 3 3 3 3" xfId="0"/>
    <cellStyle name="Normal 6 2 5 2 3 3 3 3 2" xfId="0"/>
    <cellStyle name="Normal 6 2 5 2 3 3 3 4" xfId="0"/>
    <cellStyle name="Normal 6 2 5 2 3 3 4" xfId="0"/>
    <cellStyle name="Normal 6 2 5 2 3 3 4 2" xfId="0"/>
    <cellStyle name="Normal 6 2 5 2 3 3 4 2 2" xfId="0"/>
    <cellStyle name="Normal 6 2 5 2 3 3 4 3" xfId="0"/>
    <cellStyle name="Normal 6 2 5 2 3 3 5" xfId="0"/>
    <cellStyle name="Normal 6 2 5 2 3 3 5 2" xfId="0"/>
    <cellStyle name="Normal 6 2 5 2 3 3 6" xfId="0"/>
    <cellStyle name="Normal 6 2 5 2 3 4" xfId="0"/>
    <cellStyle name="Normal 6 2 5 2 3 4 2" xfId="0"/>
    <cellStyle name="Normal 6 2 5 2 3 4 2 2" xfId="0"/>
    <cellStyle name="Normal 6 2 5 2 3 4 2 2 2" xfId="0"/>
    <cellStyle name="Normal 6 2 5 2 3 4 2 2 2 2" xfId="0"/>
    <cellStyle name="Normal 6 2 5 2 3 4 2 2 3" xfId="0"/>
    <cellStyle name="Normal 6 2 5 2 3 4 2 3" xfId="0"/>
    <cellStyle name="Normal 6 2 5 2 3 4 2 3 2" xfId="0"/>
    <cellStyle name="Normal 6 2 5 2 3 4 2 4" xfId="0"/>
    <cellStyle name="Normal 6 2 5 2 3 4 3" xfId="0"/>
    <cellStyle name="Normal 6 2 5 2 3 4 3 2" xfId="0"/>
    <cellStyle name="Normal 6 2 5 2 3 4 3 2 2" xfId="0"/>
    <cellStyle name="Normal 6 2 5 2 3 4 3 3" xfId="0"/>
    <cellStyle name="Normal 6 2 5 2 3 4 4" xfId="0"/>
    <cellStyle name="Normal 6 2 5 2 3 4 4 2" xfId="0"/>
    <cellStyle name="Normal 6 2 5 2 3 4 5" xfId="0"/>
    <cellStyle name="Normal 6 2 5 2 3 5" xfId="0"/>
    <cellStyle name="Normal 6 2 5 2 3 5 2" xfId="0"/>
    <cellStyle name="Normal 6 2 5 2 3 5 2 2" xfId="0"/>
    <cellStyle name="Normal 6 2 5 2 3 5 2 2 2" xfId="0"/>
    <cellStyle name="Normal 6 2 5 2 3 5 2 3" xfId="0"/>
    <cellStyle name="Normal 6 2 5 2 3 5 3" xfId="0"/>
    <cellStyle name="Normal 6 2 5 2 3 5 3 2" xfId="0"/>
    <cellStyle name="Normal 6 2 5 2 3 5 4" xfId="0"/>
    <cellStyle name="Normal 6 2 5 2 3 6" xfId="0"/>
    <cellStyle name="Normal 6 2 5 2 3 6 2" xfId="0"/>
    <cellStyle name="Normal 6 2 5 2 3 6 2 2" xfId="0"/>
    <cellStyle name="Normal 6 2 5 2 3 6 3" xfId="0"/>
    <cellStyle name="Normal 6 2 5 2 3 7" xfId="0"/>
    <cellStyle name="Normal 6 2 5 2 3 7 2" xfId="0"/>
    <cellStyle name="Normal 6 2 5 2 3 8" xfId="0"/>
    <cellStyle name="Normal 6 2 5 2 4" xfId="0"/>
    <cellStyle name="Normal 6 2 5 2 4 2" xfId="0"/>
    <cellStyle name="Normal 6 2 5 2 4 2 2" xfId="0"/>
    <cellStyle name="Normal 6 2 5 2 4 2 2 2" xfId="0"/>
    <cellStyle name="Normal 6 2 5 2 4 2 2 2 2" xfId="0"/>
    <cellStyle name="Normal 6 2 5 2 4 2 2 2 2 2" xfId="0"/>
    <cellStyle name="Normal 6 2 5 2 4 2 2 2 2 2 2" xfId="0"/>
    <cellStyle name="Normal 6 2 5 2 4 2 2 2 2 3" xfId="0"/>
    <cellStyle name="Normal 6 2 5 2 4 2 2 2 3" xfId="0"/>
    <cellStyle name="Normal 6 2 5 2 4 2 2 2 3 2" xfId="0"/>
    <cellStyle name="Normal 6 2 5 2 4 2 2 2 4" xfId="0"/>
    <cellStyle name="Normal 6 2 5 2 4 2 2 3" xfId="0"/>
    <cellStyle name="Normal 6 2 5 2 4 2 2 3 2" xfId="0"/>
    <cellStyle name="Normal 6 2 5 2 4 2 2 3 2 2" xfId="0"/>
    <cellStyle name="Normal 6 2 5 2 4 2 2 3 3" xfId="0"/>
    <cellStyle name="Normal 6 2 5 2 4 2 2 4" xfId="0"/>
    <cellStyle name="Normal 6 2 5 2 4 2 2 4 2" xfId="0"/>
    <cellStyle name="Normal 6 2 5 2 4 2 2 5" xfId="0"/>
    <cellStyle name="Normal 6 2 5 2 4 2 3" xfId="0"/>
    <cellStyle name="Normal 6 2 5 2 4 2 3 2" xfId="0"/>
    <cellStyle name="Normal 6 2 5 2 4 2 3 2 2" xfId="0"/>
    <cellStyle name="Normal 6 2 5 2 4 2 3 2 2 2" xfId="0"/>
    <cellStyle name="Normal 6 2 5 2 4 2 3 2 3" xfId="0"/>
    <cellStyle name="Normal 6 2 5 2 4 2 3 3" xfId="0"/>
    <cellStyle name="Normal 6 2 5 2 4 2 3 3 2" xfId="0"/>
    <cellStyle name="Normal 6 2 5 2 4 2 3 4" xfId="0"/>
    <cellStyle name="Normal 6 2 5 2 4 2 4" xfId="0"/>
    <cellStyle name="Normal 6 2 5 2 4 2 4 2" xfId="0"/>
    <cellStyle name="Normal 6 2 5 2 4 2 4 2 2" xfId="0"/>
    <cellStyle name="Normal 6 2 5 2 4 2 4 3" xfId="0"/>
    <cellStyle name="Normal 6 2 5 2 4 2 5" xfId="0"/>
    <cellStyle name="Normal 6 2 5 2 4 2 5 2" xfId="0"/>
    <cellStyle name="Normal 6 2 5 2 4 2 6" xfId="0"/>
    <cellStyle name="Normal 6 2 5 2 4 3" xfId="0"/>
    <cellStyle name="Normal 6 2 5 2 4 3 2" xfId="0"/>
    <cellStyle name="Normal 6 2 5 2 4 3 2 2" xfId="0"/>
    <cellStyle name="Normal 6 2 5 2 4 3 2 2 2" xfId="0"/>
    <cellStyle name="Normal 6 2 5 2 4 3 2 2 2 2" xfId="0"/>
    <cellStyle name="Normal 6 2 5 2 4 3 2 2 3" xfId="0"/>
    <cellStyle name="Normal 6 2 5 2 4 3 2 3" xfId="0"/>
    <cellStyle name="Normal 6 2 5 2 4 3 2 3 2" xfId="0"/>
    <cellStyle name="Normal 6 2 5 2 4 3 2 4" xfId="0"/>
    <cellStyle name="Normal 6 2 5 2 4 3 3" xfId="0"/>
    <cellStyle name="Normal 6 2 5 2 4 3 3 2" xfId="0"/>
    <cellStyle name="Normal 6 2 5 2 4 3 3 2 2" xfId="0"/>
    <cellStyle name="Normal 6 2 5 2 4 3 3 3" xfId="0"/>
    <cellStyle name="Normal 6 2 5 2 4 3 4" xfId="0"/>
    <cellStyle name="Normal 6 2 5 2 4 3 4 2" xfId="0"/>
    <cellStyle name="Normal 6 2 5 2 4 3 5" xfId="0"/>
    <cellStyle name="Normal 6 2 5 2 4 4" xfId="0"/>
    <cellStyle name="Normal 6 2 5 2 4 4 2" xfId="0"/>
    <cellStyle name="Normal 6 2 5 2 4 4 2 2" xfId="0"/>
    <cellStyle name="Normal 6 2 5 2 4 4 2 2 2" xfId="0"/>
    <cellStyle name="Normal 6 2 5 2 4 4 2 3" xfId="0"/>
    <cellStyle name="Normal 6 2 5 2 4 4 3" xfId="0"/>
    <cellStyle name="Normal 6 2 5 2 4 4 3 2" xfId="0"/>
    <cellStyle name="Normal 6 2 5 2 4 4 4" xfId="0"/>
    <cellStyle name="Normal 6 2 5 2 4 5" xfId="0"/>
    <cellStyle name="Normal 6 2 5 2 4 5 2" xfId="0"/>
    <cellStyle name="Normal 6 2 5 2 4 5 2 2" xfId="0"/>
    <cellStyle name="Normal 6 2 5 2 4 5 3" xfId="0"/>
    <cellStyle name="Normal 6 2 5 2 4 6" xfId="0"/>
    <cellStyle name="Normal 6 2 5 2 4 6 2" xfId="0"/>
    <cellStyle name="Normal 6 2 5 2 4 7" xfId="0"/>
    <cellStyle name="Normal 6 2 5 2 5" xfId="0"/>
    <cellStyle name="Normal 6 2 5 2 5 2" xfId="0"/>
    <cellStyle name="Normal 6 2 5 2 5 2 2" xfId="0"/>
    <cellStyle name="Normal 6 2 5 2 5 2 2 2" xfId="0"/>
    <cellStyle name="Normal 6 2 5 2 5 2 2 2 2" xfId="0"/>
    <cellStyle name="Normal 6 2 5 2 5 2 2 2 2 2" xfId="0"/>
    <cellStyle name="Normal 6 2 5 2 5 2 2 2 2 2 2" xfId="0"/>
    <cellStyle name="Normal 6 2 5 2 5 2 2 2 2 3" xfId="0"/>
    <cellStyle name="Normal 6 2 5 2 5 2 2 2 3" xfId="0"/>
    <cellStyle name="Normal 6 2 5 2 5 2 2 2 3 2" xfId="0"/>
    <cellStyle name="Normal 6 2 5 2 5 2 2 2 4" xfId="0"/>
    <cellStyle name="Normal 6 2 5 2 5 2 2 3" xfId="0"/>
    <cellStyle name="Normal 6 2 5 2 5 2 2 3 2" xfId="0"/>
    <cellStyle name="Normal 6 2 5 2 5 2 2 3 2 2" xfId="0"/>
    <cellStyle name="Normal 6 2 5 2 5 2 2 3 3" xfId="0"/>
    <cellStyle name="Normal 6 2 5 2 5 2 2 4" xfId="0"/>
    <cellStyle name="Normal 6 2 5 2 5 2 2 4 2" xfId="0"/>
    <cellStyle name="Normal 6 2 5 2 5 2 2 5" xfId="0"/>
    <cellStyle name="Normal 6 2 5 2 5 2 3" xfId="0"/>
    <cellStyle name="Normal 6 2 5 2 5 2 3 2" xfId="0"/>
    <cellStyle name="Normal 6 2 5 2 5 2 3 2 2" xfId="0"/>
    <cellStyle name="Normal 6 2 5 2 5 2 3 2 2 2" xfId="0"/>
    <cellStyle name="Normal 6 2 5 2 5 2 3 2 3" xfId="0"/>
    <cellStyle name="Normal 6 2 5 2 5 2 3 3" xfId="0"/>
    <cellStyle name="Normal 6 2 5 2 5 2 3 3 2" xfId="0"/>
    <cellStyle name="Normal 6 2 5 2 5 2 3 4" xfId="0"/>
    <cellStyle name="Normal 6 2 5 2 5 2 4" xfId="0"/>
    <cellStyle name="Normal 6 2 5 2 5 2 4 2" xfId="0"/>
    <cellStyle name="Normal 6 2 5 2 5 2 4 2 2" xfId="0"/>
    <cellStyle name="Normal 6 2 5 2 5 2 4 3" xfId="0"/>
    <cellStyle name="Normal 6 2 5 2 5 2 5" xfId="0"/>
    <cellStyle name="Normal 6 2 5 2 5 2 5 2" xfId="0"/>
    <cellStyle name="Normal 6 2 5 2 5 2 6" xfId="0"/>
    <cellStyle name="Normal 6 2 5 2 5 3" xfId="0"/>
    <cellStyle name="Normal 6 2 5 2 5 3 2" xfId="0"/>
    <cellStyle name="Normal 6 2 5 2 5 3 2 2" xfId="0"/>
    <cellStyle name="Normal 6 2 5 2 5 3 2 2 2" xfId="0"/>
    <cellStyle name="Normal 6 2 5 2 5 3 2 2 2 2" xfId="0"/>
    <cellStyle name="Normal 6 2 5 2 5 3 2 2 3" xfId="0"/>
    <cellStyle name="Normal 6 2 5 2 5 3 2 3" xfId="0"/>
    <cellStyle name="Normal 6 2 5 2 5 3 2 3 2" xfId="0"/>
    <cellStyle name="Normal 6 2 5 2 5 3 2 4" xfId="0"/>
    <cellStyle name="Normal 6 2 5 2 5 3 3" xfId="0"/>
    <cellStyle name="Normal 6 2 5 2 5 3 3 2" xfId="0"/>
    <cellStyle name="Normal 6 2 5 2 5 3 3 2 2" xfId="0"/>
    <cellStyle name="Normal 6 2 5 2 5 3 3 3" xfId="0"/>
    <cellStyle name="Normal 6 2 5 2 5 3 4" xfId="0"/>
    <cellStyle name="Normal 6 2 5 2 5 3 4 2" xfId="0"/>
    <cellStyle name="Normal 6 2 5 2 5 3 5" xfId="0"/>
    <cellStyle name="Normal 6 2 5 2 5 4" xfId="0"/>
    <cellStyle name="Normal 6 2 5 2 5 4 2" xfId="0"/>
    <cellStyle name="Normal 6 2 5 2 5 4 2 2" xfId="0"/>
    <cellStyle name="Normal 6 2 5 2 5 4 2 2 2" xfId="0"/>
    <cellStyle name="Normal 6 2 5 2 5 4 2 3" xfId="0"/>
    <cellStyle name="Normal 6 2 5 2 5 4 3" xfId="0"/>
    <cellStyle name="Normal 6 2 5 2 5 4 3 2" xfId="0"/>
    <cellStyle name="Normal 6 2 5 2 5 4 4" xfId="0"/>
    <cellStyle name="Normal 6 2 5 2 5 5" xfId="0"/>
    <cellStyle name="Normal 6 2 5 2 5 5 2" xfId="0"/>
    <cellStyle name="Normal 6 2 5 2 5 5 2 2" xfId="0"/>
    <cellStyle name="Normal 6 2 5 2 5 5 3" xfId="0"/>
    <cellStyle name="Normal 6 2 5 2 5 6" xfId="0"/>
    <cellStyle name="Normal 6 2 5 2 5 6 2" xfId="0"/>
    <cellStyle name="Normal 6 2 5 2 5 7" xfId="0"/>
    <cellStyle name="Normal 6 2 5 2 6" xfId="0"/>
    <cellStyle name="Normal 6 2 5 2 6 2" xfId="0"/>
    <cellStyle name="Normal 6 2 5 2 6 2 2" xfId="0"/>
    <cellStyle name="Normal 6 2 5 2 6 2 2 2" xfId="0"/>
    <cellStyle name="Normal 6 2 5 2 6 2 2 2 2" xfId="0"/>
    <cellStyle name="Normal 6 2 5 2 6 2 2 2 2 2" xfId="0"/>
    <cellStyle name="Normal 6 2 5 2 6 2 2 2 3" xfId="0"/>
    <cellStyle name="Normal 6 2 5 2 6 2 2 3" xfId="0"/>
    <cellStyle name="Normal 6 2 5 2 6 2 2 3 2" xfId="0"/>
    <cellStyle name="Normal 6 2 5 2 6 2 2 4" xfId="0"/>
    <cellStyle name="Normal 6 2 5 2 6 2 3" xfId="0"/>
    <cellStyle name="Normal 6 2 5 2 6 2 3 2" xfId="0"/>
    <cellStyle name="Normal 6 2 5 2 6 2 3 2 2" xfId="0"/>
    <cellStyle name="Normal 6 2 5 2 6 2 3 3" xfId="0"/>
    <cellStyle name="Normal 6 2 5 2 6 2 4" xfId="0"/>
    <cellStyle name="Normal 6 2 5 2 6 2 4 2" xfId="0"/>
    <cellStyle name="Normal 6 2 5 2 6 2 5" xfId="0"/>
    <cellStyle name="Normal 6 2 5 2 6 3" xfId="0"/>
    <cellStyle name="Normal 6 2 5 2 6 3 2" xfId="0"/>
    <cellStyle name="Normal 6 2 5 2 6 3 2 2" xfId="0"/>
    <cellStyle name="Normal 6 2 5 2 6 3 2 2 2" xfId="0"/>
    <cellStyle name="Normal 6 2 5 2 6 3 2 3" xfId="0"/>
    <cellStyle name="Normal 6 2 5 2 6 3 3" xfId="0"/>
    <cellStyle name="Normal 6 2 5 2 6 3 3 2" xfId="0"/>
    <cellStyle name="Normal 6 2 5 2 6 3 4" xfId="0"/>
    <cellStyle name="Normal 6 2 5 2 6 4" xfId="0"/>
    <cellStyle name="Normal 6 2 5 2 6 4 2" xfId="0"/>
    <cellStyle name="Normal 6 2 5 2 6 4 2 2" xfId="0"/>
    <cellStyle name="Normal 6 2 5 2 6 4 3" xfId="0"/>
    <cellStyle name="Normal 6 2 5 2 6 5" xfId="0"/>
    <cellStyle name="Normal 6 2 5 2 6 5 2" xfId="0"/>
    <cellStyle name="Normal 6 2 5 2 6 6" xfId="0"/>
    <cellStyle name="Normal 6 2 5 2 7" xfId="0"/>
    <cellStyle name="Normal 6 2 5 2 7 2" xfId="0"/>
    <cellStyle name="Normal 6 2 5 2 7 2 2" xfId="0"/>
    <cellStyle name="Normal 6 2 5 2 7 2 2 2" xfId="0"/>
    <cellStyle name="Normal 6 2 5 2 7 2 2 2 2" xfId="0"/>
    <cellStyle name="Normal 6 2 5 2 7 2 2 3" xfId="0"/>
    <cellStyle name="Normal 6 2 5 2 7 2 3" xfId="0"/>
    <cellStyle name="Normal 6 2 5 2 7 2 3 2" xfId="0"/>
    <cellStyle name="Normal 6 2 5 2 7 2 4" xfId="0"/>
    <cellStyle name="Normal 6 2 5 2 7 3" xfId="0"/>
    <cellStyle name="Normal 6 2 5 2 7 3 2" xfId="0"/>
    <cellStyle name="Normal 6 2 5 2 7 3 2 2" xfId="0"/>
    <cellStyle name="Normal 6 2 5 2 7 3 3" xfId="0"/>
    <cellStyle name="Normal 6 2 5 2 7 4" xfId="0"/>
    <cellStyle name="Normal 6 2 5 2 7 4 2" xfId="0"/>
    <cellStyle name="Normal 6 2 5 2 7 5" xfId="0"/>
    <cellStyle name="Normal 6 2 5 2 8" xfId="0"/>
    <cellStyle name="Normal 6 2 5 2 8 2" xfId="0"/>
    <cellStyle name="Normal 6 2 5 2 8 2 2" xfId="0"/>
    <cellStyle name="Normal 6 2 5 2 8 2 2 2" xfId="0"/>
    <cellStyle name="Normal 6 2 5 2 8 2 3" xfId="0"/>
    <cellStyle name="Normal 6 2 5 2 8 3" xfId="0"/>
    <cellStyle name="Normal 6 2 5 2 8 3 2" xfId="0"/>
    <cellStyle name="Normal 6 2 5 2 8 4" xfId="0"/>
    <cellStyle name="Normal 6 2 5 2 9" xfId="0"/>
    <cellStyle name="Normal 6 2 5 2 9 2" xfId="0"/>
    <cellStyle name="Normal 6 2 5 2 9 2 2" xfId="0"/>
    <cellStyle name="Normal 6 2 5 2 9 3" xfId="0"/>
    <cellStyle name="Normal 6 2 5 3" xfId="0"/>
    <cellStyle name="Normal 6 2 5 3 2" xfId="0"/>
    <cellStyle name="Normal 6 2 5 3 2 2" xfId="0"/>
    <cellStyle name="Normal 6 2 5 3 2 2 2" xfId="0"/>
    <cellStyle name="Normal 6 2 5 3 2 2 2 2" xfId="0"/>
    <cellStyle name="Normal 6 2 5 3 2 2 2 2 2" xfId="0"/>
    <cellStyle name="Normal 6 2 5 3 2 2 2 2 2 2" xfId="0"/>
    <cellStyle name="Normal 6 2 5 3 2 2 2 2 2 2 2" xfId="0"/>
    <cellStyle name="Normal 6 2 5 3 2 2 2 2 2 3" xfId="0"/>
    <cellStyle name="Normal 6 2 5 3 2 2 2 2 3" xfId="0"/>
    <cellStyle name="Normal 6 2 5 3 2 2 2 2 3 2" xfId="0"/>
    <cellStyle name="Normal 6 2 5 3 2 2 2 2 4" xfId="0"/>
    <cellStyle name="Normal 6 2 5 3 2 2 2 3" xfId="0"/>
    <cellStyle name="Normal 6 2 5 3 2 2 2 3 2" xfId="0"/>
    <cellStyle name="Normal 6 2 5 3 2 2 2 3 2 2" xfId="0"/>
    <cellStyle name="Normal 6 2 5 3 2 2 2 3 3" xfId="0"/>
    <cellStyle name="Normal 6 2 5 3 2 2 2 4" xfId="0"/>
    <cellStyle name="Normal 6 2 5 3 2 2 2 4 2" xfId="0"/>
    <cellStyle name="Normal 6 2 5 3 2 2 2 5" xfId="0"/>
    <cellStyle name="Normal 6 2 5 3 2 2 3" xfId="0"/>
    <cellStyle name="Normal 6 2 5 3 2 2 3 2" xfId="0"/>
    <cellStyle name="Normal 6 2 5 3 2 2 3 2 2" xfId="0"/>
    <cellStyle name="Normal 6 2 5 3 2 2 3 2 2 2" xfId="0"/>
    <cellStyle name="Normal 6 2 5 3 2 2 3 2 3" xfId="0"/>
    <cellStyle name="Normal 6 2 5 3 2 2 3 3" xfId="0"/>
    <cellStyle name="Normal 6 2 5 3 2 2 3 3 2" xfId="0"/>
    <cellStyle name="Normal 6 2 5 3 2 2 3 4" xfId="0"/>
    <cellStyle name="Normal 6 2 5 3 2 2 4" xfId="0"/>
    <cellStyle name="Normal 6 2 5 3 2 2 4 2" xfId="0"/>
    <cellStyle name="Normal 6 2 5 3 2 2 4 2 2" xfId="0"/>
    <cellStyle name="Normal 6 2 5 3 2 2 4 3" xfId="0"/>
    <cellStyle name="Normal 6 2 5 3 2 2 5" xfId="0"/>
    <cellStyle name="Normal 6 2 5 3 2 2 5 2" xfId="0"/>
    <cellStyle name="Normal 6 2 5 3 2 2 6" xfId="0"/>
    <cellStyle name="Normal 6 2 5 3 2 3" xfId="0"/>
    <cellStyle name="Normal 6 2 5 3 2 3 2" xfId="0"/>
    <cellStyle name="Normal 6 2 5 3 2 3 2 2" xfId="0"/>
    <cellStyle name="Normal 6 2 5 3 2 3 2 2 2" xfId="0"/>
    <cellStyle name="Normal 6 2 5 3 2 3 2 2 2 2" xfId="0"/>
    <cellStyle name="Normal 6 2 5 3 2 3 2 2 3" xfId="0"/>
    <cellStyle name="Normal 6 2 5 3 2 3 2 3" xfId="0"/>
    <cellStyle name="Normal 6 2 5 3 2 3 2 3 2" xfId="0"/>
    <cellStyle name="Normal 6 2 5 3 2 3 2 4" xfId="0"/>
    <cellStyle name="Normal 6 2 5 3 2 3 3" xfId="0"/>
    <cellStyle name="Normal 6 2 5 3 2 3 3 2" xfId="0"/>
    <cellStyle name="Normal 6 2 5 3 2 3 3 2 2" xfId="0"/>
    <cellStyle name="Normal 6 2 5 3 2 3 3 3" xfId="0"/>
    <cellStyle name="Normal 6 2 5 3 2 3 4" xfId="0"/>
    <cellStyle name="Normal 6 2 5 3 2 3 4 2" xfId="0"/>
    <cellStyle name="Normal 6 2 5 3 2 3 5" xfId="0"/>
    <cellStyle name="Normal 6 2 5 3 2 4" xfId="0"/>
    <cellStyle name="Normal 6 2 5 3 2 4 2" xfId="0"/>
    <cellStyle name="Normal 6 2 5 3 2 4 2 2" xfId="0"/>
    <cellStyle name="Normal 6 2 5 3 2 4 2 2 2" xfId="0"/>
    <cellStyle name="Normal 6 2 5 3 2 4 2 3" xfId="0"/>
    <cellStyle name="Normal 6 2 5 3 2 4 3" xfId="0"/>
    <cellStyle name="Normal 6 2 5 3 2 4 3 2" xfId="0"/>
    <cellStyle name="Normal 6 2 5 3 2 4 4" xfId="0"/>
    <cellStyle name="Normal 6 2 5 3 2 5" xfId="0"/>
    <cellStyle name="Normal 6 2 5 3 2 5 2" xfId="0"/>
    <cellStyle name="Normal 6 2 5 3 2 5 2 2" xfId="0"/>
    <cellStyle name="Normal 6 2 5 3 2 5 3" xfId="0"/>
    <cellStyle name="Normal 6 2 5 3 2 6" xfId="0"/>
    <cellStyle name="Normal 6 2 5 3 2 6 2" xfId="0"/>
    <cellStyle name="Normal 6 2 5 3 2 7" xfId="0"/>
    <cellStyle name="Normal 6 2 5 3 3" xfId="0"/>
    <cellStyle name="Normal 6 2 5 3 3 2" xfId="0"/>
    <cellStyle name="Normal 6 2 5 3 3 2 2" xfId="0"/>
    <cellStyle name="Normal 6 2 5 3 3 2 2 2" xfId="0"/>
    <cellStyle name="Normal 6 2 5 3 3 2 2 2 2" xfId="0"/>
    <cellStyle name="Normal 6 2 5 3 3 2 2 2 2 2" xfId="0"/>
    <cellStyle name="Normal 6 2 5 3 3 2 2 2 3" xfId="0"/>
    <cellStyle name="Normal 6 2 5 3 3 2 2 3" xfId="0"/>
    <cellStyle name="Normal 6 2 5 3 3 2 2 3 2" xfId="0"/>
    <cellStyle name="Normal 6 2 5 3 3 2 2 4" xfId="0"/>
    <cellStyle name="Normal 6 2 5 3 3 2 3" xfId="0"/>
    <cellStyle name="Normal 6 2 5 3 3 2 3 2" xfId="0"/>
    <cellStyle name="Normal 6 2 5 3 3 2 3 2 2" xfId="0"/>
    <cellStyle name="Normal 6 2 5 3 3 2 3 3" xfId="0"/>
    <cellStyle name="Normal 6 2 5 3 3 2 4" xfId="0"/>
    <cellStyle name="Normal 6 2 5 3 3 2 4 2" xfId="0"/>
    <cellStyle name="Normal 6 2 5 3 3 2 5" xfId="0"/>
    <cellStyle name="Normal 6 2 5 3 3 3" xfId="0"/>
    <cellStyle name="Normal 6 2 5 3 3 3 2" xfId="0"/>
    <cellStyle name="Normal 6 2 5 3 3 3 2 2" xfId="0"/>
    <cellStyle name="Normal 6 2 5 3 3 3 2 2 2" xfId="0"/>
    <cellStyle name="Normal 6 2 5 3 3 3 2 3" xfId="0"/>
    <cellStyle name="Normal 6 2 5 3 3 3 3" xfId="0"/>
    <cellStyle name="Normal 6 2 5 3 3 3 3 2" xfId="0"/>
    <cellStyle name="Normal 6 2 5 3 3 3 4" xfId="0"/>
    <cellStyle name="Normal 6 2 5 3 3 4" xfId="0"/>
    <cellStyle name="Normal 6 2 5 3 3 4 2" xfId="0"/>
    <cellStyle name="Normal 6 2 5 3 3 4 2 2" xfId="0"/>
    <cellStyle name="Normal 6 2 5 3 3 4 3" xfId="0"/>
    <cellStyle name="Normal 6 2 5 3 3 5" xfId="0"/>
    <cellStyle name="Normal 6 2 5 3 3 5 2" xfId="0"/>
    <cellStyle name="Normal 6 2 5 3 3 6" xfId="0"/>
    <cellStyle name="Normal 6 2 5 3 4" xfId="0"/>
    <cellStyle name="Normal 6 2 5 3 4 2" xfId="0"/>
    <cellStyle name="Normal 6 2 5 3 4 2 2" xfId="0"/>
    <cellStyle name="Normal 6 2 5 3 4 2 2 2" xfId="0"/>
    <cellStyle name="Normal 6 2 5 3 4 2 2 2 2" xfId="0"/>
    <cellStyle name="Normal 6 2 5 3 4 2 2 3" xfId="0"/>
    <cellStyle name="Normal 6 2 5 3 4 2 3" xfId="0"/>
    <cellStyle name="Normal 6 2 5 3 4 2 3 2" xfId="0"/>
    <cellStyle name="Normal 6 2 5 3 4 2 4" xfId="0"/>
    <cellStyle name="Normal 6 2 5 3 4 3" xfId="0"/>
    <cellStyle name="Normal 6 2 5 3 4 3 2" xfId="0"/>
    <cellStyle name="Normal 6 2 5 3 4 3 2 2" xfId="0"/>
    <cellStyle name="Normal 6 2 5 3 4 3 3" xfId="0"/>
    <cellStyle name="Normal 6 2 5 3 4 4" xfId="0"/>
    <cellStyle name="Normal 6 2 5 3 4 4 2" xfId="0"/>
    <cellStyle name="Normal 6 2 5 3 4 5" xfId="0"/>
    <cellStyle name="Normal 6 2 5 3 5" xfId="0"/>
    <cellStyle name="Normal 6 2 5 3 5 2" xfId="0"/>
    <cellStyle name="Normal 6 2 5 3 5 2 2" xfId="0"/>
    <cellStyle name="Normal 6 2 5 3 5 2 2 2" xfId="0"/>
    <cellStyle name="Normal 6 2 5 3 5 2 3" xfId="0"/>
    <cellStyle name="Normal 6 2 5 3 5 3" xfId="0"/>
    <cellStyle name="Normal 6 2 5 3 5 3 2" xfId="0"/>
    <cellStyle name="Normal 6 2 5 3 5 4" xfId="0"/>
    <cellStyle name="Normal 6 2 5 3 6" xfId="0"/>
    <cellStyle name="Normal 6 2 5 3 6 2" xfId="0"/>
    <cellStyle name="Normal 6 2 5 3 6 2 2" xfId="0"/>
    <cellStyle name="Normal 6 2 5 3 6 3" xfId="0"/>
    <cellStyle name="Normal 6 2 5 3 7" xfId="0"/>
    <cellStyle name="Normal 6 2 5 3 7 2" xfId="0"/>
    <cellStyle name="Normal 6 2 5 3 8" xfId="0"/>
    <cellStyle name="Normal 6 2 5 4" xfId="0"/>
    <cellStyle name="Normal 6 2 5 4 2" xfId="0"/>
    <cellStyle name="Normal 6 2 5 4 2 2" xfId="0"/>
    <cellStyle name="Normal 6 2 5 4 2 2 2" xfId="0"/>
    <cellStyle name="Normal 6 2 5 4 2 2 2 2" xfId="0"/>
    <cellStyle name="Normal 6 2 5 4 2 2 2 2 2" xfId="0"/>
    <cellStyle name="Normal 6 2 5 4 2 2 2 2 2 2" xfId="0"/>
    <cellStyle name="Normal 6 2 5 4 2 2 2 2 2 2 2" xfId="0"/>
    <cellStyle name="Normal 6 2 5 4 2 2 2 2 2 3" xfId="0"/>
    <cellStyle name="Normal 6 2 5 4 2 2 2 2 3" xfId="0"/>
    <cellStyle name="Normal 6 2 5 4 2 2 2 2 3 2" xfId="0"/>
    <cellStyle name="Normal 6 2 5 4 2 2 2 2 4" xfId="0"/>
    <cellStyle name="Normal 6 2 5 4 2 2 2 3" xfId="0"/>
    <cellStyle name="Normal 6 2 5 4 2 2 2 3 2" xfId="0"/>
    <cellStyle name="Normal 6 2 5 4 2 2 2 3 2 2" xfId="0"/>
    <cellStyle name="Normal 6 2 5 4 2 2 2 3 3" xfId="0"/>
    <cellStyle name="Normal 6 2 5 4 2 2 2 4" xfId="0"/>
    <cellStyle name="Normal 6 2 5 4 2 2 2 4 2" xfId="0"/>
    <cellStyle name="Normal 6 2 5 4 2 2 2 5" xfId="0"/>
    <cellStyle name="Normal 6 2 5 4 2 2 3" xfId="0"/>
    <cellStyle name="Normal 6 2 5 4 2 2 3 2" xfId="0"/>
    <cellStyle name="Normal 6 2 5 4 2 2 3 2 2" xfId="0"/>
    <cellStyle name="Normal 6 2 5 4 2 2 3 2 2 2" xfId="0"/>
    <cellStyle name="Normal 6 2 5 4 2 2 3 2 3" xfId="0"/>
    <cellStyle name="Normal 6 2 5 4 2 2 3 3" xfId="0"/>
    <cellStyle name="Normal 6 2 5 4 2 2 3 3 2" xfId="0"/>
    <cellStyle name="Normal 6 2 5 4 2 2 3 4" xfId="0"/>
    <cellStyle name="Normal 6 2 5 4 2 2 4" xfId="0"/>
    <cellStyle name="Normal 6 2 5 4 2 2 4 2" xfId="0"/>
    <cellStyle name="Normal 6 2 5 4 2 2 4 2 2" xfId="0"/>
    <cellStyle name="Normal 6 2 5 4 2 2 4 3" xfId="0"/>
    <cellStyle name="Normal 6 2 5 4 2 2 5" xfId="0"/>
    <cellStyle name="Normal 6 2 5 4 2 2 5 2" xfId="0"/>
    <cellStyle name="Normal 6 2 5 4 2 2 6" xfId="0"/>
    <cellStyle name="Normal 6 2 5 4 2 3" xfId="0"/>
    <cellStyle name="Normal 6 2 5 4 2 3 2" xfId="0"/>
    <cellStyle name="Normal 6 2 5 4 2 3 2 2" xfId="0"/>
    <cellStyle name="Normal 6 2 5 4 2 3 2 2 2" xfId="0"/>
    <cellStyle name="Normal 6 2 5 4 2 3 2 2 2 2" xfId="0"/>
    <cellStyle name="Normal 6 2 5 4 2 3 2 2 3" xfId="0"/>
    <cellStyle name="Normal 6 2 5 4 2 3 2 3" xfId="0"/>
    <cellStyle name="Normal 6 2 5 4 2 3 2 3 2" xfId="0"/>
    <cellStyle name="Normal 6 2 5 4 2 3 2 4" xfId="0"/>
    <cellStyle name="Normal 6 2 5 4 2 3 3" xfId="0"/>
    <cellStyle name="Normal 6 2 5 4 2 3 3 2" xfId="0"/>
    <cellStyle name="Normal 6 2 5 4 2 3 3 2 2" xfId="0"/>
    <cellStyle name="Normal 6 2 5 4 2 3 3 3" xfId="0"/>
    <cellStyle name="Normal 6 2 5 4 2 3 4" xfId="0"/>
    <cellStyle name="Normal 6 2 5 4 2 3 4 2" xfId="0"/>
    <cellStyle name="Normal 6 2 5 4 2 3 5" xfId="0"/>
    <cellStyle name="Normal 6 2 5 4 2 4" xfId="0"/>
    <cellStyle name="Normal 6 2 5 4 2 4 2" xfId="0"/>
    <cellStyle name="Normal 6 2 5 4 2 4 2 2" xfId="0"/>
    <cellStyle name="Normal 6 2 5 4 2 4 2 2 2" xfId="0"/>
    <cellStyle name="Normal 6 2 5 4 2 4 2 3" xfId="0"/>
    <cellStyle name="Normal 6 2 5 4 2 4 3" xfId="0"/>
    <cellStyle name="Normal 6 2 5 4 2 4 3 2" xfId="0"/>
    <cellStyle name="Normal 6 2 5 4 2 4 4" xfId="0"/>
    <cellStyle name="Normal 6 2 5 4 2 5" xfId="0"/>
    <cellStyle name="Normal 6 2 5 4 2 5 2" xfId="0"/>
    <cellStyle name="Normal 6 2 5 4 2 5 2 2" xfId="0"/>
    <cellStyle name="Normal 6 2 5 4 2 5 3" xfId="0"/>
    <cellStyle name="Normal 6 2 5 4 2 6" xfId="0"/>
    <cellStyle name="Normal 6 2 5 4 2 6 2" xfId="0"/>
    <cellStyle name="Normal 6 2 5 4 2 7" xfId="0"/>
    <cellStyle name="Normal 6 2 5 4 3" xfId="0"/>
    <cellStyle name="Normal 6 2 5 4 3 2" xfId="0"/>
    <cellStyle name="Normal 6 2 5 4 3 2 2" xfId="0"/>
    <cellStyle name="Normal 6 2 5 4 3 2 2 2" xfId="0"/>
    <cellStyle name="Normal 6 2 5 4 3 2 2 2 2" xfId="0"/>
    <cellStyle name="Normal 6 2 5 4 3 2 2 2 2 2" xfId="0"/>
    <cellStyle name="Normal 6 2 5 4 3 2 2 2 3" xfId="0"/>
    <cellStyle name="Normal 6 2 5 4 3 2 2 3" xfId="0"/>
    <cellStyle name="Normal 6 2 5 4 3 2 2 3 2" xfId="0"/>
    <cellStyle name="Normal 6 2 5 4 3 2 2 4" xfId="0"/>
    <cellStyle name="Normal 6 2 5 4 3 2 3" xfId="0"/>
    <cellStyle name="Normal 6 2 5 4 3 2 3 2" xfId="0"/>
    <cellStyle name="Normal 6 2 5 4 3 2 3 2 2" xfId="0"/>
    <cellStyle name="Normal 6 2 5 4 3 2 3 3" xfId="0"/>
    <cellStyle name="Normal 6 2 5 4 3 2 4" xfId="0"/>
    <cellStyle name="Normal 6 2 5 4 3 2 4 2" xfId="0"/>
    <cellStyle name="Normal 6 2 5 4 3 2 5" xfId="0"/>
    <cellStyle name="Normal 6 2 5 4 3 3" xfId="0"/>
    <cellStyle name="Normal 6 2 5 4 3 3 2" xfId="0"/>
    <cellStyle name="Normal 6 2 5 4 3 3 2 2" xfId="0"/>
    <cellStyle name="Normal 6 2 5 4 3 3 2 2 2" xfId="0"/>
    <cellStyle name="Normal 6 2 5 4 3 3 2 3" xfId="0"/>
    <cellStyle name="Normal 6 2 5 4 3 3 3" xfId="0"/>
    <cellStyle name="Normal 6 2 5 4 3 3 3 2" xfId="0"/>
    <cellStyle name="Normal 6 2 5 4 3 3 4" xfId="0"/>
    <cellStyle name="Normal 6 2 5 4 3 4" xfId="0"/>
    <cellStyle name="Normal 6 2 5 4 3 4 2" xfId="0"/>
    <cellStyle name="Normal 6 2 5 4 3 4 2 2" xfId="0"/>
    <cellStyle name="Normal 6 2 5 4 3 4 3" xfId="0"/>
    <cellStyle name="Normal 6 2 5 4 3 5" xfId="0"/>
    <cellStyle name="Normal 6 2 5 4 3 5 2" xfId="0"/>
    <cellStyle name="Normal 6 2 5 4 3 6" xfId="0"/>
    <cellStyle name="Normal 6 2 5 4 4" xfId="0"/>
    <cellStyle name="Normal 6 2 5 4 4 2" xfId="0"/>
    <cellStyle name="Normal 6 2 5 4 4 2 2" xfId="0"/>
    <cellStyle name="Normal 6 2 5 4 4 2 2 2" xfId="0"/>
    <cellStyle name="Normal 6 2 5 4 4 2 2 2 2" xfId="0"/>
    <cellStyle name="Normal 6 2 5 4 4 2 2 3" xfId="0"/>
    <cellStyle name="Normal 6 2 5 4 4 2 3" xfId="0"/>
    <cellStyle name="Normal 6 2 5 4 4 2 3 2" xfId="0"/>
    <cellStyle name="Normal 6 2 5 4 4 2 4" xfId="0"/>
    <cellStyle name="Normal 6 2 5 4 4 3" xfId="0"/>
    <cellStyle name="Normal 6 2 5 4 4 3 2" xfId="0"/>
    <cellStyle name="Normal 6 2 5 4 4 3 2 2" xfId="0"/>
    <cellStyle name="Normal 6 2 5 4 4 3 3" xfId="0"/>
    <cellStyle name="Normal 6 2 5 4 4 4" xfId="0"/>
    <cellStyle name="Normal 6 2 5 4 4 4 2" xfId="0"/>
    <cellStyle name="Normal 6 2 5 4 4 5" xfId="0"/>
    <cellStyle name="Normal 6 2 5 4 5" xfId="0"/>
    <cellStyle name="Normal 6 2 5 4 5 2" xfId="0"/>
    <cellStyle name="Normal 6 2 5 4 5 2 2" xfId="0"/>
    <cellStyle name="Normal 6 2 5 4 5 2 2 2" xfId="0"/>
    <cellStyle name="Normal 6 2 5 4 5 2 3" xfId="0"/>
    <cellStyle name="Normal 6 2 5 4 5 3" xfId="0"/>
    <cellStyle name="Normal 6 2 5 4 5 3 2" xfId="0"/>
    <cellStyle name="Normal 6 2 5 4 5 4" xfId="0"/>
    <cellStyle name="Normal 6 2 5 4 6" xfId="0"/>
    <cellStyle name="Normal 6 2 5 4 6 2" xfId="0"/>
    <cellStyle name="Normal 6 2 5 4 6 2 2" xfId="0"/>
    <cellStyle name="Normal 6 2 5 4 6 3" xfId="0"/>
    <cellStyle name="Normal 6 2 5 4 7" xfId="0"/>
    <cellStyle name="Normal 6 2 5 4 7 2" xfId="0"/>
    <cellStyle name="Normal 6 2 5 4 8" xfId="0"/>
    <cellStyle name="Normal 6 2 5 5" xfId="0"/>
    <cellStyle name="Normal 6 2 5 5 2" xfId="0"/>
    <cellStyle name="Normal 6 2 5 5 2 2" xfId="0"/>
    <cellStyle name="Normal 6 2 5 5 2 2 2" xfId="0"/>
    <cellStyle name="Normal 6 2 5 5 2 2 2 2" xfId="0"/>
    <cellStyle name="Normal 6 2 5 5 2 2 2 2 2" xfId="0"/>
    <cellStyle name="Normal 6 2 5 5 2 2 2 2 2 2" xfId="0"/>
    <cellStyle name="Normal 6 2 5 5 2 2 2 2 3" xfId="0"/>
    <cellStyle name="Normal 6 2 5 5 2 2 2 3" xfId="0"/>
    <cellStyle name="Normal 6 2 5 5 2 2 2 3 2" xfId="0"/>
    <cellStyle name="Normal 6 2 5 5 2 2 2 4" xfId="0"/>
    <cellStyle name="Normal 6 2 5 5 2 2 3" xfId="0"/>
    <cellStyle name="Normal 6 2 5 5 2 2 3 2" xfId="0"/>
    <cellStyle name="Normal 6 2 5 5 2 2 3 2 2" xfId="0"/>
    <cellStyle name="Normal 6 2 5 5 2 2 3 3" xfId="0"/>
    <cellStyle name="Normal 6 2 5 5 2 2 4" xfId="0"/>
    <cellStyle name="Normal 6 2 5 5 2 2 4 2" xfId="0"/>
    <cellStyle name="Normal 6 2 5 5 2 2 5" xfId="0"/>
    <cellStyle name="Normal 6 2 5 5 2 3" xfId="0"/>
    <cellStyle name="Normal 6 2 5 5 2 3 2" xfId="0"/>
    <cellStyle name="Normal 6 2 5 5 2 3 2 2" xfId="0"/>
    <cellStyle name="Normal 6 2 5 5 2 3 2 2 2" xfId="0"/>
    <cellStyle name="Normal 6 2 5 5 2 3 2 3" xfId="0"/>
    <cellStyle name="Normal 6 2 5 5 2 3 3" xfId="0"/>
    <cellStyle name="Normal 6 2 5 5 2 3 3 2" xfId="0"/>
    <cellStyle name="Normal 6 2 5 5 2 3 4" xfId="0"/>
    <cellStyle name="Normal 6 2 5 5 2 4" xfId="0"/>
    <cellStyle name="Normal 6 2 5 5 2 4 2" xfId="0"/>
    <cellStyle name="Normal 6 2 5 5 2 4 2 2" xfId="0"/>
    <cellStyle name="Normal 6 2 5 5 2 4 3" xfId="0"/>
    <cellStyle name="Normal 6 2 5 5 2 5" xfId="0"/>
    <cellStyle name="Normal 6 2 5 5 2 5 2" xfId="0"/>
    <cellStyle name="Normal 6 2 5 5 2 6" xfId="0"/>
    <cellStyle name="Normal 6 2 5 5 3" xfId="0"/>
    <cellStyle name="Normal 6 2 5 5 3 2" xfId="0"/>
    <cellStyle name="Normal 6 2 5 5 3 2 2" xfId="0"/>
    <cellStyle name="Normal 6 2 5 5 3 2 2 2" xfId="0"/>
    <cellStyle name="Normal 6 2 5 5 3 2 2 2 2" xfId="0"/>
    <cellStyle name="Normal 6 2 5 5 3 2 2 3" xfId="0"/>
    <cellStyle name="Normal 6 2 5 5 3 2 3" xfId="0"/>
    <cellStyle name="Normal 6 2 5 5 3 2 3 2" xfId="0"/>
    <cellStyle name="Normal 6 2 5 5 3 2 4" xfId="0"/>
    <cellStyle name="Normal 6 2 5 5 3 3" xfId="0"/>
    <cellStyle name="Normal 6 2 5 5 3 3 2" xfId="0"/>
    <cellStyle name="Normal 6 2 5 5 3 3 2 2" xfId="0"/>
    <cellStyle name="Normal 6 2 5 5 3 3 3" xfId="0"/>
    <cellStyle name="Normal 6 2 5 5 3 4" xfId="0"/>
    <cellStyle name="Normal 6 2 5 5 3 4 2" xfId="0"/>
    <cellStyle name="Normal 6 2 5 5 3 5" xfId="0"/>
    <cellStyle name="Normal 6 2 5 5 4" xfId="0"/>
    <cellStyle name="Normal 6 2 5 5 4 2" xfId="0"/>
    <cellStyle name="Normal 6 2 5 5 4 2 2" xfId="0"/>
    <cellStyle name="Normal 6 2 5 5 4 2 2 2" xfId="0"/>
    <cellStyle name="Normal 6 2 5 5 4 2 3" xfId="0"/>
    <cellStyle name="Normal 6 2 5 5 4 3" xfId="0"/>
    <cellStyle name="Normal 6 2 5 5 4 3 2" xfId="0"/>
    <cellStyle name="Normal 6 2 5 5 4 4" xfId="0"/>
    <cellStyle name="Normal 6 2 5 5 5" xfId="0"/>
    <cellStyle name="Normal 6 2 5 5 5 2" xfId="0"/>
    <cellStyle name="Normal 6 2 5 5 5 2 2" xfId="0"/>
    <cellStyle name="Normal 6 2 5 5 5 3" xfId="0"/>
    <cellStyle name="Normal 6 2 5 5 6" xfId="0"/>
    <cellStyle name="Normal 6 2 5 5 6 2" xfId="0"/>
    <cellStyle name="Normal 6 2 5 5 7" xfId="0"/>
    <cellStyle name="Normal 6 2 5 6" xfId="0"/>
    <cellStyle name="Normal 6 2 5 6 2" xfId="0"/>
    <cellStyle name="Normal 6 2 5 6 2 2" xfId="0"/>
    <cellStyle name="Normal 6 2 5 6 2 2 2" xfId="0"/>
    <cellStyle name="Normal 6 2 5 6 2 2 2 2" xfId="0"/>
    <cellStyle name="Normal 6 2 5 6 2 2 2 2 2" xfId="0"/>
    <cellStyle name="Normal 6 2 5 6 2 2 2 2 2 2" xfId="0"/>
    <cellStyle name="Normal 6 2 5 6 2 2 2 2 3" xfId="0"/>
    <cellStyle name="Normal 6 2 5 6 2 2 2 3" xfId="0"/>
    <cellStyle name="Normal 6 2 5 6 2 2 2 3 2" xfId="0"/>
    <cellStyle name="Normal 6 2 5 6 2 2 2 4" xfId="0"/>
    <cellStyle name="Normal 6 2 5 6 2 2 3" xfId="0"/>
    <cellStyle name="Normal 6 2 5 6 2 2 3 2" xfId="0"/>
    <cellStyle name="Normal 6 2 5 6 2 2 3 2 2" xfId="0"/>
    <cellStyle name="Normal 6 2 5 6 2 2 3 3" xfId="0"/>
    <cellStyle name="Normal 6 2 5 6 2 2 4" xfId="0"/>
    <cellStyle name="Normal 6 2 5 6 2 2 4 2" xfId="0"/>
    <cellStyle name="Normal 6 2 5 6 2 2 5" xfId="0"/>
    <cellStyle name="Normal 6 2 5 6 2 3" xfId="0"/>
    <cellStyle name="Normal 6 2 5 6 2 3 2" xfId="0"/>
    <cellStyle name="Normal 6 2 5 6 2 3 2 2" xfId="0"/>
    <cellStyle name="Normal 6 2 5 6 2 3 2 2 2" xfId="0"/>
    <cellStyle name="Normal 6 2 5 6 2 3 2 3" xfId="0"/>
    <cellStyle name="Normal 6 2 5 6 2 3 3" xfId="0"/>
    <cellStyle name="Normal 6 2 5 6 2 3 3 2" xfId="0"/>
    <cellStyle name="Normal 6 2 5 6 2 3 4" xfId="0"/>
    <cellStyle name="Normal 6 2 5 6 2 4" xfId="0"/>
    <cellStyle name="Normal 6 2 5 6 2 4 2" xfId="0"/>
    <cellStyle name="Normal 6 2 5 6 2 4 2 2" xfId="0"/>
    <cellStyle name="Normal 6 2 5 6 2 4 3" xfId="0"/>
    <cellStyle name="Normal 6 2 5 6 2 5" xfId="0"/>
    <cellStyle name="Normal 6 2 5 6 2 5 2" xfId="0"/>
    <cellStyle name="Normal 6 2 5 6 2 6" xfId="0"/>
    <cellStyle name="Normal 6 2 5 6 3" xfId="0"/>
    <cellStyle name="Normal 6 2 5 6 3 2" xfId="0"/>
    <cellStyle name="Normal 6 2 5 6 3 2 2" xfId="0"/>
    <cellStyle name="Normal 6 2 5 6 3 2 2 2" xfId="0"/>
    <cellStyle name="Normal 6 2 5 6 3 2 2 2 2" xfId="0"/>
    <cellStyle name="Normal 6 2 5 6 3 2 2 3" xfId="0"/>
    <cellStyle name="Normal 6 2 5 6 3 2 3" xfId="0"/>
    <cellStyle name="Normal 6 2 5 6 3 2 3 2" xfId="0"/>
    <cellStyle name="Normal 6 2 5 6 3 2 4" xfId="0"/>
    <cellStyle name="Normal 6 2 5 6 3 3" xfId="0"/>
    <cellStyle name="Normal 6 2 5 6 3 3 2" xfId="0"/>
    <cellStyle name="Normal 6 2 5 6 3 3 2 2" xfId="0"/>
    <cellStyle name="Normal 6 2 5 6 3 3 3" xfId="0"/>
    <cellStyle name="Normal 6 2 5 6 3 4" xfId="0"/>
    <cellStyle name="Normal 6 2 5 6 3 4 2" xfId="0"/>
    <cellStyle name="Normal 6 2 5 6 3 5" xfId="0"/>
    <cellStyle name="Normal 6 2 5 6 4" xfId="0"/>
    <cellStyle name="Normal 6 2 5 6 4 2" xfId="0"/>
    <cellStyle name="Normal 6 2 5 6 4 2 2" xfId="0"/>
    <cellStyle name="Normal 6 2 5 6 4 2 2 2" xfId="0"/>
    <cellStyle name="Normal 6 2 5 6 4 2 3" xfId="0"/>
    <cellStyle name="Normal 6 2 5 6 4 3" xfId="0"/>
    <cellStyle name="Normal 6 2 5 6 4 3 2" xfId="0"/>
    <cellStyle name="Normal 6 2 5 6 4 4" xfId="0"/>
    <cellStyle name="Normal 6 2 5 6 5" xfId="0"/>
    <cellStyle name="Normal 6 2 5 6 5 2" xfId="0"/>
    <cellStyle name="Normal 6 2 5 6 5 2 2" xfId="0"/>
    <cellStyle name="Normal 6 2 5 6 5 3" xfId="0"/>
    <cellStyle name="Normal 6 2 5 6 6" xfId="0"/>
    <cellStyle name="Normal 6 2 5 6 6 2" xfId="0"/>
    <cellStyle name="Normal 6 2 5 6 7" xfId="0"/>
    <cellStyle name="Normal 6 2 5 7" xfId="0"/>
    <cellStyle name="Normal 6 2 5 7 2" xfId="0"/>
    <cellStyle name="Normal 6 2 5 7 2 2" xfId="0"/>
    <cellStyle name="Normal 6 2 5 7 2 2 2" xfId="0"/>
    <cellStyle name="Normal 6 2 5 7 2 2 2 2" xfId="0"/>
    <cellStyle name="Normal 6 2 5 7 2 2 2 2 2" xfId="0"/>
    <cellStyle name="Normal 6 2 5 7 2 2 2 3" xfId="0"/>
    <cellStyle name="Normal 6 2 5 7 2 2 3" xfId="0"/>
    <cellStyle name="Normal 6 2 5 7 2 2 3 2" xfId="0"/>
    <cellStyle name="Normal 6 2 5 7 2 2 4" xfId="0"/>
    <cellStyle name="Normal 6 2 5 7 2 3" xfId="0"/>
    <cellStyle name="Normal 6 2 5 7 2 3 2" xfId="0"/>
    <cellStyle name="Normal 6 2 5 7 2 3 2 2" xfId="0"/>
    <cellStyle name="Normal 6 2 5 7 2 3 3" xfId="0"/>
    <cellStyle name="Normal 6 2 5 7 2 4" xfId="0"/>
    <cellStyle name="Normal 6 2 5 7 2 4 2" xfId="0"/>
    <cellStyle name="Normal 6 2 5 7 2 5" xfId="0"/>
    <cellStyle name="Normal 6 2 5 7 3" xfId="0"/>
    <cellStyle name="Normal 6 2 5 7 3 2" xfId="0"/>
    <cellStyle name="Normal 6 2 5 7 3 2 2" xfId="0"/>
    <cellStyle name="Normal 6 2 5 7 3 2 2 2" xfId="0"/>
    <cellStyle name="Normal 6 2 5 7 3 2 3" xfId="0"/>
    <cellStyle name="Normal 6 2 5 7 3 3" xfId="0"/>
    <cellStyle name="Normal 6 2 5 7 3 3 2" xfId="0"/>
    <cellStyle name="Normal 6 2 5 7 3 4" xfId="0"/>
    <cellStyle name="Normal 6 2 5 7 4" xfId="0"/>
    <cellStyle name="Normal 6 2 5 7 4 2" xfId="0"/>
    <cellStyle name="Normal 6 2 5 7 4 2 2" xfId="0"/>
    <cellStyle name="Normal 6 2 5 7 4 3" xfId="0"/>
    <cellStyle name="Normal 6 2 5 7 5" xfId="0"/>
    <cellStyle name="Normal 6 2 5 7 5 2" xfId="0"/>
    <cellStyle name="Normal 6 2 5 7 6" xfId="0"/>
    <cellStyle name="Normal 6 2 5 8" xfId="0"/>
    <cellStyle name="Normal 6 2 5 8 2" xfId="0"/>
    <cellStyle name="Normal 6 2 5 8 2 2" xfId="0"/>
    <cellStyle name="Normal 6 2 5 8 2 2 2" xfId="0"/>
    <cellStyle name="Normal 6 2 5 8 2 2 2 2" xfId="0"/>
    <cellStyle name="Normal 6 2 5 8 2 2 3" xfId="0"/>
    <cellStyle name="Normal 6 2 5 8 2 3" xfId="0"/>
    <cellStyle name="Normal 6 2 5 8 2 3 2" xfId="0"/>
    <cellStyle name="Normal 6 2 5 8 2 4" xfId="0"/>
    <cellStyle name="Normal 6 2 5 8 3" xfId="0"/>
    <cellStyle name="Normal 6 2 5 8 3 2" xfId="0"/>
    <cellStyle name="Normal 6 2 5 8 3 2 2" xfId="0"/>
    <cellStyle name="Normal 6 2 5 8 3 3" xfId="0"/>
    <cellStyle name="Normal 6 2 5 8 4" xfId="0"/>
    <cellStyle name="Normal 6 2 5 8 4 2" xfId="0"/>
    <cellStyle name="Normal 6 2 5 8 5" xfId="0"/>
    <cellStyle name="Normal 6 2 5 9" xfId="0"/>
    <cellStyle name="Normal 6 2 5 9 2" xfId="0"/>
    <cellStyle name="Normal 6 2 5 9 2 2" xfId="0"/>
    <cellStyle name="Normal 6 2 5 9 2 2 2" xfId="0"/>
    <cellStyle name="Normal 6 2 5 9 2 3" xfId="0"/>
    <cellStyle name="Normal 6 2 5 9 3" xfId="0"/>
    <cellStyle name="Normal 6 2 5 9 3 2" xfId="0"/>
    <cellStyle name="Normal 6 2 5 9 4" xfId="0"/>
    <cellStyle name="Normal 6 2 6" xfId="0"/>
    <cellStyle name="Normal 6 2 6 10" xfId="0"/>
    <cellStyle name="Normal 6 2 6 10 2" xfId="0"/>
    <cellStyle name="Normal 6 2 6 11" xfId="0"/>
    <cellStyle name="Normal 6 2 6 2" xfId="0"/>
    <cellStyle name="Normal 6 2 6 2 2" xfId="0"/>
    <cellStyle name="Normal 6 2 6 2 2 2" xfId="0"/>
    <cellStyle name="Normal 6 2 6 2 2 2 2" xfId="0"/>
    <cellStyle name="Normal 6 2 6 2 2 2 2 2" xfId="0"/>
    <cellStyle name="Normal 6 2 6 2 2 2 2 2 2" xfId="0"/>
    <cellStyle name="Normal 6 2 6 2 2 2 2 2 2 2" xfId="0"/>
    <cellStyle name="Normal 6 2 6 2 2 2 2 2 2 2 2" xfId="0"/>
    <cellStyle name="Normal 6 2 6 2 2 2 2 2 2 3" xfId="0"/>
    <cellStyle name="Normal 6 2 6 2 2 2 2 2 3" xfId="0"/>
    <cellStyle name="Normal 6 2 6 2 2 2 2 2 3 2" xfId="0"/>
    <cellStyle name="Normal 6 2 6 2 2 2 2 2 4" xfId="0"/>
    <cellStyle name="Normal 6 2 6 2 2 2 2 3" xfId="0"/>
    <cellStyle name="Normal 6 2 6 2 2 2 2 3 2" xfId="0"/>
    <cellStyle name="Normal 6 2 6 2 2 2 2 3 2 2" xfId="0"/>
    <cellStyle name="Normal 6 2 6 2 2 2 2 3 3" xfId="0"/>
    <cellStyle name="Normal 6 2 6 2 2 2 2 4" xfId="0"/>
    <cellStyle name="Normal 6 2 6 2 2 2 2 4 2" xfId="0"/>
    <cellStyle name="Normal 6 2 6 2 2 2 2 5" xfId="0"/>
    <cellStyle name="Normal 6 2 6 2 2 2 3" xfId="0"/>
    <cellStyle name="Normal 6 2 6 2 2 2 3 2" xfId="0"/>
    <cellStyle name="Normal 6 2 6 2 2 2 3 2 2" xfId="0"/>
    <cellStyle name="Normal 6 2 6 2 2 2 3 2 2 2" xfId="0"/>
    <cellStyle name="Normal 6 2 6 2 2 2 3 2 3" xfId="0"/>
    <cellStyle name="Normal 6 2 6 2 2 2 3 3" xfId="0"/>
    <cellStyle name="Normal 6 2 6 2 2 2 3 3 2" xfId="0"/>
    <cellStyle name="Normal 6 2 6 2 2 2 3 4" xfId="0"/>
    <cellStyle name="Normal 6 2 6 2 2 2 4" xfId="0"/>
    <cellStyle name="Normal 6 2 6 2 2 2 4 2" xfId="0"/>
    <cellStyle name="Normal 6 2 6 2 2 2 4 2 2" xfId="0"/>
    <cellStyle name="Normal 6 2 6 2 2 2 4 3" xfId="0"/>
    <cellStyle name="Normal 6 2 6 2 2 2 5" xfId="0"/>
    <cellStyle name="Normal 6 2 6 2 2 2 5 2" xfId="0"/>
    <cellStyle name="Normal 6 2 6 2 2 2 6" xfId="0"/>
    <cellStyle name="Normal 6 2 6 2 2 3" xfId="0"/>
    <cellStyle name="Normal 6 2 6 2 2 3 2" xfId="0"/>
    <cellStyle name="Normal 6 2 6 2 2 3 2 2" xfId="0"/>
    <cellStyle name="Normal 6 2 6 2 2 3 2 2 2" xfId="0"/>
    <cellStyle name="Normal 6 2 6 2 2 3 2 2 2 2" xfId="0"/>
    <cellStyle name="Normal 6 2 6 2 2 3 2 2 3" xfId="0"/>
    <cellStyle name="Normal 6 2 6 2 2 3 2 3" xfId="0"/>
    <cellStyle name="Normal 6 2 6 2 2 3 2 3 2" xfId="0"/>
    <cellStyle name="Normal 6 2 6 2 2 3 2 4" xfId="0"/>
    <cellStyle name="Normal 6 2 6 2 2 3 3" xfId="0"/>
    <cellStyle name="Normal 6 2 6 2 2 3 3 2" xfId="0"/>
    <cellStyle name="Normal 6 2 6 2 2 3 3 2 2" xfId="0"/>
    <cellStyle name="Normal 6 2 6 2 2 3 3 3" xfId="0"/>
    <cellStyle name="Normal 6 2 6 2 2 3 4" xfId="0"/>
    <cellStyle name="Normal 6 2 6 2 2 3 4 2" xfId="0"/>
    <cellStyle name="Normal 6 2 6 2 2 3 5" xfId="0"/>
    <cellStyle name="Normal 6 2 6 2 2 4" xfId="0"/>
    <cellStyle name="Normal 6 2 6 2 2 4 2" xfId="0"/>
    <cellStyle name="Normal 6 2 6 2 2 4 2 2" xfId="0"/>
    <cellStyle name="Normal 6 2 6 2 2 4 2 2 2" xfId="0"/>
    <cellStyle name="Normal 6 2 6 2 2 4 2 3" xfId="0"/>
    <cellStyle name="Normal 6 2 6 2 2 4 3" xfId="0"/>
    <cellStyle name="Normal 6 2 6 2 2 4 3 2" xfId="0"/>
    <cellStyle name="Normal 6 2 6 2 2 4 4" xfId="0"/>
    <cellStyle name="Normal 6 2 6 2 2 5" xfId="0"/>
    <cellStyle name="Normal 6 2 6 2 2 5 2" xfId="0"/>
    <cellStyle name="Normal 6 2 6 2 2 5 2 2" xfId="0"/>
    <cellStyle name="Normal 6 2 6 2 2 5 3" xfId="0"/>
    <cellStyle name="Normal 6 2 6 2 2 6" xfId="0"/>
    <cellStyle name="Normal 6 2 6 2 2 6 2" xfId="0"/>
    <cellStyle name="Normal 6 2 6 2 2 7" xfId="0"/>
    <cellStyle name="Normal 6 2 6 2 3" xfId="0"/>
    <cellStyle name="Normal 6 2 6 2 3 2" xfId="0"/>
    <cellStyle name="Normal 6 2 6 2 3 2 2" xfId="0"/>
    <cellStyle name="Normal 6 2 6 2 3 2 2 2" xfId="0"/>
    <cellStyle name="Normal 6 2 6 2 3 2 2 2 2" xfId="0"/>
    <cellStyle name="Normal 6 2 6 2 3 2 2 2 2 2" xfId="0"/>
    <cellStyle name="Normal 6 2 6 2 3 2 2 2 3" xfId="0"/>
    <cellStyle name="Normal 6 2 6 2 3 2 2 3" xfId="0"/>
    <cellStyle name="Normal 6 2 6 2 3 2 2 3 2" xfId="0"/>
    <cellStyle name="Normal 6 2 6 2 3 2 2 4" xfId="0"/>
    <cellStyle name="Normal 6 2 6 2 3 2 3" xfId="0"/>
    <cellStyle name="Normal 6 2 6 2 3 2 3 2" xfId="0"/>
    <cellStyle name="Normal 6 2 6 2 3 2 3 2 2" xfId="0"/>
    <cellStyle name="Normal 6 2 6 2 3 2 3 3" xfId="0"/>
    <cellStyle name="Normal 6 2 6 2 3 2 4" xfId="0"/>
    <cellStyle name="Normal 6 2 6 2 3 2 4 2" xfId="0"/>
    <cellStyle name="Normal 6 2 6 2 3 2 5" xfId="0"/>
    <cellStyle name="Normal 6 2 6 2 3 3" xfId="0"/>
    <cellStyle name="Normal 6 2 6 2 3 3 2" xfId="0"/>
    <cellStyle name="Normal 6 2 6 2 3 3 2 2" xfId="0"/>
    <cellStyle name="Normal 6 2 6 2 3 3 2 2 2" xfId="0"/>
    <cellStyle name="Normal 6 2 6 2 3 3 2 3" xfId="0"/>
    <cellStyle name="Normal 6 2 6 2 3 3 3" xfId="0"/>
    <cellStyle name="Normal 6 2 6 2 3 3 3 2" xfId="0"/>
    <cellStyle name="Normal 6 2 6 2 3 3 4" xfId="0"/>
    <cellStyle name="Normal 6 2 6 2 3 4" xfId="0"/>
    <cellStyle name="Normal 6 2 6 2 3 4 2" xfId="0"/>
    <cellStyle name="Normal 6 2 6 2 3 4 2 2" xfId="0"/>
    <cellStyle name="Normal 6 2 6 2 3 4 3" xfId="0"/>
    <cellStyle name="Normal 6 2 6 2 3 5" xfId="0"/>
    <cellStyle name="Normal 6 2 6 2 3 5 2" xfId="0"/>
    <cellStyle name="Normal 6 2 6 2 3 6" xfId="0"/>
    <cellStyle name="Normal 6 2 6 2 4" xfId="0"/>
    <cellStyle name="Normal 6 2 6 2 4 2" xfId="0"/>
    <cellStyle name="Normal 6 2 6 2 4 2 2" xfId="0"/>
    <cellStyle name="Normal 6 2 6 2 4 2 2 2" xfId="0"/>
    <cellStyle name="Normal 6 2 6 2 4 2 2 2 2" xfId="0"/>
    <cellStyle name="Normal 6 2 6 2 4 2 2 3" xfId="0"/>
    <cellStyle name="Normal 6 2 6 2 4 2 3" xfId="0"/>
    <cellStyle name="Normal 6 2 6 2 4 2 3 2" xfId="0"/>
    <cellStyle name="Normal 6 2 6 2 4 2 4" xfId="0"/>
    <cellStyle name="Normal 6 2 6 2 4 3" xfId="0"/>
    <cellStyle name="Normal 6 2 6 2 4 3 2" xfId="0"/>
    <cellStyle name="Normal 6 2 6 2 4 3 2 2" xfId="0"/>
    <cellStyle name="Normal 6 2 6 2 4 3 3" xfId="0"/>
    <cellStyle name="Normal 6 2 6 2 4 4" xfId="0"/>
    <cellStyle name="Normal 6 2 6 2 4 4 2" xfId="0"/>
    <cellStyle name="Normal 6 2 6 2 4 5" xfId="0"/>
    <cellStyle name="Normal 6 2 6 2 5" xfId="0"/>
    <cellStyle name="Normal 6 2 6 2 5 2" xfId="0"/>
    <cellStyle name="Normal 6 2 6 2 5 2 2" xfId="0"/>
    <cellStyle name="Normal 6 2 6 2 5 2 2 2" xfId="0"/>
    <cellStyle name="Normal 6 2 6 2 5 2 3" xfId="0"/>
    <cellStyle name="Normal 6 2 6 2 5 3" xfId="0"/>
    <cellStyle name="Normal 6 2 6 2 5 3 2" xfId="0"/>
    <cellStyle name="Normal 6 2 6 2 5 4" xfId="0"/>
    <cellStyle name="Normal 6 2 6 2 6" xfId="0"/>
    <cellStyle name="Normal 6 2 6 2 6 2" xfId="0"/>
    <cellStyle name="Normal 6 2 6 2 6 2 2" xfId="0"/>
    <cellStyle name="Normal 6 2 6 2 6 3" xfId="0"/>
    <cellStyle name="Normal 6 2 6 2 7" xfId="0"/>
    <cellStyle name="Normal 6 2 6 2 7 2" xfId="0"/>
    <cellStyle name="Normal 6 2 6 2 8" xfId="0"/>
    <cellStyle name="Normal 6 2 6 3" xfId="0"/>
    <cellStyle name="Normal 6 2 6 3 2" xfId="0"/>
    <cellStyle name="Normal 6 2 6 3 2 2" xfId="0"/>
    <cellStyle name="Normal 6 2 6 3 2 2 2" xfId="0"/>
    <cellStyle name="Normal 6 2 6 3 2 2 2 2" xfId="0"/>
    <cellStyle name="Normal 6 2 6 3 2 2 2 2 2" xfId="0"/>
    <cellStyle name="Normal 6 2 6 3 2 2 2 2 2 2" xfId="0"/>
    <cellStyle name="Normal 6 2 6 3 2 2 2 2 2 2 2" xfId="0"/>
    <cellStyle name="Normal 6 2 6 3 2 2 2 2 2 3" xfId="0"/>
    <cellStyle name="Normal 6 2 6 3 2 2 2 2 3" xfId="0"/>
    <cellStyle name="Normal 6 2 6 3 2 2 2 2 3 2" xfId="0"/>
    <cellStyle name="Normal 6 2 6 3 2 2 2 2 4" xfId="0"/>
    <cellStyle name="Normal 6 2 6 3 2 2 2 3" xfId="0"/>
    <cellStyle name="Normal 6 2 6 3 2 2 2 3 2" xfId="0"/>
    <cellStyle name="Normal 6 2 6 3 2 2 2 3 2 2" xfId="0"/>
    <cellStyle name="Normal 6 2 6 3 2 2 2 3 3" xfId="0"/>
    <cellStyle name="Normal 6 2 6 3 2 2 2 4" xfId="0"/>
    <cellStyle name="Normal 6 2 6 3 2 2 2 4 2" xfId="0"/>
    <cellStyle name="Normal 6 2 6 3 2 2 2 5" xfId="0"/>
    <cellStyle name="Normal 6 2 6 3 2 2 3" xfId="0"/>
    <cellStyle name="Normal 6 2 6 3 2 2 3 2" xfId="0"/>
    <cellStyle name="Normal 6 2 6 3 2 2 3 2 2" xfId="0"/>
    <cellStyle name="Normal 6 2 6 3 2 2 3 2 2 2" xfId="0"/>
    <cellStyle name="Normal 6 2 6 3 2 2 3 2 3" xfId="0"/>
    <cellStyle name="Normal 6 2 6 3 2 2 3 3" xfId="0"/>
    <cellStyle name="Normal 6 2 6 3 2 2 3 3 2" xfId="0"/>
    <cellStyle name="Normal 6 2 6 3 2 2 3 4" xfId="0"/>
    <cellStyle name="Normal 6 2 6 3 2 2 4" xfId="0"/>
    <cellStyle name="Normal 6 2 6 3 2 2 4 2" xfId="0"/>
    <cellStyle name="Normal 6 2 6 3 2 2 4 2 2" xfId="0"/>
    <cellStyle name="Normal 6 2 6 3 2 2 4 3" xfId="0"/>
    <cellStyle name="Normal 6 2 6 3 2 2 5" xfId="0"/>
    <cellStyle name="Normal 6 2 6 3 2 2 5 2" xfId="0"/>
    <cellStyle name="Normal 6 2 6 3 2 2 6" xfId="0"/>
    <cellStyle name="Normal 6 2 6 3 2 3" xfId="0"/>
    <cellStyle name="Normal 6 2 6 3 2 3 2" xfId="0"/>
    <cellStyle name="Normal 6 2 6 3 2 3 2 2" xfId="0"/>
    <cellStyle name="Normal 6 2 6 3 2 3 2 2 2" xfId="0"/>
    <cellStyle name="Normal 6 2 6 3 2 3 2 2 2 2" xfId="0"/>
    <cellStyle name="Normal 6 2 6 3 2 3 2 2 3" xfId="0"/>
    <cellStyle name="Normal 6 2 6 3 2 3 2 3" xfId="0"/>
    <cellStyle name="Normal 6 2 6 3 2 3 2 3 2" xfId="0"/>
    <cellStyle name="Normal 6 2 6 3 2 3 2 4" xfId="0"/>
    <cellStyle name="Normal 6 2 6 3 2 3 3" xfId="0"/>
    <cellStyle name="Normal 6 2 6 3 2 3 3 2" xfId="0"/>
    <cellStyle name="Normal 6 2 6 3 2 3 3 2 2" xfId="0"/>
    <cellStyle name="Normal 6 2 6 3 2 3 3 3" xfId="0"/>
    <cellStyle name="Normal 6 2 6 3 2 3 4" xfId="0"/>
    <cellStyle name="Normal 6 2 6 3 2 3 4 2" xfId="0"/>
    <cellStyle name="Normal 6 2 6 3 2 3 5" xfId="0"/>
    <cellStyle name="Normal 6 2 6 3 2 4" xfId="0"/>
    <cellStyle name="Normal 6 2 6 3 2 4 2" xfId="0"/>
    <cellStyle name="Normal 6 2 6 3 2 4 2 2" xfId="0"/>
    <cellStyle name="Normal 6 2 6 3 2 4 2 2 2" xfId="0"/>
    <cellStyle name="Normal 6 2 6 3 2 4 2 3" xfId="0"/>
    <cellStyle name="Normal 6 2 6 3 2 4 3" xfId="0"/>
    <cellStyle name="Normal 6 2 6 3 2 4 3 2" xfId="0"/>
    <cellStyle name="Normal 6 2 6 3 2 4 4" xfId="0"/>
    <cellStyle name="Normal 6 2 6 3 2 5" xfId="0"/>
    <cellStyle name="Normal 6 2 6 3 2 5 2" xfId="0"/>
    <cellStyle name="Normal 6 2 6 3 2 5 2 2" xfId="0"/>
    <cellStyle name="Normal 6 2 6 3 2 5 3" xfId="0"/>
    <cellStyle name="Normal 6 2 6 3 2 6" xfId="0"/>
    <cellStyle name="Normal 6 2 6 3 2 6 2" xfId="0"/>
    <cellStyle name="Normal 6 2 6 3 2 7" xfId="0"/>
    <cellStyle name="Normal 6 2 6 3 3" xfId="0"/>
    <cellStyle name="Normal 6 2 6 3 3 2" xfId="0"/>
    <cellStyle name="Normal 6 2 6 3 3 2 2" xfId="0"/>
    <cellStyle name="Normal 6 2 6 3 3 2 2 2" xfId="0"/>
    <cellStyle name="Normal 6 2 6 3 3 2 2 2 2" xfId="0"/>
    <cellStyle name="Normal 6 2 6 3 3 2 2 2 2 2" xfId="0"/>
    <cellStyle name="Normal 6 2 6 3 3 2 2 2 3" xfId="0"/>
    <cellStyle name="Normal 6 2 6 3 3 2 2 3" xfId="0"/>
    <cellStyle name="Normal 6 2 6 3 3 2 2 3 2" xfId="0"/>
    <cellStyle name="Normal 6 2 6 3 3 2 2 4" xfId="0"/>
    <cellStyle name="Normal 6 2 6 3 3 2 3" xfId="0"/>
    <cellStyle name="Normal 6 2 6 3 3 2 3 2" xfId="0"/>
    <cellStyle name="Normal 6 2 6 3 3 2 3 2 2" xfId="0"/>
    <cellStyle name="Normal 6 2 6 3 3 2 3 3" xfId="0"/>
    <cellStyle name="Normal 6 2 6 3 3 2 4" xfId="0"/>
    <cellStyle name="Normal 6 2 6 3 3 2 4 2" xfId="0"/>
    <cellStyle name="Normal 6 2 6 3 3 2 5" xfId="0"/>
    <cellStyle name="Normal 6 2 6 3 3 3" xfId="0"/>
    <cellStyle name="Normal 6 2 6 3 3 3 2" xfId="0"/>
    <cellStyle name="Normal 6 2 6 3 3 3 2 2" xfId="0"/>
    <cellStyle name="Normal 6 2 6 3 3 3 2 2 2" xfId="0"/>
    <cellStyle name="Normal 6 2 6 3 3 3 2 3" xfId="0"/>
    <cellStyle name="Normal 6 2 6 3 3 3 3" xfId="0"/>
    <cellStyle name="Normal 6 2 6 3 3 3 3 2" xfId="0"/>
    <cellStyle name="Normal 6 2 6 3 3 3 4" xfId="0"/>
    <cellStyle name="Normal 6 2 6 3 3 4" xfId="0"/>
    <cellStyle name="Normal 6 2 6 3 3 4 2" xfId="0"/>
    <cellStyle name="Normal 6 2 6 3 3 4 2 2" xfId="0"/>
    <cellStyle name="Normal 6 2 6 3 3 4 3" xfId="0"/>
    <cellStyle name="Normal 6 2 6 3 3 5" xfId="0"/>
    <cellStyle name="Normal 6 2 6 3 3 5 2" xfId="0"/>
    <cellStyle name="Normal 6 2 6 3 3 6" xfId="0"/>
    <cellStyle name="Normal 6 2 6 3 4" xfId="0"/>
    <cellStyle name="Normal 6 2 6 3 4 2" xfId="0"/>
    <cellStyle name="Normal 6 2 6 3 4 2 2" xfId="0"/>
    <cellStyle name="Normal 6 2 6 3 4 2 2 2" xfId="0"/>
    <cellStyle name="Normal 6 2 6 3 4 2 2 2 2" xfId="0"/>
    <cellStyle name="Normal 6 2 6 3 4 2 2 3" xfId="0"/>
    <cellStyle name="Normal 6 2 6 3 4 2 3" xfId="0"/>
    <cellStyle name="Normal 6 2 6 3 4 2 3 2" xfId="0"/>
    <cellStyle name="Normal 6 2 6 3 4 2 4" xfId="0"/>
    <cellStyle name="Normal 6 2 6 3 4 3" xfId="0"/>
    <cellStyle name="Normal 6 2 6 3 4 3 2" xfId="0"/>
    <cellStyle name="Normal 6 2 6 3 4 3 2 2" xfId="0"/>
    <cellStyle name="Normal 6 2 6 3 4 3 3" xfId="0"/>
    <cellStyle name="Normal 6 2 6 3 4 4" xfId="0"/>
    <cellStyle name="Normal 6 2 6 3 4 4 2" xfId="0"/>
    <cellStyle name="Normal 6 2 6 3 4 5" xfId="0"/>
    <cellStyle name="Normal 6 2 6 3 5" xfId="0"/>
    <cellStyle name="Normal 6 2 6 3 5 2" xfId="0"/>
    <cellStyle name="Normal 6 2 6 3 5 2 2" xfId="0"/>
    <cellStyle name="Normal 6 2 6 3 5 2 2 2" xfId="0"/>
    <cellStyle name="Normal 6 2 6 3 5 2 3" xfId="0"/>
    <cellStyle name="Normal 6 2 6 3 5 3" xfId="0"/>
    <cellStyle name="Normal 6 2 6 3 5 3 2" xfId="0"/>
    <cellStyle name="Normal 6 2 6 3 5 4" xfId="0"/>
    <cellStyle name="Normal 6 2 6 3 6" xfId="0"/>
    <cellStyle name="Normal 6 2 6 3 6 2" xfId="0"/>
    <cellStyle name="Normal 6 2 6 3 6 2 2" xfId="0"/>
    <cellStyle name="Normal 6 2 6 3 6 3" xfId="0"/>
    <cellStyle name="Normal 6 2 6 3 7" xfId="0"/>
    <cellStyle name="Normal 6 2 6 3 7 2" xfId="0"/>
    <cellStyle name="Normal 6 2 6 3 8" xfId="0"/>
    <cellStyle name="Normal 6 2 6 4" xfId="0"/>
    <cellStyle name="Normal 6 2 6 4 2" xfId="0"/>
    <cellStyle name="Normal 6 2 6 4 2 2" xfId="0"/>
    <cellStyle name="Normal 6 2 6 4 2 2 2" xfId="0"/>
    <cellStyle name="Normal 6 2 6 4 2 2 2 2" xfId="0"/>
    <cellStyle name="Normal 6 2 6 4 2 2 2 2 2" xfId="0"/>
    <cellStyle name="Normal 6 2 6 4 2 2 2 2 2 2" xfId="0"/>
    <cellStyle name="Normal 6 2 6 4 2 2 2 2 3" xfId="0"/>
    <cellStyle name="Normal 6 2 6 4 2 2 2 3" xfId="0"/>
    <cellStyle name="Normal 6 2 6 4 2 2 2 3 2" xfId="0"/>
    <cellStyle name="Normal 6 2 6 4 2 2 2 4" xfId="0"/>
    <cellStyle name="Normal 6 2 6 4 2 2 3" xfId="0"/>
    <cellStyle name="Normal 6 2 6 4 2 2 3 2" xfId="0"/>
    <cellStyle name="Normal 6 2 6 4 2 2 3 2 2" xfId="0"/>
    <cellStyle name="Normal 6 2 6 4 2 2 3 3" xfId="0"/>
    <cellStyle name="Normal 6 2 6 4 2 2 4" xfId="0"/>
    <cellStyle name="Normal 6 2 6 4 2 2 4 2" xfId="0"/>
    <cellStyle name="Normal 6 2 6 4 2 2 5" xfId="0"/>
    <cellStyle name="Normal 6 2 6 4 2 3" xfId="0"/>
    <cellStyle name="Normal 6 2 6 4 2 3 2" xfId="0"/>
    <cellStyle name="Normal 6 2 6 4 2 3 2 2" xfId="0"/>
    <cellStyle name="Normal 6 2 6 4 2 3 2 2 2" xfId="0"/>
    <cellStyle name="Normal 6 2 6 4 2 3 2 3" xfId="0"/>
    <cellStyle name="Normal 6 2 6 4 2 3 3" xfId="0"/>
    <cellStyle name="Normal 6 2 6 4 2 3 3 2" xfId="0"/>
    <cellStyle name="Normal 6 2 6 4 2 3 4" xfId="0"/>
    <cellStyle name="Normal 6 2 6 4 2 4" xfId="0"/>
    <cellStyle name="Normal 6 2 6 4 2 4 2" xfId="0"/>
    <cellStyle name="Normal 6 2 6 4 2 4 2 2" xfId="0"/>
    <cellStyle name="Normal 6 2 6 4 2 4 3" xfId="0"/>
    <cellStyle name="Normal 6 2 6 4 2 5" xfId="0"/>
    <cellStyle name="Normal 6 2 6 4 2 5 2" xfId="0"/>
    <cellStyle name="Normal 6 2 6 4 2 6" xfId="0"/>
    <cellStyle name="Normal 6 2 6 4 3" xfId="0"/>
    <cellStyle name="Normal 6 2 6 4 3 2" xfId="0"/>
    <cellStyle name="Normal 6 2 6 4 3 2 2" xfId="0"/>
    <cellStyle name="Normal 6 2 6 4 3 2 2 2" xfId="0"/>
    <cellStyle name="Normal 6 2 6 4 3 2 2 2 2" xfId="0"/>
    <cellStyle name="Normal 6 2 6 4 3 2 2 3" xfId="0"/>
    <cellStyle name="Normal 6 2 6 4 3 2 3" xfId="0"/>
    <cellStyle name="Normal 6 2 6 4 3 2 3 2" xfId="0"/>
    <cellStyle name="Normal 6 2 6 4 3 2 4" xfId="0"/>
    <cellStyle name="Normal 6 2 6 4 3 3" xfId="0"/>
    <cellStyle name="Normal 6 2 6 4 3 3 2" xfId="0"/>
    <cellStyle name="Normal 6 2 6 4 3 3 2 2" xfId="0"/>
    <cellStyle name="Normal 6 2 6 4 3 3 3" xfId="0"/>
    <cellStyle name="Normal 6 2 6 4 3 4" xfId="0"/>
    <cellStyle name="Normal 6 2 6 4 3 4 2" xfId="0"/>
    <cellStyle name="Normal 6 2 6 4 3 5" xfId="0"/>
    <cellStyle name="Normal 6 2 6 4 4" xfId="0"/>
    <cellStyle name="Normal 6 2 6 4 4 2" xfId="0"/>
    <cellStyle name="Normal 6 2 6 4 4 2 2" xfId="0"/>
    <cellStyle name="Normal 6 2 6 4 4 2 2 2" xfId="0"/>
    <cellStyle name="Normal 6 2 6 4 4 2 3" xfId="0"/>
    <cellStyle name="Normal 6 2 6 4 4 3" xfId="0"/>
    <cellStyle name="Normal 6 2 6 4 4 3 2" xfId="0"/>
    <cellStyle name="Normal 6 2 6 4 4 4" xfId="0"/>
    <cellStyle name="Normal 6 2 6 4 5" xfId="0"/>
    <cellStyle name="Normal 6 2 6 4 5 2" xfId="0"/>
    <cellStyle name="Normal 6 2 6 4 5 2 2" xfId="0"/>
    <cellStyle name="Normal 6 2 6 4 5 3" xfId="0"/>
    <cellStyle name="Normal 6 2 6 4 6" xfId="0"/>
    <cellStyle name="Normal 6 2 6 4 6 2" xfId="0"/>
    <cellStyle name="Normal 6 2 6 4 7" xfId="0"/>
    <cellStyle name="Normal 6 2 6 5" xfId="0"/>
    <cellStyle name="Normal 6 2 6 5 2" xfId="0"/>
    <cellStyle name="Normal 6 2 6 5 2 2" xfId="0"/>
    <cellStyle name="Normal 6 2 6 5 2 2 2" xfId="0"/>
    <cellStyle name="Normal 6 2 6 5 2 2 2 2" xfId="0"/>
    <cellStyle name="Normal 6 2 6 5 2 2 2 2 2" xfId="0"/>
    <cellStyle name="Normal 6 2 6 5 2 2 2 2 2 2" xfId="0"/>
    <cellStyle name="Normal 6 2 6 5 2 2 2 2 3" xfId="0"/>
    <cellStyle name="Normal 6 2 6 5 2 2 2 3" xfId="0"/>
    <cellStyle name="Normal 6 2 6 5 2 2 2 3 2" xfId="0"/>
    <cellStyle name="Normal 6 2 6 5 2 2 2 4" xfId="0"/>
    <cellStyle name="Normal 6 2 6 5 2 2 3" xfId="0"/>
    <cellStyle name="Normal 6 2 6 5 2 2 3 2" xfId="0"/>
    <cellStyle name="Normal 6 2 6 5 2 2 3 2 2" xfId="0"/>
    <cellStyle name="Normal 6 2 6 5 2 2 3 3" xfId="0"/>
    <cellStyle name="Normal 6 2 6 5 2 2 4" xfId="0"/>
    <cellStyle name="Normal 6 2 6 5 2 2 4 2" xfId="0"/>
    <cellStyle name="Normal 6 2 6 5 2 2 5" xfId="0"/>
    <cellStyle name="Normal 6 2 6 5 2 3" xfId="0"/>
    <cellStyle name="Normal 6 2 6 5 2 3 2" xfId="0"/>
    <cellStyle name="Normal 6 2 6 5 2 3 2 2" xfId="0"/>
    <cellStyle name="Normal 6 2 6 5 2 3 2 2 2" xfId="0"/>
    <cellStyle name="Normal 6 2 6 5 2 3 2 3" xfId="0"/>
    <cellStyle name="Normal 6 2 6 5 2 3 3" xfId="0"/>
    <cellStyle name="Normal 6 2 6 5 2 3 3 2" xfId="0"/>
    <cellStyle name="Normal 6 2 6 5 2 3 4" xfId="0"/>
    <cellStyle name="Normal 6 2 6 5 2 4" xfId="0"/>
    <cellStyle name="Normal 6 2 6 5 2 4 2" xfId="0"/>
    <cellStyle name="Normal 6 2 6 5 2 4 2 2" xfId="0"/>
    <cellStyle name="Normal 6 2 6 5 2 4 3" xfId="0"/>
    <cellStyle name="Normal 6 2 6 5 2 5" xfId="0"/>
    <cellStyle name="Normal 6 2 6 5 2 5 2" xfId="0"/>
    <cellStyle name="Normal 6 2 6 5 2 6" xfId="0"/>
    <cellStyle name="Normal 6 2 6 5 3" xfId="0"/>
    <cellStyle name="Normal 6 2 6 5 3 2" xfId="0"/>
    <cellStyle name="Normal 6 2 6 5 3 2 2" xfId="0"/>
    <cellStyle name="Normal 6 2 6 5 3 2 2 2" xfId="0"/>
    <cellStyle name="Normal 6 2 6 5 3 2 2 2 2" xfId="0"/>
    <cellStyle name="Normal 6 2 6 5 3 2 2 3" xfId="0"/>
    <cellStyle name="Normal 6 2 6 5 3 2 3" xfId="0"/>
    <cellStyle name="Normal 6 2 6 5 3 2 3 2" xfId="0"/>
    <cellStyle name="Normal 6 2 6 5 3 2 4" xfId="0"/>
    <cellStyle name="Normal 6 2 6 5 3 3" xfId="0"/>
    <cellStyle name="Normal 6 2 6 5 3 3 2" xfId="0"/>
    <cellStyle name="Normal 6 2 6 5 3 3 2 2" xfId="0"/>
    <cellStyle name="Normal 6 2 6 5 3 3 3" xfId="0"/>
    <cellStyle name="Normal 6 2 6 5 3 4" xfId="0"/>
    <cellStyle name="Normal 6 2 6 5 3 4 2" xfId="0"/>
    <cellStyle name="Normal 6 2 6 5 3 5" xfId="0"/>
    <cellStyle name="Normal 6 2 6 5 4" xfId="0"/>
    <cellStyle name="Normal 6 2 6 5 4 2" xfId="0"/>
    <cellStyle name="Normal 6 2 6 5 4 2 2" xfId="0"/>
    <cellStyle name="Normal 6 2 6 5 4 2 2 2" xfId="0"/>
    <cellStyle name="Normal 6 2 6 5 4 2 3" xfId="0"/>
    <cellStyle name="Normal 6 2 6 5 4 3" xfId="0"/>
    <cellStyle name="Normal 6 2 6 5 4 3 2" xfId="0"/>
    <cellStyle name="Normal 6 2 6 5 4 4" xfId="0"/>
    <cellStyle name="Normal 6 2 6 5 5" xfId="0"/>
    <cellStyle name="Normal 6 2 6 5 5 2" xfId="0"/>
    <cellStyle name="Normal 6 2 6 5 5 2 2" xfId="0"/>
    <cellStyle name="Normal 6 2 6 5 5 3" xfId="0"/>
    <cellStyle name="Normal 6 2 6 5 6" xfId="0"/>
    <cellStyle name="Normal 6 2 6 5 6 2" xfId="0"/>
    <cellStyle name="Normal 6 2 6 5 7" xfId="0"/>
    <cellStyle name="Normal 6 2 6 6" xfId="0"/>
    <cellStyle name="Normal 6 2 6 6 2" xfId="0"/>
    <cellStyle name="Normal 6 2 6 6 2 2" xfId="0"/>
    <cellStyle name="Normal 6 2 6 6 2 2 2" xfId="0"/>
    <cellStyle name="Normal 6 2 6 6 2 2 2 2" xfId="0"/>
    <cellStyle name="Normal 6 2 6 6 2 2 2 2 2" xfId="0"/>
    <cellStyle name="Normal 6 2 6 6 2 2 2 3" xfId="0"/>
    <cellStyle name="Normal 6 2 6 6 2 2 3" xfId="0"/>
    <cellStyle name="Normal 6 2 6 6 2 2 3 2" xfId="0"/>
    <cellStyle name="Normal 6 2 6 6 2 2 4" xfId="0"/>
    <cellStyle name="Normal 6 2 6 6 2 3" xfId="0"/>
    <cellStyle name="Normal 6 2 6 6 2 3 2" xfId="0"/>
    <cellStyle name="Normal 6 2 6 6 2 3 2 2" xfId="0"/>
    <cellStyle name="Normal 6 2 6 6 2 3 3" xfId="0"/>
    <cellStyle name="Normal 6 2 6 6 2 4" xfId="0"/>
    <cellStyle name="Normal 6 2 6 6 2 4 2" xfId="0"/>
    <cellStyle name="Normal 6 2 6 6 2 5" xfId="0"/>
    <cellStyle name="Normal 6 2 6 6 3" xfId="0"/>
    <cellStyle name="Normal 6 2 6 6 3 2" xfId="0"/>
    <cellStyle name="Normal 6 2 6 6 3 2 2" xfId="0"/>
    <cellStyle name="Normal 6 2 6 6 3 2 2 2" xfId="0"/>
    <cellStyle name="Normal 6 2 6 6 3 2 3" xfId="0"/>
    <cellStyle name="Normal 6 2 6 6 3 3" xfId="0"/>
    <cellStyle name="Normal 6 2 6 6 3 3 2" xfId="0"/>
    <cellStyle name="Normal 6 2 6 6 3 4" xfId="0"/>
    <cellStyle name="Normal 6 2 6 6 4" xfId="0"/>
    <cellStyle name="Normal 6 2 6 6 4 2" xfId="0"/>
    <cellStyle name="Normal 6 2 6 6 4 2 2" xfId="0"/>
    <cellStyle name="Normal 6 2 6 6 4 3" xfId="0"/>
    <cellStyle name="Normal 6 2 6 6 5" xfId="0"/>
    <cellStyle name="Normal 6 2 6 6 5 2" xfId="0"/>
    <cellStyle name="Normal 6 2 6 6 6" xfId="0"/>
    <cellStyle name="Normal 6 2 6 7" xfId="0"/>
    <cellStyle name="Normal 6 2 6 7 2" xfId="0"/>
    <cellStyle name="Normal 6 2 6 7 2 2" xfId="0"/>
    <cellStyle name="Normal 6 2 6 7 2 2 2" xfId="0"/>
    <cellStyle name="Normal 6 2 6 7 2 2 2 2" xfId="0"/>
    <cellStyle name="Normal 6 2 6 7 2 2 3" xfId="0"/>
    <cellStyle name="Normal 6 2 6 7 2 3" xfId="0"/>
    <cellStyle name="Normal 6 2 6 7 2 3 2" xfId="0"/>
    <cellStyle name="Normal 6 2 6 7 2 4" xfId="0"/>
    <cellStyle name="Normal 6 2 6 7 3" xfId="0"/>
    <cellStyle name="Normal 6 2 6 7 3 2" xfId="0"/>
    <cellStyle name="Normal 6 2 6 7 3 2 2" xfId="0"/>
    <cellStyle name="Normal 6 2 6 7 3 3" xfId="0"/>
    <cellStyle name="Normal 6 2 6 7 4" xfId="0"/>
    <cellStyle name="Normal 6 2 6 7 4 2" xfId="0"/>
    <cellStyle name="Normal 6 2 6 7 5" xfId="0"/>
    <cellStyle name="Normal 6 2 6 8" xfId="0"/>
    <cellStyle name="Normal 6 2 6 8 2" xfId="0"/>
    <cellStyle name="Normal 6 2 6 8 2 2" xfId="0"/>
    <cellStyle name="Normal 6 2 6 8 2 2 2" xfId="0"/>
    <cellStyle name="Normal 6 2 6 8 2 3" xfId="0"/>
    <cellStyle name="Normal 6 2 6 8 3" xfId="0"/>
    <cellStyle name="Normal 6 2 6 8 3 2" xfId="0"/>
    <cellStyle name="Normal 6 2 6 8 4" xfId="0"/>
    <cellStyle name="Normal 6 2 6 9" xfId="0"/>
    <cellStyle name="Normal 6 2 6 9 2" xfId="0"/>
    <cellStyle name="Normal 6 2 6 9 2 2" xfId="0"/>
    <cellStyle name="Normal 6 2 6 9 3" xfId="0"/>
    <cellStyle name="Normal 6 2 7" xfId="0"/>
    <cellStyle name="Normal 6 2 7 2" xfId="0"/>
    <cellStyle name="Normal 6 2 7 2 2" xfId="0"/>
    <cellStyle name="Normal 6 2 7 2 2 2" xfId="0"/>
    <cellStyle name="Normal 6 2 7 2 2 2 2" xfId="0"/>
    <cellStyle name="Normal 6 2 7 2 2 2 2 2" xfId="0"/>
    <cellStyle name="Normal 6 2 7 2 2 2 2 2 2" xfId="0"/>
    <cellStyle name="Normal 6 2 7 2 2 2 2 2 2 2" xfId="0"/>
    <cellStyle name="Normal 6 2 7 2 2 2 2 2 3" xfId="0"/>
    <cellStyle name="Normal 6 2 7 2 2 2 2 3" xfId="0"/>
    <cellStyle name="Normal 6 2 7 2 2 2 2 3 2" xfId="0"/>
    <cellStyle name="Normal 6 2 7 2 2 2 2 4" xfId="0"/>
    <cellStyle name="Normal 6 2 7 2 2 2 3" xfId="0"/>
    <cellStyle name="Normal 6 2 7 2 2 2 3 2" xfId="0"/>
    <cellStyle name="Normal 6 2 7 2 2 2 3 2 2" xfId="0"/>
    <cellStyle name="Normal 6 2 7 2 2 2 3 3" xfId="0"/>
    <cellStyle name="Normal 6 2 7 2 2 2 4" xfId="0"/>
    <cellStyle name="Normal 6 2 7 2 2 2 4 2" xfId="0"/>
    <cellStyle name="Normal 6 2 7 2 2 2 5" xfId="0"/>
    <cellStyle name="Normal 6 2 7 2 2 3" xfId="0"/>
    <cellStyle name="Normal 6 2 7 2 2 3 2" xfId="0"/>
    <cellStyle name="Normal 6 2 7 2 2 3 2 2" xfId="0"/>
    <cellStyle name="Normal 6 2 7 2 2 3 2 2 2" xfId="0"/>
    <cellStyle name="Normal 6 2 7 2 2 3 2 3" xfId="0"/>
    <cellStyle name="Normal 6 2 7 2 2 3 3" xfId="0"/>
    <cellStyle name="Normal 6 2 7 2 2 3 3 2" xfId="0"/>
    <cellStyle name="Normal 6 2 7 2 2 3 4" xfId="0"/>
    <cellStyle name="Normal 6 2 7 2 2 4" xfId="0"/>
    <cellStyle name="Normal 6 2 7 2 2 4 2" xfId="0"/>
    <cellStyle name="Normal 6 2 7 2 2 4 2 2" xfId="0"/>
    <cellStyle name="Normal 6 2 7 2 2 4 3" xfId="0"/>
    <cellStyle name="Normal 6 2 7 2 2 5" xfId="0"/>
    <cellStyle name="Normal 6 2 7 2 2 5 2" xfId="0"/>
    <cellStyle name="Normal 6 2 7 2 2 6" xfId="0"/>
    <cellStyle name="Normal 6 2 7 2 3" xfId="0"/>
    <cellStyle name="Normal 6 2 7 2 3 2" xfId="0"/>
    <cellStyle name="Normal 6 2 7 2 3 2 2" xfId="0"/>
    <cellStyle name="Normal 6 2 7 2 3 2 2 2" xfId="0"/>
    <cellStyle name="Normal 6 2 7 2 3 2 2 2 2" xfId="0"/>
    <cellStyle name="Normal 6 2 7 2 3 2 2 3" xfId="0"/>
    <cellStyle name="Normal 6 2 7 2 3 2 3" xfId="0"/>
    <cellStyle name="Normal 6 2 7 2 3 2 3 2" xfId="0"/>
    <cellStyle name="Normal 6 2 7 2 3 2 4" xfId="0"/>
    <cellStyle name="Normal 6 2 7 2 3 3" xfId="0"/>
    <cellStyle name="Normal 6 2 7 2 3 3 2" xfId="0"/>
    <cellStyle name="Normal 6 2 7 2 3 3 2 2" xfId="0"/>
    <cellStyle name="Normal 6 2 7 2 3 3 3" xfId="0"/>
    <cellStyle name="Normal 6 2 7 2 3 4" xfId="0"/>
    <cellStyle name="Normal 6 2 7 2 3 4 2" xfId="0"/>
    <cellStyle name="Normal 6 2 7 2 3 5" xfId="0"/>
    <cellStyle name="Normal 6 2 7 2 4" xfId="0"/>
    <cellStyle name="Normal 6 2 7 2 4 2" xfId="0"/>
    <cellStyle name="Normal 6 2 7 2 4 2 2" xfId="0"/>
    <cellStyle name="Normal 6 2 7 2 4 2 2 2" xfId="0"/>
    <cellStyle name="Normal 6 2 7 2 4 2 3" xfId="0"/>
    <cellStyle name="Normal 6 2 7 2 4 3" xfId="0"/>
    <cellStyle name="Normal 6 2 7 2 4 3 2" xfId="0"/>
    <cellStyle name="Normal 6 2 7 2 4 4" xfId="0"/>
    <cellStyle name="Normal 6 2 7 2 5" xfId="0"/>
    <cellStyle name="Normal 6 2 7 2 5 2" xfId="0"/>
    <cellStyle name="Normal 6 2 7 2 5 2 2" xfId="0"/>
    <cellStyle name="Normal 6 2 7 2 5 3" xfId="0"/>
    <cellStyle name="Normal 6 2 7 2 6" xfId="0"/>
    <cellStyle name="Normal 6 2 7 2 6 2" xfId="0"/>
    <cellStyle name="Normal 6 2 7 2 7" xfId="0"/>
    <cellStyle name="Normal 6 2 7 3" xfId="0"/>
    <cellStyle name="Normal 6 2 7 3 2" xfId="0"/>
    <cellStyle name="Normal 6 2 7 3 2 2" xfId="0"/>
    <cellStyle name="Normal 6 2 7 3 2 2 2" xfId="0"/>
    <cellStyle name="Normal 6 2 7 3 2 2 2 2" xfId="0"/>
    <cellStyle name="Normal 6 2 7 3 2 2 2 2 2" xfId="0"/>
    <cellStyle name="Normal 6 2 7 3 2 2 2 3" xfId="0"/>
    <cellStyle name="Normal 6 2 7 3 2 2 3" xfId="0"/>
    <cellStyle name="Normal 6 2 7 3 2 2 3 2" xfId="0"/>
    <cellStyle name="Normal 6 2 7 3 2 2 4" xfId="0"/>
    <cellStyle name="Normal 6 2 7 3 2 3" xfId="0"/>
    <cellStyle name="Normal 6 2 7 3 2 3 2" xfId="0"/>
    <cellStyle name="Normal 6 2 7 3 2 3 2 2" xfId="0"/>
    <cellStyle name="Normal 6 2 7 3 2 3 3" xfId="0"/>
    <cellStyle name="Normal 6 2 7 3 2 4" xfId="0"/>
    <cellStyle name="Normal 6 2 7 3 2 4 2" xfId="0"/>
    <cellStyle name="Normal 6 2 7 3 2 5" xfId="0"/>
    <cellStyle name="Normal 6 2 7 3 3" xfId="0"/>
    <cellStyle name="Normal 6 2 7 3 3 2" xfId="0"/>
    <cellStyle name="Normal 6 2 7 3 3 2 2" xfId="0"/>
    <cellStyle name="Normal 6 2 7 3 3 2 2 2" xfId="0"/>
    <cellStyle name="Normal 6 2 7 3 3 2 3" xfId="0"/>
    <cellStyle name="Normal 6 2 7 3 3 3" xfId="0"/>
    <cellStyle name="Normal 6 2 7 3 3 3 2" xfId="0"/>
    <cellStyle name="Normal 6 2 7 3 3 4" xfId="0"/>
    <cellStyle name="Normal 6 2 7 3 4" xfId="0"/>
    <cellStyle name="Normal 6 2 7 3 4 2" xfId="0"/>
    <cellStyle name="Normal 6 2 7 3 4 2 2" xfId="0"/>
    <cellStyle name="Normal 6 2 7 3 4 3" xfId="0"/>
    <cellStyle name="Normal 6 2 7 3 5" xfId="0"/>
    <cellStyle name="Normal 6 2 7 3 5 2" xfId="0"/>
    <cellStyle name="Normal 6 2 7 3 6" xfId="0"/>
    <cellStyle name="Normal 6 2 7 4" xfId="0"/>
    <cellStyle name="Normal 6 2 7 4 2" xfId="0"/>
    <cellStyle name="Normal 6 2 7 4 2 2" xfId="0"/>
    <cellStyle name="Normal 6 2 7 4 2 2 2" xfId="0"/>
    <cellStyle name="Normal 6 2 7 4 2 2 2 2" xfId="0"/>
    <cellStyle name="Normal 6 2 7 4 2 2 3" xfId="0"/>
    <cellStyle name="Normal 6 2 7 4 2 3" xfId="0"/>
    <cellStyle name="Normal 6 2 7 4 2 3 2" xfId="0"/>
    <cellStyle name="Normal 6 2 7 4 2 4" xfId="0"/>
    <cellStyle name="Normal 6 2 7 4 3" xfId="0"/>
    <cellStyle name="Normal 6 2 7 4 3 2" xfId="0"/>
    <cellStyle name="Normal 6 2 7 4 3 2 2" xfId="0"/>
    <cellStyle name="Normal 6 2 7 4 3 3" xfId="0"/>
    <cellStyle name="Normal 6 2 7 4 4" xfId="0"/>
    <cellStyle name="Normal 6 2 7 4 4 2" xfId="0"/>
    <cellStyle name="Normal 6 2 7 4 5" xfId="0"/>
    <cellStyle name="Normal 6 2 7 5" xfId="0"/>
    <cellStyle name="Normal 6 2 7 5 2" xfId="0"/>
    <cellStyle name="Normal 6 2 7 5 2 2" xfId="0"/>
    <cellStyle name="Normal 6 2 7 5 2 2 2" xfId="0"/>
    <cellStyle name="Normal 6 2 7 5 2 3" xfId="0"/>
    <cellStyle name="Normal 6 2 7 5 3" xfId="0"/>
    <cellStyle name="Normal 6 2 7 5 3 2" xfId="0"/>
    <cellStyle name="Normal 6 2 7 5 4" xfId="0"/>
    <cellStyle name="Normal 6 2 7 6" xfId="0"/>
    <cellStyle name="Normal 6 2 7 6 2" xfId="0"/>
    <cellStyle name="Normal 6 2 7 6 2 2" xfId="0"/>
    <cellStyle name="Normal 6 2 7 6 3" xfId="0"/>
    <cellStyle name="Normal 6 2 7 7" xfId="0"/>
    <cellStyle name="Normal 6 2 7 7 2" xfId="0"/>
    <cellStyle name="Normal 6 2 7 8" xfId="0"/>
    <cellStyle name="Normal 6 2 8" xfId="0"/>
    <cellStyle name="Normal 6 2 8 2" xfId="0"/>
    <cellStyle name="Normal 6 2 8 2 2" xfId="0"/>
    <cellStyle name="Normal 6 2 8 2 2 2" xfId="0"/>
    <cellStyle name="Normal 6 2 8 2 2 2 2" xfId="0"/>
    <cellStyle name="Normal 6 2 8 2 2 2 2 2" xfId="0"/>
    <cellStyle name="Normal 6 2 8 2 2 2 2 2 2" xfId="0"/>
    <cellStyle name="Normal 6 2 8 2 2 2 2 2 2 2" xfId="0"/>
    <cellStyle name="Normal 6 2 8 2 2 2 2 2 3" xfId="0"/>
    <cellStyle name="Normal 6 2 8 2 2 2 2 3" xfId="0"/>
    <cellStyle name="Normal 6 2 8 2 2 2 2 3 2" xfId="0"/>
    <cellStyle name="Normal 6 2 8 2 2 2 2 4" xfId="0"/>
    <cellStyle name="Normal 6 2 8 2 2 2 3" xfId="0"/>
    <cellStyle name="Normal 6 2 8 2 2 2 3 2" xfId="0"/>
    <cellStyle name="Normal 6 2 8 2 2 2 3 2 2" xfId="0"/>
    <cellStyle name="Normal 6 2 8 2 2 2 3 3" xfId="0"/>
    <cellStyle name="Normal 6 2 8 2 2 2 4" xfId="0"/>
    <cellStyle name="Normal 6 2 8 2 2 2 4 2" xfId="0"/>
    <cellStyle name="Normal 6 2 8 2 2 2 5" xfId="0"/>
    <cellStyle name="Normal 6 2 8 2 2 3" xfId="0"/>
    <cellStyle name="Normal 6 2 8 2 2 3 2" xfId="0"/>
    <cellStyle name="Normal 6 2 8 2 2 3 2 2" xfId="0"/>
    <cellStyle name="Normal 6 2 8 2 2 3 2 2 2" xfId="0"/>
    <cellStyle name="Normal 6 2 8 2 2 3 2 3" xfId="0"/>
    <cellStyle name="Normal 6 2 8 2 2 3 3" xfId="0"/>
    <cellStyle name="Normal 6 2 8 2 2 3 3 2" xfId="0"/>
    <cellStyle name="Normal 6 2 8 2 2 3 4" xfId="0"/>
    <cellStyle name="Normal 6 2 8 2 2 4" xfId="0"/>
    <cellStyle name="Normal 6 2 8 2 2 4 2" xfId="0"/>
    <cellStyle name="Normal 6 2 8 2 2 4 2 2" xfId="0"/>
    <cellStyle name="Normal 6 2 8 2 2 4 3" xfId="0"/>
    <cellStyle name="Normal 6 2 8 2 2 5" xfId="0"/>
    <cellStyle name="Normal 6 2 8 2 2 5 2" xfId="0"/>
    <cellStyle name="Normal 6 2 8 2 2 6" xfId="0"/>
    <cellStyle name="Normal 6 2 8 2 3" xfId="0"/>
    <cellStyle name="Normal 6 2 8 2 3 2" xfId="0"/>
    <cellStyle name="Normal 6 2 8 2 3 2 2" xfId="0"/>
    <cellStyle name="Normal 6 2 8 2 3 2 2 2" xfId="0"/>
    <cellStyle name="Normal 6 2 8 2 3 2 2 2 2" xfId="0"/>
    <cellStyle name="Normal 6 2 8 2 3 2 2 3" xfId="0"/>
    <cellStyle name="Normal 6 2 8 2 3 2 3" xfId="0"/>
    <cellStyle name="Normal 6 2 8 2 3 2 3 2" xfId="0"/>
    <cellStyle name="Normal 6 2 8 2 3 2 4" xfId="0"/>
    <cellStyle name="Normal 6 2 8 2 3 3" xfId="0"/>
    <cellStyle name="Normal 6 2 8 2 3 3 2" xfId="0"/>
    <cellStyle name="Normal 6 2 8 2 3 3 2 2" xfId="0"/>
    <cellStyle name="Normal 6 2 8 2 3 3 3" xfId="0"/>
    <cellStyle name="Normal 6 2 8 2 3 4" xfId="0"/>
    <cellStyle name="Normal 6 2 8 2 3 4 2" xfId="0"/>
    <cellStyle name="Normal 6 2 8 2 3 5" xfId="0"/>
    <cellStyle name="Normal 6 2 8 2 4" xfId="0"/>
    <cellStyle name="Normal 6 2 8 2 4 2" xfId="0"/>
    <cellStyle name="Normal 6 2 8 2 4 2 2" xfId="0"/>
    <cellStyle name="Normal 6 2 8 2 4 2 2 2" xfId="0"/>
    <cellStyle name="Normal 6 2 8 2 4 2 3" xfId="0"/>
    <cellStyle name="Normal 6 2 8 2 4 3" xfId="0"/>
    <cellStyle name="Normal 6 2 8 2 4 3 2" xfId="0"/>
    <cellStyle name="Normal 6 2 8 2 4 4" xfId="0"/>
    <cellStyle name="Normal 6 2 8 2 5" xfId="0"/>
    <cellStyle name="Normal 6 2 8 2 5 2" xfId="0"/>
    <cellStyle name="Normal 6 2 8 2 5 2 2" xfId="0"/>
    <cellStyle name="Normal 6 2 8 2 5 3" xfId="0"/>
    <cellStyle name="Normal 6 2 8 2 6" xfId="0"/>
    <cellStyle name="Normal 6 2 8 2 6 2" xfId="0"/>
    <cellStyle name="Normal 6 2 8 2 7" xfId="0"/>
    <cellStyle name="Normal 6 2 8 3" xfId="0"/>
    <cellStyle name="Normal 6 2 8 3 2" xfId="0"/>
    <cellStyle name="Normal 6 2 8 3 2 2" xfId="0"/>
    <cellStyle name="Normal 6 2 8 3 2 2 2" xfId="0"/>
    <cellStyle name="Normal 6 2 8 3 2 2 2 2" xfId="0"/>
    <cellStyle name="Normal 6 2 8 3 2 2 2 2 2" xfId="0"/>
    <cellStyle name="Normal 6 2 8 3 2 2 2 3" xfId="0"/>
    <cellStyle name="Normal 6 2 8 3 2 2 3" xfId="0"/>
    <cellStyle name="Normal 6 2 8 3 2 2 3 2" xfId="0"/>
    <cellStyle name="Normal 6 2 8 3 2 2 4" xfId="0"/>
    <cellStyle name="Normal 6 2 8 3 2 3" xfId="0"/>
    <cellStyle name="Normal 6 2 8 3 2 3 2" xfId="0"/>
    <cellStyle name="Normal 6 2 8 3 2 3 2 2" xfId="0"/>
    <cellStyle name="Normal 6 2 8 3 2 3 3" xfId="0"/>
    <cellStyle name="Normal 6 2 8 3 2 4" xfId="0"/>
    <cellStyle name="Normal 6 2 8 3 2 4 2" xfId="0"/>
    <cellStyle name="Normal 6 2 8 3 2 5" xfId="0"/>
    <cellStyle name="Normal 6 2 8 3 3" xfId="0"/>
    <cellStyle name="Normal 6 2 8 3 3 2" xfId="0"/>
    <cellStyle name="Normal 6 2 8 3 3 2 2" xfId="0"/>
    <cellStyle name="Normal 6 2 8 3 3 2 2 2" xfId="0"/>
    <cellStyle name="Normal 6 2 8 3 3 2 3" xfId="0"/>
    <cellStyle name="Normal 6 2 8 3 3 3" xfId="0"/>
    <cellStyle name="Normal 6 2 8 3 3 3 2" xfId="0"/>
    <cellStyle name="Normal 6 2 8 3 3 4" xfId="0"/>
    <cellStyle name="Normal 6 2 8 3 4" xfId="0"/>
    <cellStyle name="Normal 6 2 8 3 4 2" xfId="0"/>
    <cellStyle name="Normal 6 2 8 3 4 2 2" xfId="0"/>
    <cellStyle name="Normal 6 2 8 3 4 3" xfId="0"/>
    <cellStyle name="Normal 6 2 8 3 5" xfId="0"/>
    <cellStyle name="Normal 6 2 8 3 5 2" xfId="0"/>
    <cellStyle name="Normal 6 2 8 3 6" xfId="0"/>
    <cellStyle name="Normal 6 2 8 4" xfId="0"/>
    <cellStyle name="Normal 6 2 8 4 2" xfId="0"/>
    <cellStyle name="Normal 6 2 8 4 2 2" xfId="0"/>
    <cellStyle name="Normal 6 2 8 4 2 2 2" xfId="0"/>
    <cellStyle name="Normal 6 2 8 4 2 2 2 2" xfId="0"/>
    <cellStyle name="Normal 6 2 8 4 2 2 3" xfId="0"/>
    <cellStyle name="Normal 6 2 8 4 2 3" xfId="0"/>
    <cellStyle name="Normal 6 2 8 4 2 3 2" xfId="0"/>
    <cellStyle name="Normal 6 2 8 4 2 4" xfId="0"/>
    <cellStyle name="Normal 6 2 8 4 3" xfId="0"/>
    <cellStyle name="Normal 6 2 8 4 3 2" xfId="0"/>
    <cellStyle name="Normal 6 2 8 4 3 2 2" xfId="0"/>
    <cellStyle name="Normal 6 2 8 4 3 3" xfId="0"/>
    <cellStyle name="Normal 6 2 8 4 4" xfId="0"/>
    <cellStyle name="Normal 6 2 8 4 4 2" xfId="0"/>
    <cellStyle name="Normal 6 2 8 4 5" xfId="0"/>
    <cellStyle name="Normal 6 2 8 5" xfId="0"/>
    <cellStyle name="Normal 6 2 8 5 2" xfId="0"/>
    <cellStyle name="Normal 6 2 8 5 2 2" xfId="0"/>
    <cellStyle name="Normal 6 2 8 5 2 2 2" xfId="0"/>
    <cellStyle name="Normal 6 2 8 5 2 3" xfId="0"/>
    <cellStyle name="Normal 6 2 8 5 3" xfId="0"/>
    <cellStyle name="Normal 6 2 8 5 3 2" xfId="0"/>
    <cellStyle name="Normal 6 2 8 5 4" xfId="0"/>
    <cellStyle name="Normal 6 2 8 6" xfId="0"/>
    <cellStyle name="Normal 6 2 8 6 2" xfId="0"/>
    <cellStyle name="Normal 6 2 8 6 2 2" xfId="0"/>
    <cellStyle name="Normal 6 2 8 6 3" xfId="0"/>
    <cellStyle name="Normal 6 2 8 7" xfId="0"/>
    <cellStyle name="Normal 6 2 8 7 2" xfId="0"/>
    <cellStyle name="Normal 6 2 8 8" xfId="0"/>
    <cellStyle name="Normal 6 2 9" xfId="0"/>
    <cellStyle name="Normal 6 2 9 2" xfId="0"/>
    <cellStyle name="Normal 6 2 9 2 2" xfId="0"/>
    <cellStyle name="Normal 6 2 9 2 2 2" xfId="0"/>
    <cellStyle name="Normal 6 2 9 2 2 2 2" xfId="0"/>
    <cellStyle name="Normal 6 2 9 2 2 2 2 2" xfId="0"/>
    <cellStyle name="Normal 6 2 9 2 2 2 2 2 2" xfId="0"/>
    <cellStyle name="Normal 6 2 9 2 2 2 2 3" xfId="0"/>
    <cellStyle name="Normal 6 2 9 2 2 2 3" xfId="0"/>
    <cellStyle name="Normal 6 2 9 2 2 2 3 2" xfId="0"/>
    <cellStyle name="Normal 6 2 9 2 2 2 4" xfId="0"/>
    <cellStyle name="Normal 6 2 9 2 2 3" xfId="0"/>
    <cellStyle name="Normal 6 2 9 2 2 3 2" xfId="0"/>
    <cellStyle name="Normal 6 2 9 2 2 3 2 2" xfId="0"/>
    <cellStyle name="Normal 6 2 9 2 2 3 3" xfId="0"/>
    <cellStyle name="Normal 6 2 9 2 2 4" xfId="0"/>
    <cellStyle name="Normal 6 2 9 2 2 4 2" xfId="0"/>
    <cellStyle name="Normal 6 2 9 2 2 5" xfId="0"/>
    <cellStyle name="Normal 6 2 9 2 3" xfId="0"/>
    <cellStyle name="Normal 6 2 9 2 3 2" xfId="0"/>
    <cellStyle name="Normal 6 2 9 2 3 2 2" xfId="0"/>
    <cellStyle name="Normal 6 2 9 2 3 2 2 2" xfId="0"/>
    <cellStyle name="Normal 6 2 9 2 3 2 3" xfId="0"/>
    <cellStyle name="Normal 6 2 9 2 3 3" xfId="0"/>
    <cellStyle name="Normal 6 2 9 2 3 3 2" xfId="0"/>
    <cellStyle name="Normal 6 2 9 2 3 4" xfId="0"/>
    <cellStyle name="Normal 6 2 9 2 4" xfId="0"/>
    <cellStyle name="Normal 6 2 9 2 4 2" xfId="0"/>
    <cellStyle name="Normal 6 2 9 2 4 2 2" xfId="0"/>
    <cellStyle name="Normal 6 2 9 2 4 3" xfId="0"/>
    <cellStyle name="Normal 6 2 9 2 5" xfId="0"/>
    <cellStyle name="Normal 6 2 9 2 5 2" xfId="0"/>
    <cellStyle name="Normal 6 2 9 2 6" xfId="0"/>
    <cellStyle name="Normal 6 2 9 3" xfId="0"/>
    <cellStyle name="Normal 6 2 9 3 2" xfId="0"/>
    <cellStyle name="Normal 6 2 9 3 2 2" xfId="0"/>
    <cellStyle name="Normal 6 2 9 3 2 2 2" xfId="0"/>
    <cellStyle name="Normal 6 2 9 3 2 2 2 2" xfId="0"/>
    <cellStyle name="Normal 6 2 9 3 2 2 3" xfId="0"/>
    <cellStyle name="Normal 6 2 9 3 2 3" xfId="0"/>
    <cellStyle name="Normal 6 2 9 3 2 3 2" xfId="0"/>
    <cellStyle name="Normal 6 2 9 3 2 4" xfId="0"/>
    <cellStyle name="Normal 6 2 9 3 3" xfId="0"/>
    <cellStyle name="Normal 6 2 9 3 3 2" xfId="0"/>
    <cellStyle name="Normal 6 2 9 3 3 2 2" xfId="0"/>
    <cellStyle name="Normal 6 2 9 3 3 3" xfId="0"/>
    <cellStyle name="Normal 6 2 9 3 4" xfId="0"/>
    <cellStyle name="Normal 6 2 9 3 4 2" xfId="0"/>
    <cellStyle name="Normal 6 2 9 3 5" xfId="0"/>
    <cellStyle name="Normal 6 2 9 4" xfId="0"/>
    <cellStyle name="Normal 6 2 9 4 2" xfId="0"/>
    <cellStyle name="Normal 6 2 9 4 2 2" xfId="0"/>
    <cellStyle name="Normal 6 2 9 4 2 2 2" xfId="0"/>
    <cellStyle name="Normal 6 2 9 4 2 3" xfId="0"/>
    <cellStyle name="Normal 6 2 9 4 3" xfId="0"/>
    <cellStyle name="Normal 6 2 9 4 3 2" xfId="0"/>
    <cellStyle name="Normal 6 2 9 4 4" xfId="0"/>
    <cellStyle name="Normal 6 2 9 5" xfId="0"/>
    <cellStyle name="Normal 6 2 9 5 2" xfId="0"/>
    <cellStyle name="Normal 6 2 9 5 2 2" xfId="0"/>
    <cellStyle name="Normal 6 2 9 5 3" xfId="0"/>
    <cellStyle name="Normal 6 2 9 6" xfId="0"/>
    <cellStyle name="Normal 6 2 9 6 2" xfId="0"/>
    <cellStyle name="Normal 6 2 9 7" xfId="0"/>
    <cellStyle name="Normal 6 20" xfId="0"/>
    <cellStyle name="Normal 6 21" xfId="0"/>
    <cellStyle name="Normal 6 22" xfId="0"/>
    <cellStyle name="Normal 6 23" xfId="0"/>
    <cellStyle name="Normal 6 24" xfId="0"/>
    <cellStyle name="Normal 6 25" xfId="0"/>
    <cellStyle name="Normal 6 26" xfId="0"/>
    <cellStyle name="Normal 6 27" xfId="0"/>
    <cellStyle name="Normal 6 28" xfId="0"/>
    <cellStyle name="Normal 6 29" xfId="0"/>
    <cellStyle name="Normal 6 3" xfId="0"/>
    <cellStyle name="Normal 6 3 2" xfId="0"/>
    <cellStyle name="Normal 6 3 2 2" xfId="0"/>
    <cellStyle name="Normal 6 3 3" xfId="0"/>
    <cellStyle name="Normal 6 30" xfId="0"/>
    <cellStyle name="Normal 6 31" xfId="0"/>
    <cellStyle name="Normal 6 32" xfId="0"/>
    <cellStyle name="Normal 6 33" xfId="0"/>
    <cellStyle name="Normal 6 34" xfId="0"/>
    <cellStyle name="Normal 6 35" xfId="0"/>
    <cellStyle name="Normal 6 36" xfId="0"/>
    <cellStyle name="Normal 6 37" xfId="0"/>
    <cellStyle name="Normal 6 38" xfId="0"/>
    <cellStyle name="Normal 6 39" xfId="0"/>
    <cellStyle name="Normal 6 4" xfId="0"/>
    <cellStyle name="Normal 6 4 10" xfId="0"/>
    <cellStyle name="Normal 6 4 10 2" xfId="0"/>
    <cellStyle name="Normal 6 4 10 2 2" xfId="0"/>
    <cellStyle name="Normal 6 4 10 2 2 2" xfId="0"/>
    <cellStyle name="Normal 6 4 10 2 2 2 2" xfId="0"/>
    <cellStyle name="Normal 6 4 10 2 2 2 2 2" xfId="0"/>
    <cellStyle name="Normal 6 4 10 2 2 2 3" xfId="0"/>
    <cellStyle name="Normal 6 4 10 2 2 3" xfId="0"/>
    <cellStyle name="Normal 6 4 10 2 2 3 2" xfId="0"/>
    <cellStyle name="Normal 6 4 10 2 2 4" xfId="0"/>
    <cellStyle name="Normal 6 4 10 2 3" xfId="0"/>
    <cellStyle name="Normal 6 4 10 2 3 2" xfId="0"/>
    <cellStyle name="Normal 6 4 10 2 3 2 2" xfId="0"/>
    <cellStyle name="Normal 6 4 10 2 3 3" xfId="0"/>
    <cellStyle name="Normal 6 4 10 2 4" xfId="0"/>
    <cellStyle name="Normal 6 4 10 2 4 2" xfId="0"/>
    <cellStyle name="Normal 6 4 10 2 5" xfId="0"/>
    <cellStyle name="Normal 6 4 10 3" xfId="0"/>
    <cellStyle name="Normal 6 4 10 3 2" xfId="0"/>
    <cellStyle name="Normal 6 4 10 3 2 2" xfId="0"/>
    <cellStyle name="Normal 6 4 10 3 2 2 2" xfId="0"/>
    <cellStyle name="Normal 6 4 10 3 2 3" xfId="0"/>
    <cellStyle name="Normal 6 4 10 3 3" xfId="0"/>
    <cellStyle name="Normal 6 4 10 3 3 2" xfId="0"/>
    <cellStyle name="Normal 6 4 10 3 4" xfId="0"/>
    <cellStyle name="Normal 6 4 10 4" xfId="0"/>
    <cellStyle name="Normal 6 4 10 4 2" xfId="0"/>
    <cellStyle name="Normal 6 4 10 4 2 2" xfId="0"/>
    <cellStyle name="Normal 6 4 10 4 3" xfId="0"/>
    <cellStyle name="Normal 6 4 10 5" xfId="0"/>
    <cellStyle name="Normal 6 4 10 5 2" xfId="0"/>
    <cellStyle name="Normal 6 4 10 6" xfId="0"/>
    <cellStyle name="Normal 6 4 11" xfId="0"/>
    <cellStyle name="Normal 6 4 11 2" xfId="0"/>
    <cellStyle name="Normal 6 4 11 2 2" xfId="0"/>
    <cellStyle name="Normal 6 4 11 2 2 2" xfId="0"/>
    <cellStyle name="Normal 6 4 11 2 2 2 2" xfId="0"/>
    <cellStyle name="Normal 6 4 11 2 2 3" xfId="0"/>
    <cellStyle name="Normal 6 4 11 2 3" xfId="0"/>
    <cellStyle name="Normal 6 4 11 2 3 2" xfId="0"/>
    <cellStyle name="Normal 6 4 11 2 4" xfId="0"/>
    <cellStyle name="Normal 6 4 11 3" xfId="0"/>
    <cellStyle name="Normal 6 4 11 3 2" xfId="0"/>
    <cellStyle name="Normal 6 4 11 3 2 2" xfId="0"/>
    <cellStyle name="Normal 6 4 11 3 3" xfId="0"/>
    <cellStyle name="Normal 6 4 11 4" xfId="0"/>
    <cellStyle name="Normal 6 4 11 4 2" xfId="0"/>
    <cellStyle name="Normal 6 4 11 5" xfId="0"/>
    <cellStyle name="Normal 6 4 12" xfId="0"/>
    <cellStyle name="Normal 6 4 12 2" xfId="0"/>
    <cellStyle name="Normal 6 4 12 2 2" xfId="0"/>
    <cellStyle name="Normal 6 4 12 2 2 2" xfId="0"/>
    <cellStyle name="Normal 6 4 12 2 3" xfId="0"/>
    <cellStyle name="Normal 6 4 12 3" xfId="0"/>
    <cellStyle name="Normal 6 4 12 3 2" xfId="0"/>
    <cellStyle name="Normal 6 4 12 4" xfId="0"/>
    <cellStyle name="Normal 6 4 13" xfId="0"/>
    <cellStyle name="Normal 6 4 13 2" xfId="0"/>
    <cellStyle name="Normal 6 4 13 2 2" xfId="0"/>
    <cellStyle name="Normal 6 4 13 3" xfId="0"/>
    <cellStyle name="Normal 6 4 14" xfId="0"/>
    <cellStyle name="Normal 6 4 14 2" xfId="0"/>
    <cellStyle name="Normal 6 4 15" xfId="0"/>
    <cellStyle name="Normal 6 4 16" xfId="0"/>
    <cellStyle name="Normal 6 4 2" xfId="0"/>
    <cellStyle name="Normal 6 4 2 2" xfId="0"/>
    <cellStyle name="Normal 6 4 3" xfId="0"/>
    <cellStyle name="Normal 6 4 3 10" xfId="0"/>
    <cellStyle name="Normal 6 4 3 10 2" xfId="0"/>
    <cellStyle name="Normal 6 4 3 10 2 2" xfId="0"/>
    <cellStyle name="Normal 6 4 3 10 3" xfId="0"/>
    <cellStyle name="Normal 6 4 3 11" xfId="0"/>
    <cellStyle name="Normal 6 4 3 11 2" xfId="0"/>
    <cellStyle name="Normal 6 4 3 12" xfId="0"/>
    <cellStyle name="Normal 6 4 3 2" xfId="0"/>
    <cellStyle name="Normal 6 4 3 2 10" xfId="0"/>
    <cellStyle name="Normal 6 4 3 2 10 2" xfId="0"/>
    <cellStyle name="Normal 6 4 3 2 11" xfId="0"/>
    <cellStyle name="Normal 6 4 3 2 2" xfId="0"/>
    <cellStyle name="Normal 6 4 3 2 2 2" xfId="0"/>
    <cellStyle name="Normal 6 4 3 2 2 2 2" xfId="0"/>
    <cellStyle name="Normal 6 4 3 2 2 2 2 2" xfId="0"/>
    <cellStyle name="Normal 6 4 3 2 2 2 2 2 2" xfId="0"/>
    <cellStyle name="Normal 6 4 3 2 2 2 2 2 2 2" xfId="0"/>
    <cellStyle name="Normal 6 4 3 2 2 2 2 2 2 2 2" xfId="0"/>
    <cellStyle name="Normal 6 4 3 2 2 2 2 2 2 2 2 2" xfId="0"/>
    <cellStyle name="Normal 6 4 3 2 2 2 2 2 2 2 3" xfId="0"/>
    <cellStyle name="Normal 6 4 3 2 2 2 2 2 2 3" xfId="0"/>
    <cellStyle name="Normal 6 4 3 2 2 2 2 2 2 3 2" xfId="0"/>
    <cellStyle name="Normal 6 4 3 2 2 2 2 2 2 4" xfId="0"/>
    <cellStyle name="Normal 6 4 3 2 2 2 2 2 3" xfId="0"/>
    <cellStyle name="Normal 6 4 3 2 2 2 2 2 3 2" xfId="0"/>
    <cellStyle name="Normal 6 4 3 2 2 2 2 2 3 2 2" xfId="0"/>
    <cellStyle name="Normal 6 4 3 2 2 2 2 2 3 3" xfId="0"/>
    <cellStyle name="Normal 6 4 3 2 2 2 2 2 4" xfId="0"/>
    <cellStyle name="Normal 6 4 3 2 2 2 2 2 4 2" xfId="0"/>
    <cellStyle name="Normal 6 4 3 2 2 2 2 2 5" xfId="0"/>
    <cellStyle name="Normal 6 4 3 2 2 2 2 3" xfId="0"/>
    <cellStyle name="Normal 6 4 3 2 2 2 2 3 2" xfId="0"/>
    <cellStyle name="Normal 6 4 3 2 2 2 2 3 2 2" xfId="0"/>
    <cellStyle name="Normal 6 4 3 2 2 2 2 3 2 2 2" xfId="0"/>
    <cellStyle name="Normal 6 4 3 2 2 2 2 3 2 3" xfId="0"/>
    <cellStyle name="Normal 6 4 3 2 2 2 2 3 3" xfId="0"/>
    <cellStyle name="Normal 6 4 3 2 2 2 2 3 3 2" xfId="0"/>
    <cellStyle name="Normal 6 4 3 2 2 2 2 3 4" xfId="0"/>
    <cellStyle name="Normal 6 4 3 2 2 2 2 4" xfId="0"/>
    <cellStyle name="Normal 6 4 3 2 2 2 2 4 2" xfId="0"/>
    <cellStyle name="Normal 6 4 3 2 2 2 2 4 2 2" xfId="0"/>
    <cellStyle name="Normal 6 4 3 2 2 2 2 4 3" xfId="0"/>
    <cellStyle name="Normal 6 4 3 2 2 2 2 5" xfId="0"/>
    <cellStyle name="Normal 6 4 3 2 2 2 2 5 2" xfId="0"/>
    <cellStyle name="Normal 6 4 3 2 2 2 2 6" xfId="0"/>
    <cellStyle name="Normal 6 4 3 2 2 2 3" xfId="0"/>
    <cellStyle name="Normal 6 4 3 2 2 2 3 2" xfId="0"/>
    <cellStyle name="Normal 6 4 3 2 2 2 3 2 2" xfId="0"/>
    <cellStyle name="Normal 6 4 3 2 2 2 3 2 2 2" xfId="0"/>
    <cellStyle name="Normal 6 4 3 2 2 2 3 2 2 2 2" xfId="0"/>
    <cellStyle name="Normal 6 4 3 2 2 2 3 2 2 3" xfId="0"/>
    <cellStyle name="Normal 6 4 3 2 2 2 3 2 3" xfId="0"/>
    <cellStyle name="Normal 6 4 3 2 2 2 3 2 3 2" xfId="0"/>
    <cellStyle name="Normal 6 4 3 2 2 2 3 2 4" xfId="0"/>
    <cellStyle name="Normal 6 4 3 2 2 2 3 3" xfId="0"/>
    <cellStyle name="Normal 6 4 3 2 2 2 3 3 2" xfId="0"/>
    <cellStyle name="Normal 6 4 3 2 2 2 3 3 2 2" xfId="0"/>
    <cellStyle name="Normal 6 4 3 2 2 2 3 3 3" xfId="0"/>
    <cellStyle name="Normal 6 4 3 2 2 2 3 4" xfId="0"/>
    <cellStyle name="Normal 6 4 3 2 2 2 3 4 2" xfId="0"/>
    <cellStyle name="Normal 6 4 3 2 2 2 3 5" xfId="0"/>
    <cellStyle name="Normal 6 4 3 2 2 2 4" xfId="0"/>
    <cellStyle name="Normal 6 4 3 2 2 2 4 2" xfId="0"/>
    <cellStyle name="Normal 6 4 3 2 2 2 4 2 2" xfId="0"/>
    <cellStyle name="Normal 6 4 3 2 2 2 4 2 2 2" xfId="0"/>
    <cellStyle name="Normal 6 4 3 2 2 2 4 2 3" xfId="0"/>
    <cellStyle name="Normal 6 4 3 2 2 2 4 3" xfId="0"/>
    <cellStyle name="Normal 6 4 3 2 2 2 4 3 2" xfId="0"/>
    <cellStyle name="Normal 6 4 3 2 2 2 4 4" xfId="0"/>
    <cellStyle name="Normal 6 4 3 2 2 2 5" xfId="0"/>
    <cellStyle name="Normal 6 4 3 2 2 2 5 2" xfId="0"/>
    <cellStyle name="Normal 6 4 3 2 2 2 5 2 2" xfId="0"/>
    <cellStyle name="Normal 6 4 3 2 2 2 5 3" xfId="0"/>
    <cellStyle name="Normal 6 4 3 2 2 2 6" xfId="0"/>
    <cellStyle name="Normal 6 4 3 2 2 2 6 2" xfId="0"/>
    <cellStyle name="Normal 6 4 3 2 2 2 7" xfId="0"/>
    <cellStyle name="Normal 6 4 3 2 2 3" xfId="0"/>
    <cellStyle name="Normal 6 4 3 2 2 3 2" xfId="0"/>
    <cellStyle name="Normal 6 4 3 2 2 3 2 2" xfId="0"/>
    <cellStyle name="Normal 6 4 3 2 2 3 2 2 2" xfId="0"/>
    <cellStyle name="Normal 6 4 3 2 2 3 2 2 2 2" xfId="0"/>
    <cellStyle name="Normal 6 4 3 2 2 3 2 2 2 2 2" xfId="0"/>
    <cellStyle name="Normal 6 4 3 2 2 3 2 2 2 3" xfId="0"/>
    <cellStyle name="Normal 6 4 3 2 2 3 2 2 3" xfId="0"/>
    <cellStyle name="Normal 6 4 3 2 2 3 2 2 3 2" xfId="0"/>
    <cellStyle name="Normal 6 4 3 2 2 3 2 2 4" xfId="0"/>
    <cellStyle name="Normal 6 4 3 2 2 3 2 3" xfId="0"/>
    <cellStyle name="Normal 6 4 3 2 2 3 2 3 2" xfId="0"/>
    <cellStyle name="Normal 6 4 3 2 2 3 2 3 2 2" xfId="0"/>
    <cellStyle name="Normal 6 4 3 2 2 3 2 3 3" xfId="0"/>
    <cellStyle name="Normal 6 4 3 2 2 3 2 4" xfId="0"/>
    <cellStyle name="Normal 6 4 3 2 2 3 2 4 2" xfId="0"/>
    <cellStyle name="Normal 6 4 3 2 2 3 2 5" xfId="0"/>
    <cellStyle name="Normal 6 4 3 2 2 3 3" xfId="0"/>
    <cellStyle name="Normal 6 4 3 2 2 3 3 2" xfId="0"/>
    <cellStyle name="Normal 6 4 3 2 2 3 3 2 2" xfId="0"/>
    <cellStyle name="Normal 6 4 3 2 2 3 3 2 2 2" xfId="0"/>
    <cellStyle name="Normal 6 4 3 2 2 3 3 2 3" xfId="0"/>
    <cellStyle name="Normal 6 4 3 2 2 3 3 3" xfId="0"/>
    <cellStyle name="Normal 6 4 3 2 2 3 3 3 2" xfId="0"/>
    <cellStyle name="Normal 6 4 3 2 2 3 3 4" xfId="0"/>
    <cellStyle name="Normal 6 4 3 2 2 3 4" xfId="0"/>
    <cellStyle name="Normal 6 4 3 2 2 3 4 2" xfId="0"/>
    <cellStyle name="Normal 6 4 3 2 2 3 4 2 2" xfId="0"/>
    <cellStyle name="Normal 6 4 3 2 2 3 4 3" xfId="0"/>
    <cellStyle name="Normal 6 4 3 2 2 3 5" xfId="0"/>
    <cellStyle name="Normal 6 4 3 2 2 3 5 2" xfId="0"/>
    <cellStyle name="Normal 6 4 3 2 2 3 6" xfId="0"/>
    <cellStyle name="Normal 6 4 3 2 2 4" xfId="0"/>
    <cellStyle name="Normal 6 4 3 2 2 4 2" xfId="0"/>
    <cellStyle name="Normal 6 4 3 2 2 4 2 2" xfId="0"/>
    <cellStyle name="Normal 6 4 3 2 2 4 2 2 2" xfId="0"/>
    <cellStyle name="Normal 6 4 3 2 2 4 2 2 2 2" xfId="0"/>
    <cellStyle name="Normal 6 4 3 2 2 4 2 2 3" xfId="0"/>
    <cellStyle name="Normal 6 4 3 2 2 4 2 3" xfId="0"/>
    <cellStyle name="Normal 6 4 3 2 2 4 2 3 2" xfId="0"/>
    <cellStyle name="Normal 6 4 3 2 2 4 2 4" xfId="0"/>
    <cellStyle name="Normal 6 4 3 2 2 4 3" xfId="0"/>
    <cellStyle name="Normal 6 4 3 2 2 4 3 2" xfId="0"/>
    <cellStyle name="Normal 6 4 3 2 2 4 3 2 2" xfId="0"/>
    <cellStyle name="Normal 6 4 3 2 2 4 3 3" xfId="0"/>
    <cellStyle name="Normal 6 4 3 2 2 4 4" xfId="0"/>
    <cellStyle name="Normal 6 4 3 2 2 4 4 2" xfId="0"/>
    <cellStyle name="Normal 6 4 3 2 2 4 5" xfId="0"/>
    <cellStyle name="Normal 6 4 3 2 2 5" xfId="0"/>
    <cellStyle name="Normal 6 4 3 2 2 5 2" xfId="0"/>
    <cellStyle name="Normal 6 4 3 2 2 5 2 2" xfId="0"/>
    <cellStyle name="Normal 6 4 3 2 2 5 2 2 2" xfId="0"/>
    <cellStyle name="Normal 6 4 3 2 2 5 2 3" xfId="0"/>
    <cellStyle name="Normal 6 4 3 2 2 5 3" xfId="0"/>
    <cellStyle name="Normal 6 4 3 2 2 5 3 2" xfId="0"/>
    <cellStyle name="Normal 6 4 3 2 2 5 4" xfId="0"/>
    <cellStyle name="Normal 6 4 3 2 2 6" xfId="0"/>
    <cellStyle name="Normal 6 4 3 2 2 6 2" xfId="0"/>
    <cellStyle name="Normal 6 4 3 2 2 6 2 2" xfId="0"/>
    <cellStyle name="Normal 6 4 3 2 2 6 3" xfId="0"/>
    <cellStyle name="Normal 6 4 3 2 2 7" xfId="0"/>
    <cellStyle name="Normal 6 4 3 2 2 7 2" xfId="0"/>
    <cellStyle name="Normal 6 4 3 2 2 8" xfId="0"/>
    <cellStyle name="Normal 6 4 3 2 3" xfId="0"/>
    <cellStyle name="Normal 6 4 3 2 3 2" xfId="0"/>
    <cellStyle name="Normal 6 4 3 2 3 2 2" xfId="0"/>
    <cellStyle name="Normal 6 4 3 2 3 2 2 2" xfId="0"/>
    <cellStyle name="Normal 6 4 3 2 3 2 2 2 2" xfId="0"/>
    <cellStyle name="Normal 6 4 3 2 3 2 2 2 2 2" xfId="0"/>
    <cellStyle name="Normal 6 4 3 2 3 2 2 2 2 2 2" xfId="0"/>
    <cellStyle name="Normal 6 4 3 2 3 2 2 2 2 2 2 2" xfId="0"/>
    <cellStyle name="Normal 6 4 3 2 3 2 2 2 2 2 3" xfId="0"/>
    <cellStyle name="Normal 6 4 3 2 3 2 2 2 2 3" xfId="0"/>
    <cellStyle name="Normal 6 4 3 2 3 2 2 2 2 3 2" xfId="0"/>
    <cellStyle name="Normal 6 4 3 2 3 2 2 2 2 4" xfId="0"/>
    <cellStyle name="Normal 6 4 3 2 3 2 2 2 3" xfId="0"/>
    <cellStyle name="Normal 6 4 3 2 3 2 2 2 3 2" xfId="0"/>
    <cellStyle name="Normal 6 4 3 2 3 2 2 2 3 2 2" xfId="0"/>
    <cellStyle name="Normal 6 4 3 2 3 2 2 2 3 3" xfId="0"/>
    <cellStyle name="Normal 6 4 3 2 3 2 2 2 4" xfId="0"/>
    <cellStyle name="Normal 6 4 3 2 3 2 2 2 4 2" xfId="0"/>
    <cellStyle name="Normal 6 4 3 2 3 2 2 2 5" xfId="0"/>
    <cellStyle name="Normal 6 4 3 2 3 2 2 3" xfId="0"/>
    <cellStyle name="Normal 6 4 3 2 3 2 2 3 2" xfId="0"/>
    <cellStyle name="Normal 6 4 3 2 3 2 2 3 2 2" xfId="0"/>
    <cellStyle name="Normal 6 4 3 2 3 2 2 3 2 2 2" xfId="0"/>
    <cellStyle name="Normal 6 4 3 2 3 2 2 3 2 3" xfId="0"/>
    <cellStyle name="Normal 6 4 3 2 3 2 2 3 3" xfId="0"/>
    <cellStyle name="Normal 6 4 3 2 3 2 2 3 3 2" xfId="0"/>
    <cellStyle name="Normal 6 4 3 2 3 2 2 3 4" xfId="0"/>
    <cellStyle name="Normal 6 4 3 2 3 2 2 4" xfId="0"/>
    <cellStyle name="Normal 6 4 3 2 3 2 2 4 2" xfId="0"/>
    <cellStyle name="Normal 6 4 3 2 3 2 2 4 2 2" xfId="0"/>
    <cellStyle name="Normal 6 4 3 2 3 2 2 4 3" xfId="0"/>
    <cellStyle name="Normal 6 4 3 2 3 2 2 5" xfId="0"/>
    <cellStyle name="Normal 6 4 3 2 3 2 2 5 2" xfId="0"/>
    <cellStyle name="Normal 6 4 3 2 3 2 2 6" xfId="0"/>
    <cellStyle name="Normal 6 4 3 2 3 2 3" xfId="0"/>
    <cellStyle name="Normal 6 4 3 2 3 2 3 2" xfId="0"/>
    <cellStyle name="Normal 6 4 3 2 3 2 3 2 2" xfId="0"/>
    <cellStyle name="Normal 6 4 3 2 3 2 3 2 2 2" xfId="0"/>
    <cellStyle name="Normal 6 4 3 2 3 2 3 2 2 2 2" xfId="0"/>
    <cellStyle name="Normal 6 4 3 2 3 2 3 2 2 3" xfId="0"/>
    <cellStyle name="Normal 6 4 3 2 3 2 3 2 3" xfId="0"/>
    <cellStyle name="Normal 6 4 3 2 3 2 3 2 3 2" xfId="0"/>
    <cellStyle name="Normal 6 4 3 2 3 2 3 2 4" xfId="0"/>
    <cellStyle name="Normal 6 4 3 2 3 2 3 3" xfId="0"/>
    <cellStyle name="Normal 6 4 3 2 3 2 3 3 2" xfId="0"/>
    <cellStyle name="Normal 6 4 3 2 3 2 3 3 2 2" xfId="0"/>
    <cellStyle name="Normal 6 4 3 2 3 2 3 3 3" xfId="0"/>
    <cellStyle name="Normal 6 4 3 2 3 2 3 4" xfId="0"/>
    <cellStyle name="Normal 6 4 3 2 3 2 3 4 2" xfId="0"/>
    <cellStyle name="Normal 6 4 3 2 3 2 3 5" xfId="0"/>
    <cellStyle name="Normal 6 4 3 2 3 2 4" xfId="0"/>
    <cellStyle name="Normal 6 4 3 2 3 2 4 2" xfId="0"/>
    <cellStyle name="Normal 6 4 3 2 3 2 4 2 2" xfId="0"/>
    <cellStyle name="Normal 6 4 3 2 3 2 4 2 2 2" xfId="0"/>
    <cellStyle name="Normal 6 4 3 2 3 2 4 2 3" xfId="0"/>
    <cellStyle name="Normal 6 4 3 2 3 2 4 3" xfId="0"/>
    <cellStyle name="Normal 6 4 3 2 3 2 4 3 2" xfId="0"/>
    <cellStyle name="Normal 6 4 3 2 3 2 4 4" xfId="0"/>
    <cellStyle name="Normal 6 4 3 2 3 2 5" xfId="0"/>
    <cellStyle name="Normal 6 4 3 2 3 2 5 2" xfId="0"/>
    <cellStyle name="Normal 6 4 3 2 3 2 5 2 2" xfId="0"/>
    <cellStyle name="Normal 6 4 3 2 3 2 5 3" xfId="0"/>
    <cellStyle name="Normal 6 4 3 2 3 2 6" xfId="0"/>
    <cellStyle name="Normal 6 4 3 2 3 2 6 2" xfId="0"/>
    <cellStyle name="Normal 6 4 3 2 3 2 7" xfId="0"/>
    <cellStyle name="Normal 6 4 3 2 3 3" xfId="0"/>
    <cellStyle name="Normal 6 4 3 2 3 3 2" xfId="0"/>
    <cellStyle name="Normal 6 4 3 2 3 3 2 2" xfId="0"/>
    <cellStyle name="Normal 6 4 3 2 3 3 2 2 2" xfId="0"/>
    <cellStyle name="Normal 6 4 3 2 3 3 2 2 2 2" xfId="0"/>
    <cellStyle name="Normal 6 4 3 2 3 3 2 2 2 2 2" xfId="0"/>
    <cellStyle name="Normal 6 4 3 2 3 3 2 2 2 3" xfId="0"/>
    <cellStyle name="Normal 6 4 3 2 3 3 2 2 3" xfId="0"/>
    <cellStyle name="Normal 6 4 3 2 3 3 2 2 3 2" xfId="0"/>
    <cellStyle name="Normal 6 4 3 2 3 3 2 2 4" xfId="0"/>
    <cellStyle name="Normal 6 4 3 2 3 3 2 3" xfId="0"/>
    <cellStyle name="Normal 6 4 3 2 3 3 2 3 2" xfId="0"/>
    <cellStyle name="Normal 6 4 3 2 3 3 2 3 2 2" xfId="0"/>
    <cellStyle name="Normal 6 4 3 2 3 3 2 3 3" xfId="0"/>
    <cellStyle name="Normal 6 4 3 2 3 3 2 4" xfId="0"/>
    <cellStyle name="Normal 6 4 3 2 3 3 2 4 2" xfId="0"/>
    <cellStyle name="Normal 6 4 3 2 3 3 2 5" xfId="0"/>
    <cellStyle name="Normal 6 4 3 2 3 3 3" xfId="0"/>
    <cellStyle name="Normal 6 4 3 2 3 3 3 2" xfId="0"/>
    <cellStyle name="Normal 6 4 3 2 3 3 3 2 2" xfId="0"/>
    <cellStyle name="Normal 6 4 3 2 3 3 3 2 2 2" xfId="0"/>
    <cellStyle name="Normal 6 4 3 2 3 3 3 2 3" xfId="0"/>
    <cellStyle name="Normal 6 4 3 2 3 3 3 3" xfId="0"/>
    <cellStyle name="Normal 6 4 3 2 3 3 3 3 2" xfId="0"/>
    <cellStyle name="Normal 6 4 3 2 3 3 3 4" xfId="0"/>
    <cellStyle name="Normal 6 4 3 2 3 3 4" xfId="0"/>
    <cellStyle name="Normal 6 4 3 2 3 3 4 2" xfId="0"/>
    <cellStyle name="Normal 6 4 3 2 3 3 4 2 2" xfId="0"/>
    <cellStyle name="Normal 6 4 3 2 3 3 4 3" xfId="0"/>
    <cellStyle name="Normal 6 4 3 2 3 3 5" xfId="0"/>
    <cellStyle name="Normal 6 4 3 2 3 3 5 2" xfId="0"/>
    <cellStyle name="Normal 6 4 3 2 3 3 6" xfId="0"/>
    <cellStyle name="Normal 6 4 3 2 3 4" xfId="0"/>
    <cellStyle name="Normal 6 4 3 2 3 4 2" xfId="0"/>
    <cellStyle name="Normal 6 4 3 2 3 4 2 2" xfId="0"/>
    <cellStyle name="Normal 6 4 3 2 3 4 2 2 2" xfId="0"/>
    <cellStyle name="Normal 6 4 3 2 3 4 2 2 2 2" xfId="0"/>
    <cellStyle name="Normal 6 4 3 2 3 4 2 2 3" xfId="0"/>
    <cellStyle name="Normal 6 4 3 2 3 4 2 3" xfId="0"/>
    <cellStyle name="Normal 6 4 3 2 3 4 2 3 2" xfId="0"/>
    <cellStyle name="Normal 6 4 3 2 3 4 2 4" xfId="0"/>
    <cellStyle name="Normal 6 4 3 2 3 4 3" xfId="0"/>
    <cellStyle name="Normal 6 4 3 2 3 4 3 2" xfId="0"/>
    <cellStyle name="Normal 6 4 3 2 3 4 3 2 2" xfId="0"/>
    <cellStyle name="Normal 6 4 3 2 3 4 3 3" xfId="0"/>
    <cellStyle name="Normal 6 4 3 2 3 4 4" xfId="0"/>
    <cellStyle name="Normal 6 4 3 2 3 4 4 2" xfId="0"/>
    <cellStyle name="Normal 6 4 3 2 3 4 5" xfId="0"/>
    <cellStyle name="Normal 6 4 3 2 3 5" xfId="0"/>
    <cellStyle name="Normal 6 4 3 2 3 5 2" xfId="0"/>
    <cellStyle name="Normal 6 4 3 2 3 5 2 2" xfId="0"/>
    <cellStyle name="Normal 6 4 3 2 3 5 2 2 2" xfId="0"/>
    <cellStyle name="Normal 6 4 3 2 3 5 2 3" xfId="0"/>
    <cellStyle name="Normal 6 4 3 2 3 5 3" xfId="0"/>
    <cellStyle name="Normal 6 4 3 2 3 5 3 2" xfId="0"/>
    <cellStyle name="Normal 6 4 3 2 3 5 4" xfId="0"/>
    <cellStyle name="Normal 6 4 3 2 3 6" xfId="0"/>
    <cellStyle name="Normal 6 4 3 2 3 6 2" xfId="0"/>
    <cellStyle name="Normal 6 4 3 2 3 6 2 2" xfId="0"/>
    <cellStyle name="Normal 6 4 3 2 3 6 3" xfId="0"/>
    <cellStyle name="Normal 6 4 3 2 3 7" xfId="0"/>
    <cellStyle name="Normal 6 4 3 2 3 7 2" xfId="0"/>
    <cellStyle name="Normal 6 4 3 2 3 8" xfId="0"/>
    <cellStyle name="Normal 6 4 3 2 4" xfId="0"/>
    <cellStyle name="Normal 6 4 3 2 4 2" xfId="0"/>
    <cellStyle name="Normal 6 4 3 2 4 2 2" xfId="0"/>
    <cellStyle name="Normal 6 4 3 2 4 2 2 2" xfId="0"/>
    <cellStyle name="Normal 6 4 3 2 4 2 2 2 2" xfId="0"/>
    <cellStyle name="Normal 6 4 3 2 4 2 2 2 2 2" xfId="0"/>
    <cellStyle name="Normal 6 4 3 2 4 2 2 2 2 2 2" xfId="0"/>
    <cellStyle name="Normal 6 4 3 2 4 2 2 2 2 3" xfId="0"/>
    <cellStyle name="Normal 6 4 3 2 4 2 2 2 3" xfId="0"/>
    <cellStyle name="Normal 6 4 3 2 4 2 2 2 3 2" xfId="0"/>
    <cellStyle name="Normal 6 4 3 2 4 2 2 2 4" xfId="0"/>
    <cellStyle name="Normal 6 4 3 2 4 2 2 3" xfId="0"/>
    <cellStyle name="Normal 6 4 3 2 4 2 2 3 2" xfId="0"/>
    <cellStyle name="Normal 6 4 3 2 4 2 2 3 2 2" xfId="0"/>
    <cellStyle name="Normal 6 4 3 2 4 2 2 3 3" xfId="0"/>
    <cellStyle name="Normal 6 4 3 2 4 2 2 4" xfId="0"/>
    <cellStyle name="Normal 6 4 3 2 4 2 2 4 2" xfId="0"/>
    <cellStyle name="Normal 6 4 3 2 4 2 2 5" xfId="0"/>
    <cellStyle name="Normal 6 4 3 2 4 2 3" xfId="0"/>
    <cellStyle name="Normal 6 4 3 2 4 2 3 2" xfId="0"/>
    <cellStyle name="Normal 6 4 3 2 4 2 3 2 2" xfId="0"/>
    <cellStyle name="Normal 6 4 3 2 4 2 3 2 2 2" xfId="0"/>
    <cellStyle name="Normal 6 4 3 2 4 2 3 2 3" xfId="0"/>
    <cellStyle name="Normal 6 4 3 2 4 2 3 3" xfId="0"/>
    <cellStyle name="Normal 6 4 3 2 4 2 3 3 2" xfId="0"/>
    <cellStyle name="Normal 6 4 3 2 4 2 3 4" xfId="0"/>
    <cellStyle name="Normal 6 4 3 2 4 2 4" xfId="0"/>
    <cellStyle name="Normal 6 4 3 2 4 2 4 2" xfId="0"/>
    <cellStyle name="Normal 6 4 3 2 4 2 4 2 2" xfId="0"/>
    <cellStyle name="Normal 6 4 3 2 4 2 4 3" xfId="0"/>
    <cellStyle name="Normal 6 4 3 2 4 2 5" xfId="0"/>
    <cellStyle name="Normal 6 4 3 2 4 2 5 2" xfId="0"/>
    <cellStyle name="Normal 6 4 3 2 4 2 6" xfId="0"/>
    <cellStyle name="Normal 6 4 3 2 4 3" xfId="0"/>
    <cellStyle name="Normal 6 4 3 2 4 3 2" xfId="0"/>
    <cellStyle name="Normal 6 4 3 2 4 3 2 2" xfId="0"/>
    <cellStyle name="Normal 6 4 3 2 4 3 2 2 2" xfId="0"/>
    <cellStyle name="Normal 6 4 3 2 4 3 2 2 2 2" xfId="0"/>
    <cellStyle name="Normal 6 4 3 2 4 3 2 2 3" xfId="0"/>
    <cellStyle name="Normal 6 4 3 2 4 3 2 3" xfId="0"/>
    <cellStyle name="Normal 6 4 3 2 4 3 2 3 2" xfId="0"/>
    <cellStyle name="Normal 6 4 3 2 4 3 2 4" xfId="0"/>
    <cellStyle name="Normal 6 4 3 2 4 3 3" xfId="0"/>
    <cellStyle name="Normal 6 4 3 2 4 3 3 2" xfId="0"/>
    <cellStyle name="Normal 6 4 3 2 4 3 3 2 2" xfId="0"/>
    <cellStyle name="Normal 6 4 3 2 4 3 3 3" xfId="0"/>
    <cellStyle name="Normal 6 4 3 2 4 3 4" xfId="0"/>
    <cellStyle name="Normal 6 4 3 2 4 3 4 2" xfId="0"/>
    <cellStyle name="Normal 6 4 3 2 4 3 5" xfId="0"/>
    <cellStyle name="Normal 6 4 3 2 4 4" xfId="0"/>
    <cellStyle name="Normal 6 4 3 2 4 4 2" xfId="0"/>
    <cellStyle name="Normal 6 4 3 2 4 4 2 2" xfId="0"/>
    <cellStyle name="Normal 6 4 3 2 4 4 2 2 2" xfId="0"/>
    <cellStyle name="Normal 6 4 3 2 4 4 2 3" xfId="0"/>
    <cellStyle name="Normal 6 4 3 2 4 4 3" xfId="0"/>
    <cellStyle name="Normal 6 4 3 2 4 4 3 2" xfId="0"/>
    <cellStyle name="Normal 6 4 3 2 4 4 4" xfId="0"/>
    <cellStyle name="Normal 6 4 3 2 4 5" xfId="0"/>
    <cellStyle name="Normal 6 4 3 2 4 5 2" xfId="0"/>
    <cellStyle name="Normal 6 4 3 2 4 5 2 2" xfId="0"/>
    <cellStyle name="Normal 6 4 3 2 4 5 3" xfId="0"/>
    <cellStyle name="Normal 6 4 3 2 4 6" xfId="0"/>
    <cellStyle name="Normal 6 4 3 2 4 6 2" xfId="0"/>
    <cellStyle name="Normal 6 4 3 2 4 7" xfId="0"/>
    <cellStyle name="Normal 6 4 3 2 5" xfId="0"/>
    <cellStyle name="Normal 6 4 3 2 5 2" xfId="0"/>
    <cellStyle name="Normal 6 4 3 2 5 2 2" xfId="0"/>
    <cellStyle name="Normal 6 4 3 2 5 2 2 2" xfId="0"/>
    <cellStyle name="Normal 6 4 3 2 5 2 2 2 2" xfId="0"/>
    <cellStyle name="Normal 6 4 3 2 5 2 2 2 2 2" xfId="0"/>
    <cellStyle name="Normal 6 4 3 2 5 2 2 2 2 2 2" xfId="0"/>
    <cellStyle name="Normal 6 4 3 2 5 2 2 2 2 3" xfId="0"/>
    <cellStyle name="Normal 6 4 3 2 5 2 2 2 3" xfId="0"/>
    <cellStyle name="Normal 6 4 3 2 5 2 2 2 3 2" xfId="0"/>
    <cellStyle name="Normal 6 4 3 2 5 2 2 2 4" xfId="0"/>
    <cellStyle name="Normal 6 4 3 2 5 2 2 3" xfId="0"/>
    <cellStyle name="Normal 6 4 3 2 5 2 2 3 2" xfId="0"/>
    <cellStyle name="Normal 6 4 3 2 5 2 2 3 2 2" xfId="0"/>
    <cellStyle name="Normal 6 4 3 2 5 2 2 3 3" xfId="0"/>
    <cellStyle name="Normal 6 4 3 2 5 2 2 4" xfId="0"/>
    <cellStyle name="Normal 6 4 3 2 5 2 2 4 2" xfId="0"/>
    <cellStyle name="Normal 6 4 3 2 5 2 2 5" xfId="0"/>
    <cellStyle name="Normal 6 4 3 2 5 2 3" xfId="0"/>
    <cellStyle name="Normal 6 4 3 2 5 2 3 2" xfId="0"/>
    <cellStyle name="Normal 6 4 3 2 5 2 3 2 2" xfId="0"/>
    <cellStyle name="Normal 6 4 3 2 5 2 3 2 2 2" xfId="0"/>
    <cellStyle name="Normal 6 4 3 2 5 2 3 2 3" xfId="0"/>
    <cellStyle name="Normal 6 4 3 2 5 2 3 3" xfId="0"/>
    <cellStyle name="Normal 6 4 3 2 5 2 3 3 2" xfId="0"/>
    <cellStyle name="Normal 6 4 3 2 5 2 3 4" xfId="0"/>
    <cellStyle name="Normal 6 4 3 2 5 2 4" xfId="0"/>
    <cellStyle name="Normal 6 4 3 2 5 2 4 2" xfId="0"/>
    <cellStyle name="Normal 6 4 3 2 5 2 4 2 2" xfId="0"/>
    <cellStyle name="Normal 6 4 3 2 5 2 4 3" xfId="0"/>
    <cellStyle name="Normal 6 4 3 2 5 2 5" xfId="0"/>
    <cellStyle name="Normal 6 4 3 2 5 2 5 2" xfId="0"/>
    <cellStyle name="Normal 6 4 3 2 5 2 6" xfId="0"/>
    <cellStyle name="Normal 6 4 3 2 5 3" xfId="0"/>
    <cellStyle name="Normal 6 4 3 2 5 3 2" xfId="0"/>
    <cellStyle name="Normal 6 4 3 2 5 3 2 2" xfId="0"/>
    <cellStyle name="Normal 6 4 3 2 5 3 2 2 2" xfId="0"/>
    <cellStyle name="Normal 6 4 3 2 5 3 2 2 2 2" xfId="0"/>
    <cellStyle name="Normal 6 4 3 2 5 3 2 2 3" xfId="0"/>
    <cellStyle name="Normal 6 4 3 2 5 3 2 3" xfId="0"/>
    <cellStyle name="Normal 6 4 3 2 5 3 2 3 2" xfId="0"/>
    <cellStyle name="Normal 6 4 3 2 5 3 2 4" xfId="0"/>
    <cellStyle name="Normal 6 4 3 2 5 3 3" xfId="0"/>
    <cellStyle name="Normal 6 4 3 2 5 3 3 2" xfId="0"/>
    <cellStyle name="Normal 6 4 3 2 5 3 3 2 2" xfId="0"/>
    <cellStyle name="Normal 6 4 3 2 5 3 3 3" xfId="0"/>
    <cellStyle name="Normal 6 4 3 2 5 3 4" xfId="0"/>
    <cellStyle name="Normal 6 4 3 2 5 3 4 2" xfId="0"/>
    <cellStyle name="Normal 6 4 3 2 5 3 5" xfId="0"/>
    <cellStyle name="Normal 6 4 3 2 5 4" xfId="0"/>
    <cellStyle name="Normal 6 4 3 2 5 4 2" xfId="0"/>
    <cellStyle name="Normal 6 4 3 2 5 4 2 2" xfId="0"/>
    <cellStyle name="Normal 6 4 3 2 5 4 2 2 2" xfId="0"/>
    <cellStyle name="Normal 6 4 3 2 5 4 2 3" xfId="0"/>
    <cellStyle name="Normal 6 4 3 2 5 4 3" xfId="0"/>
    <cellStyle name="Normal 6 4 3 2 5 4 3 2" xfId="0"/>
    <cellStyle name="Normal 6 4 3 2 5 4 4" xfId="0"/>
    <cellStyle name="Normal 6 4 3 2 5 5" xfId="0"/>
    <cellStyle name="Normal 6 4 3 2 5 5 2" xfId="0"/>
    <cellStyle name="Normal 6 4 3 2 5 5 2 2" xfId="0"/>
    <cellStyle name="Normal 6 4 3 2 5 5 3" xfId="0"/>
    <cellStyle name="Normal 6 4 3 2 5 6" xfId="0"/>
    <cellStyle name="Normal 6 4 3 2 5 6 2" xfId="0"/>
    <cellStyle name="Normal 6 4 3 2 5 7" xfId="0"/>
    <cellStyle name="Normal 6 4 3 2 6" xfId="0"/>
    <cellStyle name="Normal 6 4 3 2 6 2" xfId="0"/>
    <cellStyle name="Normal 6 4 3 2 6 2 2" xfId="0"/>
    <cellStyle name="Normal 6 4 3 2 6 2 2 2" xfId="0"/>
    <cellStyle name="Normal 6 4 3 2 6 2 2 2 2" xfId="0"/>
    <cellStyle name="Normal 6 4 3 2 6 2 2 2 2 2" xfId="0"/>
    <cellStyle name="Normal 6 4 3 2 6 2 2 2 3" xfId="0"/>
    <cellStyle name="Normal 6 4 3 2 6 2 2 3" xfId="0"/>
    <cellStyle name="Normal 6 4 3 2 6 2 2 3 2" xfId="0"/>
    <cellStyle name="Normal 6 4 3 2 6 2 2 4" xfId="0"/>
    <cellStyle name="Normal 6 4 3 2 6 2 3" xfId="0"/>
    <cellStyle name="Normal 6 4 3 2 6 2 3 2" xfId="0"/>
    <cellStyle name="Normal 6 4 3 2 6 2 3 2 2" xfId="0"/>
    <cellStyle name="Normal 6 4 3 2 6 2 3 3" xfId="0"/>
    <cellStyle name="Normal 6 4 3 2 6 2 4" xfId="0"/>
    <cellStyle name="Normal 6 4 3 2 6 2 4 2" xfId="0"/>
    <cellStyle name="Normal 6 4 3 2 6 2 5" xfId="0"/>
    <cellStyle name="Normal 6 4 3 2 6 3" xfId="0"/>
    <cellStyle name="Normal 6 4 3 2 6 3 2" xfId="0"/>
    <cellStyle name="Normal 6 4 3 2 6 3 2 2" xfId="0"/>
    <cellStyle name="Normal 6 4 3 2 6 3 2 2 2" xfId="0"/>
    <cellStyle name="Normal 6 4 3 2 6 3 2 3" xfId="0"/>
    <cellStyle name="Normal 6 4 3 2 6 3 3" xfId="0"/>
    <cellStyle name="Normal 6 4 3 2 6 3 3 2" xfId="0"/>
    <cellStyle name="Normal 6 4 3 2 6 3 4" xfId="0"/>
    <cellStyle name="Normal 6 4 3 2 6 4" xfId="0"/>
    <cellStyle name="Normal 6 4 3 2 6 4 2" xfId="0"/>
    <cellStyle name="Normal 6 4 3 2 6 4 2 2" xfId="0"/>
    <cellStyle name="Normal 6 4 3 2 6 4 3" xfId="0"/>
    <cellStyle name="Normal 6 4 3 2 6 5" xfId="0"/>
    <cellStyle name="Normal 6 4 3 2 6 5 2" xfId="0"/>
    <cellStyle name="Normal 6 4 3 2 6 6" xfId="0"/>
    <cellStyle name="Normal 6 4 3 2 7" xfId="0"/>
    <cellStyle name="Normal 6 4 3 2 7 2" xfId="0"/>
    <cellStyle name="Normal 6 4 3 2 7 2 2" xfId="0"/>
    <cellStyle name="Normal 6 4 3 2 7 2 2 2" xfId="0"/>
    <cellStyle name="Normal 6 4 3 2 7 2 2 2 2" xfId="0"/>
    <cellStyle name="Normal 6 4 3 2 7 2 2 3" xfId="0"/>
    <cellStyle name="Normal 6 4 3 2 7 2 3" xfId="0"/>
    <cellStyle name="Normal 6 4 3 2 7 2 3 2" xfId="0"/>
    <cellStyle name="Normal 6 4 3 2 7 2 4" xfId="0"/>
    <cellStyle name="Normal 6 4 3 2 7 3" xfId="0"/>
    <cellStyle name="Normal 6 4 3 2 7 3 2" xfId="0"/>
    <cellStyle name="Normal 6 4 3 2 7 3 2 2" xfId="0"/>
    <cellStyle name="Normal 6 4 3 2 7 3 3" xfId="0"/>
    <cellStyle name="Normal 6 4 3 2 7 4" xfId="0"/>
    <cellStyle name="Normal 6 4 3 2 7 4 2" xfId="0"/>
    <cellStyle name="Normal 6 4 3 2 7 5" xfId="0"/>
    <cellStyle name="Normal 6 4 3 2 8" xfId="0"/>
    <cellStyle name="Normal 6 4 3 2 8 2" xfId="0"/>
    <cellStyle name="Normal 6 4 3 2 8 2 2" xfId="0"/>
    <cellStyle name="Normal 6 4 3 2 8 2 2 2" xfId="0"/>
    <cellStyle name="Normal 6 4 3 2 8 2 3" xfId="0"/>
    <cellStyle name="Normal 6 4 3 2 8 3" xfId="0"/>
    <cellStyle name="Normal 6 4 3 2 8 3 2" xfId="0"/>
    <cellStyle name="Normal 6 4 3 2 8 4" xfId="0"/>
    <cellStyle name="Normal 6 4 3 2 9" xfId="0"/>
    <cellStyle name="Normal 6 4 3 2 9 2" xfId="0"/>
    <cellStyle name="Normal 6 4 3 2 9 2 2" xfId="0"/>
    <cellStyle name="Normal 6 4 3 2 9 3" xfId="0"/>
    <cellStyle name="Normal 6 4 3 3" xfId="0"/>
    <cellStyle name="Normal 6 4 3 3 2" xfId="0"/>
    <cellStyle name="Normal 6 4 3 3 2 2" xfId="0"/>
    <cellStyle name="Normal 6 4 3 3 2 2 2" xfId="0"/>
    <cellStyle name="Normal 6 4 3 3 2 2 2 2" xfId="0"/>
    <cellStyle name="Normal 6 4 3 3 2 2 2 2 2" xfId="0"/>
    <cellStyle name="Normal 6 4 3 3 2 2 2 2 2 2" xfId="0"/>
    <cellStyle name="Normal 6 4 3 3 2 2 2 2 2 2 2" xfId="0"/>
    <cellStyle name="Normal 6 4 3 3 2 2 2 2 2 3" xfId="0"/>
    <cellStyle name="Normal 6 4 3 3 2 2 2 2 3" xfId="0"/>
    <cellStyle name="Normal 6 4 3 3 2 2 2 2 3 2" xfId="0"/>
    <cellStyle name="Normal 6 4 3 3 2 2 2 2 4" xfId="0"/>
    <cellStyle name="Normal 6 4 3 3 2 2 2 3" xfId="0"/>
    <cellStyle name="Normal 6 4 3 3 2 2 2 3 2" xfId="0"/>
    <cellStyle name="Normal 6 4 3 3 2 2 2 3 2 2" xfId="0"/>
    <cellStyle name="Normal 6 4 3 3 2 2 2 3 3" xfId="0"/>
    <cellStyle name="Normal 6 4 3 3 2 2 2 4" xfId="0"/>
    <cellStyle name="Normal 6 4 3 3 2 2 2 4 2" xfId="0"/>
    <cellStyle name="Normal 6 4 3 3 2 2 2 5" xfId="0"/>
    <cellStyle name="Normal 6 4 3 3 2 2 3" xfId="0"/>
    <cellStyle name="Normal 6 4 3 3 2 2 3 2" xfId="0"/>
    <cellStyle name="Normal 6 4 3 3 2 2 3 2 2" xfId="0"/>
    <cellStyle name="Normal 6 4 3 3 2 2 3 2 2 2" xfId="0"/>
    <cellStyle name="Normal 6 4 3 3 2 2 3 2 3" xfId="0"/>
    <cellStyle name="Normal 6 4 3 3 2 2 3 3" xfId="0"/>
    <cellStyle name="Normal 6 4 3 3 2 2 3 3 2" xfId="0"/>
    <cellStyle name="Normal 6 4 3 3 2 2 3 4" xfId="0"/>
    <cellStyle name="Normal 6 4 3 3 2 2 4" xfId="0"/>
    <cellStyle name="Normal 6 4 3 3 2 2 4 2" xfId="0"/>
    <cellStyle name="Normal 6 4 3 3 2 2 4 2 2" xfId="0"/>
    <cellStyle name="Normal 6 4 3 3 2 2 4 3" xfId="0"/>
    <cellStyle name="Normal 6 4 3 3 2 2 5" xfId="0"/>
    <cellStyle name="Normal 6 4 3 3 2 2 5 2" xfId="0"/>
    <cellStyle name="Normal 6 4 3 3 2 2 6" xfId="0"/>
    <cellStyle name="Normal 6 4 3 3 2 3" xfId="0"/>
    <cellStyle name="Normal 6 4 3 3 2 3 2" xfId="0"/>
    <cellStyle name="Normal 6 4 3 3 2 3 2 2" xfId="0"/>
    <cellStyle name="Normal 6 4 3 3 2 3 2 2 2" xfId="0"/>
    <cellStyle name="Normal 6 4 3 3 2 3 2 2 2 2" xfId="0"/>
    <cellStyle name="Normal 6 4 3 3 2 3 2 2 3" xfId="0"/>
    <cellStyle name="Normal 6 4 3 3 2 3 2 3" xfId="0"/>
    <cellStyle name="Normal 6 4 3 3 2 3 2 3 2" xfId="0"/>
    <cellStyle name="Normal 6 4 3 3 2 3 2 4" xfId="0"/>
    <cellStyle name="Normal 6 4 3 3 2 3 3" xfId="0"/>
    <cellStyle name="Normal 6 4 3 3 2 3 3 2" xfId="0"/>
    <cellStyle name="Normal 6 4 3 3 2 3 3 2 2" xfId="0"/>
    <cellStyle name="Normal 6 4 3 3 2 3 3 3" xfId="0"/>
    <cellStyle name="Normal 6 4 3 3 2 3 4" xfId="0"/>
    <cellStyle name="Normal 6 4 3 3 2 3 4 2" xfId="0"/>
    <cellStyle name="Normal 6 4 3 3 2 3 5" xfId="0"/>
    <cellStyle name="Normal 6 4 3 3 2 4" xfId="0"/>
    <cellStyle name="Normal 6 4 3 3 2 4 2" xfId="0"/>
    <cellStyle name="Normal 6 4 3 3 2 4 2 2" xfId="0"/>
    <cellStyle name="Normal 6 4 3 3 2 4 2 2 2" xfId="0"/>
    <cellStyle name="Normal 6 4 3 3 2 4 2 3" xfId="0"/>
    <cellStyle name="Normal 6 4 3 3 2 4 3" xfId="0"/>
    <cellStyle name="Normal 6 4 3 3 2 4 3 2" xfId="0"/>
    <cellStyle name="Normal 6 4 3 3 2 4 4" xfId="0"/>
    <cellStyle name="Normal 6 4 3 3 2 5" xfId="0"/>
    <cellStyle name="Normal 6 4 3 3 2 5 2" xfId="0"/>
    <cellStyle name="Normal 6 4 3 3 2 5 2 2" xfId="0"/>
    <cellStyle name="Normal 6 4 3 3 2 5 3" xfId="0"/>
    <cellStyle name="Normal 6 4 3 3 2 6" xfId="0"/>
    <cellStyle name="Normal 6 4 3 3 2 6 2" xfId="0"/>
    <cellStyle name="Normal 6 4 3 3 2 7" xfId="0"/>
    <cellStyle name="Normal 6 4 3 3 3" xfId="0"/>
    <cellStyle name="Normal 6 4 3 3 3 2" xfId="0"/>
    <cellStyle name="Normal 6 4 3 3 3 2 2" xfId="0"/>
    <cellStyle name="Normal 6 4 3 3 3 2 2 2" xfId="0"/>
    <cellStyle name="Normal 6 4 3 3 3 2 2 2 2" xfId="0"/>
    <cellStyle name="Normal 6 4 3 3 3 2 2 2 2 2" xfId="0"/>
    <cellStyle name="Normal 6 4 3 3 3 2 2 2 3" xfId="0"/>
    <cellStyle name="Normal 6 4 3 3 3 2 2 3" xfId="0"/>
    <cellStyle name="Normal 6 4 3 3 3 2 2 3 2" xfId="0"/>
    <cellStyle name="Normal 6 4 3 3 3 2 2 4" xfId="0"/>
    <cellStyle name="Normal 6 4 3 3 3 2 3" xfId="0"/>
    <cellStyle name="Normal 6 4 3 3 3 2 3 2" xfId="0"/>
    <cellStyle name="Normal 6 4 3 3 3 2 3 2 2" xfId="0"/>
    <cellStyle name="Normal 6 4 3 3 3 2 3 3" xfId="0"/>
    <cellStyle name="Normal 6 4 3 3 3 2 4" xfId="0"/>
    <cellStyle name="Normal 6 4 3 3 3 2 4 2" xfId="0"/>
    <cellStyle name="Normal 6 4 3 3 3 2 5" xfId="0"/>
    <cellStyle name="Normal 6 4 3 3 3 3" xfId="0"/>
    <cellStyle name="Normal 6 4 3 3 3 3 2" xfId="0"/>
    <cellStyle name="Normal 6 4 3 3 3 3 2 2" xfId="0"/>
    <cellStyle name="Normal 6 4 3 3 3 3 2 2 2" xfId="0"/>
    <cellStyle name="Normal 6 4 3 3 3 3 2 3" xfId="0"/>
    <cellStyle name="Normal 6 4 3 3 3 3 3" xfId="0"/>
    <cellStyle name="Normal 6 4 3 3 3 3 3 2" xfId="0"/>
    <cellStyle name="Normal 6 4 3 3 3 3 4" xfId="0"/>
    <cellStyle name="Normal 6 4 3 3 3 4" xfId="0"/>
    <cellStyle name="Normal 6 4 3 3 3 4 2" xfId="0"/>
    <cellStyle name="Normal 6 4 3 3 3 4 2 2" xfId="0"/>
    <cellStyle name="Normal 6 4 3 3 3 4 3" xfId="0"/>
    <cellStyle name="Normal 6 4 3 3 3 5" xfId="0"/>
    <cellStyle name="Normal 6 4 3 3 3 5 2" xfId="0"/>
    <cellStyle name="Normal 6 4 3 3 3 6" xfId="0"/>
    <cellStyle name="Normal 6 4 3 3 4" xfId="0"/>
    <cellStyle name="Normal 6 4 3 3 4 2" xfId="0"/>
    <cellStyle name="Normal 6 4 3 3 4 2 2" xfId="0"/>
    <cellStyle name="Normal 6 4 3 3 4 2 2 2" xfId="0"/>
    <cellStyle name="Normal 6 4 3 3 4 2 2 2 2" xfId="0"/>
    <cellStyle name="Normal 6 4 3 3 4 2 2 3" xfId="0"/>
    <cellStyle name="Normal 6 4 3 3 4 2 3" xfId="0"/>
    <cellStyle name="Normal 6 4 3 3 4 2 3 2" xfId="0"/>
    <cellStyle name="Normal 6 4 3 3 4 2 4" xfId="0"/>
    <cellStyle name="Normal 6 4 3 3 4 3" xfId="0"/>
    <cellStyle name="Normal 6 4 3 3 4 3 2" xfId="0"/>
    <cellStyle name="Normal 6 4 3 3 4 3 2 2" xfId="0"/>
    <cellStyle name="Normal 6 4 3 3 4 3 3" xfId="0"/>
    <cellStyle name="Normal 6 4 3 3 4 4" xfId="0"/>
    <cellStyle name="Normal 6 4 3 3 4 4 2" xfId="0"/>
    <cellStyle name="Normal 6 4 3 3 4 5" xfId="0"/>
    <cellStyle name="Normal 6 4 3 3 5" xfId="0"/>
    <cellStyle name="Normal 6 4 3 3 5 2" xfId="0"/>
    <cellStyle name="Normal 6 4 3 3 5 2 2" xfId="0"/>
    <cellStyle name="Normal 6 4 3 3 5 2 2 2" xfId="0"/>
    <cellStyle name="Normal 6 4 3 3 5 2 3" xfId="0"/>
    <cellStyle name="Normal 6 4 3 3 5 3" xfId="0"/>
    <cellStyle name="Normal 6 4 3 3 5 3 2" xfId="0"/>
    <cellStyle name="Normal 6 4 3 3 5 4" xfId="0"/>
    <cellStyle name="Normal 6 4 3 3 6" xfId="0"/>
    <cellStyle name="Normal 6 4 3 3 6 2" xfId="0"/>
    <cellStyle name="Normal 6 4 3 3 6 2 2" xfId="0"/>
    <cellStyle name="Normal 6 4 3 3 6 3" xfId="0"/>
    <cellStyle name="Normal 6 4 3 3 7" xfId="0"/>
    <cellStyle name="Normal 6 4 3 3 7 2" xfId="0"/>
    <cellStyle name="Normal 6 4 3 3 8" xfId="0"/>
    <cellStyle name="Normal 6 4 3 4" xfId="0"/>
    <cellStyle name="Normal 6 4 3 4 2" xfId="0"/>
    <cellStyle name="Normal 6 4 3 4 2 2" xfId="0"/>
    <cellStyle name="Normal 6 4 3 4 2 2 2" xfId="0"/>
    <cellStyle name="Normal 6 4 3 4 2 2 2 2" xfId="0"/>
    <cellStyle name="Normal 6 4 3 4 2 2 2 2 2" xfId="0"/>
    <cellStyle name="Normal 6 4 3 4 2 2 2 2 2 2" xfId="0"/>
    <cellStyle name="Normal 6 4 3 4 2 2 2 2 2 2 2" xfId="0"/>
    <cellStyle name="Normal 6 4 3 4 2 2 2 2 2 3" xfId="0"/>
    <cellStyle name="Normal 6 4 3 4 2 2 2 2 3" xfId="0"/>
    <cellStyle name="Normal 6 4 3 4 2 2 2 2 3 2" xfId="0"/>
    <cellStyle name="Normal 6 4 3 4 2 2 2 2 4" xfId="0"/>
    <cellStyle name="Normal 6 4 3 4 2 2 2 3" xfId="0"/>
    <cellStyle name="Normal 6 4 3 4 2 2 2 3 2" xfId="0"/>
    <cellStyle name="Normal 6 4 3 4 2 2 2 3 2 2" xfId="0"/>
    <cellStyle name="Normal 6 4 3 4 2 2 2 3 3" xfId="0"/>
    <cellStyle name="Normal 6 4 3 4 2 2 2 4" xfId="0"/>
    <cellStyle name="Normal 6 4 3 4 2 2 2 4 2" xfId="0"/>
    <cellStyle name="Normal 6 4 3 4 2 2 2 5" xfId="0"/>
    <cellStyle name="Normal 6 4 3 4 2 2 3" xfId="0"/>
    <cellStyle name="Normal 6 4 3 4 2 2 3 2" xfId="0"/>
    <cellStyle name="Normal 6 4 3 4 2 2 3 2 2" xfId="0"/>
    <cellStyle name="Normal 6 4 3 4 2 2 3 2 2 2" xfId="0"/>
    <cellStyle name="Normal 6 4 3 4 2 2 3 2 3" xfId="0"/>
    <cellStyle name="Normal 6 4 3 4 2 2 3 3" xfId="0"/>
    <cellStyle name="Normal 6 4 3 4 2 2 3 3 2" xfId="0"/>
    <cellStyle name="Normal 6 4 3 4 2 2 3 4" xfId="0"/>
    <cellStyle name="Normal 6 4 3 4 2 2 4" xfId="0"/>
    <cellStyle name="Normal 6 4 3 4 2 2 4 2" xfId="0"/>
    <cellStyle name="Normal 6 4 3 4 2 2 4 2 2" xfId="0"/>
    <cellStyle name="Normal 6 4 3 4 2 2 4 3" xfId="0"/>
    <cellStyle name="Normal 6 4 3 4 2 2 5" xfId="0"/>
    <cellStyle name="Normal 6 4 3 4 2 2 5 2" xfId="0"/>
    <cellStyle name="Normal 6 4 3 4 2 2 6" xfId="0"/>
    <cellStyle name="Normal 6 4 3 4 2 3" xfId="0"/>
    <cellStyle name="Normal 6 4 3 4 2 3 2" xfId="0"/>
    <cellStyle name="Normal 6 4 3 4 2 3 2 2" xfId="0"/>
    <cellStyle name="Normal 6 4 3 4 2 3 2 2 2" xfId="0"/>
    <cellStyle name="Normal 6 4 3 4 2 3 2 2 2 2" xfId="0"/>
    <cellStyle name="Normal 6 4 3 4 2 3 2 2 3" xfId="0"/>
    <cellStyle name="Normal 6 4 3 4 2 3 2 3" xfId="0"/>
    <cellStyle name="Normal 6 4 3 4 2 3 2 3 2" xfId="0"/>
    <cellStyle name="Normal 6 4 3 4 2 3 2 4" xfId="0"/>
    <cellStyle name="Normal 6 4 3 4 2 3 3" xfId="0"/>
    <cellStyle name="Normal 6 4 3 4 2 3 3 2" xfId="0"/>
    <cellStyle name="Normal 6 4 3 4 2 3 3 2 2" xfId="0"/>
    <cellStyle name="Normal 6 4 3 4 2 3 3 3" xfId="0"/>
    <cellStyle name="Normal 6 4 3 4 2 3 4" xfId="0"/>
    <cellStyle name="Normal 6 4 3 4 2 3 4 2" xfId="0"/>
    <cellStyle name="Normal 6 4 3 4 2 3 5" xfId="0"/>
    <cellStyle name="Normal 6 4 3 4 2 4" xfId="0"/>
    <cellStyle name="Normal 6 4 3 4 2 4 2" xfId="0"/>
    <cellStyle name="Normal 6 4 3 4 2 4 2 2" xfId="0"/>
    <cellStyle name="Normal 6 4 3 4 2 4 2 2 2" xfId="0"/>
    <cellStyle name="Normal 6 4 3 4 2 4 2 3" xfId="0"/>
    <cellStyle name="Normal 6 4 3 4 2 4 3" xfId="0"/>
    <cellStyle name="Normal 6 4 3 4 2 4 3 2" xfId="0"/>
    <cellStyle name="Normal 6 4 3 4 2 4 4" xfId="0"/>
    <cellStyle name="Normal 6 4 3 4 2 5" xfId="0"/>
    <cellStyle name="Normal 6 4 3 4 2 5 2" xfId="0"/>
    <cellStyle name="Normal 6 4 3 4 2 5 2 2" xfId="0"/>
    <cellStyle name="Normal 6 4 3 4 2 5 3" xfId="0"/>
    <cellStyle name="Normal 6 4 3 4 2 6" xfId="0"/>
    <cellStyle name="Normal 6 4 3 4 2 6 2" xfId="0"/>
    <cellStyle name="Normal 6 4 3 4 2 7" xfId="0"/>
    <cellStyle name="Normal 6 4 3 4 3" xfId="0"/>
    <cellStyle name="Normal 6 4 3 4 3 2" xfId="0"/>
    <cellStyle name="Normal 6 4 3 4 3 2 2" xfId="0"/>
    <cellStyle name="Normal 6 4 3 4 3 2 2 2" xfId="0"/>
    <cellStyle name="Normal 6 4 3 4 3 2 2 2 2" xfId="0"/>
    <cellStyle name="Normal 6 4 3 4 3 2 2 2 2 2" xfId="0"/>
    <cellStyle name="Normal 6 4 3 4 3 2 2 2 3" xfId="0"/>
    <cellStyle name="Normal 6 4 3 4 3 2 2 3" xfId="0"/>
    <cellStyle name="Normal 6 4 3 4 3 2 2 3 2" xfId="0"/>
    <cellStyle name="Normal 6 4 3 4 3 2 2 4" xfId="0"/>
    <cellStyle name="Normal 6 4 3 4 3 2 3" xfId="0"/>
    <cellStyle name="Normal 6 4 3 4 3 2 3 2" xfId="0"/>
    <cellStyle name="Normal 6 4 3 4 3 2 3 2 2" xfId="0"/>
    <cellStyle name="Normal 6 4 3 4 3 2 3 3" xfId="0"/>
    <cellStyle name="Normal 6 4 3 4 3 2 4" xfId="0"/>
    <cellStyle name="Normal 6 4 3 4 3 2 4 2" xfId="0"/>
    <cellStyle name="Normal 6 4 3 4 3 2 5" xfId="0"/>
    <cellStyle name="Normal 6 4 3 4 3 3" xfId="0"/>
    <cellStyle name="Normal 6 4 3 4 3 3 2" xfId="0"/>
    <cellStyle name="Normal 6 4 3 4 3 3 2 2" xfId="0"/>
    <cellStyle name="Normal 6 4 3 4 3 3 2 2 2" xfId="0"/>
    <cellStyle name="Normal 6 4 3 4 3 3 2 3" xfId="0"/>
    <cellStyle name="Normal 6 4 3 4 3 3 3" xfId="0"/>
    <cellStyle name="Normal 6 4 3 4 3 3 3 2" xfId="0"/>
    <cellStyle name="Normal 6 4 3 4 3 3 4" xfId="0"/>
    <cellStyle name="Normal 6 4 3 4 3 4" xfId="0"/>
    <cellStyle name="Normal 6 4 3 4 3 4 2" xfId="0"/>
    <cellStyle name="Normal 6 4 3 4 3 4 2 2" xfId="0"/>
    <cellStyle name="Normal 6 4 3 4 3 4 3" xfId="0"/>
    <cellStyle name="Normal 6 4 3 4 3 5" xfId="0"/>
    <cellStyle name="Normal 6 4 3 4 3 5 2" xfId="0"/>
    <cellStyle name="Normal 6 4 3 4 3 6" xfId="0"/>
    <cellStyle name="Normal 6 4 3 4 4" xfId="0"/>
    <cellStyle name="Normal 6 4 3 4 4 2" xfId="0"/>
    <cellStyle name="Normal 6 4 3 4 4 2 2" xfId="0"/>
    <cellStyle name="Normal 6 4 3 4 4 2 2 2" xfId="0"/>
    <cellStyle name="Normal 6 4 3 4 4 2 2 2 2" xfId="0"/>
    <cellStyle name="Normal 6 4 3 4 4 2 2 3" xfId="0"/>
    <cellStyle name="Normal 6 4 3 4 4 2 3" xfId="0"/>
    <cellStyle name="Normal 6 4 3 4 4 2 3 2" xfId="0"/>
    <cellStyle name="Normal 6 4 3 4 4 2 4" xfId="0"/>
    <cellStyle name="Normal 6 4 3 4 4 3" xfId="0"/>
    <cellStyle name="Normal 6 4 3 4 4 3 2" xfId="0"/>
    <cellStyle name="Normal 6 4 3 4 4 3 2 2" xfId="0"/>
    <cellStyle name="Normal 6 4 3 4 4 3 3" xfId="0"/>
    <cellStyle name="Normal 6 4 3 4 4 4" xfId="0"/>
    <cellStyle name="Normal 6 4 3 4 4 4 2" xfId="0"/>
    <cellStyle name="Normal 6 4 3 4 4 5" xfId="0"/>
    <cellStyle name="Normal 6 4 3 4 5" xfId="0"/>
    <cellStyle name="Normal 6 4 3 4 5 2" xfId="0"/>
    <cellStyle name="Normal 6 4 3 4 5 2 2" xfId="0"/>
    <cellStyle name="Normal 6 4 3 4 5 2 2 2" xfId="0"/>
    <cellStyle name="Normal 6 4 3 4 5 2 3" xfId="0"/>
    <cellStyle name="Normal 6 4 3 4 5 3" xfId="0"/>
    <cellStyle name="Normal 6 4 3 4 5 3 2" xfId="0"/>
    <cellStyle name="Normal 6 4 3 4 5 4" xfId="0"/>
    <cellStyle name="Normal 6 4 3 4 6" xfId="0"/>
    <cellStyle name="Normal 6 4 3 4 6 2" xfId="0"/>
    <cellStyle name="Normal 6 4 3 4 6 2 2" xfId="0"/>
    <cellStyle name="Normal 6 4 3 4 6 3" xfId="0"/>
    <cellStyle name="Normal 6 4 3 4 7" xfId="0"/>
    <cellStyle name="Normal 6 4 3 4 7 2" xfId="0"/>
    <cellStyle name="Normal 6 4 3 4 8" xfId="0"/>
    <cellStyle name="Normal 6 4 3 5" xfId="0"/>
    <cellStyle name="Normal 6 4 3 5 2" xfId="0"/>
    <cellStyle name="Normal 6 4 3 5 2 2" xfId="0"/>
    <cellStyle name="Normal 6 4 3 5 2 2 2" xfId="0"/>
    <cellStyle name="Normal 6 4 3 5 2 2 2 2" xfId="0"/>
    <cellStyle name="Normal 6 4 3 5 2 2 2 2 2" xfId="0"/>
    <cellStyle name="Normal 6 4 3 5 2 2 2 2 2 2" xfId="0"/>
    <cellStyle name="Normal 6 4 3 5 2 2 2 2 3" xfId="0"/>
    <cellStyle name="Normal 6 4 3 5 2 2 2 3" xfId="0"/>
    <cellStyle name="Normal 6 4 3 5 2 2 2 3 2" xfId="0"/>
    <cellStyle name="Normal 6 4 3 5 2 2 2 4" xfId="0"/>
    <cellStyle name="Normal 6 4 3 5 2 2 3" xfId="0"/>
    <cellStyle name="Normal 6 4 3 5 2 2 3 2" xfId="0"/>
    <cellStyle name="Normal 6 4 3 5 2 2 3 2 2" xfId="0"/>
    <cellStyle name="Normal 6 4 3 5 2 2 3 3" xfId="0"/>
    <cellStyle name="Normal 6 4 3 5 2 2 4" xfId="0"/>
    <cellStyle name="Normal 6 4 3 5 2 2 4 2" xfId="0"/>
    <cellStyle name="Normal 6 4 3 5 2 2 5" xfId="0"/>
    <cellStyle name="Normal 6 4 3 5 2 3" xfId="0"/>
    <cellStyle name="Normal 6 4 3 5 2 3 2" xfId="0"/>
    <cellStyle name="Normal 6 4 3 5 2 3 2 2" xfId="0"/>
    <cellStyle name="Normal 6 4 3 5 2 3 2 2 2" xfId="0"/>
    <cellStyle name="Normal 6 4 3 5 2 3 2 3" xfId="0"/>
    <cellStyle name="Normal 6 4 3 5 2 3 3" xfId="0"/>
    <cellStyle name="Normal 6 4 3 5 2 3 3 2" xfId="0"/>
    <cellStyle name="Normal 6 4 3 5 2 3 4" xfId="0"/>
    <cellStyle name="Normal 6 4 3 5 2 4" xfId="0"/>
    <cellStyle name="Normal 6 4 3 5 2 4 2" xfId="0"/>
    <cellStyle name="Normal 6 4 3 5 2 4 2 2" xfId="0"/>
    <cellStyle name="Normal 6 4 3 5 2 4 3" xfId="0"/>
    <cellStyle name="Normal 6 4 3 5 2 5" xfId="0"/>
    <cellStyle name="Normal 6 4 3 5 2 5 2" xfId="0"/>
    <cellStyle name="Normal 6 4 3 5 2 6" xfId="0"/>
    <cellStyle name="Normal 6 4 3 5 3" xfId="0"/>
    <cellStyle name="Normal 6 4 3 5 3 2" xfId="0"/>
    <cellStyle name="Normal 6 4 3 5 3 2 2" xfId="0"/>
    <cellStyle name="Normal 6 4 3 5 3 2 2 2" xfId="0"/>
    <cellStyle name="Normal 6 4 3 5 3 2 2 2 2" xfId="0"/>
    <cellStyle name="Normal 6 4 3 5 3 2 2 3" xfId="0"/>
    <cellStyle name="Normal 6 4 3 5 3 2 3" xfId="0"/>
    <cellStyle name="Normal 6 4 3 5 3 2 3 2" xfId="0"/>
    <cellStyle name="Normal 6 4 3 5 3 2 4" xfId="0"/>
    <cellStyle name="Normal 6 4 3 5 3 3" xfId="0"/>
    <cellStyle name="Normal 6 4 3 5 3 3 2" xfId="0"/>
    <cellStyle name="Normal 6 4 3 5 3 3 2 2" xfId="0"/>
    <cellStyle name="Normal 6 4 3 5 3 3 3" xfId="0"/>
    <cellStyle name="Normal 6 4 3 5 3 4" xfId="0"/>
    <cellStyle name="Normal 6 4 3 5 3 4 2" xfId="0"/>
    <cellStyle name="Normal 6 4 3 5 3 5" xfId="0"/>
    <cellStyle name="Normal 6 4 3 5 4" xfId="0"/>
    <cellStyle name="Normal 6 4 3 5 4 2" xfId="0"/>
    <cellStyle name="Normal 6 4 3 5 4 2 2" xfId="0"/>
    <cellStyle name="Normal 6 4 3 5 4 2 2 2" xfId="0"/>
    <cellStyle name="Normal 6 4 3 5 4 2 3" xfId="0"/>
    <cellStyle name="Normal 6 4 3 5 4 3" xfId="0"/>
    <cellStyle name="Normal 6 4 3 5 4 3 2" xfId="0"/>
    <cellStyle name="Normal 6 4 3 5 4 4" xfId="0"/>
    <cellStyle name="Normal 6 4 3 5 5" xfId="0"/>
    <cellStyle name="Normal 6 4 3 5 5 2" xfId="0"/>
    <cellStyle name="Normal 6 4 3 5 5 2 2" xfId="0"/>
    <cellStyle name="Normal 6 4 3 5 5 3" xfId="0"/>
    <cellStyle name="Normal 6 4 3 5 6" xfId="0"/>
    <cellStyle name="Normal 6 4 3 5 6 2" xfId="0"/>
    <cellStyle name="Normal 6 4 3 5 7" xfId="0"/>
    <cellStyle name="Normal 6 4 3 6" xfId="0"/>
    <cellStyle name="Normal 6 4 3 6 2" xfId="0"/>
    <cellStyle name="Normal 6 4 3 6 2 2" xfId="0"/>
    <cellStyle name="Normal 6 4 3 6 2 2 2" xfId="0"/>
    <cellStyle name="Normal 6 4 3 6 2 2 2 2" xfId="0"/>
    <cellStyle name="Normal 6 4 3 6 2 2 2 2 2" xfId="0"/>
    <cellStyle name="Normal 6 4 3 6 2 2 2 2 2 2" xfId="0"/>
    <cellStyle name="Normal 6 4 3 6 2 2 2 2 3" xfId="0"/>
    <cellStyle name="Normal 6 4 3 6 2 2 2 3" xfId="0"/>
    <cellStyle name="Normal 6 4 3 6 2 2 2 3 2" xfId="0"/>
    <cellStyle name="Normal 6 4 3 6 2 2 2 4" xfId="0"/>
    <cellStyle name="Normal 6 4 3 6 2 2 3" xfId="0"/>
    <cellStyle name="Normal 6 4 3 6 2 2 3 2" xfId="0"/>
    <cellStyle name="Normal 6 4 3 6 2 2 3 2 2" xfId="0"/>
    <cellStyle name="Normal 6 4 3 6 2 2 3 3" xfId="0"/>
    <cellStyle name="Normal 6 4 3 6 2 2 4" xfId="0"/>
    <cellStyle name="Normal 6 4 3 6 2 2 4 2" xfId="0"/>
    <cellStyle name="Normal 6 4 3 6 2 2 5" xfId="0"/>
    <cellStyle name="Normal 6 4 3 6 2 3" xfId="0"/>
    <cellStyle name="Normal 6 4 3 6 2 3 2" xfId="0"/>
    <cellStyle name="Normal 6 4 3 6 2 3 2 2" xfId="0"/>
    <cellStyle name="Normal 6 4 3 6 2 3 2 2 2" xfId="0"/>
    <cellStyle name="Normal 6 4 3 6 2 3 2 3" xfId="0"/>
    <cellStyle name="Normal 6 4 3 6 2 3 3" xfId="0"/>
    <cellStyle name="Normal 6 4 3 6 2 3 3 2" xfId="0"/>
    <cellStyle name="Normal 6 4 3 6 2 3 4" xfId="0"/>
    <cellStyle name="Normal 6 4 3 6 2 4" xfId="0"/>
    <cellStyle name="Normal 6 4 3 6 2 4 2" xfId="0"/>
    <cellStyle name="Normal 6 4 3 6 2 4 2 2" xfId="0"/>
    <cellStyle name="Normal 6 4 3 6 2 4 3" xfId="0"/>
    <cellStyle name="Normal 6 4 3 6 2 5" xfId="0"/>
    <cellStyle name="Normal 6 4 3 6 2 5 2" xfId="0"/>
    <cellStyle name="Normal 6 4 3 6 2 6" xfId="0"/>
    <cellStyle name="Normal 6 4 3 6 3" xfId="0"/>
    <cellStyle name="Normal 6 4 3 6 3 2" xfId="0"/>
    <cellStyle name="Normal 6 4 3 6 3 2 2" xfId="0"/>
    <cellStyle name="Normal 6 4 3 6 3 2 2 2" xfId="0"/>
    <cellStyle name="Normal 6 4 3 6 3 2 2 2 2" xfId="0"/>
    <cellStyle name="Normal 6 4 3 6 3 2 2 3" xfId="0"/>
    <cellStyle name="Normal 6 4 3 6 3 2 3" xfId="0"/>
    <cellStyle name="Normal 6 4 3 6 3 2 3 2" xfId="0"/>
    <cellStyle name="Normal 6 4 3 6 3 2 4" xfId="0"/>
    <cellStyle name="Normal 6 4 3 6 3 3" xfId="0"/>
    <cellStyle name="Normal 6 4 3 6 3 3 2" xfId="0"/>
    <cellStyle name="Normal 6 4 3 6 3 3 2 2" xfId="0"/>
    <cellStyle name="Normal 6 4 3 6 3 3 3" xfId="0"/>
    <cellStyle name="Normal 6 4 3 6 3 4" xfId="0"/>
    <cellStyle name="Normal 6 4 3 6 3 4 2" xfId="0"/>
    <cellStyle name="Normal 6 4 3 6 3 5" xfId="0"/>
    <cellStyle name="Normal 6 4 3 6 4" xfId="0"/>
    <cellStyle name="Normal 6 4 3 6 4 2" xfId="0"/>
    <cellStyle name="Normal 6 4 3 6 4 2 2" xfId="0"/>
    <cellStyle name="Normal 6 4 3 6 4 2 2 2" xfId="0"/>
    <cellStyle name="Normal 6 4 3 6 4 2 3" xfId="0"/>
    <cellStyle name="Normal 6 4 3 6 4 3" xfId="0"/>
    <cellStyle name="Normal 6 4 3 6 4 3 2" xfId="0"/>
    <cellStyle name="Normal 6 4 3 6 4 4" xfId="0"/>
    <cellStyle name="Normal 6 4 3 6 5" xfId="0"/>
    <cellStyle name="Normal 6 4 3 6 5 2" xfId="0"/>
    <cellStyle name="Normal 6 4 3 6 5 2 2" xfId="0"/>
    <cellStyle name="Normal 6 4 3 6 5 3" xfId="0"/>
    <cellStyle name="Normal 6 4 3 6 6" xfId="0"/>
    <cellStyle name="Normal 6 4 3 6 6 2" xfId="0"/>
    <cellStyle name="Normal 6 4 3 6 7" xfId="0"/>
    <cellStyle name="Normal 6 4 3 7" xfId="0"/>
    <cellStyle name="Normal 6 4 3 7 2" xfId="0"/>
    <cellStyle name="Normal 6 4 3 7 2 2" xfId="0"/>
    <cellStyle name="Normal 6 4 3 7 2 2 2" xfId="0"/>
    <cellStyle name="Normal 6 4 3 7 2 2 2 2" xfId="0"/>
    <cellStyle name="Normal 6 4 3 7 2 2 2 2 2" xfId="0"/>
    <cellStyle name="Normal 6 4 3 7 2 2 2 3" xfId="0"/>
    <cellStyle name="Normal 6 4 3 7 2 2 3" xfId="0"/>
    <cellStyle name="Normal 6 4 3 7 2 2 3 2" xfId="0"/>
    <cellStyle name="Normal 6 4 3 7 2 2 4" xfId="0"/>
    <cellStyle name="Normal 6 4 3 7 2 3" xfId="0"/>
    <cellStyle name="Normal 6 4 3 7 2 3 2" xfId="0"/>
    <cellStyle name="Normal 6 4 3 7 2 3 2 2" xfId="0"/>
    <cellStyle name="Normal 6 4 3 7 2 3 3" xfId="0"/>
    <cellStyle name="Normal 6 4 3 7 2 4" xfId="0"/>
    <cellStyle name="Normal 6 4 3 7 2 4 2" xfId="0"/>
    <cellStyle name="Normal 6 4 3 7 2 5" xfId="0"/>
    <cellStyle name="Normal 6 4 3 7 3" xfId="0"/>
    <cellStyle name="Normal 6 4 3 7 3 2" xfId="0"/>
    <cellStyle name="Normal 6 4 3 7 3 2 2" xfId="0"/>
    <cellStyle name="Normal 6 4 3 7 3 2 2 2" xfId="0"/>
    <cellStyle name="Normal 6 4 3 7 3 2 3" xfId="0"/>
    <cellStyle name="Normal 6 4 3 7 3 3" xfId="0"/>
    <cellStyle name="Normal 6 4 3 7 3 3 2" xfId="0"/>
    <cellStyle name="Normal 6 4 3 7 3 4" xfId="0"/>
    <cellStyle name="Normal 6 4 3 7 4" xfId="0"/>
    <cellStyle name="Normal 6 4 3 7 4 2" xfId="0"/>
    <cellStyle name="Normal 6 4 3 7 4 2 2" xfId="0"/>
    <cellStyle name="Normal 6 4 3 7 4 3" xfId="0"/>
    <cellStyle name="Normal 6 4 3 7 5" xfId="0"/>
    <cellStyle name="Normal 6 4 3 7 5 2" xfId="0"/>
    <cellStyle name="Normal 6 4 3 7 6" xfId="0"/>
    <cellStyle name="Normal 6 4 3 8" xfId="0"/>
    <cellStyle name="Normal 6 4 3 8 2" xfId="0"/>
    <cellStyle name="Normal 6 4 3 8 2 2" xfId="0"/>
    <cellStyle name="Normal 6 4 3 8 2 2 2" xfId="0"/>
    <cellStyle name="Normal 6 4 3 8 2 2 2 2" xfId="0"/>
    <cellStyle name="Normal 6 4 3 8 2 2 3" xfId="0"/>
    <cellStyle name="Normal 6 4 3 8 2 3" xfId="0"/>
    <cellStyle name="Normal 6 4 3 8 2 3 2" xfId="0"/>
    <cellStyle name="Normal 6 4 3 8 2 4" xfId="0"/>
    <cellStyle name="Normal 6 4 3 8 3" xfId="0"/>
    <cellStyle name="Normal 6 4 3 8 3 2" xfId="0"/>
    <cellStyle name="Normal 6 4 3 8 3 2 2" xfId="0"/>
    <cellStyle name="Normal 6 4 3 8 3 3" xfId="0"/>
    <cellStyle name="Normal 6 4 3 8 4" xfId="0"/>
    <cellStyle name="Normal 6 4 3 8 4 2" xfId="0"/>
    <cellStyle name="Normal 6 4 3 8 5" xfId="0"/>
    <cellStyle name="Normal 6 4 3 9" xfId="0"/>
    <cellStyle name="Normal 6 4 3 9 2" xfId="0"/>
    <cellStyle name="Normal 6 4 3 9 2 2" xfId="0"/>
    <cellStyle name="Normal 6 4 3 9 2 2 2" xfId="0"/>
    <cellStyle name="Normal 6 4 3 9 2 3" xfId="0"/>
    <cellStyle name="Normal 6 4 3 9 3" xfId="0"/>
    <cellStyle name="Normal 6 4 3 9 3 2" xfId="0"/>
    <cellStyle name="Normal 6 4 3 9 4" xfId="0"/>
    <cellStyle name="Normal 6 4 4" xfId="0"/>
    <cellStyle name="Normal 6 4 4 10" xfId="0"/>
    <cellStyle name="Normal 6 4 4 10 2" xfId="0"/>
    <cellStyle name="Normal 6 4 4 10 2 2" xfId="0"/>
    <cellStyle name="Normal 6 4 4 10 3" xfId="0"/>
    <cellStyle name="Normal 6 4 4 11" xfId="0"/>
    <cellStyle name="Normal 6 4 4 11 2" xfId="0"/>
    <cellStyle name="Normal 6 4 4 12" xfId="0"/>
    <cellStyle name="Normal 6 4 4 2" xfId="0"/>
    <cellStyle name="Normal 6 4 4 2 10" xfId="0"/>
    <cellStyle name="Normal 6 4 4 2 10 2" xfId="0"/>
    <cellStyle name="Normal 6 4 4 2 11" xfId="0"/>
    <cellStyle name="Normal 6 4 4 2 2" xfId="0"/>
    <cellStyle name="Normal 6 4 4 2 2 2" xfId="0"/>
    <cellStyle name="Normal 6 4 4 2 2 2 2" xfId="0"/>
    <cellStyle name="Normal 6 4 4 2 2 2 2 2" xfId="0"/>
    <cellStyle name="Normal 6 4 4 2 2 2 2 2 2" xfId="0"/>
    <cellStyle name="Normal 6 4 4 2 2 2 2 2 2 2" xfId="0"/>
    <cellStyle name="Normal 6 4 4 2 2 2 2 2 2 2 2" xfId="0"/>
    <cellStyle name="Normal 6 4 4 2 2 2 2 2 2 2 2 2" xfId="0"/>
    <cellStyle name="Normal 6 4 4 2 2 2 2 2 2 2 3" xfId="0"/>
    <cellStyle name="Normal 6 4 4 2 2 2 2 2 2 3" xfId="0"/>
    <cellStyle name="Normal 6 4 4 2 2 2 2 2 2 3 2" xfId="0"/>
    <cellStyle name="Normal 6 4 4 2 2 2 2 2 2 4" xfId="0"/>
    <cellStyle name="Normal 6 4 4 2 2 2 2 2 3" xfId="0"/>
    <cellStyle name="Normal 6 4 4 2 2 2 2 2 3 2" xfId="0"/>
    <cellStyle name="Normal 6 4 4 2 2 2 2 2 3 2 2" xfId="0"/>
    <cellStyle name="Normal 6 4 4 2 2 2 2 2 3 3" xfId="0"/>
    <cellStyle name="Normal 6 4 4 2 2 2 2 2 4" xfId="0"/>
    <cellStyle name="Normal 6 4 4 2 2 2 2 2 4 2" xfId="0"/>
    <cellStyle name="Normal 6 4 4 2 2 2 2 2 5" xfId="0"/>
    <cellStyle name="Normal 6 4 4 2 2 2 2 3" xfId="0"/>
    <cellStyle name="Normal 6 4 4 2 2 2 2 3 2" xfId="0"/>
    <cellStyle name="Normal 6 4 4 2 2 2 2 3 2 2" xfId="0"/>
    <cellStyle name="Normal 6 4 4 2 2 2 2 3 2 2 2" xfId="0"/>
    <cellStyle name="Normal 6 4 4 2 2 2 2 3 2 3" xfId="0"/>
    <cellStyle name="Normal 6 4 4 2 2 2 2 3 3" xfId="0"/>
    <cellStyle name="Normal 6 4 4 2 2 2 2 3 3 2" xfId="0"/>
    <cellStyle name="Normal 6 4 4 2 2 2 2 3 4" xfId="0"/>
    <cellStyle name="Normal 6 4 4 2 2 2 2 4" xfId="0"/>
    <cellStyle name="Normal 6 4 4 2 2 2 2 4 2" xfId="0"/>
    <cellStyle name="Normal 6 4 4 2 2 2 2 4 2 2" xfId="0"/>
    <cellStyle name="Normal 6 4 4 2 2 2 2 4 3" xfId="0"/>
    <cellStyle name="Normal 6 4 4 2 2 2 2 5" xfId="0"/>
    <cellStyle name="Normal 6 4 4 2 2 2 2 5 2" xfId="0"/>
    <cellStyle name="Normal 6 4 4 2 2 2 2 6" xfId="0"/>
    <cellStyle name="Normal 6 4 4 2 2 2 3" xfId="0"/>
    <cellStyle name="Normal 6 4 4 2 2 2 3 2" xfId="0"/>
    <cellStyle name="Normal 6 4 4 2 2 2 3 2 2" xfId="0"/>
    <cellStyle name="Normal 6 4 4 2 2 2 3 2 2 2" xfId="0"/>
    <cellStyle name="Normal 6 4 4 2 2 2 3 2 2 2 2" xfId="0"/>
    <cellStyle name="Normal 6 4 4 2 2 2 3 2 2 3" xfId="0"/>
    <cellStyle name="Normal 6 4 4 2 2 2 3 2 3" xfId="0"/>
    <cellStyle name="Normal 6 4 4 2 2 2 3 2 3 2" xfId="0"/>
    <cellStyle name="Normal 6 4 4 2 2 2 3 2 4" xfId="0"/>
    <cellStyle name="Normal 6 4 4 2 2 2 3 3" xfId="0"/>
    <cellStyle name="Normal 6 4 4 2 2 2 3 3 2" xfId="0"/>
    <cellStyle name="Normal 6 4 4 2 2 2 3 3 2 2" xfId="0"/>
    <cellStyle name="Normal 6 4 4 2 2 2 3 3 3" xfId="0"/>
    <cellStyle name="Normal 6 4 4 2 2 2 3 4" xfId="0"/>
    <cellStyle name="Normal 6 4 4 2 2 2 3 4 2" xfId="0"/>
    <cellStyle name="Normal 6 4 4 2 2 2 3 5" xfId="0"/>
    <cellStyle name="Normal 6 4 4 2 2 2 4" xfId="0"/>
    <cellStyle name="Normal 6 4 4 2 2 2 4 2" xfId="0"/>
    <cellStyle name="Normal 6 4 4 2 2 2 4 2 2" xfId="0"/>
    <cellStyle name="Normal 6 4 4 2 2 2 4 2 2 2" xfId="0"/>
    <cellStyle name="Normal 6 4 4 2 2 2 4 2 3" xfId="0"/>
    <cellStyle name="Normal 6 4 4 2 2 2 4 3" xfId="0"/>
    <cellStyle name="Normal 6 4 4 2 2 2 4 3 2" xfId="0"/>
    <cellStyle name="Normal 6 4 4 2 2 2 4 4" xfId="0"/>
    <cellStyle name="Normal 6 4 4 2 2 2 5" xfId="0"/>
    <cellStyle name="Normal 6 4 4 2 2 2 5 2" xfId="0"/>
    <cellStyle name="Normal 6 4 4 2 2 2 5 2 2" xfId="0"/>
    <cellStyle name="Normal 6 4 4 2 2 2 5 3" xfId="0"/>
    <cellStyle name="Normal 6 4 4 2 2 2 6" xfId="0"/>
    <cellStyle name="Normal 6 4 4 2 2 2 6 2" xfId="0"/>
    <cellStyle name="Normal 6 4 4 2 2 2 7" xfId="0"/>
    <cellStyle name="Normal 6 4 4 2 2 3" xfId="0"/>
    <cellStyle name="Normal 6 4 4 2 2 3 2" xfId="0"/>
    <cellStyle name="Normal 6 4 4 2 2 3 2 2" xfId="0"/>
    <cellStyle name="Normal 6 4 4 2 2 3 2 2 2" xfId="0"/>
    <cellStyle name="Normal 6 4 4 2 2 3 2 2 2 2" xfId="0"/>
    <cellStyle name="Normal 6 4 4 2 2 3 2 2 2 2 2" xfId="0"/>
    <cellStyle name="Normal 6 4 4 2 2 3 2 2 2 3" xfId="0"/>
    <cellStyle name="Normal 6 4 4 2 2 3 2 2 3" xfId="0"/>
    <cellStyle name="Normal 6 4 4 2 2 3 2 2 3 2" xfId="0"/>
    <cellStyle name="Normal 6 4 4 2 2 3 2 2 4" xfId="0"/>
    <cellStyle name="Normal 6 4 4 2 2 3 2 3" xfId="0"/>
    <cellStyle name="Normal 6 4 4 2 2 3 2 3 2" xfId="0"/>
    <cellStyle name="Normal 6 4 4 2 2 3 2 3 2 2" xfId="0"/>
    <cellStyle name="Normal 6 4 4 2 2 3 2 3 3" xfId="0"/>
    <cellStyle name="Normal 6 4 4 2 2 3 2 4" xfId="0"/>
    <cellStyle name="Normal 6 4 4 2 2 3 2 4 2" xfId="0"/>
    <cellStyle name="Normal 6 4 4 2 2 3 2 5" xfId="0"/>
    <cellStyle name="Normal 6 4 4 2 2 3 3" xfId="0"/>
    <cellStyle name="Normal 6 4 4 2 2 3 3 2" xfId="0"/>
    <cellStyle name="Normal 6 4 4 2 2 3 3 2 2" xfId="0"/>
    <cellStyle name="Normal 6 4 4 2 2 3 3 2 2 2" xfId="0"/>
    <cellStyle name="Normal 6 4 4 2 2 3 3 2 3" xfId="0"/>
    <cellStyle name="Normal 6 4 4 2 2 3 3 3" xfId="0"/>
    <cellStyle name="Normal 6 4 4 2 2 3 3 3 2" xfId="0"/>
    <cellStyle name="Normal 6 4 4 2 2 3 3 4" xfId="0"/>
    <cellStyle name="Normal 6 4 4 2 2 3 4" xfId="0"/>
    <cellStyle name="Normal 6 4 4 2 2 3 4 2" xfId="0"/>
    <cellStyle name="Normal 6 4 4 2 2 3 4 2 2" xfId="0"/>
    <cellStyle name="Normal 6 4 4 2 2 3 4 3" xfId="0"/>
    <cellStyle name="Normal 6 4 4 2 2 3 5" xfId="0"/>
    <cellStyle name="Normal 6 4 4 2 2 3 5 2" xfId="0"/>
    <cellStyle name="Normal 6 4 4 2 2 3 6" xfId="0"/>
    <cellStyle name="Normal 6 4 4 2 2 4" xfId="0"/>
    <cellStyle name="Normal 6 4 4 2 2 4 2" xfId="0"/>
    <cellStyle name="Normal 6 4 4 2 2 4 2 2" xfId="0"/>
    <cellStyle name="Normal 6 4 4 2 2 4 2 2 2" xfId="0"/>
    <cellStyle name="Normal 6 4 4 2 2 4 2 2 2 2" xfId="0"/>
    <cellStyle name="Normal 6 4 4 2 2 4 2 2 3" xfId="0"/>
    <cellStyle name="Normal 6 4 4 2 2 4 2 3" xfId="0"/>
    <cellStyle name="Normal 6 4 4 2 2 4 2 3 2" xfId="0"/>
    <cellStyle name="Normal 6 4 4 2 2 4 2 4" xfId="0"/>
    <cellStyle name="Normal 6 4 4 2 2 4 3" xfId="0"/>
    <cellStyle name="Normal 6 4 4 2 2 4 3 2" xfId="0"/>
    <cellStyle name="Normal 6 4 4 2 2 4 3 2 2" xfId="0"/>
    <cellStyle name="Normal 6 4 4 2 2 4 3 3" xfId="0"/>
    <cellStyle name="Normal 6 4 4 2 2 4 4" xfId="0"/>
    <cellStyle name="Normal 6 4 4 2 2 4 4 2" xfId="0"/>
    <cellStyle name="Normal 6 4 4 2 2 4 5" xfId="0"/>
    <cellStyle name="Normal 6 4 4 2 2 5" xfId="0"/>
    <cellStyle name="Normal 6 4 4 2 2 5 2" xfId="0"/>
    <cellStyle name="Normal 6 4 4 2 2 5 2 2" xfId="0"/>
    <cellStyle name="Normal 6 4 4 2 2 5 2 2 2" xfId="0"/>
    <cellStyle name="Normal 6 4 4 2 2 5 2 3" xfId="0"/>
    <cellStyle name="Normal 6 4 4 2 2 5 3" xfId="0"/>
    <cellStyle name="Normal 6 4 4 2 2 5 3 2" xfId="0"/>
    <cellStyle name="Normal 6 4 4 2 2 5 4" xfId="0"/>
    <cellStyle name="Normal 6 4 4 2 2 6" xfId="0"/>
    <cellStyle name="Normal 6 4 4 2 2 6 2" xfId="0"/>
    <cellStyle name="Normal 6 4 4 2 2 6 2 2" xfId="0"/>
    <cellStyle name="Normal 6 4 4 2 2 6 3" xfId="0"/>
    <cellStyle name="Normal 6 4 4 2 2 7" xfId="0"/>
    <cellStyle name="Normal 6 4 4 2 2 7 2" xfId="0"/>
    <cellStyle name="Normal 6 4 4 2 2 8" xfId="0"/>
    <cellStyle name="Normal 6 4 4 2 3" xfId="0"/>
    <cellStyle name="Normal 6 4 4 2 3 2" xfId="0"/>
    <cellStyle name="Normal 6 4 4 2 3 2 2" xfId="0"/>
    <cellStyle name="Normal 6 4 4 2 3 2 2 2" xfId="0"/>
    <cellStyle name="Normal 6 4 4 2 3 2 2 2 2" xfId="0"/>
    <cellStyle name="Normal 6 4 4 2 3 2 2 2 2 2" xfId="0"/>
    <cellStyle name="Normal 6 4 4 2 3 2 2 2 2 2 2" xfId="0"/>
    <cellStyle name="Normal 6 4 4 2 3 2 2 2 2 2 2 2" xfId="0"/>
    <cellStyle name="Normal 6 4 4 2 3 2 2 2 2 2 3" xfId="0"/>
    <cellStyle name="Normal 6 4 4 2 3 2 2 2 2 3" xfId="0"/>
    <cellStyle name="Normal 6 4 4 2 3 2 2 2 2 3 2" xfId="0"/>
    <cellStyle name="Normal 6 4 4 2 3 2 2 2 2 4" xfId="0"/>
    <cellStyle name="Normal 6 4 4 2 3 2 2 2 3" xfId="0"/>
    <cellStyle name="Normal 6 4 4 2 3 2 2 2 3 2" xfId="0"/>
    <cellStyle name="Normal 6 4 4 2 3 2 2 2 3 2 2" xfId="0"/>
    <cellStyle name="Normal 6 4 4 2 3 2 2 2 3 3" xfId="0"/>
    <cellStyle name="Normal 6 4 4 2 3 2 2 2 4" xfId="0"/>
    <cellStyle name="Normal 6 4 4 2 3 2 2 2 4 2" xfId="0"/>
    <cellStyle name="Normal 6 4 4 2 3 2 2 2 5" xfId="0"/>
    <cellStyle name="Normal 6 4 4 2 3 2 2 3" xfId="0"/>
    <cellStyle name="Normal 6 4 4 2 3 2 2 3 2" xfId="0"/>
    <cellStyle name="Normal 6 4 4 2 3 2 2 3 2 2" xfId="0"/>
    <cellStyle name="Normal 6 4 4 2 3 2 2 3 2 2 2" xfId="0"/>
    <cellStyle name="Normal 6 4 4 2 3 2 2 3 2 3" xfId="0"/>
    <cellStyle name="Normal 6 4 4 2 3 2 2 3 3" xfId="0"/>
    <cellStyle name="Normal 6 4 4 2 3 2 2 3 3 2" xfId="0"/>
    <cellStyle name="Normal 6 4 4 2 3 2 2 3 4" xfId="0"/>
    <cellStyle name="Normal 6 4 4 2 3 2 2 4" xfId="0"/>
    <cellStyle name="Normal 6 4 4 2 3 2 2 4 2" xfId="0"/>
    <cellStyle name="Normal 6 4 4 2 3 2 2 4 2 2" xfId="0"/>
    <cellStyle name="Normal 6 4 4 2 3 2 2 4 3" xfId="0"/>
    <cellStyle name="Normal 6 4 4 2 3 2 2 5" xfId="0"/>
    <cellStyle name="Normal 6 4 4 2 3 2 2 5 2" xfId="0"/>
    <cellStyle name="Normal 6 4 4 2 3 2 2 6" xfId="0"/>
    <cellStyle name="Normal 6 4 4 2 3 2 3" xfId="0"/>
    <cellStyle name="Normal 6 4 4 2 3 2 3 2" xfId="0"/>
    <cellStyle name="Normal 6 4 4 2 3 2 3 2 2" xfId="0"/>
    <cellStyle name="Normal 6 4 4 2 3 2 3 2 2 2" xfId="0"/>
    <cellStyle name="Normal 6 4 4 2 3 2 3 2 2 2 2" xfId="0"/>
    <cellStyle name="Normal 6 4 4 2 3 2 3 2 2 3" xfId="0"/>
    <cellStyle name="Normal 6 4 4 2 3 2 3 2 3" xfId="0"/>
    <cellStyle name="Normal 6 4 4 2 3 2 3 2 3 2" xfId="0"/>
    <cellStyle name="Normal 6 4 4 2 3 2 3 2 4" xfId="0"/>
    <cellStyle name="Normal 6 4 4 2 3 2 3 3" xfId="0"/>
    <cellStyle name="Normal 6 4 4 2 3 2 3 3 2" xfId="0"/>
    <cellStyle name="Normal 6 4 4 2 3 2 3 3 2 2" xfId="0"/>
    <cellStyle name="Normal 6 4 4 2 3 2 3 3 3" xfId="0"/>
    <cellStyle name="Normal 6 4 4 2 3 2 3 4" xfId="0"/>
    <cellStyle name="Normal 6 4 4 2 3 2 3 4 2" xfId="0"/>
    <cellStyle name="Normal 6 4 4 2 3 2 3 5" xfId="0"/>
    <cellStyle name="Normal 6 4 4 2 3 2 4" xfId="0"/>
    <cellStyle name="Normal 6 4 4 2 3 2 4 2" xfId="0"/>
    <cellStyle name="Normal 6 4 4 2 3 2 4 2 2" xfId="0"/>
    <cellStyle name="Normal 6 4 4 2 3 2 4 2 2 2" xfId="0"/>
    <cellStyle name="Normal 6 4 4 2 3 2 4 2 3" xfId="0"/>
    <cellStyle name="Normal 6 4 4 2 3 2 4 3" xfId="0"/>
    <cellStyle name="Normal 6 4 4 2 3 2 4 3 2" xfId="0"/>
    <cellStyle name="Normal 6 4 4 2 3 2 4 4" xfId="0"/>
    <cellStyle name="Normal 6 4 4 2 3 2 5" xfId="0"/>
    <cellStyle name="Normal 6 4 4 2 3 2 5 2" xfId="0"/>
    <cellStyle name="Normal 6 4 4 2 3 2 5 2 2" xfId="0"/>
    <cellStyle name="Normal 6 4 4 2 3 2 5 3" xfId="0"/>
    <cellStyle name="Normal 6 4 4 2 3 2 6" xfId="0"/>
    <cellStyle name="Normal 6 4 4 2 3 2 6 2" xfId="0"/>
    <cellStyle name="Normal 6 4 4 2 3 2 7" xfId="0"/>
    <cellStyle name="Normal 6 4 4 2 3 3" xfId="0"/>
    <cellStyle name="Normal 6 4 4 2 3 3 2" xfId="0"/>
    <cellStyle name="Normal 6 4 4 2 3 3 2 2" xfId="0"/>
    <cellStyle name="Normal 6 4 4 2 3 3 2 2 2" xfId="0"/>
    <cellStyle name="Normal 6 4 4 2 3 3 2 2 2 2" xfId="0"/>
    <cellStyle name="Normal 6 4 4 2 3 3 2 2 2 2 2" xfId="0"/>
    <cellStyle name="Normal 6 4 4 2 3 3 2 2 2 3" xfId="0"/>
    <cellStyle name="Normal 6 4 4 2 3 3 2 2 3" xfId="0"/>
    <cellStyle name="Normal 6 4 4 2 3 3 2 2 3 2" xfId="0"/>
    <cellStyle name="Normal 6 4 4 2 3 3 2 2 4" xfId="0"/>
    <cellStyle name="Normal 6 4 4 2 3 3 2 3" xfId="0"/>
    <cellStyle name="Normal 6 4 4 2 3 3 2 3 2" xfId="0"/>
    <cellStyle name="Normal 6 4 4 2 3 3 2 3 2 2" xfId="0"/>
    <cellStyle name="Normal 6 4 4 2 3 3 2 3 3" xfId="0"/>
    <cellStyle name="Normal 6 4 4 2 3 3 2 4" xfId="0"/>
    <cellStyle name="Normal 6 4 4 2 3 3 2 4 2" xfId="0"/>
    <cellStyle name="Normal 6 4 4 2 3 3 2 5" xfId="0"/>
    <cellStyle name="Normal 6 4 4 2 3 3 3" xfId="0"/>
    <cellStyle name="Normal 6 4 4 2 3 3 3 2" xfId="0"/>
    <cellStyle name="Normal 6 4 4 2 3 3 3 2 2" xfId="0"/>
    <cellStyle name="Normal 6 4 4 2 3 3 3 2 2 2" xfId="0"/>
    <cellStyle name="Normal 6 4 4 2 3 3 3 2 3" xfId="0"/>
    <cellStyle name="Normal 6 4 4 2 3 3 3 3" xfId="0"/>
    <cellStyle name="Normal 6 4 4 2 3 3 3 3 2" xfId="0"/>
    <cellStyle name="Normal 6 4 4 2 3 3 3 4" xfId="0"/>
    <cellStyle name="Normal 6 4 4 2 3 3 4" xfId="0"/>
    <cellStyle name="Normal 6 4 4 2 3 3 4 2" xfId="0"/>
    <cellStyle name="Normal 6 4 4 2 3 3 4 2 2" xfId="0"/>
    <cellStyle name="Normal 6 4 4 2 3 3 4 3" xfId="0"/>
    <cellStyle name="Normal 6 4 4 2 3 3 5" xfId="0"/>
    <cellStyle name="Normal 6 4 4 2 3 3 5 2" xfId="0"/>
    <cellStyle name="Normal 6 4 4 2 3 3 6" xfId="0"/>
    <cellStyle name="Normal 6 4 4 2 3 4" xfId="0"/>
    <cellStyle name="Normal 6 4 4 2 3 4 2" xfId="0"/>
    <cellStyle name="Normal 6 4 4 2 3 4 2 2" xfId="0"/>
    <cellStyle name="Normal 6 4 4 2 3 4 2 2 2" xfId="0"/>
    <cellStyle name="Normal 6 4 4 2 3 4 2 2 2 2" xfId="0"/>
    <cellStyle name="Normal 6 4 4 2 3 4 2 2 3" xfId="0"/>
    <cellStyle name="Normal 6 4 4 2 3 4 2 3" xfId="0"/>
    <cellStyle name="Normal 6 4 4 2 3 4 2 3 2" xfId="0"/>
    <cellStyle name="Normal 6 4 4 2 3 4 2 4" xfId="0"/>
    <cellStyle name="Normal 6 4 4 2 3 4 3" xfId="0"/>
    <cellStyle name="Normal 6 4 4 2 3 4 3 2" xfId="0"/>
    <cellStyle name="Normal 6 4 4 2 3 4 3 2 2" xfId="0"/>
    <cellStyle name="Normal 6 4 4 2 3 4 3 3" xfId="0"/>
    <cellStyle name="Normal 6 4 4 2 3 4 4" xfId="0"/>
    <cellStyle name="Normal 6 4 4 2 3 4 4 2" xfId="0"/>
    <cellStyle name="Normal 6 4 4 2 3 4 5" xfId="0"/>
    <cellStyle name="Normal 6 4 4 2 3 5" xfId="0"/>
    <cellStyle name="Normal 6 4 4 2 3 5 2" xfId="0"/>
    <cellStyle name="Normal 6 4 4 2 3 5 2 2" xfId="0"/>
    <cellStyle name="Normal 6 4 4 2 3 5 2 2 2" xfId="0"/>
    <cellStyle name="Normal 6 4 4 2 3 5 2 3" xfId="0"/>
    <cellStyle name="Normal 6 4 4 2 3 5 3" xfId="0"/>
    <cellStyle name="Normal 6 4 4 2 3 5 3 2" xfId="0"/>
    <cellStyle name="Normal 6 4 4 2 3 5 4" xfId="0"/>
    <cellStyle name="Normal 6 4 4 2 3 6" xfId="0"/>
    <cellStyle name="Normal 6 4 4 2 3 6 2" xfId="0"/>
    <cellStyle name="Normal 6 4 4 2 3 6 2 2" xfId="0"/>
    <cellStyle name="Normal 6 4 4 2 3 6 3" xfId="0"/>
    <cellStyle name="Normal 6 4 4 2 3 7" xfId="0"/>
    <cellStyle name="Normal 6 4 4 2 3 7 2" xfId="0"/>
    <cellStyle name="Normal 6 4 4 2 3 8" xfId="0"/>
    <cellStyle name="Normal 6 4 4 2 4" xfId="0"/>
    <cellStyle name="Normal 6 4 4 2 4 2" xfId="0"/>
    <cellStyle name="Normal 6 4 4 2 4 2 2" xfId="0"/>
    <cellStyle name="Normal 6 4 4 2 4 2 2 2" xfId="0"/>
    <cellStyle name="Normal 6 4 4 2 4 2 2 2 2" xfId="0"/>
    <cellStyle name="Normal 6 4 4 2 4 2 2 2 2 2" xfId="0"/>
    <cellStyle name="Normal 6 4 4 2 4 2 2 2 2 2 2" xfId="0"/>
    <cellStyle name="Normal 6 4 4 2 4 2 2 2 2 3" xfId="0"/>
    <cellStyle name="Normal 6 4 4 2 4 2 2 2 3" xfId="0"/>
    <cellStyle name="Normal 6 4 4 2 4 2 2 2 3 2" xfId="0"/>
    <cellStyle name="Normal 6 4 4 2 4 2 2 2 4" xfId="0"/>
    <cellStyle name="Normal 6 4 4 2 4 2 2 3" xfId="0"/>
    <cellStyle name="Normal 6 4 4 2 4 2 2 3 2" xfId="0"/>
    <cellStyle name="Normal 6 4 4 2 4 2 2 3 2 2" xfId="0"/>
    <cellStyle name="Normal 6 4 4 2 4 2 2 3 3" xfId="0"/>
    <cellStyle name="Normal 6 4 4 2 4 2 2 4" xfId="0"/>
    <cellStyle name="Normal 6 4 4 2 4 2 2 4 2" xfId="0"/>
    <cellStyle name="Normal 6 4 4 2 4 2 2 5" xfId="0"/>
    <cellStyle name="Normal 6 4 4 2 4 2 3" xfId="0"/>
    <cellStyle name="Normal 6 4 4 2 4 2 3 2" xfId="0"/>
    <cellStyle name="Normal 6 4 4 2 4 2 3 2 2" xfId="0"/>
    <cellStyle name="Normal 6 4 4 2 4 2 3 2 2 2" xfId="0"/>
    <cellStyle name="Normal 6 4 4 2 4 2 3 2 3" xfId="0"/>
    <cellStyle name="Normal 6 4 4 2 4 2 3 3" xfId="0"/>
    <cellStyle name="Normal 6 4 4 2 4 2 3 3 2" xfId="0"/>
    <cellStyle name="Normal 6 4 4 2 4 2 3 4" xfId="0"/>
    <cellStyle name="Normal 6 4 4 2 4 2 4" xfId="0"/>
    <cellStyle name="Normal 6 4 4 2 4 2 4 2" xfId="0"/>
    <cellStyle name="Normal 6 4 4 2 4 2 4 2 2" xfId="0"/>
    <cellStyle name="Normal 6 4 4 2 4 2 4 3" xfId="0"/>
    <cellStyle name="Normal 6 4 4 2 4 2 5" xfId="0"/>
    <cellStyle name="Normal 6 4 4 2 4 2 5 2" xfId="0"/>
    <cellStyle name="Normal 6 4 4 2 4 2 6" xfId="0"/>
    <cellStyle name="Normal 6 4 4 2 4 3" xfId="0"/>
    <cellStyle name="Normal 6 4 4 2 4 3 2" xfId="0"/>
    <cellStyle name="Normal 6 4 4 2 4 3 2 2" xfId="0"/>
    <cellStyle name="Normal 6 4 4 2 4 3 2 2 2" xfId="0"/>
    <cellStyle name="Normal 6 4 4 2 4 3 2 2 2 2" xfId="0"/>
    <cellStyle name="Normal 6 4 4 2 4 3 2 2 3" xfId="0"/>
    <cellStyle name="Normal 6 4 4 2 4 3 2 3" xfId="0"/>
    <cellStyle name="Normal 6 4 4 2 4 3 2 3 2" xfId="0"/>
    <cellStyle name="Normal 6 4 4 2 4 3 2 4" xfId="0"/>
    <cellStyle name="Normal 6 4 4 2 4 3 3" xfId="0"/>
    <cellStyle name="Normal 6 4 4 2 4 3 3 2" xfId="0"/>
    <cellStyle name="Normal 6 4 4 2 4 3 3 2 2" xfId="0"/>
    <cellStyle name="Normal 6 4 4 2 4 3 3 3" xfId="0"/>
    <cellStyle name="Normal 6 4 4 2 4 3 4" xfId="0"/>
    <cellStyle name="Normal 6 4 4 2 4 3 4 2" xfId="0"/>
    <cellStyle name="Normal 6 4 4 2 4 3 5" xfId="0"/>
    <cellStyle name="Normal 6 4 4 2 4 4" xfId="0"/>
    <cellStyle name="Normal 6 4 4 2 4 4 2" xfId="0"/>
    <cellStyle name="Normal 6 4 4 2 4 4 2 2" xfId="0"/>
    <cellStyle name="Normal 6 4 4 2 4 4 2 2 2" xfId="0"/>
    <cellStyle name="Normal 6 4 4 2 4 4 2 3" xfId="0"/>
    <cellStyle name="Normal 6 4 4 2 4 4 3" xfId="0"/>
    <cellStyle name="Normal 6 4 4 2 4 4 3 2" xfId="0"/>
    <cellStyle name="Normal 6 4 4 2 4 4 4" xfId="0"/>
    <cellStyle name="Normal 6 4 4 2 4 5" xfId="0"/>
    <cellStyle name="Normal 6 4 4 2 4 5 2" xfId="0"/>
    <cellStyle name="Normal 6 4 4 2 4 5 2 2" xfId="0"/>
    <cellStyle name="Normal 6 4 4 2 4 5 3" xfId="0"/>
    <cellStyle name="Normal 6 4 4 2 4 6" xfId="0"/>
    <cellStyle name="Normal 6 4 4 2 4 6 2" xfId="0"/>
    <cellStyle name="Normal 6 4 4 2 4 7" xfId="0"/>
    <cellStyle name="Normal 6 4 4 2 5" xfId="0"/>
    <cellStyle name="Normal 6 4 4 2 5 2" xfId="0"/>
    <cellStyle name="Normal 6 4 4 2 5 2 2" xfId="0"/>
    <cellStyle name="Normal 6 4 4 2 5 2 2 2" xfId="0"/>
    <cellStyle name="Normal 6 4 4 2 5 2 2 2 2" xfId="0"/>
    <cellStyle name="Normal 6 4 4 2 5 2 2 2 2 2" xfId="0"/>
    <cellStyle name="Normal 6 4 4 2 5 2 2 2 2 2 2" xfId="0"/>
    <cellStyle name="Normal 6 4 4 2 5 2 2 2 2 3" xfId="0"/>
    <cellStyle name="Normal 6 4 4 2 5 2 2 2 3" xfId="0"/>
    <cellStyle name="Normal 6 4 4 2 5 2 2 2 3 2" xfId="0"/>
    <cellStyle name="Normal 6 4 4 2 5 2 2 2 4" xfId="0"/>
    <cellStyle name="Normal 6 4 4 2 5 2 2 3" xfId="0"/>
    <cellStyle name="Normal 6 4 4 2 5 2 2 3 2" xfId="0"/>
    <cellStyle name="Normal 6 4 4 2 5 2 2 3 2 2" xfId="0"/>
    <cellStyle name="Normal 6 4 4 2 5 2 2 3 3" xfId="0"/>
    <cellStyle name="Normal 6 4 4 2 5 2 2 4" xfId="0"/>
    <cellStyle name="Normal 6 4 4 2 5 2 2 4 2" xfId="0"/>
    <cellStyle name="Normal 6 4 4 2 5 2 2 5" xfId="0"/>
    <cellStyle name="Normal 6 4 4 2 5 2 3" xfId="0"/>
    <cellStyle name="Normal 6 4 4 2 5 2 3 2" xfId="0"/>
    <cellStyle name="Normal 6 4 4 2 5 2 3 2 2" xfId="0"/>
    <cellStyle name="Normal 6 4 4 2 5 2 3 2 2 2" xfId="0"/>
    <cellStyle name="Normal 6 4 4 2 5 2 3 2 3" xfId="0"/>
    <cellStyle name="Normal 6 4 4 2 5 2 3 3" xfId="0"/>
    <cellStyle name="Normal 6 4 4 2 5 2 3 3 2" xfId="0"/>
    <cellStyle name="Normal 6 4 4 2 5 2 3 4" xfId="0"/>
    <cellStyle name="Normal 6 4 4 2 5 2 4" xfId="0"/>
    <cellStyle name="Normal 6 4 4 2 5 2 4 2" xfId="0"/>
    <cellStyle name="Normal 6 4 4 2 5 2 4 2 2" xfId="0"/>
    <cellStyle name="Normal 6 4 4 2 5 2 4 3" xfId="0"/>
    <cellStyle name="Normal 6 4 4 2 5 2 5" xfId="0"/>
    <cellStyle name="Normal 6 4 4 2 5 2 5 2" xfId="0"/>
    <cellStyle name="Normal 6 4 4 2 5 2 6" xfId="0"/>
    <cellStyle name="Normal 6 4 4 2 5 3" xfId="0"/>
    <cellStyle name="Normal 6 4 4 2 5 3 2" xfId="0"/>
    <cellStyle name="Normal 6 4 4 2 5 3 2 2" xfId="0"/>
    <cellStyle name="Normal 6 4 4 2 5 3 2 2 2" xfId="0"/>
    <cellStyle name="Normal 6 4 4 2 5 3 2 2 2 2" xfId="0"/>
    <cellStyle name="Normal 6 4 4 2 5 3 2 2 3" xfId="0"/>
    <cellStyle name="Normal 6 4 4 2 5 3 2 3" xfId="0"/>
    <cellStyle name="Normal 6 4 4 2 5 3 2 3 2" xfId="0"/>
    <cellStyle name="Normal 6 4 4 2 5 3 2 4" xfId="0"/>
    <cellStyle name="Normal 6 4 4 2 5 3 3" xfId="0"/>
    <cellStyle name="Normal 6 4 4 2 5 3 3 2" xfId="0"/>
    <cellStyle name="Normal 6 4 4 2 5 3 3 2 2" xfId="0"/>
    <cellStyle name="Normal 6 4 4 2 5 3 3 3" xfId="0"/>
    <cellStyle name="Normal 6 4 4 2 5 3 4" xfId="0"/>
    <cellStyle name="Normal 6 4 4 2 5 3 4 2" xfId="0"/>
    <cellStyle name="Normal 6 4 4 2 5 3 5" xfId="0"/>
    <cellStyle name="Normal 6 4 4 2 5 4" xfId="0"/>
    <cellStyle name="Normal 6 4 4 2 5 4 2" xfId="0"/>
    <cellStyle name="Normal 6 4 4 2 5 4 2 2" xfId="0"/>
    <cellStyle name="Normal 6 4 4 2 5 4 2 2 2" xfId="0"/>
    <cellStyle name="Normal 6 4 4 2 5 4 2 3" xfId="0"/>
    <cellStyle name="Normal 6 4 4 2 5 4 3" xfId="0"/>
    <cellStyle name="Normal 6 4 4 2 5 4 3 2" xfId="0"/>
    <cellStyle name="Normal 6 4 4 2 5 4 4" xfId="0"/>
    <cellStyle name="Normal 6 4 4 2 5 5" xfId="0"/>
    <cellStyle name="Normal 6 4 4 2 5 5 2" xfId="0"/>
    <cellStyle name="Normal 6 4 4 2 5 5 2 2" xfId="0"/>
    <cellStyle name="Normal 6 4 4 2 5 5 3" xfId="0"/>
    <cellStyle name="Normal 6 4 4 2 5 6" xfId="0"/>
    <cellStyle name="Normal 6 4 4 2 5 6 2" xfId="0"/>
    <cellStyle name="Normal 6 4 4 2 5 7" xfId="0"/>
    <cellStyle name="Normal 6 4 4 2 6" xfId="0"/>
    <cellStyle name="Normal 6 4 4 2 6 2" xfId="0"/>
    <cellStyle name="Normal 6 4 4 2 6 2 2" xfId="0"/>
    <cellStyle name="Normal 6 4 4 2 6 2 2 2" xfId="0"/>
    <cellStyle name="Normal 6 4 4 2 6 2 2 2 2" xfId="0"/>
    <cellStyle name="Normal 6 4 4 2 6 2 2 2 2 2" xfId="0"/>
    <cellStyle name="Normal 6 4 4 2 6 2 2 2 3" xfId="0"/>
    <cellStyle name="Normal 6 4 4 2 6 2 2 3" xfId="0"/>
    <cellStyle name="Normal 6 4 4 2 6 2 2 3 2" xfId="0"/>
    <cellStyle name="Normal 6 4 4 2 6 2 2 4" xfId="0"/>
    <cellStyle name="Normal 6 4 4 2 6 2 3" xfId="0"/>
    <cellStyle name="Normal 6 4 4 2 6 2 3 2" xfId="0"/>
    <cellStyle name="Normal 6 4 4 2 6 2 3 2 2" xfId="0"/>
    <cellStyle name="Normal 6 4 4 2 6 2 3 3" xfId="0"/>
    <cellStyle name="Normal 6 4 4 2 6 2 4" xfId="0"/>
    <cellStyle name="Normal 6 4 4 2 6 2 4 2" xfId="0"/>
    <cellStyle name="Normal 6 4 4 2 6 2 5" xfId="0"/>
    <cellStyle name="Normal 6 4 4 2 6 3" xfId="0"/>
    <cellStyle name="Normal 6 4 4 2 6 3 2" xfId="0"/>
    <cellStyle name="Normal 6 4 4 2 6 3 2 2" xfId="0"/>
    <cellStyle name="Normal 6 4 4 2 6 3 2 2 2" xfId="0"/>
    <cellStyle name="Normal 6 4 4 2 6 3 2 3" xfId="0"/>
    <cellStyle name="Normal 6 4 4 2 6 3 3" xfId="0"/>
    <cellStyle name="Normal 6 4 4 2 6 3 3 2" xfId="0"/>
    <cellStyle name="Normal 6 4 4 2 6 3 4" xfId="0"/>
    <cellStyle name="Normal 6 4 4 2 6 4" xfId="0"/>
    <cellStyle name="Normal 6 4 4 2 6 4 2" xfId="0"/>
    <cellStyle name="Normal 6 4 4 2 6 4 2 2" xfId="0"/>
    <cellStyle name="Normal 6 4 4 2 6 4 3" xfId="0"/>
    <cellStyle name="Normal 6 4 4 2 6 5" xfId="0"/>
    <cellStyle name="Normal 6 4 4 2 6 5 2" xfId="0"/>
    <cellStyle name="Normal 6 4 4 2 6 6" xfId="0"/>
    <cellStyle name="Normal 6 4 4 2 7" xfId="0"/>
    <cellStyle name="Normal 6 4 4 2 7 2" xfId="0"/>
    <cellStyle name="Normal 6 4 4 2 7 2 2" xfId="0"/>
    <cellStyle name="Normal 6 4 4 2 7 2 2 2" xfId="0"/>
    <cellStyle name="Normal 6 4 4 2 7 2 2 2 2" xfId="0"/>
    <cellStyle name="Normal 6 4 4 2 7 2 2 3" xfId="0"/>
    <cellStyle name="Normal 6 4 4 2 7 2 3" xfId="0"/>
    <cellStyle name="Normal 6 4 4 2 7 2 3 2" xfId="0"/>
    <cellStyle name="Normal 6 4 4 2 7 2 4" xfId="0"/>
    <cellStyle name="Normal 6 4 4 2 7 3" xfId="0"/>
    <cellStyle name="Normal 6 4 4 2 7 3 2" xfId="0"/>
    <cellStyle name="Normal 6 4 4 2 7 3 2 2" xfId="0"/>
    <cellStyle name="Normal 6 4 4 2 7 3 3" xfId="0"/>
    <cellStyle name="Normal 6 4 4 2 7 4" xfId="0"/>
    <cellStyle name="Normal 6 4 4 2 7 4 2" xfId="0"/>
    <cellStyle name="Normal 6 4 4 2 7 5" xfId="0"/>
    <cellStyle name="Normal 6 4 4 2 8" xfId="0"/>
    <cellStyle name="Normal 6 4 4 2 8 2" xfId="0"/>
    <cellStyle name="Normal 6 4 4 2 8 2 2" xfId="0"/>
    <cellStyle name="Normal 6 4 4 2 8 2 2 2" xfId="0"/>
    <cellStyle name="Normal 6 4 4 2 8 2 3" xfId="0"/>
    <cellStyle name="Normal 6 4 4 2 8 3" xfId="0"/>
    <cellStyle name="Normal 6 4 4 2 8 3 2" xfId="0"/>
    <cellStyle name="Normal 6 4 4 2 8 4" xfId="0"/>
    <cellStyle name="Normal 6 4 4 2 9" xfId="0"/>
    <cellStyle name="Normal 6 4 4 2 9 2" xfId="0"/>
    <cellStyle name="Normal 6 4 4 2 9 2 2" xfId="0"/>
    <cellStyle name="Normal 6 4 4 2 9 3" xfId="0"/>
    <cellStyle name="Normal 6 4 4 3" xfId="0"/>
    <cellStyle name="Normal 6 4 4 3 2" xfId="0"/>
    <cellStyle name="Normal 6 4 4 3 2 2" xfId="0"/>
    <cellStyle name="Normal 6 4 4 3 2 2 2" xfId="0"/>
    <cellStyle name="Normal 6 4 4 3 2 2 2 2" xfId="0"/>
    <cellStyle name="Normal 6 4 4 3 2 2 2 2 2" xfId="0"/>
    <cellStyle name="Normal 6 4 4 3 2 2 2 2 2 2" xfId="0"/>
    <cellStyle name="Normal 6 4 4 3 2 2 2 2 2 2 2" xfId="0"/>
    <cellStyle name="Normal 6 4 4 3 2 2 2 2 2 3" xfId="0"/>
    <cellStyle name="Normal 6 4 4 3 2 2 2 2 3" xfId="0"/>
    <cellStyle name="Normal 6 4 4 3 2 2 2 2 3 2" xfId="0"/>
    <cellStyle name="Normal 6 4 4 3 2 2 2 2 4" xfId="0"/>
    <cellStyle name="Normal 6 4 4 3 2 2 2 3" xfId="0"/>
    <cellStyle name="Normal 6 4 4 3 2 2 2 3 2" xfId="0"/>
    <cellStyle name="Normal 6 4 4 3 2 2 2 3 2 2" xfId="0"/>
    <cellStyle name="Normal 6 4 4 3 2 2 2 3 3" xfId="0"/>
    <cellStyle name="Normal 6 4 4 3 2 2 2 4" xfId="0"/>
    <cellStyle name="Normal 6 4 4 3 2 2 2 4 2" xfId="0"/>
    <cellStyle name="Normal 6 4 4 3 2 2 2 5" xfId="0"/>
    <cellStyle name="Normal 6 4 4 3 2 2 3" xfId="0"/>
    <cellStyle name="Normal 6 4 4 3 2 2 3 2" xfId="0"/>
    <cellStyle name="Normal 6 4 4 3 2 2 3 2 2" xfId="0"/>
    <cellStyle name="Normal 6 4 4 3 2 2 3 2 2 2" xfId="0"/>
    <cellStyle name="Normal 6 4 4 3 2 2 3 2 3" xfId="0"/>
    <cellStyle name="Normal 6 4 4 3 2 2 3 3" xfId="0"/>
    <cellStyle name="Normal 6 4 4 3 2 2 3 3 2" xfId="0"/>
    <cellStyle name="Normal 6 4 4 3 2 2 3 4" xfId="0"/>
    <cellStyle name="Normal 6 4 4 3 2 2 4" xfId="0"/>
    <cellStyle name="Normal 6 4 4 3 2 2 4 2" xfId="0"/>
    <cellStyle name="Normal 6 4 4 3 2 2 4 2 2" xfId="0"/>
    <cellStyle name="Normal 6 4 4 3 2 2 4 3" xfId="0"/>
    <cellStyle name="Normal 6 4 4 3 2 2 5" xfId="0"/>
    <cellStyle name="Normal 6 4 4 3 2 2 5 2" xfId="0"/>
    <cellStyle name="Normal 6 4 4 3 2 2 6" xfId="0"/>
    <cellStyle name="Normal 6 4 4 3 2 3" xfId="0"/>
    <cellStyle name="Normal 6 4 4 3 2 3 2" xfId="0"/>
    <cellStyle name="Normal 6 4 4 3 2 3 2 2" xfId="0"/>
    <cellStyle name="Normal 6 4 4 3 2 3 2 2 2" xfId="0"/>
    <cellStyle name="Normal 6 4 4 3 2 3 2 2 2 2" xfId="0"/>
    <cellStyle name="Normal 6 4 4 3 2 3 2 2 3" xfId="0"/>
    <cellStyle name="Normal 6 4 4 3 2 3 2 3" xfId="0"/>
    <cellStyle name="Normal 6 4 4 3 2 3 2 3 2" xfId="0"/>
    <cellStyle name="Normal 6 4 4 3 2 3 2 4" xfId="0"/>
    <cellStyle name="Normal 6 4 4 3 2 3 3" xfId="0"/>
    <cellStyle name="Normal 6 4 4 3 2 3 3 2" xfId="0"/>
    <cellStyle name="Normal 6 4 4 3 2 3 3 2 2" xfId="0"/>
    <cellStyle name="Normal 6 4 4 3 2 3 3 3" xfId="0"/>
    <cellStyle name="Normal 6 4 4 3 2 3 4" xfId="0"/>
    <cellStyle name="Normal 6 4 4 3 2 3 4 2" xfId="0"/>
    <cellStyle name="Normal 6 4 4 3 2 3 5" xfId="0"/>
    <cellStyle name="Normal 6 4 4 3 2 4" xfId="0"/>
    <cellStyle name="Normal 6 4 4 3 2 4 2" xfId="0"/>
    <cellStyle name="Normal 6 4 4 3 2 4 2 2" xfId="0"/>
    <cellStyle name="Normal 6 4 4 3 2 4 2 2 2" xfId="0"/>
    <cellStyle name="Normal 6 4 4 3 2 4 2 3" xfId="0"/>
    <cellStyle name="Normal 6 4 4 3 2 4 3" xfId="0"/>
    <cellStyle name="Normal 6 4 4 3 2 4 3 2" xfId="0"/>
    <cellStyle name="Normal 6 4 4 3 2 4 4" xfId="0"/>
    <cellStyle name="Normal 6 4 4 3 2 5" xfId="0"/>
    <cellStyle name="Normal 6 4 4 3 2 5 2" xfId="0"/>
    <cellStyle name="Normal 6 4 4 3 2 5 2 2" xfId="0"/>
    <cellStyle name="Normal 6 4 4 3 2 5 3" xfId="0"/>
    <cellStyle name="Normal 6 4 4 3 2 6" xfId="0"/>
    <cellStyle name="Normal 6 4 4 3 2 6 2" xfId="0"/>
    <cellStyle name="Normal 6 4 4 3 2 7" xfId="0"/>
    <cellStyle name="Normal 6 4 4 3 3" xfId="0"/>
    <cellStyle name="Normal 6 4 4 3 3 2" xfId="0"/>
    <cellStyle name="Normal 6 4 4 3 3 2 2" xfId="0"/>
    <cellStyle name="Normal 6 4 4 3 3 2 2 2" xfId="0"/>
    <cellStyle name="Normal 6 4 4 3 3 2 2 2 2" xfId="0"/>
    <cellStyle name="Normal 6 4 4 3 3 2 2 2 2 2" xfId="0"/>
    <cellStyle name="Normal 6 4 4 3 3 2 2 2 3" xfId="0"/>
    <cellStyle name="Normal 6 4 4 3 3 2 2 3" xfId="0"/>
    <cellStyle name="Normal 6 4 4 3 3 2 2 3 2" xfId="0"/>
    <cellStyle name="Normal 6 4 4 3 3 2 2 4" xfId="0"/>
    <cellStyle name="Normal 6 4 4 3 3 2 3" xfId="0"/>
    <cellStyle name="Normal 6 4 4 3 3 2 3 2" xfId="0"/>
    <cellStyle name="Normal 6 4 4 3 3 2 3 2 2" xfId="0"/>
    <cellStyle name="Normal 6 4 4 3 3 2 3 3" xfId="0"/>
    <cellStyle name="Normal 6 4 4 3 3 2 4" xfId="0"/>
    <cellStyle name="Normal 6 4 4 3 3 2 4 2" xfId="0"/>
    <cellStyle name="Normal 6 4 4 3 3 2 5" xfId="0"/>
    <cellStyle name="Normal 6 4 4 3 3 3" xfId="0"/>
    <cellStyle name="Normal 6 4 4 3 3 3 2" xfId="0"/>
    <cellStyle name="Normal 6 4 4 3 3 3 2 2" xfId="0"/>
    <cellStyle name="Normal 6 4 4 3 3 3 2 2 2" xfId="0"/>
    <cellStyle name="Normal 6 4 4 3 3 3 2 3" xfId="0"/>
    <cellStyle name="Normal 6 4 4 3 3 3 3" xfId="0"/>
    <cellStyle name="Normal 6 4 4 3 3 3 3 2" xfId="0"/>
    <cellStyle name="Normal 6 4 4 3 3 3 4" xfId="0"/>
    <cellStyle name="Normal 6 4 4 3 3 4" xfId="0"/>
    <cellStyle name="Normal 6 4 4 3 3 4 2" xfId="0"/>
    <cellStyle name="Normal 6 4 4 3 3 4 2 2" xfId="0"/>
    <cellStyle name="Normal 6 4 4 3 3 4 3" xfId="0"/>
    <cellStyle name="Normal 6 4 4 3 3 5" xfId="0"/>
    <cellStyle name="Normal 6 4 4 3 3 5 2" xfId="0"/>
    <cellStyle name="Normal 6 4 4 3 3 6" xfId="0"/>
    <cellStyle name="Normal 6 4 4 3 4" xfId="0"/>
    <cellStyle name="Normal 6 4 4 3 4 2" xfId="0"/>
    <cellStyle name="Normal 6 4 4 3 4 2 2" xfId="0"/>
    <cellStyle name="Normal 6 4 4 3 4 2 2 2" xfId="0"/>
    <cellStyle name="Normal 6 4 4 3 4 2 2 2 2" xfId="0"/>
    <cellStyle name="Normal 6 4 4 3 4 2 2 3" xfId="0"/>
    <cellStyle name="Normal 6 4 4 3 4 2 3" xfId="0"/>
    <cellStyle name="Normal 6 4 4 3 4 2 3 2" xfId="0"/>
    <cellStyle name="Normal 6 4 4 3 4 2 4" xfId="0"/>
    <cellStyle name="Normal 6 4 4 3 4 3" xfId="0"/>
    <cellStyle name="Normal 6 4 4 3 4 3 2" xfId="0"/>
    <cellStyle name="Normal 6 4 4 3 4 3 2 2" xfId="0"/>
    <cellStyle name="Normal 6 4 4 3 4 3 3" xfId="0"/>
    <cellStyle name="Normal 6 4 4 3 4 4" xfId="0"/>
    <cellStyle name="Normal 6 4 4 3 4 4 2" xfId="0"/>
    <cellStyle name="Normal 6 4 4 3 4 5" xfId="0"/>
    <cellStyle name="Normal 6 4 4 3 5" xfId="0"/>
    <cellStyle name="Normal 6 4 4 3 5 2" xfId="0"/>
    <cellStyle name="Normal 6 4 4 3 5 2 2" xfId="0"/>
    <cellStyle name="Normal 6 4 4 3 5 2 2 2" xfId="0"/>
    <cellStyle name="Normal 6 4 4 3 5 2 3" xfId="0"/>
    <cellStyle name="Normal 6 4 4 3 5 3" xfId="0"/>
    <cellStyle name="Normal 6 4 4 3 5 3 2" xfId="0"/>
    <cellStyle name="Normal 6 4 4 3 5 4" xfId="0"/>
    <cellStyle name="Normal 6 4 4 3 6" xfId="0"/>
    <cellStyle name="Normal 6 4 4 3 6 2" xfId="0"/>
    <cellStyle name="Normal 6 4 4 3 6 2 2" xfId="0"/>
    <cellStyle name="Normal 6 4 4 3 6 3" xfId="0"/>
    <cellStyle name="Normal 6 4 4 3 7" xfId="0"/>
    <cellStyle name="Normal 6 4 4 3 7 2" xfId="0"/>
    <cellStyle name="Normal 6 4 4 3 8" xfId="0"/>
    <cellStyle name="Normal 6 4 4 4" xfId="0"/>
    <cellStyle name="Normal 6 4 4 4 2" xfId="0"/>
    <cellStyle name="Normal 6 4 4 4 2 2" xfId="0"/>
    <cellStyle name="Normal 6 4 4 4 2 2 2" xfId="0"/>
    <cellStyle name="Normal 6 4 4 4 2 2 2 2" xfId="0"/>
    <cellStyle name="Normal 6 4 4 4 2 2 2 2 2" xfId="0"/>
    <cellStyle name="Normal 6 4 4 4 2 2 2 2 2 2" xfId="0"/>
    <cellStyle name="Normal 6 4 4 4 2 2 2 2 2 2 2" xfId="0"/>
    <cellStyle name="Normal 6 4 4 4 2 2 2 2 2 3" xfId="0"/>
    <cellStyle name="Normal 6 4 4 4 2 2 2 2 3" xfId="0"/>
    <cellStyle name="Normal 6 4 4 4 2 2 2 2 3 2" xfId="0"/>
    <cellStyle name="Normal 6 4 4 4 2 2 2 2 4" xfId="0"/>
    <cellStyle name="Normal 6 4 4 4 2 2 2 3" xfId="0"/>
    <cellStyle name="Normal 6 4 4 4 2 2 2 3 2" xfId="0"/>
    <cellStyle name="Normal 6 4 4 4 2 2 2 3 2 2" xfId="0"/>
    <cellStyle name="Normal 6 4 4 4 2 2 2 3 3" xfId="0"/>
    <cellStyle name="Normal 6 4 4 4 2 2 2 4" xfId="0"/>
    <cellStyle name="Normal 6 4 4 4 2 2 2 4 2" xfId="0"/>
    <cellStyle name="Normal 6 4 4 4 2 2 2 5" xfId="0"/>
    <cellStyle name="Normal 6 4 4 4 2 2 3" xfId="0"/>
    <cellStyle name="Normal 6 4 4 4 2 2 3 2" xfId="0"/>
    <cellStyle name="Normal 6 4 4 4 2 2 3 2 2" xfId="0"/>
    <cellStyle name="Normal 6 4 4 4 2 2 3 2 2 2" xfId="0"/>
    <cellStyle name="Normal 6 4 4 4 2 2 3 2 3" xfId="0"/>
    <cellStyle name="Normal 6 4 4 4 2 2 3 3" xfId="0"/>
    <cellStyle name="Normal 6 4 4 4 2 2 3 3 2" xfId="0"/>
    <cellStyle name="Normal 6 4 4 4 2 2 3 4" xfId="0"/>
    <cellStyle name="Normal 6 4 4 4 2 2 4" xfId="0"/>
    <cellStyle name="Normal 6 4 4 4 2 2 4 2" xfId="0"/>
    <cellStyle name="Normal 6 4 4 4 2 2 4 2 2" xfId="0"/>
    <cellStyle name="Normal 6 4 4 4 2 2 4 3" xfId="0"/>
    <cellStyle name="Normal 6 4 4 4 2 2 5" xfId="0"/>
    <cellStyle name="Normal 6 4 4 4 2 2 5 2" xfId="0"/>
    <cellStyle name="Normal 6 4 4 4 2 2 6" xfId="0"/>
    <cellStyle name="Normal 6 4 4 4 2 3" xfId="0"/>
    <cellStyle name="Normal 6 4 4 4 2 3 2" xfId="0"/>
    <cellStyle name="Normal 6 4 4 4 2 3 2 2" xfId="0"/>
    <cellStyle name="Normal 6 4 4 4 2 3 2 2 2" xfId="0"/>
    <cellStyle name="Normal 6 4 4 4 2 3 2 2 2 2" xfId="0"/>
    <cellStyle name="Normal 6 4 4 4 2 3 2 2 3" xfId="0"/>
    <cellStyle name="Normal 6 4 4 4 2 3 2 3" xfId="0"/>
    <cellStyle name="Normal 6 4 4 4 2 3 2 3 2" xfId="0"/>
    <cellStyle name="Normal 6 4 4 4 2 3 2 4" xfId="0"/>
    <cellStyle name="Normal 6 4 4 4 2 3 3" xfId="0"/>
    <cellStyle name="Normal 6 4 4 4 2 3 3 2" xfId="0"/>
    <cellStyle name="Normal 6 4 4 4 2 3 3 2 2" xfId="0"/>
    <cellStyle name="Normal 6 4 4 4 2 3 3 3" xfId="0"/>
    <cellStyle name="Normal 6 4 4 4 2 3 4" xfId="0"/>
    <cellStyle name="Normal 6 4 4 4 2 3 4 2" xfId="0"/>
    <cellStyle name="Normal 6 4 4 4 2 3 5" xfId="0"/>
    <cellStyle name="Normal 6 4 4 4 2 4" xfId="0"/>
    <cellStyle name="Normal 6 4 4 4 2 4 2" xfId="0"/>
    <cellStyle name="Normal 6 4 4 4 2 4 2 2" xfId="0"/>
    <cellStyle name="Normal 6 4 4 4 2 4 2 2 2" xfId="0"/>
    <cellStyle name="Normal 6 4 4 4 2 4 2 3" xfId="0"/>
    <cellStyle name="Normal 6 4 4 4 2 4 3" xfId="0"/>
    <cellStyle name="Normal 6 4 4 4 2 4 3 2" xfId="0"/>
    <cellStyle name="Normal 6 4 4 4 2 4 4" xfId="0"/>
    <cellStyle name="Normal 6 4 4 4 2 5" xfId="0"/>
    <cellStyle name="Normal 6 4 4 4 2 5 2" xfId="0"/>
    <cellStyle name="Normal 6 4 4 4 2 5 2 2" xfId="0"/>
    <cellStyle name="Normal 6 4 4 4 2 5 3" xfId="0"/>
    <cellStyle name="Normal 6 4 4 4 2 6" xfId="0"/>
    <cellStyle name="Normal 6 4 4 4 2 6 2" xfId="0"/>
    <cellStyle name="Normal 6 4 4 4 2 7" xfId="0"/>
    <cellStyle name="Normal 6 4 4 4 3" xfId="0"/>
    <cellStyle name="Normal 6 4 4 4 3 2" xfId="0"/>
    <cellStyle name="Normal 6 4 4 4 3 2 2" xfId="0"/>
    <cellStyle name="Normal 6 4 4 4 3 2 2 2" xfId="0"/>
    <cellStyle name="Normal 6 4 4 4 3 2 2 2 2" xfId="0"/>
    <cellStyle name="Normal 6 4 4 4 3 2 2 2 2 2" xfId="0"/>
    <cellStyle name="Normal 6 4 4 4 3 2 2 2 3" xfId="0"/>
    <cellStyle name="Normal 6 4 4 4 3 2 2 3" xfId="0"/>
    <cellStyle name="Normal 6 4 4 4 3 2 2 3 2" xfId="0"/>
    <cellStyle name="Normal 6 4 4 4 3 2 2 4" xfId="0"/>
    <cellStyle name="Normal 6 4 4 4 3 2 3" xfId="0"/>
    <cellStyle name="Normal 6 4 4 4 3 2 3 2" xfId="0"/>
    <cellStyle name="Normal 6 4 4 4 3 2 3 2 2" xfId="0"/>
    <cellStyle name="Normal 6 4 4 4 3 2 3 3" xfId="0"/>
    <cellStyle name="Normal 6 4 4 4 3 2 4" xfId="0"/>
    <cellStyle name="Normal 6 4 4 4 3 2 4 2" xfId="0"/>
    <cellStyle name="Normal 6 4 4 4 3 2 5" xfId="0"/>
    <cellStyle name="Normal 6 4 4 4 3 3" xfId="0"/>
    <cellStyle name="Normal 6 4 4 4 3 3 2" xfId="0"/>
    <cellStyle name="Normal 6 4 4 4 3 3 2 2" xfId="0"/>
    <cellStyle name="Normal 6 4 4 4 3 3 2 2 2" xfId="0"/>
    <cellStyle name="Normal 6 4 4 4 3 3 2 3" xfId="0"/>
    <cellStyle name="Normal 6 4 4 4 3 3 3" xfId="0"/>
    <cellStyle name="Normal 6 4 4 4 3 3 3 2" xfId="0"/>
    <cellStyle name="Normal 6 4 4 4 3 3 4" xfId="0"/>
    <cellStyle name="Normal 6 4 4 4 3 4" xfId="0"/>
    <cellStyle name="Normal 6 4 4 4 3 4 2" xfId="0"/>
    <cellStyle name="Normal 6 4 4 4 3 4 2 2" xfId="0"/>
    <cellStyle name="Normal 6 4 4 4 3 4 3" xfId="0"/>
    <cellStyle name="Normal 6 4 4 4 3 5" xfId="0"/>
    <cellStyle name="Normal 6 4 4 4 3 5 2" xfId="0"/>
    <cellStyle name="Normal 6 4 4 4 3 6" xfId="0"/>
    <cellStyle name="Normal 6 4 4 4 4" xfId="0"/>
    <cellStyle name="Normal 6 4 4 4 4 2" xfId="0"/>
    <cellStyle name="Normal 6 4 4 4 4 2 2" xfId="0"/>
    <cellStyle name="Normal 6 4 4 4 4 2 2 2" xfId="0"/>
    <cellStyle name="Normal 6 4 4 4 4 2 2 2 2" xfId="0"/>
    <cellStyle name="Normal 6 4 4 4 4 2 2 3" xfId="0"/>
    <cellStyle name="Normal 6 4 4 4 4 2 3" xfId="0"/>
    <cellStyle name="Normal 6 4 4 4 4 2 3 2" xfId="0"/>
    <cellStyle name="Normal 6 4 4 4 4 2 4" xfId="0"/>
    <cellStyle name="Normal 6 4 4 4 4 3" xfId="0"/>
    <cellStyle name="Normal 6 4 4 4 4 3 2" xfId="0"/>
    <cellStyle name="Normal 6 4 4 4 4 3 2 2" xfId="0"/>
    <cellStyle name="Normal 6 4 4 4 4 3 3" xfId="0"/>
    <cellStyle name="Normal 6 4 4 4 4 4" xfId="0"/>
    <cellStyle name="Normal 6 4 4 4 4 4 2" xfId="0"/>
    <cellStyle name="Normal 6 4 4 4 4 5" xfId="0"/>
    <cellStyle name="Normal 6 4 4 4 5" xfId="0"/>
    <cellStyle name="Normal 6 4 4 4 5 2" xfId="0"/>
    <cellStyle name="Normal 6 4 4 4 5 2 2" xfId="0"/>
    <cellStyle name="Normal 6 4 4 4 5 2 2 2" xfId="0"/>
    <cellStyle name="Normal 6 4 4 4 5 2 3" xfId="0"/>
    <cellStyle name="Normal 6 4 4 4 5 3" xfId="0"/>
    <cellStyle name="Normal 6 4 4 4 5 3 2" xfId="0"/>
    <cellStyle name="Normal 6 4 4 4 5 4" xfId="0"/>
    <cellStyle name="Normal 6 4 4 4 6" xfId="0"/>
    <cellStyle name="Normal 6 4 4 4 6 2" xfId="0"/>
    <cellStyle name="Normal 6 4 4 4 6 2 2" xfId="0"/>
    <cellStyle name="Normal 6 4 4 4 6 3" xfId="0"/>
    <cellStyle name="Normal 6 4 4 4 7" xfId="0"/>
    <cellStyle name="Normal 6 4 4 4 7 2" xfId="0"/>
    <cellStyle name="Normal 6 4 4 4 8" xfId="0"/>
    <cellStyle name="Normal 6 4 4 5" xfId="0"/>
    <cellStyle name="Normal 6 4 4 5 2" xfId="0"/>
    <cellStyle name="Normal 6 4 4 5 2 2" xfId="0"/>
    <cellStyle name="Normal 6 4 4 5 2 2 2" xfId="0"/>
    <cellStyle name="Normal 6 4 4 5 2 2 2 2" xfId="0"/>
    <cellStyle name="Normal 6 4 4 5 2 2 2 2 2" xfId="0"/>
    <cellStyle name="Normal 6 4 4 5 2 2 2 2 2 2" xfId="0"/>
    <cellStyle name="Normal 6 4 4 5 2 2 2 2 3" xfId="0"/>
    <cellStyle name="Normal 6 4 4 5 2 2 2 3" xfId="0"/>
    <cellStyle name="Normal 6 4 4 5 2 2 2 3 2" xfId="0"/>
    <cellStyle name="Normal 6 4 4 5 2 2 2 4" xfId="0"/>
    <cellStyle name="Normal 6 4 4 5 2 2 3" xfId="0"/>
    <cellStyle name="Normal 6 4 4 5 2 2 3 2" xfId="0"/>
    <cellStyle name="Normal 6 4 4 5 2 2 3 2 2" xfId="0"/>
    <cellStyle name="Normal 6 4 4 5 2 2 3 3" xfId="0"/>
    <cellStyle name="Normal 6 4 4 5 2 2 4" xfId="0"/>
    <cellStyle name="Normal 6 4 4 5 2 2 4 2" xfId="0"/>
    <cellStyle name="Normal 6 4 4 5 2 2 5" xfId="0"/>
    <cellStyle name="Normal 6 4 4 5 2 3" xfId="0"/>
    <cellStyle name="Normal 6 4 4 5 2 3 2" xfId="0"/>
    <cellStyle name="Normal 6 4 4 5 2 3 2 2" xfId="0"/>
    <cellStyle name="Normal 6 4 4 5 2 3 2 2 2" xfId="0"/>
    <cellStyle name="Normal 6 4 4 5 2 3 2 3" xfId="0"/>
    <cellStyle name="Normal 6 4 4 5 2 3 3" xfId="0"/>
    <cellStyle name="Normal 6 4 4 5 2 3 3 2" xfId="0"/>
    <cellStyle name="Normal 6 4 4 5 2 3 4" xfId="0"/>
    <cellStyle name="Normal 6 4 4 5 2 4" xfId="0"/>
    <cellStyle name="Normal 6 4 4 5 2 4 2" xfId="0"/>
    <cellStyle name="Normal 6 4 4 5 2 4 2 2" xfId="0"/>
    <cellStyle name="Normal 6 4 4 5 2 4 3" xfId="0"/>
    <cellStyle name="Normal 6 4 4 5 2 5" xfId="0"/>
    <cellStyle name="Normal 6 4 4 5 2 5 2" xfId="0"/>
    <cellStyle name="Normal 6 4 4 5 2 6" xfId="0"/>
    <cellStyle name="Normal 6 4 4 5 3" xfId="0"/>
    <cellStyle name="Normal 6 4 4 5 3 2" xfId="0"/>
    <cellStyle name="Normal 6 4 4 5 3 2 2" xfId="0"/>
    <cellStyle name="Normal 6 4 4 5 3 2 2 2" xfId="0"/>
    <cellStyle name="Normal 6 4 4 5 3 2 2 2 2" xfId="0"/>
    <cellStyle name="Normal 6 4 4 5 3 2 2 3" xfId="0"/>
    <cellStyle name="Normal 6 4 4 5 3 2 3" xfId="0"/>
    <cellStyle name="Normal 6 4 4 5 3 2 3 2" xfId="0"/>
    <cellStyle name="Normal 6 4 4 5 3 2 4" xfId="0"/>
    <cellStyle name="Normal 6 4 4 5 3 3" xfId="0"/>
    <cellStyle name="Normal 6 4 4 5 3 3 2" xfId="0"/>
    <cellStyle name="Normal 6 4 4 5 3 3 2 2" xfId="0"/>
    <cellStyle name="Normal 6 4 4 5 3 3 3" xfId="0"/>
    <cellStyle name="Normal 6 4 4 5 3 4" xfId="0"/>
    <cellStyle name="Normal 6 4 4 5 3 4 2" xfId="0"/>
    <cellStyle name="Normal 6 4 4 5 3 5" xfId="0"/>
    <cellStyle name="Normal 6 4 4 5 4" xfId="0"/>
    <cellStyle name="Normal 6 4 4 5 4 2" xfId="0"/>
    <cellStyle name="Normal 6 4 4 5 4 2 2" xfId="0"/>
    <cellStyle name="Normal 6 4 4 5 4 2 2 2" xfId="0"/>
    <cellStyle name="Normal 6 4 4 5 4 2 3" xfId="0"/>
    <cellStyle name="Normal 6 4 4 5 4 3" xfId="0"/>
    <cellStyle name="Normal 6 4 4 5 4 3 2" xfId="0"/>
    <cellStyle name="Normal 6 4 4 5 4 4" xfId="0"/>
    <cellStyle name="Normal 6 4 4 5 5" xfId="0"/>
    <cellStyle name="Normal 6 4 4 5 5 2" xfId="0"/>
    <cellStyle name="Normal 6 4 4 5 5 2 2" xfId="0"/>
    <cellStyle name="Normal 6 4 4 5 5 3" xfId="0"/>
    <cellStyle name="Normal 6 4 4 5 6" xfId="0"/>
    <cellStyle name="Normal 6 4 4 5 6 2" xfId="0"/>
    <cellStyle name="Normal 6 4 4 5 7" xfId="0"/>
    <cellStyle name="Normal 6 4 4 6" xfId="0"/>
    <cellStyle name="Normal 6 4 4 6 2" xfId="0"/>
    <cellStyle name="Normal 6 4 4 6 2 2" xfId="0"/>
    <cellStyle name="Normal 6 4 4 6 2 2 2" xfId="0"/>
    <cellStyle name="Normal 6 4 4 6 2 2 2 2" xfId="0"/>
    <cellStyle name="Normal 6 4 4 6 2 2 2 2 2" xfId="0"/>
    <cellStyle name="Normal 6 4 4 6 2 2 2 2 2 2" xfId="0"/>
    <cellStyle name="Normal 6 4 4 6 2 2 2 2 3" xfId="0"/>
    <cellStyle name="Normal 6 4 4 6 2 2 2 3" xfId="0"/>
    <cellStyle name="Normal 6 4 4 6 2 2 2 3 2" xfId="0"/>
    <cellStyle name="Normal 6 4 4 6 2 2 2 4" xfId="0"/>
    <cellStyle name="Normal 6 4 4 6 2 2 3" xfId="0"/>
    <cellStyle name="Normal 6 4 4 6 2 2 3 2" xfId="0"/>
    <cellStyle name="Normal 6 4 4 6 2 2 3 2 2" xfId="0"/>
    <cellStyle name="Normal 6 4 4 6 2 2 3 3" xfId="0"/>
    <cellStyle name="Normal 6 4 4 6 2 2 4" xfId="0"/>
    <cellStyle name="Normal 6 4 4 6 2 2 4 2" xfId="0"/>
    <cellStyle name="Normal 6 4 4 6 2 2 5" xfId="0"/>
    <cellStyle name="Normal 6 4 4 6 2 3" xfId="0"/>
    <cellStyle name="Normal 6 4 4 6 2 3 2" xfId="0"/>
    <cellStyle name="Normal 6 4 4 6 2 3 2 2" xfId="0"/>
    <cellStyle name="Normal 6 4 4 6 2 3 2 2 2" xfId="0"/>
    <cellStyle name="Normal 6 4 4 6 2 3 2 3" xfId="0"/>
    <cellStyle name="Normal 6 4 4 6 2 3 3" xfId="0"/>
    <cellStyle name="Normal 6 4 4 6 2 3 3 2" xfId="0"/>
    <cellStyle name="Normal 6 4 4 6 2 3 4" xfId="0"/>
    <cellStyle name="Normal 6 4 4 6 2 4" xfId="0"/>
    <cellStyle name="Normal 6 4 4 6 2 4 2" xfId="0"/>
    <cellStyle name="Normal 6 4 4 6 2 4 2 2" xfId="0"/>
    <cellStyle name="Normal 6 4 4 6 2 4 3" xfId="0"/>
    <cellStyle name="Normal 6 4 4 6 2 5" xfId="0"/>
    <cellStyle name="Normal 6 4 4 6 2 5 2" xfId="0"/>
    <cellStyle name="Normal 6 4 4 6 2 6" xfId="0"/>
    <cellStyle name="Normal 6 4 4 6 3" xfId="0"/>
    <cellStyle name="Normal 6 4 4 6 3 2" xfId="0"/>
    <cellStyle name="Normal 6 4 4 6 3 2 2" xfId="0"/>
    <cellStyle name="Normal 6 4 4 6 3 2 2 2" xfId="0"/>
    <cellStyle name="Normal 6 4 4 6 3 2 2 2 2" xfId="0"/>
    <cellStyle name="Normal 6 4 4 6 3 2 2 3" xfId="0"/>
    <cellStyle name="Normal 6 4 4 6 3 2 3" xfId="0"/>
    <cellStyle name="Normal 6 4 4 6 3 2 3 2" xfId="0"/>
    <cellStyle name="Normal 6 4 4 6 3 2 4" xfId="0"/>
    <cellStyle name="Normal 6 4 4 6 3 3" xfId="0"/>
    <cellStyle name="Normal 6 4 4 6 3 3 2" xfId="0"/>
    <cellStyle name="Normal 6 4 4 6 3 3 2 2" xfId="0"/>
    <cellStyle name="Normal 6 4 4 6 3 3 3" xfId="0"/>
    <cellStyle name="Normal 6 4 4 6 3 4" xfId="0"/>
    <cellStyle name="Normal 6 4 4 6 3 4 2" xfId="0"/>
    <cellStyle name="Normal 6 4 4 6 3 5" xfId="0"/>
    <cellStyle name="Normal 6 4 4 6 4" xfId="0"/>
    <cellStyle name="Normal 6 4 4 6 4 2" xfId="0"/>
    <cellStyle name="Normal 6 4 4 6 4 2 2" xfId="0"/>
    <cellStyle name="Normal 6 4 4 6 4 2 2 2" xfId="0"/>
    <cellStyle name="Normal 6 4 4 6 4 2 3" xfId="0"/>
    <cellStyle name="Normal 6 4 4 6 4 3" xfId="0"/>
    <cellStyle name="Normal 6 4 4 6 4 3 2" xfId="0"/>
    <cellStyle name="Normal 6 4 4 6 4 4" xfId="0"/>
    <cellStyle name="Normal 6 4 4 6 5" xfId="0"/>
    <cellStyle name="Normal 6 4 4 6 5 2" xfId="0"/>
    <cellStyle name="Normal 6 4 4 6 5 2 2" xfId="0"/>
    <cellStyle name="Normal 6 4 4 6 5 3" xfId="0"/>
    <cellStyle name="Normal 6 4 4 6 6" xfId="0"/>
    <cellStyle name="Normal 6 4 4 6 6 2" xfId="0"/>
    <cellStyle name="Normal 6 4 4 6 7" xfId="0"/>
    <cellStyle name="Normal 6 4 4 7" xfId="0"/>
    <cellStyle name="Normal 6 4 4 7 2" xfId="0"/>
    <cellStyle name="Normal 6 4 4 7 2 2" xfId="0"/>
    <cellStyle name="Normal 6 4 4 7 2 2 2" xfId="0"/>
    <cellStyle name="Normal 6 4 4 7 2 2 2 2" xfId="0"/>
    <cellStyle name="Normal 6 4 4 7 2 2 2 2 2" xfId="0"/>
    <cellStyle name="Normal 6 4 4 7 2 2 2 3" xfId="0"/>
    <cellStyle name="Normal 6 4 4 7 2 2 3" xfId="0"/>
    <cellStyle name="Normal 6 4 4 7 2 2 3 2" xfId="0"/>
    <cellStyle name="Normal 6 4 4 7 2 2 4" xfId="0"/>
    <cellStyle name="Normal 6 4 4 7 2 3" xfId="0"/>
    <cellStyle name="Normal 6 4 4 7 2 3 2" xfId="0"/>
    <cellStyle name="Normal 6 4 4 7 2 3 2 2" xfId="0"/>
    <cellStyle name="Normal 6 4 4 7 2 3 3" xfId="0"/>
    <cellStyle name="Normal 6 4 4 7 2 4" xfId="0"/>
    <cellStyle name="Normal 6 4 4 7 2 4 2" xfId="0"/>
    <cellStyle name="Normal 6 4 4 7 2 5" xfId="0"/>
    <cellStyle name="Normal 6 4 4 7 3" xfId="0"/>
    <cellStyle name="Normal 6 4 4 7 3 2" xfId="0"/>
    <cellStyle name="Normal 6 4 4 7 3 2 2" xfId="0"/>
    <cellStyle name="Normal 6 4 4 7 3 2 2 2" xfId="0"/>
    <cellStyle name="Normal 6 4 4 7 3 2 3" xfId="0"/>
    <cellStyle name="Normal 6 4 4 7 3 3" xfId="0"/>
    <cellStyle name="Normal 6 4 4 7 3 3 2" xfId="0"/>
    <cellStyle name="Normal 6 4 4 7 3 4" xfId="0"/>
    <cellStyle name="Normal 6 4 4 7 4" xfId="0"/>
    <cellStyle name="Normal 6 4 4 7 4 2" xfId="0"/>
    <cellStyle name="Normal 6 4 4 7 4 2 2" xfId="0"/>
    <cellStyle name="Normal 6 4 4 7 4 3" xfId="0"/>
    <cellStyle name="Normal 6 4 4 7 5" xfId="0"/>
    <cellStyle name="Normal 6 4 4 7 5 2" xfId="0"/>
    <cellStyle name="Normal 6 4 4 7 6" xfId="0"/>
    <cellStyle name="Normal 6 4 4 8" xfId="0"/>
    <cellStyle name="Normal 6 4 4 8 2" xfId="0"/>
    <cellStyle name="Normal 6 4 4 8 2 2" xfId="0"/>
    <cellStyle name="Normal 6 4 4 8 2 2 2" xfId="0"/>
    <cellStyle name="Normal 6 4 4 8 2 2 2 2" xfId="0"/>
    <cellStyle name="Normal 6 4 4 8 2 2 3" xfId="0"/>
    <cellStyle name="Normal 6 4 4 8 2 3" xfId="0"/>
    <cellStyle name="Normal 6 4 4 8 2 3 2" xfId="0"/>
    <cellStyle name="Normal 6 4 4 8 2 4" xfId="0"/>
    <cellStyle name="Normal 6 4 4 8 3" xfId="0"/>
    <cellStyle name="Normal 6 4 4 8 3 2" xfId="0"/>
    <cellStyle name="Normal 6 4 4 8 3 2 2" xfId="0"/>
    <cellStyle name="Normal 6 4 4 8 3 3" xfId="0"/>
    <cellStyle name="Normal 6 4 4 8 4" xfId="0"/>
    <cellStyle name="Normal 6 4 4 8 4 2" xfId="0"/>
    <cellStyle name="Normal 6 4 4 8 5" xfId="0"/>
    <cellStyle name="Normal 6 4 4 9" xfId="0"/>
    <cellStyle name="Normal 6 4 4 9 2" xfId="0"/>
    <cellStyle name="Normal 6 4 4 9 2 2" xfId="0"/>
    <cellStyle name="Normal 6 4 4 9 2 2 2" xfId="0"/>
    <cellStyle name="Normal 6 4 4 9 2 3" xfId="0"/>
    <cellStyle name="Normal 6 4 4 9 3" xfId="0"/>
    <cellStyle name="Normal 6 4 4 9 3 2" xfId="0"/>
    <cellStyle name="Normal 6 4 4 9 4" xfId="0"/>
    <cellStyle name="Normal 6 4 5" xfId="0"/>
    <cellStyle name="Normal 6 4 5 10" xfId="0"/>
    <cellStyle name="Normal 6 4 5 10 2" xfId="0"/>
    <cellStyle name="Normal 6 4 5 11" xfId="0"/>
    <cellStyle name="Normal 6 4 5 2" xfId="0"/>
    <cellStyle name="Normal 6 4 5 2 2" xfId="0"/>
    <cellStyle name="Normal 6 4 5 2 2 2" xfId="0"/>
    <cellStyle name="Normal 6 4 5 2 2 2 2" xfId="0"/>
    <cellStyle name="Normal 6 4 5 2 2 2 2 2" xfId="0"/>
    <cellStyle name="Normal 6 4 5 2 2 2 2 2 2" xfId="0"/>
    <cellStyle name="Normal 6 4 5 2 2 2 2 2 2 2" xfId="0"/>
    <cellStyle name="Normal 6 4 5 2 2 2 2 2 2 2 2" xfId="0"/>
    <cellStyle name="Normal 6 4 5 2 2 2 2 2 2 3" xfId="0"/>
    <cellStyle name="Normal 6 4 5 2 2 2 2 2 3" xfId="0"/>
    <cellStyle name="Normal 6 4 5 2 2 2 2 2 3 2" xfId="0"/>
    <cellStyle name="Normal 6 4 5 2 2 2 2 2 4" xfId="0"/>
    <cellStyle name="Normal 6 4 5 2 2 2 2 3" xfId="0"/>
    <cellStyle name="Normal 6 4 5 2 2 2 2 3 2" xfId="0"/>
    <cellStyle name="Normal 6 4 5 2 2 2 2 3 2 2" xfId="0"/>
    <cellStyle name="Normal 6 4 5 2 2 2 2 3 3" xfId="0"/>
    <cellStyle name="Normal 6 4 5 2 2 2 2 4" xfId="0"/>
    <cellStyle name="Normal 6 4 5 2 2 2 2 4 2" xfId="0"/>
    <cellStyle name="Normal 6 4 5 2 2 2 2 5" xfId="0"/>
    <cellStyle name="Normal 6 4 5 2 2 2 3" xfId="0"/>
    <cellStyle name="Normal 6 4 5 2 2 2 3 2" xfId="0"/>
    <cellStyle name="Normal 6 4 5 2 2 2 3 2 2" xfId="0"/>
    <cellStyle name="Normal 6 4 5 2 2 2 3 2 2 2" xfId="0"/>
    <cellStyle name="Normal 6 4 5 2 2 2 3 2 3" xfId="0"/>
    <cellStyle name="Normal 6 4 5 2 2 2 3 3" xfId="0"/>
    <cellStyle name="Normal 6 4 5 2 2 2 3 3 2" xfId="0"/>
    <cellStyle name="Normal 6 4 5 2 2 2 3 4" xfId="0"/>
    <cellStyle name="Normal 6 4 5 2 2 2 4" xfId="0"/>
    <cellStyle name="Normal 6 4 5 2 2 2 4 2" xfId="0"/>
    <cellStyle name="Normal 6 4 5 2 2 2 4 2 2" xfId="0"/>
    <cellStyle name="Normal 6 4 5 2 2 2 4 3" xfId="0"/>
    <cellStyle name="Normal 6 4 5 2 2 2 5" xfId="0"/>
    <cellStyle name="Normal 6 4 5 2 2 2 5 2" xfId="0"/>
    <cellStyle name="Normal 6 4 5 2 2 2 6" xfId="0"/>
    <cellStyle name="Normal 6 4 5 2 2 3" xfId="0"/>
    <cellStyle name="Normal 6 4 5 2 2 3 2" xfId="0"/>
    <cellStyle name="Normal 6 4 5 2 2 3 2 2" xfId="0"/>
    <cellStyle name="Normal 6 4 5 2 2 3 2 2 2" xfId="0"/>
    <cellStyle name="Normal 6 4 5 2 2 3 2 2 2 2" xfId="0"/>
    <cellStyle name="Normal 6 4 5 2 2 3 2 2 3" xfId="0"/>
    <cellStyle name="Normal 6 4 5 2 2 3 2 3" xfId="0"/>
    <cellStyle name="Normal 6 4 5 2 2 3 2 3 2" xfId="0"/>
    <cellStyle name="Normal 6 4 5 2 2 3 2 4" xfId="0"/>
    <cellStyle name="Normal 6 4 5 2 2 3 3" xfId="0"/>
    <cellStyle name="Normal 6 4 5 2 2 3 3 2" xfId="0"/>
    <cellStyle name="Normal 6 4 5 2 2 3 3 2 2" xfId="0"/>
    <cellStyle name="Normal 6 4 5 2 2 3 3 3" xfId="0"/>
    <cellStyle name="Normal 6 4 5 2 2 3 4" xfId="0"/>
    <cellStyle name="Normal 6 4 5 2 2 3 4 2" xfId="0"/>
    <cellStyle name="Normal 6 4 5 2 2 3 5" xfId="0"/>
    <cellStyle name="Normal 6 4 5 2 2 4" xfId="0"/>
    <cellStyle name="Normal 6 4 5 2 2 4 2" xfId="0"/>
    <cellStyle name="Normal 6 4 5 2 2 4 2 2" xfId="0"/>
    <cellStyle name="Normal 6 4 5 2 2 4 2 2 2" xfId="0"/>
    <cellStyle name="Normal 6 4 5 2 2 4 2 3" xfId="0"/>
    <cellStyle name="Normal 6 4 5 2 2 4 3" xfId="0"/>
    <cellStyle name="Normal 6 4 5 2 2 4 3 2" xfId="0"/>
    <cellStyle name="Normal 6 4 5 2 2 4 4" xfId="0"/>
    <cellStyle name="Normal 6 4 5 2 2 5" xfId="0"/>
    <cellStyle name="Normal 6 4 5 2 2 5 2" xfId="0"/>
    <cellStyle name="Normal 6 4 5 2 2 5 2 2" xfId="0"/>
    <cellStyle name="Normal 6 4 5 2 2 5 3" xfId="0"/>
    <cellStyle name="Normal 6 4 5 2 2 6" xfId="0"/>
    <cellStyle name="Normal 6 4 5 2 2 6 2" xfId="0"/>
    <cellStyle name="Normal 6 4 5 2 2 7" xfId="0"/>
    <cellStyle name="Normal 6 4 5 2 3" xfId="0"/>
    <cellStyle name="Normal 6 4 5 2 3 2" xfId="0"/>
    <cellStyle name="Normal 6 4 5 2 3 2 2" xfId="0"/>
    <cellStyle name="Normal 6 4 5 2 3 2 2 2" xfId="0"/>
    <cellStyle name="Normal 6 4 5 2 3 2 2 2 2" xfId="0"/>
    <cellStyle name="Normal 6 4 5 2 3 2 2 2 2 2" xfId="0"/>
    <cellStyle name="Normal 6 4 5 2 3 2 2 2 3" xfId="0"/>
    <cellStyle name="Normal 6 4 5 2 3 2 2 3" xfId="0"/>
    <cellStyle name="Normal 6 4 5 2 3 2 2 3 2" xfId="0"/>
    <cellStyle name="Normal 6 4 5 2 3 2 2 4" xfId="0"/>
    <cellStyle name="Normal 6 4 5 2 3 2 3" xfId="0"/>
    <cellStyle name="Normal 6 4 5 2 3 2 3 2" xfId="0"/>
    <cellStyle name="Normal 6 4 5 2 3 2 3 2 2" xfId="0"/>
    <cellStyle name="Normal 6 4 5 2 3 2 3 3" xfId="0"/>
    <cellStyle name="Normal 6 4 5 2 3 2 4" xfId="0"/>
    <cellStyle name="Normal 6 4 5 2 3 2 4 2" xfId="0"/>
    <cellStyle name="Normal 6 4 5 2 3 2 5" xfId="0"/>
    <cellStyle name="Normal 6 4 5 2 3 3" xfId="0"/>
    <cellStyle name="Normal 6 4 5 2 3 3 2" xfId="0"/>
    <cellStyle name="Normal 6 4 5 2 3 3 2 2" xfId="0"/>
    <cellStyle name="Normal 6 4 5 2 3 3 2 2 2" xfId="0"/>
    <cellStyle name="Normal 6 4 5 2 3 3 2 3" xfId="0"/>
    <cellStyle name="Normal 6 4 5 2 3 3 3" xfId="0"/>
    <cellStyle name="Normal 6 4 5 2 3 3 3 2" xfId="0"/>
    <cellStyle name="Normal 6 4 5 2 3 3 4" xfId="0"/>
    <cellStyle name="Normal 6 4 5 2 3 4" xfId="0"/>
    <cellStyle name="Normal 6 4 5 2 3 4 2" xfId="0"/>
    <cellStyle name="Normal 6 4 5 2 3 4 2 2" xfId="0"/>
    <cellStyle name="Normal 6 4 5 2 3 4 3" xfId="0"/>
    <cellStyle name="Normal 6 4 5 2 3 5" xfId="0"/>
    <cellStyle name="Normal 6 4 5 2 3 5 2" xfId="0"/>
    <cellStyle name="Normal 6 4 5 2 3 6" xfId="0"/>
    <cellStyle name="Normal 6 4 5 2 4" xfId="0"/>
    <cellStyle name="Normal 6 4 5 2 4 2" xfId="0"/>
    <cellStyle name="Normal 6 4 5 2 4 2 2" xfId="0"/>
    <cellStyle name="Normal 6 4 5 2 4 2 2 2" xfId="0"/>
    <cellStyle name="Normal 6 4 5 2 4 2 2 2 2" xfId="0"/>
    <cellStyle name="Normal 6 4 5 2 4 2 2 3" xfId="0"/>
    <cellStyle name="Normal 6 4 5 2 4 2 3" xfId="0"/>
    <cellStyle name="Normal 6 4 5 2 4 2 3 2" xfId="0"/>
    <cellStyle name="Normal 6 4 5 2 4 2 4" xfId="0"/>
    <cellStyle name="Normal 6 4 5 2 4 3" xfId="0"/>
    <cellStyle name="Normal 6 4 5 2 4 3 2" xfId="0"/>
    <cellStyle name="Normal 6 4 5 2 4 3 2 2" xfId="0"/>
    <cellStyle name="Normal 6 4 5 2 4 3 3" xfId="0"/>
    <cellStyle name="Normal 6 4 5 2 4 4" xfId="0"/>
    <cellStyle name="Normal 6 4 5 2 4 4 2" xfId="0"/>
    <cellStyle name="Normal 6 4 5 2 4 5" xfId="0"/>
    <cellStyle name="Normal 6 4 5 2 5" xfId="0"/>
    <cellStyle name="Normal 6 4 5 2 5 2" xfId="0"/>
    <cellStyle name="Normal 6 4 5 2 5 2 2" xfId="0"/>
    <cellStyle name="Normal 6 4 5 2 5 2 2 2" xfId="0"/>
    <cellStyle name="Normal 6 4 5 2 5 2 3" xfId="0"/>
    <cellStyle name="Normal 6 4 5 2 5 3" xfId="0"/>
    <cellStyle name="Normal 6 4 5 2 5 3 2" xfId="0"/>
    <cellStyle name="Normal 6 4 5 2 5 4" xfId="0"/>
    <cellStyle name="Normal 6 4 5 2 6" xfId="0"/>
    <cellStyle name="Normal 6 4 5 2 6 2" xfId="0"/>
    <cellStyle name="Normal 6 4 5 2 6 2 2" xfId="0"/>
    <cellStyle name="Normal 6 4 5 2 6 3" xfId="0"/>
    <cellStyle name="Normal 6 4 5 2 7" xfId="0"/>
    <cellStyle name="Normal 6 4 5 2 7 2" xfId="0"/>
    <cellStyle name="Normal 6 4 5 2 8" xfId="0"/>
    <cellStyle name="Normal 6 4 5 3" xfId="0"/>
    <cellStyle name="Normal 6 4 5 3 2" xfId="0"/>
    <cellStyle name="Normal 6 4 5 3 2 2" xfId="0"/>
    <cellStyle name="Normal 6 4 5 3 2 2 2" xfId="0"/>
    <cellStyle name="Normal 6 4 5 3 2 2 2 2" xfId="0"/>
    <cellStyle name="Normal 6 4 5 3 2 2 2 2 2" xfId="0"/>
    <cellStyle name="Normal 6 4 5 3 2 2 2 2 2 2" xfId="0"/>
    <cellStyle name="Normal 6 4 5 3 2 2 2 2 2 2 2" xfId="0"/>
    <cellStyle name="Normal 6 4 5 3 2 2 2 2 2 3" xfId="0"/>
    <cellStyle name="Normal 6 4 5 3 2 2 2 2 3" xfId="0"/>
    <cellStyle name="Normal 6 4 5 3 2 2 2 2 3 2" xfId="0"/>
    <cellStyle name="Normal 6 4 5 3 2 2 2 2 4" xfId="0"/>
    <cellStyle name="Normal 6 4 5 3 2 2 2 3" xfId="0"/>
    <cellStyle name="Normal 6 4 5 3 2 2 2 3 2" xfId="0"/>
    <cellStyle name="Normal 6 4 5 3 2 2 2 3 2 2" xfId="0"/>
    <cellStyle name="Normal 6 4 5 3 2 2 2 3 3" xfId="0"/>
    <cellStyle name="Normal 6 4 5 3 2 2 2 4" xfId="0"/>
    <cellStyle name="Normal 6 4 5 3 2 2 2 4 2" xfId="0"/>
    <cellStyle name="Normal 6 4 5 3 2 2 2 5" xfId="0"/>
    <cellStyle name="Normal 6 4 5 3 2 2 3" xfId="0"/>
    <cellStyle name="Normal 6 4 5 3 2 2 3 2" xfId="0"/>
    <cellStyle name="Normal 6 4 5 3 2 2 3 2 2" xfId="0"/>
    <cellStyle name="Normal 6 4 5 3 2 2 3 2 2 2" xfId="0"/>
    <cellStyle name="Normal 6 4 5 3 2 2 3 2 3" xfId="0"/>
    <cellStyle name="Normal 6 4 5 3 2 2 3 3" xfId="0"/>
    <cellStyle name="Normal 6 4 5 3 2 2 3 3 2" xfId="0"/>
    <cellStyle name="Normal 6 4 5 3 2 2 3 4" xfId="0"/>
    <cellStyle name="Normal 6 4 5 3 2 2 4" xfId="0"/>
    <cellStyle name="Normal 6 4 5 3 2 2 4 2" xfId="0"/>
    <cellStyle name="Normal 6 4 5 3 2 2 4 2 2" xfId="0"/>
    <cellStyle name="Normal 6 4 5 3 2 2 4 3" xfId="0"/>
    <cellStyle name="Normal 6 4 5 3 2 2 5" xfId="0"/>
    <cellStyle name="Normal 6 4 5 3 2 2 5 2" xfId="0"/>
    <cellStyle name="Normal 6 4 5 3 2 2 6" xfId="0"/>
    <cellStyle name="Normal 6 4 5 3 2 3" xfId="0"/>
    <cellStyle name="Normal 6 4 5 3 2 3 2" xfId="0"/>
    <cellStyle name="Normal 6 4 5 3 2 3 2 2" xfId="0"/>
    <cellStyle name="Normal 6 4 5 3 2 3 2 2 2" xfId="0"/>
    <cellStyle name="Normal 6 4 5 3 2 3 2 2 2 2" xfId="0"/>
    <cellStyle name="Normal 6 4 5 3 2 3 2 2 3" xfId="0"/>
    <cellStyle name="Normal 6 4 5 3 2 3 2 3" xfId="0"/>
    <cellStyle name="Normal 6 4 5 3 2 3 2 3 2" xfId="0"/>
    <cellStyle name="Normal 6 4 5 3 2 3 2 4" xfId="0"/>
    <cellStyle name="Normal 6 4 5 3 2 3 3" xfId="0"/>
    <cellStyle name="Normal 6 4 5 3 2 3 3 2" xfId="0"/>
    <cellStyle name="Normal 6 4 5 3 2 3 3 2 2" xfId="0"/>
    <cellStyle name="Normal 6 4 5 3 2 3 3 3" xfId="0"/>
    <cellStyle name="Normal 6 4 5 3 2 3 4" xfId="0"/>
    <cellStyle name="Normal 6 4 5 3 2 3 4 2" xfId="0"/>
    <cellStyle name="Normal 6 4 5 3 2 3 5" xfId="0"/>
    <cellStyle name="Normal 6 4 5 3 2 4" xfId="0"/>
    <cellStyle name="Normal 6 4 5 3 2 4 2" xfId="0"/>
    <cellStyle name="Normal 6 4 5 3 2 4 2 2" xfId="0"/>
    <cellStyle name="Normal 6 4 5 3 2 4 2 2 2" xfId="0"/>
    <cellStyle name="Normal 6 4 5 3 2 4 2 3" xfId="0"/>
    <cellStyle name="Normal 6 4 5 3 2 4 3" xfId="0"/>
    <cellStyle name="Normal 6 4 5 3 2 4 3 2" xfId="0"/>
    <cellStyle name="Normal 6 4 5 3 2 4 4" xfId="0"/>
    <cellStyle name="Normal 6 4 5 3 2 5" xfId="0"/>
    <cellStyle name="Normal 6 4 5 3 2 5 2" xfId="0"/>
    <cellStyle name="Normal 6 4 5 3 2 5 2 2" xfId="0"/>
    <cellStyle name="Normal 6 4 5 3 2 5 3" xfId="0"/>
    <cellStyle name="Normal 6 4 5 3 2 6" xfId="0"/>
    <cellStyle name="Normal 6 4 5 3 2 6 2" xfId="0"/>
    <cellStyle name="Normal 6 4 5 3 2 7" xfId="0"/>
    <cellStyle name="Normal 6 4 5 3 3" xfId="0"/>
    <cellStyle name="Normal 6 4 5 3 3 2" xfId="0"/>
    <cellStyle name="Normal 6 4 5 3 3 2 2" xfId="0"/>
    <cellStyle name="Normal 6 4 5 3 3 2 2 2" xfId="0"/>
    <cellStyle name="Normal 6 4 5 3 3 2 2 2 2" xfId="0"/>
    <cellStyle name="Normal 6 4 5 3 3 2 2 2 2 2" xfId="0"/>
    <cellStyle name="Normal 6 4 5 3 3 2 2 2 3" xfId="0"/>
    <cellStyle name="Normal 6 4 5 3 3 2 2 3" xfId="0"/>
    <cellStyle name="Normal 6 4 5 3 3 2 2 3 2" xfId="0"/>
    <cellStyle name="Normal 6 4 5 3 3 2 2 4" xfId="0"/>
    <cellStyle name="Normal 6 4 5 3 3 2 3" xfId="0"/>
    <cellStyle name="Normal 6 4 5 3 3 2 3 2" xfId="0"/>
    <cellStyle name="Normal 6 4 5 3 3 2 3 2 2" xfId="0"/>
    <cellStyle name="Normal 6 4 5 3 3 2 3 3" xfId="0"/>
    <cellStyle name="Normal 6 4 5 3 3 2 4" xfId="0"/>
    <cellStyle name="Normal 6 4 5 3 3 2 4 2" xfId="0"/>
    <cellStyle name="Normal 6 4 5 3 3 2 5" xfId="0"/>
    <cellStyle name="Normal 6 4 5 3 3 3" xfId="0"/>
    <cellStyle name="Normal 6 4 5 3 3 3 2" xfId="0"/>
    <cellStyle name="Normal 6 4 5 3 3 3 2 2" xfId="0"/>
    <cellStyle name="Normal 6 4 5 3 3 3 2 2 2" xfId="0"/>
    <cellStyle name="Normal 6 4 5 3 3 3 2 3" xfId="0"/>
    <cellStyle name="Normal 6 4 5 3 3 3 3" xfId="0"/>
    <cellStyle name="Normal 6 4 5 3 3 3 3 2" xfId="0"/>
    <cellStyle name="Normal 6 4 5 3 3 3 4" xfId="0"/>
    <cellStyle name="Normal 6 4 5 3 3 4" xfId="0"/>
    <cellStyle name="Normal 6 4 5 3 3 4 2" xfId="0"/>
    <cellStyle name="Normal 6 4 5 3 3 4 2 2" xfId="0"/>
    <cellStyle name="Normal 6 4 5 3 3 4 3" xfId="0"/>
    <cellStyle name="Normal 6 4 5 3 3 5" xfId="0"/>
    <cellStyle name="Normal 6 4 5 3 3 5 2" xfId="0"/>
    <cellStyle name="Normal 6 4 5 3 3 6" xfId="0"/>
    <cellStyle name="Normal 6 4 5 3 4" xfId="0"/>
    <cellStyle name="Normal 6 4 5 3 4 2" xfId="0"/>
    <cellStyle name="Normal 6 4 5 3 4 2 2" xfId="0"/>
    <cellStyle name="Normal 6 4 5 3 4 2 2 2" xfId="0"/>
    <cellStyle name="Normal 6 4 5 3 4 2 2 2 2" xfId="0"/>
    <cellStyle name="Normal 6 4 5 3 4 2 2 3" xfId="0"/>
    <cellStyle name="Normal 6 4 5 3 4 2 3" xfId="0"/>
    <cellStyle name="Normal 6 4 5 3 4 2 3 2" xfId="0"/>
    <cellStyle name="Normal 6 4 5 3 4 2 4" xfId="0"/>
    <cellStyle name="Normal 6 4 5 3 4 3" xfId="0"/>
    <cellStyle name="Normal 6 4 5 3 4 3 2" xfId="0"/>
    <cellStyle name="Normal 6 4 5 3 4 3 2 2" xfId="0"/>
    <cellStyle name="Normal 6 4 5 3 4 3 3" xfId="0"/>
    <cellStyle name="Normal 6 4 5 3 4 4" xfId="0"/>
    <cellStyle name="Normal 6 4 5 3 4 4 2" xfId="0"/>
    <cellStyle name="Normal 6 4 5 3 4 5" xfId="0"/>
    <cellStyle name="Normal 6 4 5 3 5" xfId="0"/>
    <cellStyle name="Normal 6 4 5 3 5 2" xfId="0"/>
    <cellStyle name="Normal 6 4 5 3 5 2 2" xfId="0"/>
    <cellStyle name="Normal 6 4 5 3 5 2 2 2" xfId="0"/>
    <cellStyle name="Normal 6 4 5 3 5 2 3" xfId="0"/>
    <cellStyle name="Normal 6 4 5 3 5 3" xfId="0"/>
    <cellStyle name="Normal 6 4 5 3 5 3 2" xfId="0"/>
    <cellStyle name="Normal 6 4 5 3 5 4" xfId="0"/>
    <cellStyle name="Normal 6 4 5 3 6" xfId="0"/>
    <cellStyle name="Normal 6 4 5 3 6 2" xfId="0"/>
    <cellStyle name="Normal 6 4 5 3 6 2 2" xfId="0"/>
    <cellStyle name="Normal 6 4 5 3 6 3" xfId="0"/>
    <cellStyle name="Normal 6 4 5 3 7" xfId="0"/>
    <cellStyle name="Normal 6 4 5 3 7 2" xfId="0"/>
    <cellStyle name="Normal 6 4 5 3 8" xfId="0"/>
    <cellStyle name="Normal 6 4 5 4" xfId="0"/>
    <cellStyle name="Normal 6 4 5 4 2" xfId="0"/>
    <cellStyle name="Normal 6 4 5 4 2 2" xfId="0"/>
    <cellStyle name="Normal 6 4 5 4 2 2 2" xfId="0"/>
    <cellStyle name="Normal 6 4 5 4 2 2 2 2" xfId="0"/>
    <cellStyle name="Normal 6 4 5 4 2 2 2 2 2" xfId="0"/>
    <cellStyle name="Normal 6 4 5 4 2 2 2 2 2 2" xfId="0"/>
    <cellStyle name="Normal 6 4 5 4 2 2 2 2 3" xfId="0"/>
    <cellStyle name="Normal 6 4 5 4 2 2 2 3" xfId="0"/>
    <cellStyle name="Normal 6 4 5 4 2 2 2 3 2" xfId="0"/>
    <cellStyle name="Normal 6 4 5 4 2 2 2 4" xfId="0"/>
    <cellStyle name="Normal 6 4 5 4 2 2 3" xfId="0"/>
    <cellStyle name="Normal 6 4 5 4 2 2 3 2" xfId="0"/>
    <cellStyle name="Normal 6 4 5 4 2 2 3 2 2" xfId="0"/>
    <cellStyle name="Normal 6 4 5 4 2 2 3 3" xfId="0"/>
    <cellStyle name="Normal 6 4 5 4 2 2 4" xfId="0"/>
    <cellStyle name="Normal 6 4 5 4 2 2 4 2" xfId="0"/>
    <cellStyle name="Normal 6 4 5 4 2 2 5" xfId="0"/>
    <cellStyle name="Normal 6 4 5 4 2 3" xfId="0"/>
    <cellStyle name="Normal 6 4 5 4 2 3 2" xfId="0"/>
    <cellStyle name="Normal 6 4 5 4 2 3 2 2" xfId="0"/>
    <cellStyle name="Normal 6 4 5 4 2 3 2 2 2" xfId="0"/>
    <cellStyle name="Normal 6 4 5 4 2 3 2 3" xfId="0"/>
    <cellStyle name="Normal 6 4 5 4 2 3 3" xfId="0"/>
    <cellStyle name="Normal 6 4 5 4 2 3 3 2" xfId="0"/>
    <cellStyle name="Normal 6 4 5 4 2 3 4" xfId="0"/>
    <cellStyle name="Normal 6 4 5 4 2 4" xfId="0"/>
    <cellStyle name="Normal 6 4 5 4 2 4 2" xfId="0"/>
    <cellStyle name="Normal 6 4 5 4 2 4 2 2" xfId="0"/>
    <cellStyle name="Normal 6 4 5 4 2 4 3" xfId="0"/>
    <cellStyle name="Normal 6 4 5 4 2 5" xfId="0"/>
    <cellStyle name="Normal 6 4 5 4 2 5 2" xfId="0"/>
    <cellStyle name="Normal 6 4 5 4 2 6" xfId="0"/>
    <cellStyle name="Normal 6 4 5 4 3" xfId="0"/>
    <cellStyle name="Normal 6 4 5 4 3 2" xfId="0"/>
    <cellStyle name="Normal 6 4 5 4 3 2 2" xfId="0"/>
    <cellStyle name="Normal 6 4 5 4 3 2 2 2" xfId="0"/>
    <cellStyle name="Normal 6 4 5 4 3 2 2 2 2" xfId="0"/>
    <cellStyle name="Normal 6 4 5 4 3 2 2 3" xfId="0"/>
    <cellStyle name="Normal 6 4 5 4 3 2 3" xfId="0"/>
    <cellStyle name="Normal 6 4 5 4 3 2 3 2" xfId="0"/>
    <cellStyle name="Normal 6 4 5 4 3 2 4" xfId="0"/>
    <cellStyle name="Normal 6 4 5 4 3 3" xfId="0"/>
    <cellStyle name="Normal 6 4 5 4 3 3 2" xfId="0"/>
    <cellStyle name="Normal 6 4 5 4 3 3 2 2" xfId="0"/>
    <cellStyle name="Normal 6 4 5 4 3 3 3" xfId="0"/>
    <cellStyle name="Normal 6 4 5 4 3 4" xfId="0"/>
    <cellStyle name="Normal 6 4 5 4 3 4 2" xfId="0"/>
    <cellStyle name="Normal 6 4 5 4 3 5" xfId="0"/>
    <cellStyle name="Normal 6 4 5 4 4" xfId="0"/>
    <cellStyle name="Normal 6 4 5 4 4 2" xfId="0"/>
    <cellStyle name="Normal 6 4 5 4 4 2 2" xfId="0"/>
    <cellStyle name="Normal 6 4 5 4 4 2 2 2" xfId="0"/>
    <cellStyle name="Normal 6 4 5 4 4 2 3" xfId="0"/>
    <cellStyle name="Normal 6 4 5 4 4 3" xfId="0"/>
    <cellStyle name="Normal 6 4 5 4 4 3 2" xfId="0"/>
    <cellStyle name="Normal 6 4 5 4 4 4" xfId="0"/>
    <cellStyle name="Normal 6 4 5 4 5" xfId="0"/>
    <cellStyle name="Normal 6 4 5 4 5 2" xfId="0"/>
    <cellStyle name="Normal 6 4 5 4 5 2 2" xfId="0"/>
    <cellStyle name="Normal 6 4 5 4 5 3" xfId="0"/>
    <cellStyle name="Normal 6 4 5 4 6" xfId="0"/>
    <cellStyle name="Normal 6 4 5 4 6 2" xfId="0"/>
    <cellStyle name="Normal 6 4 5 4 7" xfId="0"/>
    <cellStyle name="Normal 6 4 5 5" xfId="0"/>
    <cellStyle name="Normal 6 4 5 5 2" xfId="0"/>
    <cellStyle name="Normal 6 4 5 5 2 2" xfId="0"/>
    <cellStyle name="Normal 6 4 5 5 2 2 2" xfId="0"/>
    <cellStyle name="Normal 6 4 5 5 2 2 2 2" xfId="0"/>
    <cellStyle name="Normal 6 4 5 5 2 2 2 2 2" xfId="0"/>
    <cellStyle name="Normal 6 4 5 5 2 2 2 2 2 2" xfId="0"/>
    <cellStyle name="Normal 6 4 5 5 2 2 2 2 3" xfId="0"/>
    <cellStyle name="Normal 6 4 5 5 2 2 2 3" xfId="0"/>
    <cellStyle name="Normal 6 4 5 5 2 2 2 3 2" xfId="0"/>
    <cellStyle name="Normal 6 4 5 5 2 2 2 4" xfId="0"/>
    <cellStyle name="Normal 6 4 5 5 2 2 3" xfId="0"/>
    <cellStyle name="Normal 6 4 5 5 2 2 3 2" xfId="0"/>
    <cellStyle name="Normal 6 4 5 5 2 2 3 2 2" xfId="0"/>
    <cellStyle name="Normal 6 4 5 5 2 2 3 3" xfId="0"/>
    <cellStyle name="Normal 6 4 5 5 2 2 4" xfId="0"/>
    <cellStyle name="Normal 6 4 5 5 2 2 4 2" xfId="0"/>
    <cellStyle name="Normal 6 4 5 5 2 2 5" xfId="0"/>
    <cellStyle name="Normal 6 4 5 5 2 3" xfId="0"/>
    <cellStyle name="Normal 6 4 5 5 2 3 2" xfId="0"/>
    <cellStyle name="Normal 6 4 5 5 2 3 2 2" xfId="0"/>
    <cellStyle name="Normal 6 4 5 5 2 3 2 2 2" xfId="0"/>
    <cellStyle name="Normal 6 4 5 5 2 3 2 3" xfId="0"/>
    <cellStyle name="Normal 6 4 5 5 2 3 3" xfId="0"/>
    <cellStyle name="Normal 6 4 5 5 2 3 3 2" xfId="0"/>
    <cellStyle name="Normal 6 4 5 5 2 3 4" xfId="0"/>
    <cellStyle name="Normal 6 4 5 5 2 4" xfId="0"/>
    <cellStyle name="Normal 6 4 5 5 2 4 2" xfId="0"/>
    <cellStyle name="Normal 6 4 5 5 2 4 2 2" xfId="0"/>
    <cellStyle name="Normal 6 4 5 5 2 4 3" xfId="0"/>
    <cellStyle name="Normal 6 4 5 5 2 5" xfId="0"/>
    <cellStyle name="Normal 6 4 5 5 2 5 2" xfId="0"/>
    <cellStyle name="Normal 6 4 5 5 2 6" xfId="0"/>
    <cellStyle name="Normal 6 4 5 5 3" xfId="0"/>
    <cellStyle name="Normal 6 4 5 5 3 2" xfId="0"/>
    <cellStyle name="Normal 6 4 5 5 3 2 2" xfId="0"/>
    <cellStyle name="Normal 6 4 5 5 3 2 2 2" xfId="0"/>
    <cellStyle name="Normal 6 4 5 5 3 2 2 2 2" xfId="0"/>
    <cellStyle name="Normal 6 4 5 5 3 2 2 3" xfId="0"/>
    <cellStyle name="Normal 6 4 5 5 3 2 3" xfId="0"/>
    <cellStyle name="Normal 6 4 5 5 3 2 3 2" xfId="0"/>
    <cellStyle name="Normal 6 4 5 5 3 2 4" xfId="0"/>
    <cellStyle name="Normal 6 4 5 5 3 3" xfId="0"/>
    <cellStyle name="Normal 6 4 5 5 3 3 2" xfId="0"/>
    <cellStyle name="Normal 6 4 5 5 3 3 2 2" xfId="0"/>
    <cellStyle name="Normal 6 4 5 5 3 3 3" xfId="0"/>
    <cellStyle name="Normal 6 4 5 5 3 4" xfId="0"/>
    <cellStyle name="Normal 6 4 5 5 3 4 2" xfId="0"/>
    <cellStyle name="Normal 6 4 5 5 3 5" xfId="0"/>
    <cellStyle name="Normal 6 4 5 5 4" xfId="0"/>
    <cellStyle name="Normal 6 4 5 5 4 2" xfId="0"/>
    <cellStyle name="Normal 6 4 5 5 4 2 2" xfId="0"/>
    <cellStyle name="Normal 6 4 5 5 4 2 2 2" xfId="0"/>
    <cellStyle name="Normal 6 4 5 5 4 2 3" xfId="0"/>
    <cellStyle name="Normal 6 4 5 5 4 3" xfId="0"/>
    <cellStyle name="Normal 6 4 5 5 4 3 2" xfId="0"/>
    <cellStyle name="Normal 6 4 5 5 4 4" xfId="0"/>
    <cellStyle name="Normal 6 4 5 5 5" xfId="0"/>
    <cellStyle name="Normal 6 4 5 5 5 2" xfId="0"/>
    <cellStyle name="Normal 6 4 5 5 5 2 2" xfId="0"/>
    <cellStyle name="Normal 6 4 5 5 5 3" xfId="0"/>
    <cellStyle name="Normal 6 4 5 5 6" xfId="0"/>
    <cellStyle name="Normal 6 4 5 5 6 2" xfId="0"/>
    <cellStyle name="Normal 6 4 5 5 7" xfId="0"/>
    <cellStyle name="Normal 6 4 5 6" xfId="0"/>
    <cellStyle name="Normal 6 4 5 6 2" xfId="0"/>
    <cellStyle name="Normal 6 4 5 6 2 2" xfId="0"/>
    <cellStyle name="Normal 6 4 5 6 2 2 2" xfId="0"/>
    <cellStyle name="Normal 6 4 5 6 2 2 2 2" xfId="0"/>
    <cellStyle name="Normal 6 4 5 6 2 2 2 2 2" xfId="0"/>
    <cellStyle name="Normal 6 4 5 6 2 2 2 3" xfId="0"/>
    <cellStyle name="Normal 6 4 5 6 2 2 3" xfId="0"/>
    <cellStyle name="Normal 6 4 5 6 2 2 3 2" xfId="0"/>
    <cellStyle name="Normal 6 4 5 6 2 2 4" xfId="0"/>
    <cellStyle name="Normal 6 4 5 6 2 3" xfId="0"/>
    <cellStyle name="Normal 6 4 5 6 2 3 2" xfId="0"/>
    <cellStyle name="Normal 6 4 5 6 2 3 2 2" xfId="0"/>
    <cellStyle name="Normal 6 4 5 6 2 3 3" xfId="0"/>
    <cellStyle name="Normal 6 4 5 6 2 4" xfId="0"/>
    <cellStyle name="Normal 6 4 5 6 2 4 2" xfId="0"/>
    <cellStyle name="Normal 6 4 5 6 2 5" xfId="0"/>
    <cellStyle name="Normal 6 4 5 6 3" xfId="0"/>
    <cellStyle name="Normal 6 4 5 6 3 2" xfId="0"/>
    <cellStyle name="Normal 6 4 5 6 3 2 2" xfId="0"/>
    <cellStyle name="Normal 6 4 5 6 3 2 2 2" xfId="0"/>
    <cellStyle name="Normal 6 4 5 6 3 2 3" xfId="0"/>
    <cellStyle name="Normal 6 4 5 6 3 3" xfId="0"/>
    <cellStyle name="Normal 6 4 5 6 3 3 2" xfId="0"/>
    <cellStyle name="Normal 6 4 5 6 3 4" xfId="0"/>
    <cellStyle name="Normal 6 4 5 6 4" xfId="0"/>
    <cellStyle name="Normal 6 4 5 6 4 2" xfId="0"/>
    <cellStyle name="Normal 6 4 5 6 4 2 2" xfId="0"/>
    <cellStyle name="Normal 6 4 5 6 4 3" xfId="0"/>
    <cellStyle name="Normal 6 4 5 6 5" xfId="0"/>
    <cellStyle name="Normal 6 4 5 6 5 2" xfId="0"/>
    <cellStyle name="Normal 6 4 5 6 6" xfId="0"/>
    <cellStyle name="Normal 6 4 5 7" xfId="0"/>
    <cellStyle name="Normal 6 4 5 7 2" xfId="0"/>
    <cellStyle name="Normal 6 4 5 7 2 2" xfId="0"/>
    <cellStyle name="Normal 6 4 5 7 2 2 2" xfId="0"/>
    <cellStyle name="Normal 6 4 5 7 2 2 2 2" xfId="0"/>
    <cellStyle name="Normal 6 4 5 7 2 2 3" xfId="0"/>
    <cellStyle name="Normal 6 4 5 7 2 3" xfId="0"/>
    <cellStyle name="Normal 6 4 5 7 2 3 2" xfId="0"/>
    <cellStyle name="Normal 6 4 5 7 2 4" xfId="0"/>
    <cellStyle name="Normal 6 4 5 7 3" xfId="0"/>
    <cellStyle name="Normal 6 4 5 7 3 2" xfId="0"/>
    <cellStyle name="Normal 6 4 5 7 3 2 2" xfId="0"/>
    <cellStyle name="Normal 6 4 5 7 3 3" xfId="0"/>
    <cellStyle name="Normal 6 4 5 7 4" xfId="0"/>
    <cellStyle name="Normal 6 4 5 7 4 2" xfId="0"/>
    <cellStyle name="Normal 6 4 5 7 5" xfId="0"/>
    <cellStyle name="Normal 6 4 5 8" xfId="0"/>
    <cellStyle name="Normal 6 4 5 8 2" xfId="0"/>
    <cellStyle name="Normal 6 4 5 8 2 2" xfId="0"/>
    <cellStyle name="Normal 6 4 5 8 2 2 2" xfId="0"/>
    <cellStyle name="Normal 6 4 5 8 2 3" xfId="0"/>
    <cellStyle name="Normal 6 4 5 8 3" xfId="0"/>
    <cellStyle name="Normal 6 4 5 8 3 2" xfId="0"/>
    <cellStyle name="Normal 6 4 5 8 4" xfId="0"/>
    <cellStyle name="Normal 6 4 5 9" xfId="0"/>
    <cellStyle name="Normal 6 4 5 9 2" xfId="0"/>
    <cellStyle name="Normal 6 4 5 9 2 2" xfId="0"/>
    <cellStyle name="Normal 6 4 5 9 3" xfId="0"/>
    <cellStyle name="Normal 6 4 6" xfId="0"/>
    <cellStyle name="Normal 6 4 6 2" xfId="0"/>
    <cellStyle name="Normal 6 4 6 2 2" xfId="0"/>
    <cellStyle name="Normal 6 4 6 2 2 2" xfId="0"/>
    <cellStyle name="Normal 6 4 6 2 2 2 2" xfId="0"/>
    <cellStyle name="Normal 6 4 6 2 2 2 2 2" xfId="0"/>
    <cellStyle name="Normal 6 4 6 2 2 2 2 2 2" xfId="0"/>
    <cellStyle name="Normal 6 4 6 2 2 2 2 2 2 2" xfId="0"/>
    <cellStyle name="Normal 6 4 6 2 2 2 2 2 3" xfId="0"/>
    <cellStyle name="Normal 6 4 6 2 2 2 2 3" xfId="0"/>
    <cellStyle name="Normal 6 4 6 2 2 2 2 3 2" xfId="0"/>
    <cellStyle name="Normal 6 4 6 2 2 2 2 4" xfId="0"/>
    <cellStyle name="Normal 6 4 6 2 2 2 3" xfId="0"/>
    <cellStyle name="Normal 6 4 6 2 2 2 3 2" xfId="0"/>
    <cellStyle name="Normal 6 4 6 2 2 2 3 2 2" xfId="0"/>
    <cellStyle name="Normal 6 4 6 2 2 2 3 3" xfId="0"/>
    <cellStyle name="Normal 6 4 6 2 2 2 4" xfId="0"/>
    <cellStyle name="Normal 6 4 6 2 2 2 4 2" xfId="0"/>
    <cellStyle name="Normal 6 4 6 2 2 2 5" xfId="0"/>
    <cellStyle name="Normal 6 4 6 2 2 3" xfId="0"/>
    <cellStyle name="Normal 6 4 6 2 2 3 2" xfId="0"/>
    <cellStyle name="Normal 6 4 6 2 2 3 2 2" xfId="0"/>
    <cellStyle name="Normal 6 4 6 2 2 3 2 2 2" xfId="0"/>
    <cellStyle name="Normal 6 4 6 2 2 3 2 3" xfId="0"/>
    <cellStyle name="Normal 6 4 6 2 2 3 3" xfId="0"/>
    <cellStyle name="Normal 6 4 6 2 2 3 3 2" xfId="0"/>
    <cellStyle name="Normal 6 4 6 2 2 3 4" xfId="0"/>
    <cellStyle name="Normal 6 4 6 2 2 4" xfId="0"/>
    <cellStyle name="Normal 6 4 6 2 2 4 2" xfId="0"/>
    <cellStyle name="Normal 6 4 6 2 2 4 2 2" xfId="0"/>
    <cellStyle name="Normal 6 4 6 2 2 4 3" xfId="0"/>
    <cellStyle name="Normal 6 4 6 2 2 5" xfId="0"/>
    <cellStyle name="Normal 6 4 6 2 2 5 2" xfId="0"/>
    <cellStyle name="Normal 6 4 6 2 2 6" xfId="0"/>
    <cellStyle name="Normal 6 4 6 2 3" xfId="0"/>
    <cellStyle name="Normal 6 4 6 2 3 2" xfId="0"/>
    <cellStyle name="Normal 6 4 6 2 3 2 2" xfId="0"/>
    <cellStyle name="Normal 6 4 6 2 3 2 2 2" xfId="0"/>
    <cellStyle name="Normal 6 4 6 2 3 2 2 2 2" xfId="0"/>
    <cellStyle name="Normal 6 4 6 2 3 2 2 3" xfId="0"/>
    <cellStyle name="Normal 6 4 6 2 3 2 3" xfId="0"/>
    <cellStyle name="Normal 6 4 6 2 3 2 3 2" xfId="0"/>
    <cellStyle name="Normal 6 4 6 2 3 2 4" xfId="0"/>
    <cellStyle name="Normal 6 4 6 2 3 3" xfId="0"/>
    <cellStyle name="Normal 6 4 6 2 3 3 2" xfId="0"/>
    <cellStyle name="Normal 6 4 6 2 3 3 2 2" xfId="0"/>
    <cellStyle name="Normal 6 4 6 2 3 3 3" xfId="0"/>
    <cellStyle name="Normal 6 4 6 2 3 4" xfId="0"/>
    <cellStyle name="Normal 6 4 6 2 3 4 2" xfId="0"/>
    <cellStyle name="Normal 6 4 6 2 3 5" xfId="0"/>
    <cellStyle name="Normal 6 4 6 2 4" xfId="0"/>
    <cellStyle name="Normal 6 4 6 2 4 2" xfId="0"/>
    <cellStyle name="Normal 6 4 6 2 4 2 2" xfId="0"/>
    <cellStyle name="Normal 6 4 6 2 4 2 2 2" xfId="0"/>
    <cellStyle name="Normal 6 4 6 2 4 2 3" xfId="0"/>
    <cellStyle name="Normal 6 4 6 2 4 3" xfId="0"/>
    <cellStyle name="Normal 6 4 6 2 4 3 2" xfId="0"/>
    <cellStyle name="Normal 6 4 6 2 4 4" xfId="0"/>
    <cellStyle name="Normal 6 4 6 2 5" xfId="0"/>
    <cellStyle name="Normal 6 4 6 2 5 2" xfId="0"/>
    <cellStyle name="Normal 6 4 6 2 5 2 2" xfId="0"/>
    <cellStyle name="Normal 6 4 6 2 5 3" xfId="0"/>
    <cellStyle name="Normal 6 4 6 2 6" xfId="0"/>
    <cellStyle name="Normal 6 4 6 2 6 2" xfId="0"/>
    <cellStyle name="Normal 6 4 6 2 7" xfId="0"/>
    <cellStyle name="Normal 6 4 6 3" xfId="0"/>
    <cellStyle name="Normal 6 4 6 3 2" xfId="0"/>
    <cellStyle name="Normal 6 4 6 3 2 2" xfId="0"/>
    <cellStyle name="Normal 6 4 6 3 2 2 2" xfId="0"/>
    <cellStyle name="Normal 6 4 6 3 2 2 2 2" xfId="0"/>
    <cellStyle name="Normal 6 4 6 3 2 2 2 2 2" xfId="0"/>
    <cellStyle name="Normal 6 4 6 3 2 2 2 3" xfId="0"/>
    <cellStyle name="Normal 6 4 6 3 2 2 3" xfId="0"/>
    <cellStyle name="Normal 6 4 6 3 2 2 3 2" xfId="0"/>
    <cellStyle name="Normal 6 4 6 3 2 2 4" xfId="0"/>
    <cellStyle name="Normal 6 4 6 3 2 3" xfId="0"/>
    <cellStyle name="Normal 6 4 6 3 2 3 2" xfId="0"/>
    <cellStyle name="Normal 6 4 6 3 2 3 2 2" xfId="0"/>
    <cellStyle name="Normal 6 4 6 3 2 3 3" xfId="0"/>
    <cellStyle name="Normal 6 4 6 3 2 4" xfId="0"/>
    <cellStyle name="Normal 6 4 6 3 2 4 2" xfId="0"/>
    <cellStyle name="Normal 6 4 6 3 2 5" xfId="0"/>
    <cellStyle name="Normal 6 4 6 3 3" xfId="0"/>
    <cellStyle name="Normal 6 4 6 3 3 2" xfId="0"/>
    <cellStyle name="Normal 6 4 6 3 3 2 2" xfId="0"/>
    <cellStyle name="Normal 6 4 6 3 3 2 2 2" xfId="0"/>
    <cellStyle name="Normal 6 4 6 3 3 2 3" xfId="0"/>
    <cellStyle name="Normal 6 4 6 3 3 3" xfId="0"/>
    <cellStyle name="Normal 6 4 6 3 3 3 2" xfId="0"/>
    <cellStyle name="Normal 6 4 6 3 3 4" xfId="0"/>
    <cellStyle name="Normal 6 4 6 3 4" xfId="0"/>
    <cellStyle name="Normal 6 4 6 3 4 2" xfId="0"/>
    <cellStyle name="Normal 6 4 6 3 4 2 2" xfId="0"/>
    <cellStyle name="Normal 6 4 6 3 4 3" xfId="0"/>
    <cellStyle name="Normal 6 4 6 3 5" xfId="0"/>
    <cellStyle name="Normal 6 4 6 3 5 2" xfId="0"/>
    <cellStyle name="Normal 6 4 6 3 6" xfId="0"/>
    <cellStyle name="Normal 6 4 6 4" xfId="0"/>
    <cellStyle name="Normal 6 4 6 4 2" xfId="0"/>
    <cellStyle name="Normal 6 4 6 4 2 2" xfId="0"/>
    <cellStyle name="Normal 6 4 6 4 2 2 2" xfId="0"/>
    <cellStyle name="Normal 6 4 6 4 2 2 2 2" xfId="0"/>
    <cellStyle name="Normal 6 4 6 4 2 2 3" xfId="0"/>
    <cellStyle name="Normal 6 4 6 4 2 3" xfId="0"/>
    <cellStyle name="Normal 6 4 6 4 2 3 2" xfId="0"/>
    <cellStyle name="Normal 6 4 6 4 2 4" xfId="0"/>
    <cellStyle name="Normal 6 4 6 4 3" xfId="0"/>
    <cellStyle name="Normal 6 4 6 4 3 2" xfId="0"/>
    <cellStyle name="Normal 6 4 6 4 3 2 2" xfId="0"/>
    <cellStyle name="Normal 6 4 6 4 3 3" xfId="0"/>
    <cellStyle name="Normal 6 4 6 4 4" xfId="0"/>
    <cellStyle name="Normal 6 4 6 4 4 2" xfId="0"/>
    <cellStyle name="Normal 6 4 6 4 5" xfId="0"/>
    <cellStyle name="Normal 6 4 6 5" xfId="0"/>
    <cellStyle name="Normal 6 4 6 5 2" xfId="0"/>
    <cellStyle name="Normal 6 4 6 5 2 2" xfId="0"/>
    <cellStyle name="Normal 6 4 6 5 2 2 2" xfId="0"/>
    <cellStyle name="Normal 6 4 6 5 2 3" xfId="0"/>
    <cellStyle name="Normal 6 4 6 5 3" xfId="0"/>
    <cellStyle name="Normal 6 4 6 5 3 2" xfId="0"/>
    <cellStyle name="Normal 6 4 6 5 4" xfId="0"/>
    <cellStyle name="Normal 6 4 6 6" xfId="0"/>
    <cellStyle name="Normal 6 4 6 6 2" xfId="0"/>
    <cellStyle name="Normal 6 4 6 6 2 2" xfId="0"/>
    <cellStyle name="Normal 6 4 6 6 3" xfId="0"/>
    <cellStyle name="Normal 6 4 6 7" xfId="0"/>
    <cellStyle name="Normal 6 4 6 7 2" xfId="0"/>
    <cellStyle name="Normal 6 4 6 8" xfId="0"/>
    <cellStyle name="Normal 6 4 7" xfId="0"/>
    <cellStyle name="Normal 6 4 7 2" xfId="0"/>
    <cellStyle name="Normal 6 4 7 2 2" xfId="0"/>
    <cellStyle name="Normal 6 4 7 2 2 2" xfId="0"/>
    <cellStyle name="Normal 6 4 7 2 2 2 2" xfId="0"/>
    <cellStyle name="Normal 6 4 7 2 2 2 2 2" xfId="0"/>
    <cellStyle name="Normal 6 4 7 2 2 2 2 2 2" xfId="0"/>
    <cellStyle name="Normal 6 4 7 2 2 2 2 2 2 2" xfId="0"/>
    <cellStyle name="Normal 6 4 7 2 2 2 2 2 3" xfId="0"/>
    <cellStyle name="Normal 6 4 7 2 2 2 2 3" xfId="0"/>
    <cellStyle name="Normal 6 4 7 2 2 2 2 3 2" xfId="0"/>
    <cellStyle name="Normal 6 4 7 2 2 2 2 4" xfId="0"/>
    <cellStyle name="Normal 6 4 7 2 2 2 3" xfId="0"/>
    <cellStyle name="Normal 6 4 7 2 2 2 3 2" xfId="0"/>
    <cellStyle name="Normal 6 4 7 2 2 2 3 2 2" xfId="0"/>
    <cellStyle name="Normal 6 4 7 2 2 2 3 3" xfId="0"/>
    <cellStyle name="Normal 6 4 7 2 2 2 4" xfId="0"/>
    <cellStyle name="Normal 6 4 7 2 2 2 4 2" xfId="0"/>
    <cellStyle name="Normal 6 4 7 2 2 2 5" xfId="0"/>
    <cellStyle name="Normal 6 4 7 2 2 3" xfId="0"/>
    <cellStyle name="Normal 6 4 7 2 2 3 2" xfId="0"/>
    <cellStyle name="Normal 6 4 7 2 2 3 2 2" xfId="0"/>
    <cellStyle name="Normal 6 4 7 2 2 3 2 2 2" xfId="0"/>
    <cellStyle name="Normal 6 4 7 2 2 3 2 3" xfId="0"/>
    <cellStyle name="Normal 6 4 7 2 2 3 3" xfId="0"/>
    <cellStyle name="Normal 6 4 7 2 2 3 3 2" xfId="0"/>
    <cellStyle name="Normal 6 4 7 2 2 3 4" xfId="0"/>
    <cellStyle name="Normal 6 4 7 2 2 4" xfId="0"/>
    <cellStyle name="Normal 6 4 7 2 2 4 2" xfId="0"/>
    <cellStyle name="Normal 6 4 7 2 2 4 2 2" xfId="0"/>
    <cellStyle name="Normal 6 4 7 2 2 4 3" xfId="0"/>
    <cellStyle name="Normal 6 4 7 2 2 5" xfId="0"/>
    <cellStyle name="Normal 6 4 7 2 2 5 2" xfId="0"/>
    <cellStyle name="Normal 6 4 7 2 2 6" xfId="0"/>
    <cellStyle name="Normal 6 4 7 2 3" xfId="0"/>
    <cellStyle name="Normal 6 4 7 2 3 2" xfId="0"/>
    <cellStyle name="Normal 6 4 7 2 3 2 2" xfId="0"/>
    <cellStyle name="Normal 6 4 7 2 3 2 2 2" xfId="0"/>
    <cellStyle name="Normal 6 4 7 2 3 2 2 2 2" xfId="0"/>
    <cellStyle name="Normal 6 4 7 2 3 2 2 3" xfId="0"/>
    <cellStyle name="Normal 6 4 7 2 3 2 3" xfId="0"/>
    <cellStyle name="Normal 6 4 7 2 3 2 3 2" xfId="0"/>
    <cellStyle name="Normal 6 4 7 2 3 2 4" xfId="0"/>
    <cellStyle name="Normal 6 4 7 2 3 3" xfId="0"/>
    <cellStyle name="Normal 6 4 7 2 3 3 2" xfId="0"/>
    <cellStyle name="Normal 6 4 7 2 3 3 2 2" xfId="0"/>
    <cellStyle name="Normal 6 4 7 2 3 3 3" xfId="0"/>
    <cellStyle name="Normal 6 4 7 2 3 4" xfId="0"/>
    <cellStyle name="Normal 6 4 7 2 3 4 2" xfId="0"/>
    <cellStyle name="Normal 6 4 7 2 3 5" xfId="0"/>
    <cellStyle name="Normal 6 4 7 2 4" xfId="0"/>
    <cellStyle name="Normal 6 4 7 2 4 2" xfId="0"/>
    <cellStyle name="Normal 6 4 7 2 4 2 2" xfId="0"/>
    <cellStyle name="Normal 6 4 7 2 4 2 2 2" xfId="0"/>
    <cellStyle name="Normal 6 4 7 2 4 2 3" xfId="0"/>
    <cellStyle name="Normal 6 4 7 2 4 3" xfId="0"/>
    <cellStyle name="Normal 6 4 7 2 4 3 2" xfId="0"/>
    <cellStyle name="Normal 6 4 7 2 4 4" xfId="0"/>
    <cellStyle name="Normal 6 4 7 2 5" xfId="0"/>
    <cellStyle name="Normal 6 4 7 2 5 2" xfId="0"/>
    <cellStyle name="Normal 6 4 7 2 5 2 2" xfId="0"/>
    <cellStyle name="Normal 6 4 7 2 5 3" xfId="0"/>
    <cellStyle name="Normal 6 4 7 2 6" xfId="0"/>
    <cellStyle name="Normal 6 4 7 2 6 2" xfId="0"/>
    <cellStyle name="Normal 6 4 7 2 7" xfId="0"/>
    <cellStyle name="Normal 6 4 7 3" xfId="0"/>
    <cellStyle name="Normal 6 4 7 3 2" xfId="0"/>
    <cellStyle name="Normal 6 4 7 3 2 2" xfId="0"/>
    <cellStyle name="Normal 6 4 7 3 2 2 2" xfId="0"/>
    <cellStyle name="Normal 6 4 7 3 2 2 2 2" xfId="0"/>
    <cellStyle name="Normal 6 4 7 3 2 2 2 2 2" xfId="0"/>
    <cellStyle name="Normal 6 4 7 3 2 2 2 3" xfId="0"/>
    <cellStyle name="Normal 6 4 7 3 2 2 3" xfId="0"/>
    <cellStyle name="Normal 6 4 7 3 2 2 3 2" xfId="0"/>
    <cellStyle name="Normal 6 4 7 3 2 2 4" xfId="0"/>
    <cellStyle name="Normal 6 4 7 3 2 3" xfId="0"/>
    <cellStyle name="Normal 6 4 7 3 2 3 2" xfId="0"/>
    <cellStyle name="Normal 6 4 7 3 2 3 2 2" xfId="0"/>
    <cellStyle name="Normal 6 4 7 3 2 3 3" xfId="0"/>
    <cellStyle name="Normal 6 4 7 3 2 4" xfId="0"/>
    <cellStyle name="Normal 6 4 7 3 2 4 2" xfId="0"/>
    <cellStyle name="Normal 6 4 7 3 2 5" xfId="0"/>
    <cellStyle name="Normal 6 4 7 3 3" xfId="0"/>
    <cellStyle name="Normal 6 4 7 3 3 2" xfId="0"/>
    <cellStyle name="Normal 6 4 7 3 3 2 2" xfId="0"/>
    <cellStyle name="Normal 6 4 7 3 3 2 2 2" xfId="0"/>
    <cellStyle name="Normal 6 4 7 3 3 2 3" xfId="0"/>
    <cellStyle name="Normal 6 4 7 3 3 3" xfId="0"/>
    <cellStyle name="Normal 6 4 7 3 3 3 2" xfId="0"/>
    <cellStyle name="Normal 6 4 7 3 3 4" xfId="0"/>
    <cellStyle name="Normal 6 4 7 3 4" xfId="0"/>
    <cellStyle name="Normal 6 4 7 3 4 2" xfId="0"/>
    <cellStyle name="Normal 6 4 7 3 4 2 2" xfId="0"/>
    <cellStyle name="Normal 6 4 7 3 4 3" xfId="0"/>
    <cellStyle name="Normal 6 4 7 3 5" xfId="0"/>
    <cellStyle name="Normal 6 4 7 3 5 2" xfId="0"/>
    <cellStyle name="Normal 6 4 7 3 6" xfId="0"/>
    <cellStyle name="Normal 6 4 7 4" xfId="0"/>
    <cellStyle name="Normal 6 4 7 4 2" xfId="0"/>
    <cellStyle name="Normal 6 4 7 4 2 2" xfId="0"/>
    <cellStyle name="Normal 6 4 7 4 2 2 2" xfId="0"/>
    <cellStyle name="Normal 6 4 7 4 2 2 2 2" xfId="0"/>
    <cellStyle name="Normal 6 4 7 4 2 2 3" xfId="0"/>
    <cellStyle name="Normal 6 4 7 4 2 3" xfId="0"/>
    <cellStyle name="Normal 6 4 7 4 2 3 2" xfId="0"/>
    <cellStyle name="Normal 6 4 7 4 2 4" xfId="0"/>
    <cellStyle name="Normal 6 4 7 4 3" xfId="0"/>
    <cellStyle name="Normal 6 4 7 4 3 2" xfId="0"/>
    <cellStyle name="Normal 6 4 7 4 3 2 2" xfId="0"/>
    <cellStyle name="Normal 6 4 7 4 3 3" xfId="0"/>
    <cellStyle name="Normal 6 4 7 4 4" xfId="0"/>
    <cellStyle name="Normal 6 4 7 4 4 2" xfId="0"/>
    <cellStyle name="Normal 6 4 7 4 5" xfId="0"/>
    <cellStyle name="Normal 6 4 7 5" xfId="0"/>
    <cellStyle name="Normal 6 4 7 5 2" xfId="0"/>
    <cellStyle name="Normal 6 4 7 5 2 2" xfId="0"/>
    <cellStyle name="Normal 6 4 7 5 2 2 2" xfId="0"/>
    <cellStyle name="Normal 6 4 7 5 2 3" xfId="0"/>
    <cellStyle name="Normal 6 4 7 5 3" xfId="0"/>
    <cellStyle name="Normal 6 4 7 5 3 2" xfId="0"/>
    <cellStyle name="Normal 6 4 7 5 4" xfId="0"/>
    <cellStyle name="Normal 6 4 7 6" xfId="0"/>
    <cellStyle name="Normal 6 4 7 6 2" xfId="0"/>
    <cellStyle name="Normal 6 4 7 6 2 2" xfId="0"/>
    <cellStyle name="Normal 6 4 7 6 3" xfId="0"/>
    <cellStyle name="Normal 6 4 7 7" xfId="0"/>
    <cellStyle name="Normal 6 4 7 7 2" xfId="0"/>
    <cellStyle name="Normal 6 4 7 8" xfId="0"/>
    <cellStyle name="Normal 6 4 8" xfId="0"/>
    <cellStyle name="Normal 6 4 8 2" xfId="0"/>
    <cellStyle name="Normal 6 4 8 2 2" xfId="0"/>
    <cellStyle name="Normal 6 4 8 2 2 2" xfId="0"/>
    <cellStyle name="Normal 6 4 8 2 2 2 2" xfId="0"/>
    <cellStyle name="Normal 6 4 8 2 2 2 2 2" xfId="0"/>
    <cellStyle name="Normal 6 4 8 2 2 2 2 2 2" xfId="0"/>
    <cellStyle name="Normal 6 4 8 2 2 2 2 3" xfId="0"/>
    <cellStyle name="Normal 6 4 8 2 2 2 3" xfId="0"/>
    <cellStyle name="Normal 6 4 8 2 2 2 3 2" xfId="0"/>
    <cellStyle name="Normal 6 4 8 2 2 2 4" xfId="0"/>
    <cellStyle name="Normal 6 4 8 2 2 3" xfId="0"/>
    <cellStyle name="Normal 6 4 8 2 2 3 2" xfId="0"/>
    <cellStyle name="Normal 6 4 8 2 2 3 2 2" xfId="0"/>
    <cellStyle name="Normal 6 4 8 2 2 3 3" xfId="0"/>
    <cellStyle name="Normal 6 4 8 2 2 4" xfId="0"/>
    <cellStyle name="Normal 6 4 8 2 2 4 2" xfId="0"/>
    <cellStyle name="Normal 6 4 8 2 2 5" xfId="0"/>
    <cellStyle name="Normal 6 4 8 2 3" xfId="0"/>
    <cellStyle name="Normal 6 4 8 2 3 2" xfId="0"/>
    <cellStyle name="Normal 6 4 8 2 3 2 2" xfId="0"/>
    <cellStyle name="Normal 6 4 8 2 3 2 2 2" xfId="0"/>
    <cellStyle name="Normal 6 4 8 2 3 2 3" xfId="0"/>
    <cellStyle name="Normal 6 4 8 2 3 3" xfId="0"/>
    <cellStyle name="Normal 6 4 8 2 3 3 2" xfId="0"/>
    <cellStyle name="Normal 6 4 8 2 3 4" xfId="0"/>
    <cellStyle name="Normal 6 4 8 2 4" xfId="0"/>
    <cellStyle name="Normal 6 4 8 2 4 2" xfId="0"/>
    <cellStyle name="Normal 6 4 8 2 4 2 2" xfId="0"/>
    <cellStyle name="Normal 6 4 8 2 4 3" xfId="0"/>
    <cellStyle name="Normal 6 4 8 2 5" xfId="0"/>
    <cellStyle name="Normal 6 4 8 2 5 2" xfId="0"/>
    <cellStyle name="Normal 6 4 8 2 6" xfId="0"/>
    <cellStyle name="Normal 6 4 8 3" xfId="0"/>
    <cellStyle name="Normal 6 4 8 3 2" xfId="0"/>
    <cellStyle name="Normal 6 4 8 3 2 2" xfId="0"/>
    <cellStyle name="Normal 6 4 8 3 2 2 2" xfId="0"/>
    <cellStyle name="Normal 6 4 8 3 2 2 2 2" xfId="0"/>
    <cellStyle name="Normal 6 4 8 3 2 2 3" xfId="0"/>
    <cellStyle name="Normal 6 4 8 3 2 3" xfId="0"/>
    <cellStyle name="Normal 6 4 8 3 2 3 2" xfId="0"/>
    <cellStyle name="Normal 6 4 8 3 2 4" xfId="0"/>
    <cellStyle name="Normal 6 4 8 3 3" xfId="0"/>
    <cellStyle name="Normal 6 4 8 3 3 2" xfId="0"/>
    <cellStyle name="Normal 6 4 8 3 3 2 2" xfId="0"/>
    <cellStyle name="Normal 6 4 8 3 3 3" xfId="0"/>
    <cellStyle name="Normal 6 4 8 3 4" xfId="0"/>
    <cellStyle name="Normal 6 4 8 3 4 2" xfId="0"/>
    <cellStyle name="Normal 6 4 8 3 5" xfId="0"/>
    <cellStyle name="Normal 6 4 8 4" xfId="0"/>
    <cellStyle name="Normal 6 4 8 4 2" xfId="0"/>
    <cellStyle name="Normal 6 4 8 4 2 2" xfId="0"/>
    <cellStyle name="Normal 6 4 8 4 2 2 2" xfId="0"/>
    <cellStyle name="Normal 6 4 8 4 2 3" xfId="0"/>
    <cellStyle name="Normal 6 4 8 4 3" xfId="0"/>
    <cellStyle name="Normal 6 4 8 4 3 2" xfId="0"/>
    <cellStyle name="Normal 6 4 8 4 4" xfId="0"/>
    <cellStyle name="Normal 6 4 8 5" xfId="0"/>
    <cellStyle name="Normal 6 4 8 5 2" xfId="0"/>
    <cellStyle name="Normal 6 4 8 5 2 2" xfId="0"/>
    <cellStyle name="Normal 6 4 8 5 3" xfId="0"/>
    <cellStyle name="Normal 6 4 8 6" xfId="0"/>
    <cellStyle name="Normal 6 4 8 6 2" xfId="0"/>
    <cellStyle name="Normal 6 4 8 7" xfId="0"/>
    <cellStyle name="Normal 6 4 9" xfId="0"/>
    <cellStyle name="Normal 6 4 9 2" xfId="0"/>
    <cellStyle name="Normal 6 4 9 2 2" xfId="0"/>
    <cellStyle name="Normal 6 4 9 2 2 2" xfId="0"/>
    <cellStyle name="Normal 6 4 9 2 2 2 2" xfId="0"/>
    <cellStyle name="Normal 6 4 9 2 2 2 2 2" xfId="0"/>
    <cellStyle name="Normal 6 4 9 2 2 2 2 2 2" xfId="0"/>
    <cellStyle name="Normal 6 4 9 2 2 2 2 3" xfId="0"/>
    <cellStyle name="Normal 6 4 9 2 2 2 3" xfId="0"/>
    <cellStyle name="Normal 6 4 9 2 2 2 3 2" xfId="0"/>
    <cellStyle name="Normal 6 4 9 2 2 2 4" xfId="0"/>
    <cellStyle name="Normal 6 4 9 2 2 3" xfId="0"/>
    <cellStyle name="Normal 6 4 9 2 2 3 2" xfId="0"/>
    <cellStyle name="Normal 6 4 9 2 2 3 2 2" xfId="0"/>
    <cellStyle name="Normal 6 4 9 2 2 3 3" xfId="0"/>
    <cellStyle name="Normal 6 4 9 2 2 4" xfId="0"/>
    <cellStyle name="Normal 6 4 9 2 2 4 2" xfId="0"/>
    <cellStyle name="Normal 6 4 9 2 2 5" xfId="0"/>
    <cellStyle name="Normal 6 4 9 2 3" xfId="0"/>
    <cellStyle name="Normal 6 4 9 2 3 2" xfId="0"/>
    <cellStyle name="Normal 6 4 9 2 3 2 2" xfId="0"/>
    <cellStyle name="Normal 6 4 9 2 3 2 2 2" xfId="0"/>
    <cellStyle name="Normal 6 4 9 2 3 2 3" xfId="0"/>
    <cellStyle name="Normal 6 4 9 2 3 3" xfId="0"/>
    <cellStyle name="Normal 6 4 9 2 3 3 2" xfId="0"/>
    <cellStyle name="Normal 6 4 9 2 3 4" xfId="0"/>
    <cellStyle name="Normal 6 4 9 2 4" xfId="0"/>
    <cellStyle name="Normal 6 4 9 2 4 2" xfId="0"/>
    <cellStyle name="Normal 6 4 9 2 4 2 2" xfId="0"/>
    <cellStyle name="Normal 6 4 9 2 4 3" xfId="0"/>
    <cellStyle name="Normal 6 4 9 2 5" xfId="0"/>
    <cellStyle name="Normal 6 4 9 2 5 2" xfId="0"/>
    <cellStyle name="Normal 6 4 9 2 6" xfId="0"/>
    <cellStyle name="Normal 6 4 9 3" xfId="0"/>
    <cellStyle name="Normal 6 4 9 3 2" xfId="0"/>
    <cellStyle name="Normal 6 4 9 3 2 2" xfId="0"/>
    <cellStyle name="Normal 6 4 9 3 2 2 2" xfId="0"/>
    <cellStyle name="Normal 6 4 9 3 2 2 2 2" xfId="0"/>
    <cellStyle name="Normal 6 4 9 3 2 2 3" xfId="0"/>
    <cellStyle name="Normal 6 4 9 3 2 3" xfId="0"/>
    <cellStyle name="Normal 6 4 9 3 2 3 2" xfId="0"/>
    <cellStyle name="Normal 6 4 9 3 2 4" xfId="0"/>
    <cellStyle name="Normal 6 4 9 3 3" xfId="0"/>
    <cellStyle name="Normal 6 4 9 3 3 2" xfId="0"/>
    <cellStyle name="Normal 6 4 9 3 3 2 2" xfId="0"/>
    <cellStyle name="Normal 6 4 9 3 3 3" xfId="0"/>
    <cellStyle name="Normal 6 4 9 3 4" xfId="0"/>
    <cellStyle name="Normal 6 4 9 3 4 2" xfId="0"/>
    <cellStyle name="Normal 6 4 9 3 5" xfId="0"/>
    <cellStyle name="Normal 6 4 9 4" xfId="0"/>
    <cellStyle name="Normal 6 4 9 4 2" xfId="0"/>
    <cellStyle name="Normal 6 4 9 4 2 2" xfId="0"/>
    <cellStyle name="Normal 6 4 9 4 2 2 2" xfId="0"/>
    <cellStyle name="Normal 6 4 9 4 2 3" xfId="0"/>
    <cellStyle name="Normal 6 4 9 4 3" xfId="0"/>
    <cellStyle name="Normal 6 4 9 4 3 2" xfId="0"/>
    <cellStyle name="Normal 6 4 9 4 4" xfId="0"/>
    <cellStyle name="Normal 6 4 9 5" xfId="0"/>
    <cellStyle name="Normal 6 4 9 5 2" xfId="0"/>
    <cellStyle name="Normal 6 4 9 5 2 2" xfId="0"/>
    <cellStyle name="Normal 6 4 9 5 3" xfId="0"/>
    <cellStyle name="Normal 6 4 9 6" xfId="0"/>
    <cellStyle name="Normal 6 4 9 6 2" xfId="0"/>
    <cellStyle name="Normal 6 4 9 7" xfId="0"/>
    <cellStyle name="Normal 6 40" xfId="0"/>
    <cellStyle name="Normal 6 41" xfId="0"/>
    <cellStyle name="Normal 6 42" xfId="0"/>
    <cellStyle name="Normal 6 43" xfId="0"/>
    <cellStyle name="Normal 6 44" xfId="0"/>
    <cellStyle name="Normal 6 45" xfId="0"/>
    <cellStyle name="Normal 6 46" xfId="0"/>
    <cellStyle name="Normal 6 47" xfId="0"/>
    <cellStyle name="Normal 6 48" xfId="0"/>
    <cellStyle name="Normal 6 49" xfId="0"/>
    <cellStyle name="Normal 6 5" xfId="0"/>
    <cellStyle name="Normal 6 5 2" xfId="0"/>
    <cellStyle name="Normal 6 5 3" xfId="0"/>
    <cellStyle name="Normal 6 50" xfId="0"/>
    <cellStyle name="Normal 6 51" xfId="0"/>
    <cellStyle name="Normal 6 52" xfId="0"/>
    <cellStyle name="Normal 6 53" xfId="0"/>
    <cellStyle name="Normal 6 54" xfId="0"/>
    <cellStyle name="Normal 6 55" xfId="0"/>
    <cellStyle name="Normal 6 56" xfId="0"/>
    <cellStyle name="Normal 6 57" xfId="0"/>
    <cellStyle name="Normal 6 58" xfId="0"/>
    <cellStyle name="Normal 6 59" xfId="0"/>
    <cellStyle name="Normal 6 6" xfId="0"/>
    <cellStyle name="Normal 6 6 2" xfId="0"/>
    <cellStyle name="Normal 6 60" xfId="0"/>
    <cellStyle name="Normal 6 61" xfId="0"/>
    <cellStyle name="Normal 6 62" xfId="0"/>
    <cellStyle name="Normal 6 63" xfId="0"/>
    <cellStyle name="Normal 6 64" xfId="0"/>
    <cellStyle name="Normal 6 65" xfId="0"/>
    <cellStyle name="Normal 6 66" xfId="0"/>
    <cellStyle name="Normal 6 67" xfId="0"/>
    <cellStyle name="Normal 6 68" xfId="0"/>
    <cellStyle name="Normal 6 69" xfId="0"/>
    <cellStyle name="Normal 6 7" xfId="0"/>
    <cellStyle name="Normal 6 7 2" xfId="0"/>
    <cellStyle name="Normal 6 70" xfId="0"/>
    <cellStyle name="Normal 6 71" xfId="0"/>
    <cellStyle name="Normal 6 72" xfId="0"/>
    <cellStyle name="Normal 6 73" xfId="0"/>
    <cellStyle name="Normal 6 74" xfId="0"/>
    <cellStyle name="Normal 6 75" xfId="0"/>
    <cellStyle name="Normal 6 76" xfId="0"/>
    <cellStyle name="Normal 6 77" xfId="0"/>
    <cellStyle name="Normal 6 78" xfId="0"/>
    <cellStyle name="Normal 6 79" xfId="0"/>
    <cellStyle name="Normal 6 8" xfId="0"/>
    <cellStyle name="Normal 6 80" xfId="0"/>
    <cellStyle name="Normal 6 81" xfId="0"/>
    <cellStyle name="Normal 6 82" xfId="0"/>
    <cellStyle name="Normal 6 83" xfId="0"/>
    <cellStyle name="Normal 6 84" xfId="0"/>
    <cellStyle name="Normal 6 85" xfId="0"/>
    <cellStyle name="Normal 6 86" xfId="0"/>
    <cellStyle name="Normal 6 87" xfId="0"/>
    <cellStyle name="Normal 6 88" xfId="0"/>
    <cellStyle name="Normal 6 89" xfId="0"/>
    <cellStyle name="Normal 6 9" xfId="0"/>
    <cellStyle name="Normal 6 90" xfId="0"/>
    <cellStyle name="Normal 6 91" xfId="0"/>
    <cellStyle name="Normal 6 92" xfId="0"/>
    <cellStyle name="Normal 6 93" xfId="0"/>
    <cellStyle name="Normal 6 94" xfId="0"/>
    <cellStyle name="Normal 6 95" xfId="0"/>
    <cellStyle name="Normal 6 96" xfId="0"/>
    <cellStyle name="Normal 6 97" xfId="0"/>
    <cellStyle name="Normal 6 98" xfId="0"/>
    <cellStyle name="Normal 6 99" xfId="0"/>
    <cellStyle name="Normal 60" xfId="0"/>
    <cellStyle name="Normal 60 2" xfId="0"/>
    <cellStyle name="Normal 61" xfId="0"/>
    <cellStyle name="Normal 61 2" xfId="0"/>
    <cellStyle name="Normal 62" xfId="0"/>
    <cellStyle name="Normal 62 2" xfId="0"/>
    <cellStyle name="Normal 63" xfId="0"/>
    <cellStyle name="Normal 63 2" xfId="0"/>
    <cellStyle name="Normal 64" xfId="0"/>
    <cellStyle name="Normal 64 2" xfId="0"/>
    <cellStyle name="Normal 65" xfId="0"/>
    <cellStyle name="Normal 65 2" xfId="0"/>
    <cellStyle name="Normal 66" xfId="0"/>
    <cellStyle name="Normal 66 2" xfId="0"/>
    <cellStyle name="Normal 67" xfId="0"/>
    <cellStyle name="Normal 68" xfId="0"/>
    <cellStyle name="Normal 69" xfId="0"/>
    <cellStyle name="Normal 6_Market Fresh Cost" xfId="0"/>
    <cellStyle name="Normal 7" xfId="0"/>
    <cellStyle name="Normal 7 10" xfId="0"/>
    <cellStyle name="Normal 7 100" xfId="0"/>
    <cellStyle name="Normal 7 101" xfId="0"/>
    <cellStyle name="Normal 7 102" xfId="0"/>
    <cellStyle name="Normal 7 103" xfId="0"/>
    <cellStyle name="Normal 7 104" xfId="0"/>
    <cellStyle name="Normal 7 105" xfId="0"/>
    <cellStyle name="Normal 7 106" xfId="0"/>
    <cellStyle name="Normal 7 107" xfId="0"/>
    <cellStyle name="Normal 7 108" xfId="0"/>
    <cellStyle name="Normal 7 109" xfId="0"/>
    <cellStyle name="Normal 7 11" xfId="0"/>
    <cellStyle name="Normal 7 110" xfId="0"/>
    <cellStyle name="Normal 7 111" xfId="0"/>
    <cellStyle name="Normal 7 112" xfId="0"/>
    <cellStyle name="Normal 7 113" xfId="0"/>
    <cellStyle name="Normal 7 114" xfId="0"/>
    <cellStyle name="Normal 7 115" xfId="0"/>
    <cellStyle name="Normal 7 116" xfId="0"/>
    <cellStyle name="Normal 7 117" xfId="0"/>
    <cellStyle name="Normal 7 118" xfId="0"/>
    <cellStyle name="Normal 7 119" xfId="0"/>
    <cellStyle name="Normal 7 12" xfId="0"/>
    <cellStyle name="Normal 7 120" xfId="0"/>
    <cellStyle name="Normal 7 121" xfId="0"/>
    <cellStyle name="Normal 7 122" xfId="0"/>
    <cellStyle name="Normal 7 123" xfId="0"/>
    <cellStyle name="Normal 7 124" xfId="0"/>
    <cellStyle name="Normal 7 125" xfId="0"/>
    <cellStyle name="Normal 7 126" xfId="0"/>
    <cellStyle name="Normal 7 127" xfId="0"/>
    <cellStyle name="Normal 7 128" xfId="0"/>
    <cellStyle name="Normal 7 129" xfId="0"/>
    <cellStyle name="Normal 7 13" xfId="0"/>
    <cellStyle name="Normal 7 130" xfId="0"/>
    <cellStyle name="Normal 7 131" xfId="0"/>
    <cellStyle name="Normal 7 132" xfId="0"/>
    <cellStyle name="Normal 7 133" xfId="0"/>
    <cellStyle name="Normal 7 134" xfId="0"/>
    <cellStyle name="Normal 7 135" xfId="0"/>
    <cellStyle name="Normal 7 136" xfId="0"/>
    <cellStyle name="Normal 7 137" xfId="0"/>
    <cellStyle name="Normal 7 138" xfId="0"/>
    <cellStyle name="Normal 7 139" xfId="0"/>
    <cellStyle name="Normal 7 14" xfId="0"/>
    <cellStyle name="Normal 7 140" xfId="0"/>
    <cellStyle name="Normal 7 141" xfId="0"/>
    <cellStyle name="Normal 7 142" xfId="0"/>
    <cellStyle name="Normal 7 143" xfId="0"/>
    <cellStyle name="Normal 7 144" xfId="0"/>
    <cellStyle name="Normal 7 145" xfId="0"/>
    <cellStyle name="Normal 7 146" xfId="0"/>
    <cellStyle name="Normal 7 147" xfId="0"/>
    <cellStyle name="Normal 7 148" xfId="0"/>
    <cellStyle name="Normal 7 149" xfId="0"/>
    <cellStyle name="Normal 7 15" xfId="0"/>
    <cellStyle name="Normal 7 150" xfId="0"/>
    <cellStyle name="Normal 7 151" xfId="0"/>
    <cellStyle name="Normal 7 152" xfId="0"/>
    <cellStyle name="Normal 7 153" xfId="0"/>
    <cellStyle name="Normal 7 154" xfId="0"/>
    <cellStyle name="Normal 7 155" xfId="0"/>
    <cellStyle name="Normal 7 156" xfId="0"/>
    <cellStyle name="Normal 7 157" xfId="0"/>
    <cellStyle name="Normal 7 158" xfId="0"/>
    <cellStyle name="Normal 7 159" xfId="0"/>
    <cellStyle name="Normal 7 16" xfId="0"/>
    <cellStyle name="Normal 7 160" xfId="0"/>
    <cellStyle name="Normal 7 161" xfId="0"/>
    <cellStyle name="Normal 7 162" xfId="0"/>
    <cellStyle name="Normal 7 163" xfId="0"/>
    <cellStyle name="Normal 7 164" xfId="0"/>
    <cellStyle name="Normal 7 165" xfId="0"/>
    <cellStyle name="Normal 7 166" xfId="0"/>
    <cellStyle name="Normal 7 167" xfId="0"/>
    <cellStyle name="Normal 7 168" xfId="0"/>
    <cellStyle name="Normal 7 169" xfId="0"/>
    <cellStyle name="Normal 7 17" xfId="0"/>
    <cellStyle name="Normal 7 170" xfId="0"/>
    <cellStyle name="Normal 7 171" xfId="0"/>
    <cellStyle name="Normal 7 172" xfId="0"/>
    <cellStyle name="Normal 7 173" xfId="0"/>
    <cellStyle name="Normal 7 174" xfId="0"/>
    <cellStyle name="Normal 7 175" xfId="0"/>
    <cellStyle name="Normal 7 176" xfId="0"/>
    <cellStyle name="Normal 7 177" xfId="0"/>
    <cellStyle name="Normal 7 178" xfId="0"/>
    <cellStyle name="Normal 7 179" xfId="0"/>
    <cellStyle name="Normal 7 18" xfId="0"/>
    <cellStyle name="Normal 7 180" xfId="0"/>
    <cellStyle name="Normal 7 181" xfId="0"/>
    <cellStyle name="Normal 7 182" xfId="0"/>
    <cellStyle name="Normal 7 183" xfId="0"/>
    <cellStyle name="Normal 7 184" xfId="0"/>
    <cellStyle name="Normal 7 185" xfId="0"/>
    <cellStyle name="Normal 7 186" xfId="0"/>
    <cellStyle name="Normal 7 187" xfId="0"/>
    <cellStyle name="Normal 7 188" xfId="0"/>
    <cellStyle name="Normal 7 189" xfId="0"/>
    <cellStyle name="Normal 7 19" xfId="0"/>
    <cellStyle name="Normal 7 190" xfId="0"/>
    <cellStyle name="Normal 7 191" xfId="0"/>
    <cellStyle name="Normal 7 192" xfId="0"/>
    <cellStyle name="Normal 7 193" xfId="0"/>
    <cellStyle name="Normal 7 194" xfId="0"/>
    <cellStyle name="Normal 7 195" xfId="0"/>
    <cellStyle name="Normal 7 196" xfId="0"/>
    <cellStyle name="Normal 7 197" xfId="0"/>
    <cellStyle name="Normal 7 198" xfId="0"/>
    <cellStyle name="Normal 7 199" xfId="0"/>
    <cellStyle name="Normal 7 2" xfId="0"/>
    <cellStyle name="Normal 7 2 2" xfId="0"/>
    <cellStyle name="Normal 7 2 2 2" xfId="0"/>
    <cellStyle name="Normal 7 20" xfId="0"/>
    <cellStyle name="Normal 7 200" xfId="0"/>
    <cellStyle name="Normal 7 201" xfId="0"/>
    <cellStyle name="Normal 7 202" xfId="0"/>
    <cellStyle name="Normal 7 203" xfId="0"/>
    <cellStyle name="Normal 7 204" xfId="0"/>
    <cellStyle name="Normal 7 205" xfId="0"/>
    <cellStyle name="Normal 7 206" xfId="0"/>
    <cellStyle name="Normal 7 207" xfId="0"/>
    <cellStyle name="Normal 7 208" xfId="0"/>
    <cellStyle name="Normal 7 209" xfId="0"/>
    <cellStyle name="Normal 7 21" xfId="0"/>
    <cellStyle name="Normal 7 210" xfId="0"/>
    <cellStyle name="Normal 7 211" xfId="0"/>
    <cellStyle name="Normal 7 212" xfId="0"/>
    <cellStyle name="Normal 7 213" xfId="0"/>
    <cellStyle name="Normal 7 214" xfId="0"/>
    <cellStyle name="Normal 7 215" xfId="0"/>
    <cellStyle name="Normal 7 216" xfId="0"/>
    <cellStyle name="Normal 7 217" xfId="0"/>
    <cellStyle name="Normal 7 218" xfId="0"/>
    <cellStyle name="Normal 7 219" xfId="0"/>
    <cellStyle name="Normal 7 22" xfId="0"/>
    <cellStyle name="Normal 7 220" xfId="0"/>
    <cellStyle name="Normal 7 221" xfId="0"/>
    <cellStyle name="Normal 7 23" xfId="0"/>
    <cellStyle name="Normal 7 24" xfId="0"/>
    <cellStyle name="Normal 7 25" xfId="0"/>
    <cellStyle name="Normal 7 26" xfId="0"/>
    <cellStyle name="Normal 7 27" xfId="0"/>
    <cellStyle name="Normal 7 28" xfId="0"/>
    <cellStyle name="Normal 7 29" xfId="0"/>
    <cellStyle name="Normal 7 3" xfId="0"/>
    <cellStyle name="Normal 7 3 2" xfId="0"/>
    <cellStyle name="Normal 7 3 3" xfId="0"/>
    <cellStyle name="Normal 7 30" xfId="0"/>
    <cellStyle name="Normal 7 31" xfId="0"/>
    <cellStyle name="Normal 7 32" xfId="0"/>
    <cellStyle name="Normal 7 33" xfId="0"/>
    <cellStyle name="Normal 7 34" xfId="0"/>
    <cellStyle name="Normal 7 35" xfId="0"/>
    <cellStyle name="Normal 7 36" xfId="0"/>
    <cellStyle name="Normal 7 37" xfId="0"/>
    <cellStyle name="Normal 7 38" xfId="0"/>
    <cellStyle name="Normal 7 39" xfId="0"/>
    <cellStyle name="Normal 7 4" xfId="0"/>
    <cellStyle name="Normal 7 4 2" xfId="0"/>
    <cellStyle name="Normal 7 4 3" xfId="0"/>
    <cellStyle name="Normal 7 40" xfId="0"/>
    <cellStyle name="Normal 7 41" xfId="0"/>
    <cellStyle name="Normal 7 42" xfId="0"/>
    <cellStyle name="Normal 7 43" xfId="0"/>
    <cellStyle name="Normal 7 44" xfId="0"/>
    <cellStyle name="Normal 7 45" xfId="0"/>
    <cellStyle name="Normal 7 46" xfId="0"/>
    <cellStyle name="Normal 7 47" xfId="0"/>
    <cellStyle name="Normal 7 48" xfId="0"/>
    <cellStyle name="Normal 7 49" xfId="0"/>
    <cellStyle name="Normal 7 5" xfId="0"/>
    <cellStyle name="Normal 7 5 2" xfId="0"/>
    <cellStyle name="Normal 7 5 3" xfId="0"/>
    <cellStyle name="Normal 7 50" xfId="0"/>
    <cellStyle name="Normal 7 51" xfId="0"/>
    <cellStyle name="Normal 7 52" xfId="0"/>
    <cellStyle name="Normal 7 53" xfId="0"/>
    <cellStyle name="Normal 7 54" xfId="0"/>
    <cellStyle name="Normal 7 55" xfId="0"/>
    <cellStyle name="Normal 7 56" xfId="0"/>
    <cellStyle name="Normal 7 57" xfId="0"/>
    <cellStyle name="Normal 7 58" xfId="0"/>
    <cellStyle name="Normal 7 59" xfId="0"/>
    <cellStyle name="Normal 7 6" xfId="0"/>
    <cellStyle name="Normal 7 6 2" xfId="0"/>
    <cellStyle name="Normal 7 60" xfId="0"/>
    <cellStyle name="Normal 7 61" xfId="0"/>
    <cellStyle name="Normal 7 62" xfId="0"/>
    <cellStyle name="Normal 7 63" xfId="0"/>
    <cellStyle name="Normal 7 64" xfId="0"/>
    <cellStyle name="Normal 7 65" xfId="0"/>
    <cellStyle name="Normal 7 66" xfId="0"/>
    <cellStyle name="Normal 7 67" xfId="0"/>
    <cellStyle name="Normal 7 68" xfId="0"/>
    <cellStyle name="Normal 7 69" xfId="0"/>
    <cellStyle name="Normal 7 7" xfId="0"/>
    <cellStyle name="Normal 7 7 2" xfId="0"/>
    <cellStyle name="Normal 7 70" xfId="0"/>
    <cellStyle name="Normal 7 71" xfId="0"/>
    <cellStyle name="Normal 7 72" xfId="0"/>
    <cellStyle name="Normal 7 73" xfId="0"/>
    <cellStyle name="Normal 7 74" xfId="0"/>
    <cellStyle name="Normal 7 75" xfId="0"/>
    <cellStyle name="Normal 7 76" xfId="0"/>
    <cellStyle name="Normal 7 77" xfId="0"/>
    <cellStyle name="Normal 7 78" xfId="0"/>
    <cellStyle name="Normal 7 79" xfId="0"/>
    <cellStyle name="Normal 7 8" xfId="0"/>
    <cellStyle name="Normal 7 80" xfId="0"/>
    <cellStyle name="Normal 7 81" xfId="0"/>
    <cellStyle name="Normal 7 82" xfId="0"/>
    <cellStyle name="Normal 7 83" xfId="0"/>
    <cellStyle name="Normal 7 84" xfId="0"/>
    <cellStyle name="Normal 7 85" xfId="0"/>
    <cellStyle name="Normal 7 86" xfId="0"/>
    <cellStyle name="Normal 7 87" xfId="0"/>
    <cellStyle name="Normal 7 88" xfId="0"/>
    <cellStyle name="Normal 7 89" xfId="0"/>
    <cellStyle name="Normal 7 9" xfId="0"/>
    <cellStyle name="Normal 7 90" xfId="0"/>
    <cellStyle name="Normal 7 91" xfId="0"/>
    <cellStyle name="Normal 7 92" xfId="0"/>
    <cellStyle name="Normal 7 93" xfId="0"/>
    <cellStyle name="Normal 7 94" xfId="0"/>
    <cellStyle name="Normal 7 95" xfId="0"/>
    <cellStyle name="Normal 7 96" xfId="0"/>
    <cellStyle name="Normal 7 97" xfId="0"/>
    <cellStyle name="Normal 7 98" xfId="0"/>
    <cellStyle name="Normal 7 99" xfId="0"/>
    <cellStyle name="Normal 70" xfId="0"/>
    <cellStyle name="Normal 71" xfId="0"/>
    <cellStyle name="Normal 71 10" xfId="0"/>
    <cellStyle name="Normal 71 100" xfId="0"/>
    <cellStyle name="Normal 71 101" xfId="0"/>
    <cellStyle name="Normal 71 11" xfId="0"/>
    <cellStyle name="Normal 71 12" xfId="0"/>
    <cellStyle name="Normal 71 13" xfId="0"/>
    <cellStyle name="Normal 71 14" xfId="0"/>
    <cellStyle name="Normal 71 15" xfId="0"/>
    <cellStyle name="Normal 71 16" xfId="0"/>
    <cellStyle name="Normal 71 17" xfId="0"/>
    <cellStyle name="Normal 71 18" xfId="0"/>
    <cellStyle name="Normal 71 19" xfId="0"/>
    <cellStyle name="Normal 71 2" xfId="0"/>
    <cellStyle name="Normal 71 20" xfId="0"/>
    <cellStyle name="Normal 71 21" xfId="0"/>
    <cellStyle name="Normal 71 22" xfId="0"/>
    <cellStyle name="Normal 71 23" xfId="0"/>
    <cellStyle name="Normal 71 24" xfId="0"/>
    <cellStyle name="Normal 71 25" xfId="0"/>
    <cellStyle name="Normal 71 26" xfId="0"/>
    <cellStyle name="Normal 71 27" xfId="0"/>
    <cellStyle name="Normal 71 28" xfId="0"/>
    <cellStyle name="Normal 71 29" xfId="0"/>
    <cellStyle name="Normal 71 3" xfId="0"/>
    <cellStyle name="Normal 71 30" xfId="0"/>
    <cellStyle name="Normal 71 31" xfId="0"/>
    <cellStyle name="Normal 71 32" xfId="0"/>
    <cellStyle name="Normal 71 33" xfId="0"/>
    <cellStyle name="Normal 71 34" xfId="0"/>
    <cellStyle name="Normal 71 35" xfId="0"/>
    <cellStyle name="Normal 71 36" xfId="0"/>
    <cellStyle name="Normal 71 37" xfId="0"/>
    <cellStyle name="Normal 71 38" xfId="0"/>
    <cellStyle name="Normal 71 39" xfId="0"/>
    <cellStyle name="Normal 71 4" xfId="0"/>
    <cellStyle name="Normal 71 40" xfId="0"/>
    <cellStyle name="Normal 71 41" xfId="0"/>
    <cellStyle name="Normal 71 42" xfId="0"/>
    <cellStyle name="Normal 71 43" xfId="0"/>
    <cellStyle name="Normal 71 44" xfId="0"/>
    <cellStyle name="Normal 71 45" xfId="0"/>
    <cellStyle name="Normal 71 46" xfId="0"/>
    <cellStyle name="Normal 71 47" xfId="0"/>
    <cellStyle name="Normal 71 48" xfId="0"/>
    <cellStyle name="Normal 71 49" xfId="0"/>
    <cellStyle name="Normal 71 5" xfId="0"/>
    <cellStyle name="Normal 71 50" xfId="0"/>
    <cellStyle name="Normal 71 51" xfId="0"/>
    <cellStyle name="Normal 71 52" xfId="0"/>
    <cellStyle name="Normal 71 53" xfId="0"/>
    <cellStyle name="Normal 71 54" xfId="0"/>
    <cellStyle name="Normal 71 55" xfId="0"/>
    <cellStyle name="Normal 71 56" xfId="0"/>
    <cellStyle name="Normal 71 57" xfId="0"/>
    <cellStyle name="Normal 71 58" xfId="0"/>
    <cellStyle name="Normal 71 59" xfId="0"/>
    <cellStyle name="Normal 71 6" xfId="0"/>
    <cellStyle name="Normal 71 60" xfId="0"/>
    <cellStyle name="Normal 71 61" xfId="0"/>
    <cellStyle name="Normal 71 62" xfId="0"/>
    <cellStyle name="Normal 71 63" xfId="0"/>
    <cellStyle name="Normal 71 64" xfId="0"/>
    <cellStyle name="Normal 71 65" xfId="0"/>
    <cellStyle name="Normal 71 66" xfId="0"/>
    <cellStyle name="Normal 71 67" xfId="0"/>
    <cellStyle name="Normal 71 68" xfId="0"/>
    <cellStyle name="Normal 71 69" xfId="0"/>
    <cellStyle name="Normal 71 7" xfId="0"/>
    <cellStyle name="Normal 71 70" xfId="0"/>
    <cellStyle name="Normal 71 71" xfId="0"/>
    <cellStyle name="Normal 71 72" xfId="0"/>
    <cellStyle name="Normal 71 73" xfId="0"/>
    <cellStyle name="Normal 71 74" xfId="0"/>
    <cellStyle name="Normal 71 75" xfId="0"/>
    <cellStyle name="Normal 71 76" xfId="0"/>
    <cellStyle name="Normal 71 77" xfId="0"/>
    <cellStyle name="Normal 71 78" xfId="0"/>
    <cellStyle name="Normal 71 79" xfId="0"/>
    <cellStyle name="Normal 71 8" xfId="0"/>
    <cellStyle name="Normal 71 80" xfId="0"/>
    <cellStyle name="Normal 71 81" xfId="0"/>
    <cellStyle name="Normal 71 82" xfId="0"/>
    <cellStyle name="Normal 71 83" xfId="0"/>
    <cellStyle name="Normal 71 84" xfId="0"/>
    <cellStyle name="Normal 71 85" xfId="0"/>
    <cellStyle name="Normal 71 86" xfId="0"/>
    <cellStyle name="Normal 71 87" xfId="0"/>
    <cellStyle name="Normal 71 88" xfId="0"/>
    <cellStyle name="Normal 71 89" xfId="0"/>
    <cellStyle name="Normal 71 9" xfId="0"/>
    <cellStyle name="Normal 71 90" xfId="0"/>
    <cellStyle name="Normal 71 91" xfId="0"/>
    <cellStyle name="Normal 71 92" xfId="0"/>
    <cellStyle name="Normal 71 93" xfId="0"/>
    <cellStyle name="Normal 71 94" xfId="0"/>
    <cellStyle name="Normal 71 95" xfId="0"/>
    <cellStyle name="Normal 71 96" xfId="0"/>
    <cellStyle name="Normal 71 97" xfId="0"/>
    <cellStyle name="Normal 71 98" xfId="0"/>
    <cellStyle name="Normal 71 99" xfId="0"/>
    <cellStyle name="Normal 72" xfId="0"/>
    <cellStyle name="Normal 72 10" xfId="0"/>
    <cellStyle name="Normal 72 100" xfId="0"/>
    <cellStyle name="Normal 72 101" xfId="0"/>
    <cellStyle name="Normal 72 11" xfId="0"/>
    <cellStyle name="Normal 72 12" xfId="0"/>
    <cellStyle name="Normal 72 13" xfId="0"/>
    <cellStyle name="Normal 72 14" xfId="0"/>
    <cellStyle name="Normal 72 15" xfId="0"/>
    <cellStyle name="Normal 72 16" xfId="0"/>
    <cellStyle name="Normal 72 17" xfId="0"/>
    <cellStyle name="Normal 72 18" xfId="0"/>
    <cellStyle name="Normal 72 19" xfId="0"/>
    <cellStyle name="Normal 72 2" xfId="0"/>
    <cellStyle name="Normal 72 20" xfId="0"/>
    <cellStyle name="Normal 72 21" xfId="0"/>
    <cellStyle name="Normal 72 22" xfId="0"/>
    <cellStyle name="Normal 72 23" xfId="0"/>
    <cellStyle name="Normal 72 24" xfId="0"/>
    <cellStyle name="Normal 72 25" xfId="0"/>
    <cellStyle name="Normal 72 26" xfId="0"/>
    <cellStyle name="Normal 72 27" xfId="0"/>
    <cellStyle name="Normal 72 28" xfId="0"/>
    <cellStyle name="Normal 72 29" xfId="0"/>
    <cellStyle name="Normal 72 3" xfId="0"/>
    <cellStyle name="Normal 72 30" xfId="0"/>
    <cellStyle name="Normal 72 31" xfId="0"/>
    <cellStyle name="Normal 72 32" xfId="0"/>
    <cellStyle name="Normal 72 33" xfId="0"/>
    <cellStyle name="Normal 72 34" xfId="0"/>
    <cellStyle name="Normal 72 35" xfId="0"/>
    <cellStyle name="Normal 72 36" xfId="0"/>
    <cellStyle name="Normal 72 37" xfId="0"/>
    <cellStyle name="Normal 72 38" xfId="0"/>
    <cellStyle name="Normal 72 39" xfId="0"/>
    <cellStyle name="Normal 72 4" xfId="0"/>
    <cellStyle name="Normal 72 40" xfId="0"/>
    <cellStyle name="Normal 72 41" xfId="0"/>
    <cellStyle name="Normal 72 42" xfId="0"/>
    <cellStyle name="Normal 72 43" xfId="0"/>
    <cellStyle name="Normal 72 44" xfId="0"/>
    <cellStyle name="Normal 72 45" xfId="0"/>
    <cellStyle name="Normal 72 46" xfId="0"/>
    <cellStyle name="Normal 72 47" xfId="0"/>
    <cellStyle name="Normal 72 48" xfId="0"/>
    <cellStyle name="Normal 72 49" xfId="0"/>
    <cellStyle name="Normal 72 5" xfId="0"/>
    <cellStyle name="Normal 72 50" xfId="0"/>
    <cellStyle name="Normal 72 51" xfId="0"/>
    <cellStyle name="Normal 72 52" xfId="0"/>
    <cellStyle name="Normal 72 53" xfId="0"/>
    <cellStyle name="Normal 72 54" xfId="0"/>
    <cellStyle name="Normal 72 55" xfId="0"/>
    <cellStyle name="Normal 72 56" xfId="0"/>
    <cellStyle name="Normal 72 57" xfId="0"/>
    <cellStyle name="Normal 72 58" xfId="0"/>
    <cellStyle name="Normal 72 59" xfId="0"/>
    <cellStyle name="Normal 72 6" xfId="0"/>
    <cellStyle name="Normal 72 60" xfId="0"/>
    <cellStyle name="Normal 72 61" xfId="0"/>
    <cellStyle name="Normal 72 62" xfId="0"/>
    <cellStyle name="Normal 72 63" xfId="0"/>
    <cellStyle name="Normal 72 64" xfId="0"/>
    <cellStyle name="Normal 72 65" xfId="0"/>
    <cellStyle name="Normal 72 66" xfId="0"/>
    <cellStyle name="Normal 72 67" xfId="0"/>
    <cellStyle name="Normal 72 68" xfId="0"/>
    <cellStyle name="Normal 72 69" xfId="0"/>
    <cellStyle name="Normal 72 7" xfId="0"/>
    <cellStyle name="Normal 72 70" xfId="0"/>
    <cellStyle name="Normal 72 71" xfId="0"/>
    <cellStyle name="Normal 72 72" xfId="0"/>
    <cellStyle name="Normal 72 73" xfId="0"/>
    <cellStyle name="Normal 72 74" xfId="0"/>
    <cellStyle name="Normal 72 75" xfId="0"/>
    <cellStyle name="Normal 72 76" xfId="0"/>
    <cellStyle name="Normal 72 77" xfId="0"/>
    <cellStyle name="Normal 72 78" xfId="0"/>
    <cellStyle name="Normal 72 79" xfId="0"/>
    <cellStyle name="Normal 72 8" xfId="0"/>
    <cellStyle name="Normal 72 80" xfId="0"/>
    <cellStyle name="Normal 72 81" xfId="0"/>
    <cellStyle name="Normal 72 82" xfId="0"/>
    <cellStyle name="Normal 72 83" xfId="0"/>
    <cellStyle name="Normal 72 84" xfId="0"/>
    <cellStyle name="Normal 72 85" xfId="0"/>
    <cellStyle name="Normal 72 86" xfId="0"/>
    <cellStyle name="Normal 72 87" xfId="0"/>
    <cellStyle name="Normal 72 88" xfId="0"/>
    <cellStyle name="Normal 72 89" xfId="0"/>
    <cellStyle name="Normal 72 9" xfId="0"/>
    <cellStyle name="Normal 72 90" xfId="0"/>
    <cellStyle name="Normal 72 91" xfId="0"/>
    <cellStyle name="Normal 72 92" xfId="0"/>
    <cellStyle name="Normal 72 93" xfId="0"/>
    <cellStyle name="Normal 72 94" xfId="0"/>
    <cellStyle name="Normal 72 95" xfId="0"/>
    <cellStyle name="Normal 72 96" xfId="0"/>
    <cellStyle name="Normal 72 97" xfId="0"/>
    <cellStyle name="Normal 72 98" xfId="0"/>
    <cellStyle name="Normal 72 99" xfId="0"/>
    <cellStyle name="Normal 73" xfId="0"/>
    <cellStyle name="Normal 74" xfId="0"/>
    <cellStyle name="Normal 75" xfId="0"/>
    <cellStyle name="Normal 76" xfId="0"/>
    <cellStyle name="Normal 77" xfId="0"/>
    <cellStyle name="Normal 78" xfId="0"/>
    <cellStyle name="Normal 79" xfId="0"/>
    <cellStyle name="Normal 7_Market Fresh Cost" xfId="0"/>
    <cellStyle name="Normal 8" xfId="0"/>
    <cellStyle name="Normal 8 10" xfId="0"/>
    <cellStyle name="Normal 8 11" xfId="0"/>
    <cellStyle name="Normal 8 12" xfId="0"/>
    <cellStyle name="Normal 8 13" xfId="0"/>
    <cellStyle name="Normal 8 14" xfId="0"/>
    <cellStyle name="Normal 8 15" xfId="0"/>
    <cellStyle name="Normal 8 16" xfId="0"/>
    <cellStyle name="Normal 8 17" xfId="0"/>
    <cellStyle name="Normal 8 18" xfId="0"/>
    <cellStyle name="Normal 8 19" xfId="0"/>
    <cellStyle name="Normal 8 2" xfId="0"/>
    <cellStyle name="Normal 8 2 2" xfId="0"/>
    <cellStyle name="Normal 8 2 2 2" xfId="0"/>
    <cellStyle name="Normal 8 2 3" xfId="0"/>
    <cellStyle name="Normal 8 20" xfId="0"/>
    <cellStyle name="Normal 8 21" xfId="0"/>
    <cellStyle name="Normal 8 22" xfId="0"/>
    <cellStyle name="Normal 8 23" xfId="0"/>
    <cellStyle name="Normal 8 24" xfId="0"/>
    <cellStyle name="Normal 8 25" xfId="0"/>
    <cellStyle name="Normal 8 26" xfId="0"/>
    <cellStyle name="Normal 8 27" xfId="0"/>
    <cellStyle name="Normal 8 28" xfId="0"/>
    <cellStyle name="Normal 8 29" xfId="0"/>
    <cellStyle name="Normal 8 3" xfId="0"/>
    <cellStyle name="Normal 8 3 2" xfId="0"/>
    <cellStyle name="Normal 8 3 3" xfId="0"/>
    <cellStyle name="Normal 8 30" xfId="0"/>
    <cellStyle name="Normal 8 31" xfId="0"/>
    <cellStyle name="Normal 8 32" xfId="0"/>
    <cellStyle name="Normal 8 33" xfId="0"/>
    <cellStyle name="Normal 8 34" xfId="0"/>
    <cellStyle name="Normal 8 35" xfId="0"/>
    <cellStyle name="Normal 8 36" xfId="0"/>
    <cellStyle name="Normal 8 37" xfId="0"/>
    <cellStyle name="Normal 8 38" xfId="0"/>
    <cellStyle name="Normal 8 39" xfId="0"/>
    <cellStyle name="Normal 8 4" xfId="0"/>
    <cellStyle name="Normal 8 4 2" xfId="0"/>
    <cellStyle name="Normal 8 40" xfId="0"/>
    <cellStyle name="Normal 8 41" xfId="0"/>
    <cellStyle name="Normal 8 42" xfId="0"/>
    <cellStyle name="Normal 8 43" xfId="0"/>
    <cellStyle name="Normal 8 44" xfId="0"/>
    <cellStyle name="Normal 8 45" xfId="0"/>
    <cellStyle name="Normal 8 46" xfId="0"/>
    <cellStyle name="Normal 8 47" xfId="0"/>
    <cellStyle name="Normal 8 48" xfId="0"/>
    <cellStyle name="Normal 8 49" xfId="0"/>
    <cellStyle name="Normal 8 5" xfId="0"/>
    <cellStyle name="Normal 8 50" xfId="0"/>
    <cellStyle name="Normal 8 51" xfId="0"/>
    <cellStyle name="Normal 8 52" xfId="0"/>
    <cellStyle name="Normal 8 53" xfId="0"/>
    <cellStyle name="Normal 8 54" xfId="0"/>
    <cellStyle name="Normal 8 55" xfId="0"/>
    <cellStyle name="Normal 8 56" xfId="0"/>
    <cellStyle name="Normal 8 57" xfId="0"/>
    <cellStyle name="Normal 8 58" xfId="0"/>
    <cellStyle name="Normal 8 59" xfId="0"/>
    <cellStyle name="Normal 8 6" xfId="0"/>
    <cellStyle name="Normal 8 7" xfId="0"/>
    <cellStyle name="Normal 8 8" xfId="0"/>
    <cellStyle name="Normal 8 9" xfId="0"/>
    <cellStyle name="Normal 80" xfId="0"/>
    <cellStyle name="Normal 81" xfId="0"/>
    <cellStyle name="Normal 82" xfId="0"/>
    <cellStyle name="Normal 83" xfId="0"/>
    <cellStyle name="Normal 83 2" xfId="0"/>
    <cellStyle name="Normal 83 2 2" xfId="0"/>
    <cellStyle name="Normal 83 2 2 2" xfId="0"/>
    <cellStyle name="Normal 83 2 2 2 2" xfId="0"/>
    <cellStyle name="Normal 83 2 2 2 2 2" xfId="0"/>
    <cellStyle name="Normal 83 2 2 2 2 2 2" xfId="0"/>
    <cellStyle name="Normal 83 2 2 2 2 2 2 2" xfId="0"/>
    <cellStyle name="Normal 83 2 2 2 2 2 3" xfId="0"/>
    <cellStyle name="Normal 83 2 2 2 2 3" xfId="0"/>
    <cellStyle name="Normal 83 2 2 2 2 3 2" xfId="0"/>
    <cellStyle name="Normal 83 2 2 2 2 4" xfId="0"/>
    <cellStyle name="Normal 83 2 2 2 3" xfId="0"/>
    <cellStyle name="Normal 83 2 2 2 3 2" xfId="0"/>
    <cellStyle name="Normal 83 2 2 2 3 2 2" xfId="0"/>
    <cellStyle name="Normal 83 2 2 2 3 3" xfId="0"/>
    <cellStyle name="Normal 83 2 2 2 4" xfId="0"/>
    <cellStyle name="Normal 83 2 2 2 4 2" xfId="0"/>
    <cellStyle name="Normal 83 2 2 2 5" xfId="0"/>
    <cellStyle name="Normal 83 2 2 3" xfId="0"/>
    <cellStyle name="Normal 83 2 2 3 2" xfId="0"/>
    <cellStyle name="Normal 83 2 2 3 2 2" xfId="0"/>
    <cellStyle name="Normal 83 2 2 3 2 2 2" xfId="0"/>
    <cellStyle name="Normal 83 2 2 3 2 3" xfId="0"/>
    <cellStyle name="Normal 83 2 2 3 3" xfId="0"/>
    <cellStyle name="Normal 83 2 2 3 3 2" xfId="0"/>
    <cellStyle name="Normal 83 2 2 3 4" xfId="0"/>
    <cellStyle name="Normal 83 2 2 4" xfId="0"/>
    <cellStyle name="Normal 83 2 2 4 2" xfId="0"/>
    <cellStyle name="Normal 83 2 2 4 2 2" xfId="0"/>
    <cellStyle name="Normal 83 2 2 4 3" xfId="0"/>
    <cellStyle name="Normal 83 2 2 5" xfId="0"/>
    <cellStyle name="Normal 83 2 2 5 2" xfId="0"/>
    <cellStyle name="Normal 83 2 2 6" xfId="0"/>
    <cellStyle name="Normal 83 2 3" xfId="0"/>
    <cellStyle name="Normal 83 2 3 2" xfId="0"/>
    <cellStyle name="Normal 83 2 3 2 2" xfId="0"/>
    <cellStyle name="Normal 83 2 3 2 2 2" xfId="0"/>
    <cellStyle name="Normal 83 2 3 2 2 2 2" xfId="0"/>
    <cellStyle name="Normal 83 2 3 2 2 3" xfId="0"/>
    <cellStyle name="Normal 83 2 3 2 3" xfId="0"/>
    <cellStyle name="Normal 83 2 3 2 3 2" xfId="0"/>
    <cellStyle name="Normal 83 2 3 2 4" xfId="0"/>
    <cellStyle name="Normal 83 2 3 3" xfId="0"/>
    <cellStyle name="Normal 83 2 3 3 2" xfId="0"/>
    <cellStyle name="Normal 83 2 3 3 2 2" xfId="0"/>
    <cellStyle name="Normal 83 2 3 3 3" xfId="0"/>
    <cellStyle name="Normal 83 2 3 4" xfId="0"/>
    <cellStyle name="Normal 83 2 3 4 2" xfId="0"/>
    <cellStyle name="Normal 83 2 3 5" xfId="0"/>
    <cellStyle name="Normal 83 2 4" xfId="0"/>
    <cellStyle name="Normal 83 2 4 2" xfId="0"/>
    <cellStyle name="Normal 83 2 4 2 2" xfId="0"/>
    <cellStyle name="Normal 83 2 4 2 2 2" xfId="0"/>
    <cellStyle name="Normal 83 2 4 2 3" xfId="0"/>
    <cellStyle name="Normal 83 2 4 3" xfId="0"/>
    <cellStyle name="Normal 83 2 4 3 2" xfId="0"/>
    <cellStyle name="Normal 83 2 4 4" xfId="0"/>
    <cellStyle name="Normal 83 2 5" xfId="0"/>
    <cellStyle name="Normal 83 2 5 2" xfId="0"/>
    <cellStyle name="Normal 83 2 5 2 2" xfId="0"/>
    <cellStyle name="Normal 83 2 5 3" xfId="0"/>
    <cellStyle name="Normal 83 2 6" xfId="0"/>
    <cellStyle name="Normal 83 2 6 2" xfId="0"/>
    <cellStyle name="Normal 83 2 7" xfId="0"/>
    <cellStyle name="Normal 83 3" xfId="0"/>
    <cellStyle name="Normal 83 3 2" xfId="0"/>
    <cellStyle name="Normal 83 3 2 2" xfId="0"/>
    <cellStyle name="Normal 83 3 2 2 2" xfId="0"/>
    <cellStyle name="Normal 83 3 2 2 2 2" xfId="0"/>
    <cellStyle name="Normal 83 3 2 2 2 2 2" xfId="0"/>
    <cellStyle name="Normal 83 3 2 2 2 3" xfId="0"/>
    <cellStyle name="Normal 83 3 2 2 3" xfId="0"/>
    <cellStyle name="Normal 83 3 2 2 3 2" xfId="0"/>
    <cellStyle name="Normal 83 3 2 2 4" xfId="0"/>
    <cellStyle name="Normal 83 3 2 3" xfId="0"/>
    <cellStyle name="Normal 83 3 2 3 2" xfId="0"/>
    <cellStyle name="Normal 83 3 2 3 2 2" xfId="0"/>
    <cellStyle name="Normal 83 3 2 3 3" xfId="0"/>
    <cellStyle name="Normal 83 3 2 4" xfId="0"/>
    <cellStyle name="Normal 83 3 2 4 2" xfId="0"/>
    <cellStyle name="Normal 83 3 2 5" xfId="0"/>
    <cellStyle name="Normal 83 3 3" xfId="0"/>
    <cellStyle name="Normal 83 3 3 2" xfId="0"/>
    <cellStyle name="Normal 83 3 3 2 2" xfId="0"/>
    <cellStyle name="Normal 83 3 3 2 2 2" xfId="0"/>
    <cellStyle name="Normal 83 3 3 2 3" xfId="0"/>
    <cellStyle name="Normal 83 3 3 3" xfId="0"/>
    <cellStyle name="Normal 83 3 3 3 2" xfId="0"/>
    <cellStyle name="Normal 83 3 3 4" xfId="0"/>
    <cellStyle name="Normal 83 3 4" xfId="0"/>
    <cellStyle name="Normal 83 3 4 2" xfId="0"/>
    <cellStyle name="Normal 83 3 4 2 2" xfId="0"/>
    <cellStyle name="Normal 83 3 4 3" xfId="0"/>
    <cellStyle name="Normal 83 3 5" xfId="0"/>
    <cellStyle name="Normal 83 3 5 2" xfId="0"/>
    <cellStyle name="Normal 83 3 6" xfId="0"/>
    <cellStyle name="Normal 83 4" xfId="0"/>
    <cellStyle name="Normal 83 4 2" xfId="0"/>
    <cellStyle name="Normal 83 4 2 2" xfId="0"/>
    <cellStyle name="Normal 83 4 2 2 2" xfId="0"/>
    <cellStyle name="Normal 83 4 2 2 2 2" xfId="0"/>
    <cellStyle name="Normal 83 4 2 2 3" xfId="0"/>
    <cellStyle name="Normal 83 4 2 3" xfId="0"/>
    <cellStyle name="Normal 83 4 2 3 2" xfId="0"/>
    <cellStyle name="Normal 83 4 2 4" xfId="0"/>
    <cellStyle name="Normal 83 4 3" xfId="0"/>
    <cellStyle name="Normal 83 4 3 2" xfId="0"/>
    <cellStyle name="Normal 83 4 3 2 2" xfId="0"/>
    <cellStyle name="Normal 83 4 3 3" xfId="0"/>
    <cellStyle name="Normal 83 4 4" xfId="0"/>
    <cellStyle name="Normal 83 4 4 2" xfId="0"/>
    <cellStyle name="Normal 83 4 5" xfId="0"/>
    <cellStyle name="Normal 83 5" xfId="0"/>
    <cellStyle name="Normal 83 5 2" xfId="0"/>
    <cellStyle name="Normal 83 5 2 2" xfId="0"/>
    <cellStyle name="Normal 83 5 2 2 2" xfId="0"/>
    <cellStyle name="Normal 83 5 2 3" xfId="0"/>
    <cellStyle name="Normal 83 5 3" xfId="0"/>
    <cellStyle name="Normal 83 5 3 2" xfId="0"/>
    <cellStyle name="Normal 83 5 4" xfId="0"/>
    <cellStyle name="Normal 83 6" xfId="0"/>
    <cellStyle name="Normal 83 6 2" xfId="0"/>
    <cellStyle name="Normal 83 6 2 2" xfId="0"/>
    <cellStyle name="Normal 83 6 3" xfId="0"/>
    <cellStyle name="Normal 83 7" xfId="0"/>
    <cellStyle name="Normal 83 7 2" xfId="0"/>
    <cellStyle name="Normal 83 8" xfId="0"/>
    <cellStyle name="Normal 84" xfId="0"/>
    <cellStyle name="Normal 84 2" xfId="0"/>
    <cellStyle name="Normal 84 2 2" xfId="0"/>
    <cellStyle name="Normal 84 2 2 2" xfId="0"/>
    <cellStyle name="Normal 84 2 2 2 2" xfId="0"/>
    <cellStyle name="Normal 84 2 2 2 2 2" xfId="0"/>
    <cellStyle name="Normal 84 2 2 2 2 2 2" xfId="0"/>
    <cellStyle name="Normal 84 2 2 2 2 2 2 2" xfId="0"/>
    <cellStyle name="Normal 84 2 2 2 2 2 3" xfId="0"/>
    <cellStyle name="Normal 84 2 2 2 2 3" xfId="0"/>
    <cellStyle name="Normal 84 2 2 2 2 3 2" xfId="0"/>
    <cellStyle name="Normal 84 2 2 2 2 4" xfId="0"/>
    <cellStyle name="Normal 84 2 2 2 3" xfId="0"/>
    <cellStyle name="Normal 84 2 2 2 3 2" xfId="0"/>
    <cellStyle name="Normal 84 2 2 2 3 2 2" xfId="0"/>
    <cellStyle name="Normal 84 2 2 2 3 3" xfId="0"/>
    <cellStyle name="Normal 84 2 2 2 4" xfId="0"/>
    <cellStyle name="Normal 84 2 2 2 4 2" xfId="0"/>
    <cellStyle name="Normal 84 2 2 2 5" xfId="0"/>
    <cellStyle name="Normal 84 2 2 3" xfId="0"/>
    <cellStyle name="Normal 84 2 2 3 2" xfId="0"/>
    <cellStyle name="Normal 84 2 2 3 2 2" xfId="0"/>
    <cellStyle name="Normal 84 2 2 3 2 2 2" xfId="0"/>
    <cellStyle name="Normal 84 2 2 3 2 3" xfId="0"/>
    <cellStyle name="Normal 84 2 2 3 3" xfId="0"/>
    <cellStyle name="Normal 84 2 2 3 3 2" xfId="0"/>
    <cellStyle name="Normal 84 2 2 3 4" xfId="0"/>
    <cellStyle name="Normal 84 2 2 4" xfId="0"/>
    <cellStyle name="Normal 84 2 2 4 2" xfId="0"/>
    <cellStyle name="Normal 84 2 2 4 2 2" xfId="0"/>
    <cellStyle name="Normal 84 2 2 4 3" xfId="0"/>
    <cellStyle name="Normal 84 2 2 5" xfId="0"/>
    <cellStyle name="Normal 84 2 2 5 2" xfId="0"/>
    <cellStyle name="Normal 84 2 2 6" xfId="0"/>
    <cellStyle name="Normal 84 2 3" xfId="0"/>
    <cellStyle name="Normal 84 2 3 2" xfId="0"/>
    <cellStyle name="Normal 84 2 3 2 2" xfId="0"/>
    <cellStyle name="Normal 84 2 3 2 2 2" xfId="0"/>
    <cellStyle name="Normal 84 2 3 2 2 2 2" xfId="0"/>
    <cellStyle name="Normal 84 2 3 2 2 3" xfId="0"/>
    <cellStyle name="Normal 84 2 3 2 3" xfId="0"/>
    <cellStyle name="Normal 84 2 3 2 3 2" xfId="0"/>
    <cellStyle name="Normal 84 2 3 2 4" xfId="0"/>
    <cellStyle name="Normal 84 2 3 3" xfId="0"/>
    <cellStyle name="Normal 84 2 3 3 2" xfId="0"/>
    <cellStyle name="Normal 84 2 3 3 2 2" xfId="0"/>
    <cellStyle name="Normal 84 2 3 3 3" xfId="0"/>
    <cellStyle name="Normal 84 2 3 4" xfId="0"/>
    <cellStyle name="Normal 84 2 3 4 2" xfId="0"/>
    <cellStyle name="Normal 84 2 3 5" xfId="0"/>
    <cellStyle name="Normal 84 2 4" xfId="0"/>
    <cellStyle name="Normal 84 2 4 2" xfId="0"/>
    <cellStyle name="Normal 84 2 4 2 2" xfId="0"/>
    <cellStyle name="Normal 84 2 4 2 2 2" xfId="0"/>
    <cellStyle name="Normal 84 2 4 2 3" xfId="0"/>
    <cellStyle name="Normal 84 2 4 3" xfId="0"/>
    <cellStyle name="Normal 84 2 4 3 2" xfId="0"/>
    <cellStyle name="Normal 84 2 4 4" xfId="0"/>
    <cellStyle name="Normal 84 2 5" xfId="0"/>
    <cellStyle name="Normal 84 2 5 2" xfId="0"/>
    <cellStyle name="Normal 84 2 5 2 2" xfId="0"/>
    <cellStyle name="Normal 84 2 5 3" xfId="0"/>
    <cellStyle name="Normal 84 2 6" xfId="0"/>
    <cellStyle name="Normal 84 2 6 2" xfId="0"/>
    <cellStyle name="Normal 84 2 7" xfId="0"/>
    <cellStyle name="Normal 84 3" xfId="0"/>
    <cellStyle name="Normal 84 3 2" xfId="0"/>
    <cellStyle name="Normal 84 3 2 2" xfId="0"/>
    <cellStyle name="Normal 84 3 2 2 2" xfId="0"/>
    <cellStyle name="Normal 84 3 2 2 2 2" xfId="0"/>
    <cellStyle name="Normal 84 3 2 2 2 2 2" xfId="0"/>
    <cellStyle name="Normal 84 3 2 2 2 3" xfId="0"/>
    <cellStyle name="Normal 84 3 2 2 3" xfId="0"/>
    <cellStyle name="Normal 84 3 2 2 3 2" xfId="0"/>
    <cellStyle name="Normal 84 3 2 2 4" xfId="0"/>
    <cellStyle name="Normal 84 3 2 3" xfId="0"/>
    <cellStyle name="Normal 84 3 2 3 2" xfId="0"/>
    <cellStyle name="Normal 84 3 2 3 2 2" xfId="0"/>
    <cellStyle name="Normal 84 3 2 3 3" xfId="0"/>
    <cellStyle name="Normal 84 3 2 4" xfId="0"/>
    <cellStyle name="Normal 84 3 2 4 2" xfId="0"/>
    <cellStyle name="Normal 84 3 2 5" xfId="0"/>
    <cellStyle name="Normal 84 3 3" xfId="0"/>
    <cellStyle name="Normal 84 3 3 2" xfId="0"/>
    <cellStyle name="Normal 84 3 3 2 2" xfId="0"/>
    <cellStyle name="Normal 84 3 3 2 2 2" xfId="0"/>
    <cellStyle name="Normal 84 3 3 2 3" xfId="0"/>
    <cellStyle name="Normal 84 3 3 3" xfId="0"/>
    <cellStyle name="Normal 84 3 3 3 2" xfId="0"/>
    <cellStyle name="Normal 84 3 3 4" xfId="0"/>
    <cellStyle name="Normal 84 3 4" xfId="0"/>
    <cellStyle name="Normal 84 3 4 2" xfId="0"/>
    <cellStyle name="Normal 84 3 4 2 2" xfId="0"/>
    <cellStyle name="Normal 84 3 4 3" xfId="0"/>
    <cellStyle name="Normal 84 3 5" xfId="0"/>
    <cellStyle name="Normal 84 3 5 2" xfId="0"/>
    <cellStyle name="Normal 84 3 6" xfId="0"/>
    <cellStyle name="Normal 84 4" xfId="0"/>
    <cellStyle name="Normal 84 4 2" xfId="0"/>
    <cellStyle name="Normal 84 4 2 2" xfId="0"/>
    <cellStyle name="Normal 84 4 2 2 2" xfId="0"/>
    <cellStyle name="Normal 84 4 2 2 2 2" xfId="0"/>
    <cellStyle name="Normal 84 4 2 2 3" xfId="0"/>
    <cellStyle name="Normal 84 4 2 3" xfId="0"/>
    <cellStyle name="Normal 84 4 2 3 2" xfId="0"/>
    <cellStyle name="Normal 84 4 2 4" xfId="0"/>
    <cellStyle name="Normal 84 4 3" xfId="0"/>
    <cellStyle name="Normal 84 4 3 2" xfId="0"/>
    <cellStyle name="Normal 84 4 3 2 2" xfId="0"/>
    <cellStyle name="Normal 84 4 3 3" xfId="0"/>
    <cellStyle name="Normal 84 4 4" xfId="0"/>
    <cellStyle name="Normal 84 4 4 2" xfId="0"/>
    <cellStyle name="Normal 84 4 5" xfId="0"/>
    <cellStyle name="Normal 84 5" xfId="0"/>
    <cellStyle name="Normal 84 5 2" xfId="0"/>
    <cellStyle name="Normal 84 5 2 2" xfId="0"/>
    <cellStyle name="Normal 84 5 2 2 2" xfId="0"/>
    <cellStyle name="Normal 84 5 2 3" xfId="0"/>
    <cellStyle name="Normal 84 5 3" xfId="0"/>
    <cellStyle name="Normal 84 5 3 2" xfId="0"/>
    <cellStyle name="Normal 84 5 4" xfId="0"/>
    <cellStyle name="Normal 84 6" xfId="0"/>
    <cellStyle name="Normal 84 6 2" xfId="0"/>
    <cellStyle name="Normal 84 6 2 2" xfId="0"/>
    <cellStyle name="Normal 84 6 3" xfId="0"/>
    <cellStyle name="Normal 84 7" xfId="0"/>
    <cellStyle name="Normal 84 7 2" xfId="0"/>
    <cellStyle name="Normal 84 8" xfId="0"/>
    <cellStyle name="Normal 85" xfId="0"/>
    <cellStyle name="Normal 85 2" xfId="0"/>
    <cellStyle name="Normal 85 2 2" xfId="0"/>
    <cellStyle name="Normal 85 2 2 2" xfId="0"/>
    <cellStyle name="Normal 85 2 2 2 2" xfId="0"/>
    <cellStyle name="Normal 85 2 2 2 2 2" xfId="0"/>
    <cellStyle name="Normal 85 2 2 2 2 2 2" xfId="0"/>
    <cellStyle name="Normal 85 2 2 2 2 3" xfId="0"/>
    <cellStyle name="Normal 85 2 2 2 3" xfId="0"/>
    <cellStyle name="Normal 85 2 2 2 3 2" xfId="0"/>
    <cellStyle name="Normal 85 2 2 2 4" xfId="0"/>
    <cellStyle name="Normal 85 2 2 3" xfId="0"/>
    <cellStyle name="Normal 85 2 2 3 2" xfId="0"/>
    <cellStyle name="Normal 85 2 2 3 2 2" xfId="0"/>
    <cellStyle name="Normal 85 2 2 3 3" xfId="0"/>
    <cellStyle name="Normal 85 2 2 4" xfId="0"/>
    <cellStyle name="Normal 85 2 2 4 2" xfId="0"/>
    <cellStyle name="Normal 85 2 2 5" xfId="0"/>
    <cellStyle name="Normal 85 2 3" xfId="0"/>
    <cellStyle name="Normal 85 2 3 2" xfId="0"/>
    <cellStyle name="Normal 85 2 3 2 2" xfId="0"/>
    <cellStyle name="Normal 85 2 3 2 2 2" xfId="0"/>
    <cellStyle name="Normal 85 2 3 2 3" xfId="0"/>
    <cellStyle name="Normal 85 2 3 3" xfId="0"/>
    <cellStyle name="Normal 85 2 3 3 2" xfId="0"/>
    <cellStyle name="Normal 85 2 3 4" xfId="0"/>
    <cellStyle name="Normal 85 2 4" xfId="0"/>
    <cellStyle name="Normal 85 2 4 2" xfId="0"/>
    <cellStyle name="Normal 85 2 4 2 2" xfId="0"/>
    <cellStyle name="Normal 85 2 4 3" xfId="0"/>
    <cellStyle name="Normal 85 2 5" xfId="0"/>
    <cellStyle name="Normal 85 2 5 2" xfId="0"/>
    <cellStyle name="Normal 85 2 6" xfId="0"/>
    <cellStyle name="Normal 85 3" xfId="0"/>
    <cellStyle name="Normal 85 3 2" xfId="0"/>
    <cellStyle name="Normal 85 3 2 2" xfId="0"/>
    <cellStyle name="Normal 85 3 2 2 2" xfId="0"/>
    <cellStyle name="Normal 85 3 2 2 2 2" xfId="0"/>
    <cellStyle name="Normal 85 3 2 2 3" xfId="0"/>
    <cellStyle name="Normal 85 3 2 3" xfId="0"/>
    <cellStyle name="Normal 85 3 2 3 2" xfId="0"/>
    <cellStyle name="Normal 85 3 2 4" xfId="0"/>
    <cellStyle name="Normal 85 3 3" xfId="0"/>
    <cellStyle name="Normal 85 3 3 2" xfId="0"/>
    <cellStyle name="Normal 85 3 3 2 2" xfId="0"/>
    <cellStyle name="Normal 85 3 3 3" xfId="0"/>
    <cellStyle name="Normal 85 3 4" xfId="0"/>
    <cellStyle name="Normal 85 3 4 2" xfId="0"/>
    <cellStyle name="Normal 85 3 5" xfId="0"/>
    <cellStyle name="Normal 85 4" xfId="0"/>
    <cellStyle name="Normal 85 4 2" xfId="0"/>
    <cellStyle name="Normal 85 4 2 2" xfId="0"/>
    <cellStyle name="Normal 85 4 2 2 2" xfId="0"/>
    <cellStyle name="Normal 85 4 2 3" xfId="0"/>
    <cellStyle name="Normal 85 4 3" xfId="0"/>
    <cellStyle name="Normal 85 4 3 2" xfId="0"/>
    <cellStyle name="Normal 85 4 4" xfId="0"/>
    <cellStyle name="Normal 85 5" xfId="0"/>
    <cellStyle name="Normal 85 5 2" xfId="0"/>
    <cellStyle name="Normal 85 5 2 2" xfId="0"/>
    <cellStyle name="Normal 85 5 3" xfId="0"/>
    <cellStyle name="Normal 85 6" xfId="0"/>
    <cellStyle name="Normal 85 6 2" xfId="0"/>
    <cellStyle name="Normal 85 7" xfId="0"/>
    <cellStyle name="Normal 86" xfId="0"/>
    <cellStyle name="Normal 86 2" xfId="0"/>
    <cellStyle name="Normal 86 2 2" xfId="0"/>
    <cellStyle name="Normal 86 2 2 2" xfId="0"/>
    <cellStyle name="Normal 86 2 2 2 2" xfId="0"/>
    <cellStyle name="Normal 86 2 2 2 2 2" xfId="0"/>
    <cellStyle name="Normal 86 2 2 2 2 2 2" xfId="0"/>
    <cellStyle name="Normal 86 2 2 2 2 3" xfId="0"/>
    <cellStyle name="Normal 86 2 2 2 3" xfId="0"/>
    <cellStyle name="Normal 86 2 2 2 3 2" xfId="0"/>
    <cellStyle name="Normal 86 2 2 2 4" xfId="0"/>
    <cellStyle name="Normal 86 2 2 3" xfId="0"/>
    <cellStyle name="Normal 86 2 2 3 2" xfId="0"/>
    <cellStyle name="Normal 86 2 2 3 2 2" xfId="0"/>
    <cellStyle name="Normal 86 2 2 3 3" xfId="0"/>
    <cellStyle name="Normal 86 2 2 4" xfId="0"/>
    <cellStyle name="Normal 86 2 2 4 2" xfId="0"/>
    <cellStyle name="Normal 86 2 2 5" xfId="0"/>
    <cellStyle name="Normal 86 2 3" xfId="0"/>
    <cellStyle name="Normal 86 2 3 2" xfId="0"/>
    <cellStyle name="Normal 86 2 3 2 2" xfId="0"/>
    <cellStyle name="Normal 86 2 3 2 2 2" xfId="0"/>
    <cellStyle name="Normal 86 2 3 2 3" xfId="0"/>
    <cellStyle name="Normal 86 2 3 3" xfId="0"/>
    <cellStyle name="Normal 86 2 3 3 2" xfId="0"/>
    <cellStyle name="Normal 86 2 3 4" xfId="0"/>
    <cellStyle name="Normal 86 2 4" xfId="0"/>
    <cellStyle name="Normal 86 2 4 2" xfId="0"/>
    <cellStyle name="Normal 86 2 4 2 2" xfId="0"/>
    <cellStyle name="Normal 86 2 4 3" xfId="0"/>
    <cellStyle name="Normal 86 2 5" xfId="0"/>
    <cellStyle name="Normal 86 2 5 2" xfId="0"/>
    <cellStyle name="Normal 86 2 6" xfId="0"/>
    <cellStyle name="Normal 86 3" xfId="0"/>
    <cellStyle name="Normal 86 3 2" xfId="0"/>
    <cellStyle name="Normal 86 3 2 2" xfId="0"/>
    <cellStyle name="Normal 86 3 2 2 2" xfId="0"/>
    <cellStyle name="Normal 86 3 2 2 2 2" xfId="0"/>
    <cellStyle name="Normal 86 3 2 2 3" xfId="0"/>
    <cellStyle name="Normal 86 3 2 3" xfId="0"/>
    <cellStyle name="Normal 86 3 2 3 2" xfId="0"/>
    <cellStyle name="Normal 86 3 2 4" xfId="0"/>
    <cellStyle name="Normal 86 3 3" xfId="0"/>
    <cellStyle name="Normal 86 3 3 2" xfId="0"/>
    <cellStyle name="Normal 86 3 3 2 2" xfId="0"/>
    <cellStyle name="Normal 86 3 3 3" xfId="0"/>
    <cellStyle name="Normal 86 3 4" xfId="0"/>
    <cellStyle name="Normal 86 3 4 2" xfId="0"/>
    <cellStyle name="Normal 86 3 5" xfId="0"/>
    <cellStyle name="Normal 86 4" xfId="0"/>
    <cellStyle name="Normal 86 4 2" xfId="0"/>
    <cellStyle name="Normal 86 4 2 2" xfId="0"/>
    <cellStyle name="Normal 86 4 2 2 2" xfId="0"/>
    <cellStyle name="Normal 86 4 2 3" xfId="0"/>
    <cellStyle name="Normal 86 4 3" xfId="0"/>
    <cellStyle name="Normal 86 4 3 2" xfId="0"/>
    <cellStyle name="Normal 86 4 4" xfId="0"/>
    <cellStyle name="Normal 86 5" xfId="0"/>
    <cellStyle name="Normal 86 5 2" xfId="0"/>
    <cellStyle name="Normal 86 5 2 2" xfId="0"/>
    <cellStyle name="Normal 86 5 3" xfId="0"/>
    <cellStyle name="Normal 86 6" xfId="0"/>
    <cellStyle name="Normal 86 6 2" xfId="0"/>
    <cellStyle name="Normal 86 7" xfId="0"/>
    <cellStyle name="Normal 87" xfId="0"/>
    <cellStyle name="Normal 88" xfId="0"/>
    <cellStyle name="Normal 89" xfId="0"/>
    <cellStyle name="Normal 8_Market Fresh Cost" xfId="0"/>
    <cellStyle name="Normal 9" xfId="0"/>
    <cellStyle name="Normal 9 10" xfId="0"/>
    <cellStyle name="Normal 9 11" xfId="0"/>
    <cellStyle name="Normal 9 12" xfId="0"/>
    <cellStyle name="Normal 9 13" xfId="0"/>
    <cellStyle name="Normal 9 14" xfId="0"/>
    <cellStyle name="Normal 9 15" xfId="0"/>
    <cellStyle name="Normal 9 16" xfId="0"/>
    <cellStyle name="Normal 9 17" xfId="0"/>
    <cellStyle name="Normal 9 18" xfId="0"/>
    <cellStyle name="Normal 9 19" xfId="0"/>
    <cellStyle name="Normal 9 2" xfId="0"/>
    <cellStyle name="Normal 9 2 2" xfId="0"/>
    <cellStyle name="Normal 9 2 3" xfId="0"/>
    <cellStyle name="Normal 9 20" xfId="0"/>
    <cellStyle name="Normal 9 21" xfId="0"/>
    <cellStyle name="Normal 9 22" xfId="0"/>
    <cellStyle name="Normal 9 23" xfId="0"/>
    <cellStyle name="Normal 9 24" xfId="0"/>
    <cellStyle name="Normal 9 25" xfId="0"/>
    <cellStyle name="Normal 9 26" xfId="0"/>
    <cellStyle name="Normal 9 27" xfId="0"/>
    <cellStyle name="Normal 9 28" xfId="0"/>
    <cellStyle name="Normal 9 29" xfId="0"/>
    <cellStyle name="Normal 9 3" xfId="0"/>
    <cellStyle name="Normal 9 3 2" xfId="0"/>
    <cellStyle name="Normal 9 30" xfId="0"/>
    <cellStyle name="Normal 9 31" xfId="0"/>
    <cellStyle name="Normal 9 32" xfId="0"/>
    <cellStyle name="Normal 9 33" xfId="0"/>
    <cellStyle name="Normal 9 34" xfId="0"/>
    <cellStyle name="Normal 9 35" xfId="0"/>
    <cellStyle name="Normal 9 36" xfId="0"/>
    <cellStyle name="Normal 9 37" xfId="0"/>
    <cellStyle name="Normal 9 38" xfId="0"/>
    <cellStyle name="Normal 9 39" xfId="0"/>
    <cellStyle name="Normal 9 4" xfId="0"/>
    <cellStyle name="Normal 9 4 2" xfId="0"/>
    <cellStyle name="Normal 9 40" xfId="0"/>
    <cellStyle name="Normal 9 41" xfId="0"/>
    <cellStyle name="Normal 9 42" xfId="0"/>
    <cellStyle name="Normal 9 43" xfId="0"/>
    <cellStyle name="Normal 9 44" xfId="0"/>
    <cellStyle name="Normal 9 45" xfId="0"/>
    <cellStyle name="Normal 9 46" xfId="0"/>
    <cellStyle name="Normal 9 47" xfId="0"/>
    <cellStyle name="Normal 9 48" xfId="0"/>
    <cellStyle name="Normal 9 49" xfId="0"/>
    <cellStyle name="Normal 9 5" xfId="0"/>
    <cellStyle name="Normal 9 50" xfId="0"/>
    <cellStyle name="Normal 9 51" xfId="0"/>
    <cellStyle name="Normal 9 52" xfId="0"/>
    <cellStyle name="Normal 9 53" xfId="0"/>
    <cellStyle name="Normal 9 54" xfId="0"/>
    <cellStyle name="Normal 9 55" xfId="0"/>
    <cellStyle name="Normal 9 56" xfId="0"/>
    <cellStyle name="Normal 9 57" xfId="0"/>
    <cellStyle name="Normal 9 58" xfId="0"/>
    <cellStyle name="Normal 9 59" xfId="0"/>
    <cellStyle name="Normal 9 6" xfId="0"/>
    <cellStyle name="Normal 9 60" xfId="0"/>
    <cellStyle name="Normal 9 61" xfId="0"/>
    <cellStyle name="Normal 9 62" xfId="0"/>
    <cellStyle name="Normal 9 63" xfId="0"/>
    <cellStyle name="Normal 9 64" xfId="0"/>
    <cellStyle name="Normal 9 65" xfId="0"/>
    <cellStyle name="Normal 9 7" xfId="0"/>
    <cellStyle name="Normal 9 8" xfId="0"/>
    <cellStyle name="Normal 9 9" xfId="0"/>
    <cellStyle name="Normal 90" xfId="0"/>
    <cellStyle name="Normal 91" xfId="0"/>
    <cellStyle name="Normal 92" xfId="0"/>
    <cellStyle name="Normal 93" xfId="0"/>
    <cellStyle name="Normal 94" xfId="0"/>
    <cellStyle name="Normal 95" xfId="0"/>
    <cellStyle name="Normal 96" xfId="0"/>
    <cellStyle name="Normal 97" xfId="0"/>
    <cellStyle name="Normal 98" xfId="0"/>
    <cellStyle name="Normal 99" xfId="0"/>
    <cellStyle name="Norm੎੎" xfId="0"/>
    <cellStyle name="Norm੎੎ 2" xfId="0"/>
    <cellStyle name="Norm੎੎ 2 2" xfId="0"/>
    <cellStyle name="Norm੎੎ 3" xfId="0"/>
    <cellStyle name="Norm੎੎_RETIREMEN vsi" xfId="0"/>
    <cellStyle name="Note 10" xfId="0"/>
    <cellStyle name="Note 10 2" xfId="0"/>
    <cellStyle name="Note 11" xfId="0"/>
    <cellStyle name="Note 11 2" xfId="0"/>
    <cellStyle name="Note 12" xfId="0"/>
    <cellStyle name="Note 12 2" xfId="0"/>
    <cellStyle name="Note 13" xfId="0"/>
    <cellStyle name="Note 13 2" xfId="0"/>
    <cellStyle name="Note 14" xfId="0"/>
    <cellStyle name="Note 14 2" xfId="0"/>
    <cellStyle name="Note 15" xfId="0"/>
    <cellStyle name="Note 15 2" xfId="0"/>
    <cellStyle name="Note 16" xfId="0"/>
    <cellStyle name="Note 16 2" xfId="0"/>
    <cellStyle name="Note 17" xfId="0"/>
    <cellStyle name="Note 17 2" xfId="0"/>
    <cellStyle name="Note 18" xfId="0"/>
    <cellStyle name="Note 18 2" xfId="0"/>
    <cellStyle name="Note 19" xfId="0"/>
    <cellStyle name="Note 19 2" xfId="0"/>
    <cellStyle name="Note 2" xfId="0"/>
    <cellStyle name="Note 2 10" xfId="0"/>
    <cellStyle name="Note 2 10 2" xfId="0"/>
    <cellStyle name="Note 2 10 2 2" xfId="0"/>
    <cellStyle name="Note 2 10 3" xfId="0"/>
    <cellStyle name="Note 2 11" xfId="0"/>
    <cellStyle name="Note 2 11 2" xfId="0"/>
    <cellStyle name="Note 2 11 2 2" xfId="0"/>
    <cellStyle name="Note 2 11 3" xfId="0"/>
    <cellStyle name="Note 2 12" xfId="0"/>
    <cellStyle name="Note 2 12 2" xfId="0"/>
    <cellStyle name="Note 2 13" xfId="0"/>
    <cellStyle name="Note 2 14" xfId="0"/>
    <cellStyle name="Note 2 15" xfId="0"/>
    <cellStyle name="Note 2 2" xfId="0"/>
    <cellStyle name="Note 2 2 2" xfId="0"/>
    <cellStyle name="Note 2 2 2 2" xfId="0"/>
    <cellStyle name="Note 2 2 3" xfId="0"/>
    <cellStyle name="Note 2 2 3 2" xfId="0"/>
    <cellStyle name="Note 2 2 4" xfId="0"/>
    <cellStyle name="Note 2 2 5" xfId="0"/>
    <cellStyle name="Note 2 2_Profitability Detail NT$ Sep-12" xfId="0"/>
    <cellStyle name="Note 2 3" xfId="0"/>
    <cellStyle name="Note 2 3 2" xfId="0"/>
    <cellStyle name="Note 2 3 2 2" xfId="0"/>
    <cellStyle name="Note 2 3 3" xfId="0"/>
    <cellStyle name="Note 2 4" xfId="0"/>
    <cellStyle name="Note 2 4 2" xfId="0"/>
    <cellStyle name="Note 2 4 2 2" xfId="0"/>
    <cellStyle name="Note 2 4 3" xfId="0"/>
    <cellStyle name="Note 2 5" xfId="0"/>
    <cellStyle name="Note 2 5 2" xfId="0"/>
    <cellStyle name="Note 2 5 2 2" xfId="0"/>
    <cellStyle name="Note 2 5 3" xfId="0"/>
    <cellStyle name="Note 2 6" xfId="0"/>
    <cellStyle name="Note 2 6 2" xfId="0"/>
    <cellStyle name="Note 2 6 2 2" xfId="0"/>
    <cellStyle name="Note 2 6 3" xfId="0"/>
    <cellStyle name="Note 2 7" xfId="0"/>
    <cellStyle name="Note 2 7 2" xfId="0"/>
    <cellStyle name="Note 2 7 2 2" xfId="0"/>
    <cellStyle name="Note 2 7 3" xfId="0"/>
    <cellStyle name="Note 2 8" xfId="0"/>
    <cellStyle name="Note 2 8 2" xfId="0"/>
    <cellStyle name="Note 2 8 2 2" xfId="0"/>
    <cellStyle name="Note 2 8 3" xfId="0"/>
    <cellStyle name="Note 2 9" xfId="0"/>
    <cellStyle name="Note 2 9 2" xfId="0"/>
    <cellStyle name="Note 2 9 2 2" xfId="0"/>
    <cellStyle name="Note 2 9 3" xfId="0"/>
    <cellStyle name="Note 20" xfId="0"/>
    <cellStyle name="Note 20 2" xfId="0"/>
    <cellStyle name="Note 21" xfId="0"/>
    <cellStyle name="Note 21 2" xfId="0"/>
    <cellStyle name="Note 22" xfId="0"/>
    <cellStyle name="Note 22 2" xfId="0"/>
    <cellStyle name="Note 23" xfId="0"/>
    <cellStyle name="Note 23 2" xfId="0"/>
    <cellStyle name="Note 24" xfId="0"/>
    <cellStyle name="Note 25" xfId="0"/>
    <cellStyle name="Note 2_PFT CPC sku" xfId="0"/>
    <cellStyle name="Note 3" xfId="0"/>
    <cellStyle name="Note 3 10" xfId="0"/>
    <cellStyle name="Note 3 10 2" xfId="0"/>
    <cellStyle name="Note 3 10 2 2" xfId="0"/>
    <cellStyle name="Note 3 10 3" xfId="0"/>
    <cellStyle name="Note 3 11" xfId="0"/>
    <cellStyle name="Note 3 11 2" xfId="0"/>
    <cellStyle name="Note 3 11 2 2" xfId="0"/>
    <cellStyle name="Note 3 11 3" xfId="0"/>
    <cellStyle name="Note 3 12" xfId="0"/>
    <cellStyle name="Note 3 12 2" xfId="0"/>
    <cellStyle name="Note 3 13" xfId="0"/>
    <cellStyle name="Note 3 14" xfId="0"/>
    <cellStyle name="Note 3 15" xfId="0"/>
    <cellStyle name="Note 3 2" xfId="0"/>
    <cellStyle name="Note 3 2 2" xfId="0"/>
    <cellStyle name="Note 3 2 2 2" xfId="0"/>
    <cellStyle name="Note 3 2 3" xfId="0"/>
    <cellStyle name="Note 3 2 3 2" xfId="0"/>
    <cellStyle name="Note 3 2 4" xfId="0"/>
    <cellStyle name="Note 3 2 5" xfId="0"/>
    <cellStyle name="Note 3 2_Profitability Detail NT$ Sep-12" xfId="0"/>
    <cellStyle name="Note 3 3" xfId="0"/>
    <cellStyle name="Note 3 3 2" xfId="0"/>
    <cellStyle name="Note 3 3 2 2" xfId="0"/>
    <cellStyle name="Note 3 3 3" xfId="0"/>
    <cellStyle name="Note 3 4" xfId="0"/>
    <cellStyle name="Note 3 4 2" xfId="0"/>
    <cellStyle name="Note 3 4 2 2" xfId="0"/>
    <cellStyle name="Note 3 4 3" xfId="0"/>
    <cellStyle name="Note 3 5" xfId="0"/>
    <cellStyle name="Note 3 5 2" xfId="0"/>
    <cellStyle name="Note 3 5 2 2" xfId="0"/>
    <cellStyle name="Note 3 5 3" xfId="0"/>
    <cellStyle name="Note 3 6" xfId="0"/>
    <cellStyle name="Note 3 6 2" xfId="0"/>
    <cellStyle name="Note 3 6 2 2" xfId="0"/>
    <cellStyle name="Note 3 6 3" xfId="0"/>
    <cellStyle name="Note 3 7" xfId="0"/>
    <cellStyle name="Note 3 7 2" xfId="0"/>
    <cellStyle name="Note 3 7 2 2" xfId="0"/>
    <cellStyle name="Note 3 7 3" xfId="0"/>
    <cellStyle name="Note 3 8" xfId="0"/>
    <cellStyle name="Note 3 8 2" xfId="0"/>
    <cellStyle name="Note 3 8 2 2" xfId="0"/>
    <cellStyle name="Note 3 8 3" xfId="0"/>
    <cellStyle name="Note 3 9" xfId="0"/>
    <cellStyle name="Note 3 9 2" xfId="0"/>
    <cellStyle name="Note 3 9 2 2" xfId="0"/>
    <cellStyle name="Note 3 9 3" xfId="0"/>
    <cellStyle name="Note 39" xfId="0"/>
    <cellStyle name="Note 3_PFT CPC sku" xfId="0"/>
    <cellStyle name="Note 4" xfId="0"/>
    <cellStyle name="Note 4 10" xfId="0"/>
    <cellStyle name="Note 4 10 2" xfId="0"/>
    <cellStyle name="Note 4 10 2 2" xfId="0"/>
    <cellStyle name="Note 4 10 3" xfId="0"/>
    <cellStyle name="Note 4 11" xfId="0"/>
    <cellStyle name="Note 4 11 2" xfId="0"/>
    <cellStyle name="Note 4 11 2 2" xfId="0"/>
    <cellStyle name="Note 4 11 3" xfId="0"/>
    <cellStyle name="Note 4 12" xfId="0"/>
    <cellStyle name="Note 4 12 2" xfId="0"/>
    <cellStyle name="Note 4 13" xfId="0"/>
    <cellStyle name="Note 4 14" xfId="0"/>
    <cellStyle name="Note 4 15" xfId="0"/>
    <cellStyle name="Note 4 2" xfId="0"/>
    <cellStyle name="Note 4 2 2" xfId="0"/>
    <cellStyle name="Note 4 2 2 2" xfId="0"/>
    <cellStyle name="Note 4 2 3" xfId="0"/>
    <cellStyle name="Note 4 2 3 2" xfId="0"/>
    <cellStyle name="Note 4 2 4" xfId="0"/>
    <cellStyle name="Note 4 2 5" xfId="0"/>
    <cellStyle name="Note 4 2_Profitability Detail NT$ Sep-12" xfId="0"/>
    <cellStyle name="Note 4 3" xfId="0"/>
    <cellStyle name="Note 4 3 2" xfId="0"/>
    <cellStyle name="Note 4 3 2 2" xfId="0"/>
    <cellStyle name="Note 4 3 3" xfId="0"/>
    <cellStyle name="Note 4 4" xfId="0"/>
    <cellStyle name="Note 4 4 2" xfId="0"/>
    <cellStyle name="Note 4 4 2 2" xfId="0"/>
    <cellStyle name="Note 4 4 3" xfId="0"/>
    <cellStyle name="Note 4 5" xfId="0"/>
    <cellStyle name="Note 4 5 2" xfId="0"/>
    <cellStyle name="Note 4 5 2 2" xfId="0"/>
    <cellStyle name="Note 4 5 3" xfId="0"/>
    <cellStyle name="Note 4 6" xfId="0"/>
    <cellStyle name="Note 4 6 2" xfId="0"/>
    <cellStyle name="Note 4 6 2 2" xfId="0"/>
    <cellStyle name="Note 4 6 3" xfId="0"/>
    <cellStyle name="Note 4 7" xfId="0"/>
    <cellStyle name="Note 4 7 2" xfId="0"/>
    <cellStyle name="Note 4 7 2 2" xfId="0"/>
    <cellStyle name="Note 4 7 3" xfId="0"/>
    <cellStyle name="Note 4 8" xfId="0"/>
    <cellStyle name="Note 4 8 2" xfId="0"/>
    <cellStyle name="Note 4 8 2 2" xfId="0"/>
    <cellStyle name="Note 4 8 3" xfId="0"/>
    <cellStyle name="Note 4 9" xfId="0"/>
    <cellStyle name="Note 4 9 2" xfId="0"/>
    <cellStyle name="Note 4 9 2 2" xfId="0"/>
    <cellStyle name="Note 4 9 3" xfId="0"/>
    <cellStyle name="Note 4_PFT CPC sku" xfId="0"/>
    <cellStyle name="Note 5" xfId="0"/>
    <cellStyle name="Note 5 2" xfId="0"/>
    <cellStyle name="Note 5 2 2" xfId="0"/>
    <cellStyle name="Note 5 2 3" xfId="0"/>
    <cellStyle name="Note 5 3" xfId="0"/>
    <cellStyle name="Note 5 4" xfId="0"/>
    <cellStyle name="Note 6" xfId="0"/>
    <cellStyle name="Note 6 2" xfId="0"/>
    <cellStyle name="Note 7" xfId="0"/>
    <cellStyle name="Note 7 2" xfId="0"/>
    <cellStyle name="Note 7 2 2" xfId="0"/>
    <cellStyle name="Note 7 3" xfId="0"/>
    <cellStyle name="Note 8" xfId="0"/>
    <cellStyle name="Note 8 2" xfId="0"/>
    <cellStyle name="Note 8 3" xfId="0"/>
    <cellStyle name="Note 9" xfId="0"/>
    <cellStyle name="Note 9 2" xfId="0"/>
    <cellStyle name="Note_20101210 WMR_VSI-1" xfId="0"/>
    <cellStyle name="Output" xfId="0"/>
    <cellStyle name="Output 10" xfId="0"/>
    <cellStyle name="Output 10 2" xfId="0"/>
    <cellStyle name="Output 11" xfId="0"/>
    <cellStyle name="Output 11 2" xfId="0"/>
    <cellStyle name="Output 12" xfId="0"/>
    <cellStyle name="Output 12 2" xfId="0"/>
    <cellStyle name="Output 13" xfId="0"/>
    <cellStyle name="Output 13 2" xfId="0"/>
    <cellStyle name="Output 14" xfId="0"/>
    <cellStyle name="Output 14 2" xfId="0"/>
    <cellStyle name="Output 15" xfId="0"/>
    <cellStyle name="Output 15 2" xfId="0"/>
    <cellStyle name="Output 16" xfId="0"/>
    <cellStyle name="Output 16 2" xfId="0"/>
    <cellStyle name="Output 17" xfId="0"/>
    <cellStyle name="Output 17 2" xfId="0"/>
    <cellStyle name="Output 18" xfId="0"/>
    <cellStyle name="Output 18 2" xfId="0"/>
    <cellStyle name="Output 19" xfId="0"/>
    <cellStyle name="Output 19 2" xfId="0"/>
    <cellStyle name="Output 2" xfId="0"/>
    <cellStyle name="Output 2 2" xfId="0"/>
    <cellStyle name="Output 2 2 2" xfId="0"/>
    <cellStyle name="Output 2 2 3" xfId="0"/>
    <cellStyle name="Output 2 3" xfId="0"/>
    <cellStyle name="Output 2 3 2" xfId="0"/>
    <cellStyle name="Output 2 3 3" xfId="0"/>
    <cellStyle name="Output 2 4" xfId="0"/>
    <cellStyle name="Output 2 4 2" xfId="0"/>
    <cellStyle name="Output 2 5" xfId="0"/>
    <cellStyle name="Output 2 5 2" xfId="0"/>
    <cellStyle name="Output 2 6" xfId="0"/>
    <cellStyle name="Output 2 7" xfId="0"/>
    <cellStyle name="Output 20" xfId="0"/>
    <cellStyle name="Output 20 2" xfId="0"/>
    <cellStyle name="Output 21" xfId="0"/>
    <cellStyle name="Output 21 2" xfId="0"/>
    <cellStyle name="Output 22" xfId="0"/>
    <cellStyle name="Output 22 2" xfId="0"/>
    <cellStyle name="Output 23" xfId="0"/>
    <cellStyle name="Output 23 2" xfId="0"/>
    <cellStyle name="Output 24" xfId="0"/>
    <cellStyle name="Output 25" xfId="0"/>
    <cellStyle name="Output 26" xfId="0"/>
    <cellStyle name="Output 27" xfId="0"/>
    <cellStyle name="Output 28" xfId="0"/>
    <cellStyle name="Output 29" xfId="0"/>
    <cellStyle name="Output 2_Profitability Detail NT$ Sep-12" xfId="0"/>
    <cellStyle name="Output 3" xfId="0"/>
    <cellStyle name="Output 3 2" xfId="0"/>
    <cellStyle name="Output 3 2 2" xfId="0"/>
    <cellStyle name="Output 3 3" xfId="0"/>
    <cellStyle name="Output 3 3 2" xfId="0"/>
    <cellStyle name="Output 3 4" xfId="0"/>
    <cellStyle name="Output 3 4 2" xfId="0"/>
    <cellStyle name="Output 3 5" xfId="0"/>
    <cellStyle name="Output 3 5 2" xfId="0"/>
    <cellStyle name="Output 3 6" xfId="0"/>
    <cellStyle name="Output 3 7" xfId="0"/>
    <cellStyle name="Output 3 8" xfId="0"/>
    <cellStyle name="Output 30" xfId="0"/>
    <cellStyle name="Output 3_Profitability Detail NT$ Sep-12" xfId="0"/>
    <cellStyle name="Output 4" xfId="0"/>
    <cellStyle name="Output 4 2" xfId="0"/>
    <cellStyle name="Output 4 2 2" xfId="0"/>
    <cellStyle name="Output 4 3" xfId="0"/>
    <cellStyle name="Output 4 3 2" xfId="0"/>
    <cellStyle name="Output 4 4" xfId="0"/>
    <cellStyle name="Output 4 4 2" xfId="0"/>
    <cellStyle name="Output 4 5" xfId="0"/>
    <cellStyle name="Output 4 5 2" xfId="0"/>
    <cellStyle name="Output 4 6" xfId="0"/>
    <cellStyle name="Output 4 7" xfId="0"/>
    <cellStyle name="Output 4_Profitability Detail NT$ Sep-12" xfId="0"/>
    <cellStyle name="Output 5" xfId="0"/>
    <cellStyle name="Output 5 2" xfId="0"/>
    <cellStyle name="Output 6" xfId="0"/>
    <cellStyle name="Output 6 2" xfId="0"/>
    <cellStyle name="Output 7" xfId="0"/>
    <cellStyle name="Output 7 2" xfId="0"/>
    <cellStyle name="Output 8" xfId="0"/>
    <cellStyle name="Output 8 2" xfId="0"/>
    <cellStyle name="Output 9" xfId="0"/>
    <cellStyle name="Output 9 2" xfId="0"/>
    <cellStyle name="Output Amounts" xfId="0"/>
    <cellStyle name="Output Amounts 2" xfId="0"/>
    <cellStyle name="Output Amounts_Prod Line MTD" xfId="0"/>
    <cellStyle name="Output Column Headings" xfId="0"/>
    <cellStyle name="Output Column Headings 2" xfId="0"/>
    <cellStyle name="Output Column Headings 2 2" xfId="0"/>
    <cellStyle name="Output Column Headings 2 3" xfId="0"/>
    <cellStyle name="Output Column Headings 2 4" xfId="0"/>
    <cellStyle name="Output Column Headings 3" xfId="0"/>
    <cellStyle name="Output Column Headings 4" xfId="0"/>
    <cellStyle name="Output Column Headings 5" xfId="0"/>
    <cellStyle name="Output Column Headings 6" xfId="0"/>
    <cellStyle name="Output Column Headings_BU Allocation" xfId="0"/>
    <cellStyle name="Output Line Items" xfId="0"/>
    <cellStyle name="Output Line Items 2" xfId="0"/>
    <cellStyle name="Output Line Items 2 2" xfId="0"/>
    <cellStyle name="Output Line Items 2 3" xfId="0"/>
    <cellStyle name="Output Line Items 2 4" xfId="0"/>
    <cellStyle name="Output Line Items 3" xfId="0"/>
    <cellStyle name="Output Line Items 4" xfId="0"/>
    <cellStyle name="Output Line Items 5" xfId="0"/>
    <cellStyle name="Output Line Items 6" xfId="0"/>
    <cellStyle name="Output Line Items_BU Allocation" xfId="0"/>
    <cellStyle name="Output Report Heading" xfId="0"/>
    <cellStyle name="Output Report Heading 2" xfId="0"/>
    <cellStyle name="Output Report Heading 2 2" xfId="0"/>
    <cellStyle name="Output Report Heading 3" xfId="0"/>
    <cellStyle name="Output Report Heading 3 2" xfId="0"/>
    <cellStyle name="Output Report Heading 4" xfId="0"/>
    <cellStyle name="Output Report Heading 4 2" xfId="0"/>
    <cellStyle name="Output Report Heading 5" xfId="0"/>
    <cellStyle name="Output Report Heading_Prod Line MTD" xfId="0"/>
    <cellStyle name="Output Report Title" xfId="0"/>
    <cellStyle name="Output Report Title 2" xfId="0"/>
    <cellStyle name="Output Report Title 2 2" xfId="0"/>
    <cellStyle name="Output Report Title 2 3" xfId="0"/>
    <cellStyle name="Output Report Title 2 4" xfId="0"/>
    <cellStyle name="Output Report Title 3" xfId="0"/>
    <cellStyle name="Output Report Title 4" xfId="0"/>
    <cellStyle name="Output Report Title 5" xfId="0"/>
    <cellStyle name="Output Report Title 6" xfId="0"/>
    <cellStyle name="Output Report Title_BU Allocation" xfId="0"/>
    <cellStyle name="Output_13-wk VSA_Revised" xfId="0"/>
    <cellStyle name="per.style" xfId="0"/>
    <cellStyle name="per.style 2" xfId="0"/>
    <cellStyle name="Percent %" xfId="0"/>
    <cellStyle name="Percent % Long Underline" xfId="0"/>
    <cellStyle name="Percent %_03 2004 VSC External Financial Package" xfId="0"/>
    <cellStyle name="Percent (0)" xfId="0"/>
    <cellStyle name="Percent (0) 2" xfId="0"/>
    <cellStyle name="Percent (0) 3" xfId="0"/>
    <cellStyle name="Percent 0.0%" xfId="0"/>
    <cellStyle name="Percent 0.0% Long Underline" xfId="0"/>
    <cellStyle name="Percent 0.0%_Consolidated condensed quarterly 2001-2002 &amp; Q1 2003" xfId="0"/>
    <cellStyle name="Percent 0.00%" xfId="0"/>
    <cellStyle name="Percent 0.00% Long Underline" xfId="0"/>
    <cellStyle name="Percent 0.00%_Consolidated condensed quarterly 2001-2002 &amp; Q1 2003" xfId="0"/>
    <cellStyle name="Percent 0.000%" xfId="0"/>
    <cellStyle name="Percent 0.000% Long Underline" xfId="0"/>
    <cellStyle name="Percent 0.000%_Consolidated condensed quarterly 2001-2002 &amp; Q1 2003" xfId="0"/>
    <cellStyle name="Percent 0.0000%" xfId="0"/>
    <cellStyle name="Percent 0.0000% Long Underline" xfId="0"/>
    <cellStyle name="Percent 10" xfId="0"/>
    <cellStyle name="Percent 11" xfId="0"/>
    <cellStyle name="Percent 11 2" xfId="0"/>
    <cellStyle name="Percent 12" xfId="0"/>
    <cellStyle name="Percent 12 2" xfId="0"/>
    <cellStyle name="Percent 13" xfId="0"/>
    <cellStyle name="Percent 13 2" xfId="0"/>
    <cellStyle name="Percent 13 3" xfId="0"/>
    <cellStyle name="Percent 14" xfId="0"/>
    <cellStyle name="Percent 14 2" xfId="0"/>
    <cellStyle name="Percent 14 3" xfId="0"/>
    <cellStyle name="Percent 15" xfId="0"/>
    <cellStyle name="Percent 15 2" xfId="0"/>
    <cellStyle name="Percent 16" xfId="0"/>
    <cellStyle name="Percent 16 2" xfId="0"/>
    <cellStyle name="Percent 17" xfId="0"/>
    <cellStyle name="Percent 17 2" xfId="0"/>
    <cellStyle name="Percent 18" xfId="0"/>
    <cellStyle name="Percent 18 2" xfId="0"/>
    <cellStyle name="Percent 19" xfId="0"/>
    <cellStyle name="Percent 19 2" xfId="0"/>
    <cellStyle name="Percent 2" xfId="0"/>
    <cellStyle name="Percent 2 2" xfId="0"/>
    <cellStyle name="Percent 2 2 2" xfId="0"/>
    <cellStyle name="Percent 2 2 3" xfId="0"/>
    <cellStyle name="Percent 2 2 4" xfId="0"/>
    <cellStyle name="Percent 2 3" xfId="0"/>
    <cellStyle name="Percent 2 3 2" xfId="0"/>
    <cellStyle name="Percent 2 3 3" xfId="0"/>
    <cellStyle name="Percent 2 4" xfId="0"/>
    <cellStyle name="Percent 2 4 2" xfId="0"/>
    <cellStyle name="Percent 2 4 3" xfId="0"/>
    <cellStyle name="Percent 2 5" xfId="0"/>
    <cellStyle name="Percent 2 5 2" xfId="0"/>
    <cellStyle name="Percent 2 6" xfId="0"/>
    <cellStyle name="Percent 2 7" xfId="0"/>
    <cellStyle name="Percent 2 8" xfId="0"/>
    <cellStyle name="Percent 20" xfId="0"/>
    <cellStyle name="Percent 20 2" xfId="0"/>
    <cellStyle name="Percent 21" xfId="0"/>
    <cellStyle name="Percent 21 2" xfId="0"/>
    <cellStyle name="Percent 22" xfId="0"/>
    <cellStyle name="Percent 22 2" xfId="0"/>
    <cellStyle name="Percent 23" xfId="0"/>
    <cellStyle name="Percent 23 2" xfId="0"/>
    <cellStyle name="Percent 24" xfId="0"/>
    <cellStyle name="Percent 24 2" xfId="0"/>
    <cellStyle name="Percent 25" xfId="0"/>
    <cellStyle name="Percent 25 2" xfId="0"/>
    <cellStyle name="Percent 26" xfId="0"/>
    <cellStyle name="Percent 26 2" xfId="0"/>
    <cellStyle name="Percent 27" xfId="0"/>
    <cellStyle name="Percent 27 2" xfId="0"/>
    <cellStyle name="Percent 28" xfId="0"/>
    <cellStyle name="Percent 28 2" xfId="0"/>
    <cellStyle name="Percent 29" xfId="0"/>
    <cellStyle name="Percent 29 2" xfId="0"/>
    <cellStyle name="Percent 3" xfId="0"/>
    <cellStyle name="Percent 3 2" xfId="0"/>
    <cellStyle name="Percent 3 2 2" xfId="0"/>
    <cellStyle name="Percent 3 3" xfId="0"/>
    <cellStyle name="Percent 30" xfId="0"/>
    <cellStyle name="Percent 30 2" xfId="0"/>
    <cellStyle name="Percent 31" xfId="0"/>
    <cellStyle name="Percent 31 2" xfId="0"/>
    <cellStyle name="Percent 32" xfId="0"/>
    <cellStyle name="Percent 32 2" xfId="0"/>
    <cellStyle name="Percent 33" xfId="0"/>
    <cellStyle name="Percent 33 2" xfId="0"/>
    <cellStyle name="Percent 34" xfId="0"/>
    <cellStyle name="Percent 34 2" xfId="0"/>
    <cellStyle name="Percent 35" xfId="0"/>
    <cellStyle name="Percent 35 2" xfId="0"/>
    <cellStyle name="Percent 36" xfId="0"/>
    <cellStyle name="Percent 36 2" xfId="0"/>
    <cellStyle name="Percent 37" xfId="0"/>
    <cellStyle name="Percent 37 2" xfId="0"/>
    <cellStyle name="Percent 38" xfId="0"/>
    <cellStyle name="Percent 38 2" xfId="0"/>
    <cellStyle name="Percent 39" xfId="0"/>
    <cellStyle name="Percent 39 2" xfId="0"/>
    <cellStyle name="Percent 4" xfId="0"/>
    <cellStyle name="Percent 4 2" xfId="0"/>
    <cellStyle name="Percent 4 2 2" xfId="0"/>
    <cellStyle name="Percent 4 3" xfId="0"/>
    <cellStyle name="Percent 40" xfId="0"/>
    <cellStyle name="Percent 40 2" xfId="0"/>
    <cellStyle name="Percent 41" xfId="0"/>
    <cellStyle name="Percent 41 2" xfId="0"/>
    <cellStyle name="Percent 42" xfId="0"/>
    <cellStyle name="Percent 42 2" xfId="0"/>
    <cellStyle name="Percent 43" xfId="0"/>
    <cellStyle name="Percent 43 2" xfId="0"/>
    <cellStyle name="Percent 44" xfId="0"/>
    <cellStyle name="Percent 44 2" xfId="0"/>
    <cellStyle name="Percent 45" xfId="0"/>
    <cellStyle name="Percent 45 2" xfId="0"/>
    <cellStyle name="Percent 46" xfId="0"/>
    <cellStyle name="Percent 46 2" xfId="0"/>
    <cellStyle name="Percent 47" xfId="0"/>
    <cellStyle name="Percent 47 2" xfId="0"/>
    <cellStyle name="Percent 48" xfId="0"/>
    <cellStyle name="Percent 48 2" xfId="0"/>
    <cellStyle name="Percent 49" xfId="0"/>
    <cellStyle name="Percent 49 2" xfId="0"/>
    <cellStyle name="Percent 5" xfId="0"/>
    <cellStyle name="Percent 5 2" xfId="0"/>
    <cellStyle name="Percent 5 2 2" xfId="0"/>
    <cellStyle name="Percent 5 3" xfId="0"/>
    <cellStyle name="Percent 5 4" xfId="0"/>
    <cellStyle name="Percent 50" xfId="0"/>
    <cellStyle name="Percent 50 2" xfId="0"/>
    <cellStyle name="Percent 51" xfId="0"/>
    <cellStyle name="Percent 51 2" xfId="0"/>
    <cellStyle name="Percent 52" xfId="0"/>
    <cellStyle name="Percent 52 2" xfId="0"/>
    <cellStyle name="Percent 53" xfId="0"/>
    <cellStyle name="Percent 53 2" xfId="0"/>
    <cellStyle name="Percent 54" xfId="0"/>
    <cellStyle name="Percent 55" xfId="0"/>
    <cellStyle name="Percent 56" xfId="0"/>
    <cellStyle name="Percent 57" xfId="0"/>
    <cellStyle name="Percent 58" xfId="0"/>
    <cellStyle name="Percent 59" xfId="0"/>
    <cellStyle name="Percent 6" xfId="0"/>
    <cellStyle name="Percent 6 2" xfId="0"/>
    <cellStyle name="Percent 6 2 2" xfId="0"/>
    <cellStyle name="Percent 6 3" xfId="0"/>
    <cellStyle name="Percent 60" xfId="0"/>
    <cellStyle name="Percent 61" xfId="0"/>
    <cellStyle name="Percent 62" xfId="0"/>
    <cellStyle name="Percent 63" xfId="0"/>
    <cellStyle name="Percent 64" xfId="0"/>
    <cellStyle name="Percent 65" xfId="0"/>
    <cellStyle name="Percent 66" xfId="0"/>
    <cellStyle name="Percent 67" xfId="0"/>
    <cellStyle name="Percent 68" xfId="0"/>
    <cellStyle name="Percent 69" xfId="0"/>
    <cellStyle name="Percent 7" xfId="0"/>
    <cellStyle name="Percent 7 2" xfId="0"/>
    <cellStyle name="Percent 70" xfId="0"/>
    <cellStyle name="Percent 71" xfId="0"/>
    <cellStyle name="Percent 72" xfId="0"/>
    <cellStyle name="Percent 73" xfId="0"/>
    <cellStyle name="Percent 74" xfId="0"/>
    <cellStyle name="Percent 75" xfId="0"/>
    <cellStyle name="Percent 76" xfId="0"/>
    <cellStyle name="Percent 77" xfId="0"/>
    <cellStyle name="Percent 78" xfId="0"/>
    <cellStyle name="Percent 8" xfId="0"/>
    <cellStyle name="Percent 9" xfId="0"/>
    <cellStyle name="Percent [2]" xfId="0"/>
    <cellStyle name="Percent [2] 2" xfId="0"/>
    <cellStyle name="pricing" xfId="0"/>
    <cellStyle name="pricing 10" xfId="0"/>
    <cellStyle name="pricing 11" xfId="0"/>
    <cellStyle name="pricing 2" xfId="0"/>
    <cellStyle name="pricing 3" xfId="0"/>
    <cellStyle name="pricing 4" xfId="0"/>
    <cellStyle name="pricing 5" xfId="0"/>
    <cellStyle name="pricing 6" xfId="0"/>
    <cellStyle name="pricing 7" xfId="0"/>
    <cellStyle name="pricing 8" xfId="0"/>
    <cellStyle name="pricing 9" xfId="0"/>
    <cellStyle name="PSChar" xfId="0"/>
    <cellStyle name="PSChar 10" xfId="0"/>
    <cellStyle name="PSChar 10 2" xfId="0"/>
    <cellStyle name="PSChar 11" xfId="0"/>
    <cellStyle name="PSChar 11 2" xfId="0"/>
    <cellStyle name="PSChar 12" xfId="0"/>
    <cellStyle name="PSChar 2" xfId="0"/>
    <cellStyle name="PSChar 2 2" xfId="0"/>
    <cellStyle name="PSChar 3" xfId="0"/>
    <cellStyle name="PSChar 3 2" xfId="0"/>
    <cellStyle name="PSChar 4" xfId="0"/>
    <cellStyle name="PSChar 4 2" xfId="0"/>
    <cellStyle name="PSChar 5" xfId="0"/>
    <cellStyle name="PSChar 5 2" xfId="0"/>
    <cellStyle name="PSChar 6" xfId="0"/>
    <cellStyle name="PSChar 6 2" xfId="0"/>
    <cellStyle name="PSChar 7" xfId="0"/>
    <cellStyle name="PSChar 7 2" xfId="0"/>
    <cellStyle name="PSChar 8" xfId="0"/>
    <cellStyle name="PSChar 8 2" xfId="0"/>
    <cellStyle name="PSChar 9" xfId="0"/>
    <cellStyle name="PSChar 9 2" xfId="0"/>
    <cellStyle name="RevList" xfId="0"/>
    <cellStyle name="RevList 10" xfId="0"/>
    <cellStyle name="RevList 11" xfId="0"/>
    <cellStyle name="RevList 2" xfId="0"/>
    <cellStyle name="RevList 3" xfId="0"/>
    <cellStyle name="RevList 4" xfId="0"/>
    <cellStyle name="RevList 5" xfId="0"/>
    <cellStyle name="RevList 6" xfId="0"/>
    <cellStyle name="RevList 7" xfId="0"/>
    <cellStyle name="RevList 8" xfId="0"/>
    <cellStyle name="RevList 9" xfId="0"/>
    <cellStyle name="Sheet Title" xfId="0"/>
    <cellStyle name="Sheet Title 2" xfId="0"/>
    <cellStyle name="Sheet Title 2 2" xfId="0"/>
    <cellStyle name="Sheet Title 3" xfId="0"/>
    <cellStyle name="Standard_Tabelle1" xfId="0"/>
    <cellStyle name="Style 1" xfId="0"/>
    <cellStyle name="Style 1 2" xfId="0"/>
    <cellStyle name="Style 1 2 2" xfId="0"/>
    <cellStyle name="Style 1 2 3" xfId="0"/>
    <cellStyle name="Style 1 3" xfId="0"/>
    <cellStyle name="Style 1 4" xfId="0"/>
    <cellStyle name="Style 1_Prod Line MTD" xfId="0"/>
    <cellStyle name="Subtotal" xfId="0"/>
    <cellStyle name="Subtotal 10" xfId="0"/>
    <cellStyle name="Subtotal 11" xfId="0"/>
    <cellStyle name="Subtotal 2" xfId="0"/>
    <cellStyle name="Subtotal 3" xfId="0"/>
    <cellStyle name="Subtotal 4" xfId="0"/>
    <cellStyle name="Subtotal 5" xfId="0"/>
    <cellStyle name="Subtotal 6" xfId="0"/>
    <cellStyle name="Subtotal 7" xfId="0"/>
    <cellStyle name="Subtotal 8" xfId="0"/>
    <cellStyle name="Subtotal 9" xfId="0"/>
    <cellStyle name="Tickmark" xfId="0"/>
    <cellStyle name="Tickmark 2" xfId="0"/>
    <cellStyle name="Times New Roman" xfId="0"/>
    <cellStyle name="Title" xfId="0"/>
    <cellStyle name="Title 10" xfId="0"/>
    <cellStyle name="Title 11" xfId="0"/>
    <cellStyle name="Title 12" xfId="0"/>
    <cellStyle name="Title 13" xfId="0"/>
    <cellStyle name="Title 14" xfId="0"/>
    <cellStyle name="Title 2" xfId="0"/>
    <cellStyle name="Title 2 2" xfId="0"/>
    <cellStyle name="Title 2 2 2" xfId="0"/>
    <cellStyle name="Title 2 2 3" xfId="0"/>
    <cellStyle name="Title 2 3" xfId="0"/>
    <cellStyle name="Title 2 3 2" xfId="0"/>
    <cellStyle name="Title 2 3 3" xfId="0"/>
    <cellStyle name="Title 2 4" xfId="0"/>
    <cellStyle name="Title 2 4 2" xfId="0"/>
    <cellStyle name="Title 2 5" xfId="0"/>
    <cellStyle name="Title 2 5 2" xfId="0"/>
    <cellStyle name="Title 2 6" xfId="0"/>
    <cellStyle name="Title 2 7" xfId="0"/>
    <cellStyle name="Title 2 8" xfId="0"/>
    <cellStyle name="Title 2 9" xfId="0"/>
    <cellStyle name="Title 2_Profitability Detail NT$ Sep-12" xfId="0"/>
    <cellStyle name="Title 3" xfId="0"/>
    <cellStyle name="Title 3 2" xfId="0"/>
    <cellStyle name="Title 3 2 2" xfId="0"/>
    <cellStyle name="Title 3 3" xfId="0"/>
    <cellStyle name="Title 3 3 2" xfId="0"/>
    <cellStyle name="Title 3 4" xfId="0"/>
    <cellStyle name="Title 3 4 2" xfId="0"/>
    <cellStyle name="Title 3 5" xfId="0"/>
    <cellStyle name="Title 3 5 2" xfId="0"/>
    <cellStyle name="Title 3 6" xfId="0"/>
    <cellStyle name="Title 3 7" xfId="0"/>
    <cellStyle name="Title 3 8" xfId="0"/>
    <cellStyle name="Title 3_Profitability Detail NT$ Sep-12" xfId="0"/>
    <cellStyle name="Title 4" xfId="0"/>
    <cellStyle name="Title 4 2" xfId="0"/>
    <cellStyle name="Title 4 2 2" xfId="0"/>
    <cellStyle name="Title 4 3" xfId="0"/>
    <cellStyle name="Title 4 3 2" xfId="0"/>
    <cellStyle name="Title 4 4" xfId="0"/>
    <cellStyle name="Title 4 4 2" xfId="0"/>
    <cellStyle name="Title 4 5" xfId="0"/>
    <cellStyle name="Title 4 5 2" xfId="0"/>
    <cellStyle name="Title 4 6" xfId="0"/>
    <cellStyle name="Title 4 7" xfId="0"/>
    <cellStyle name="Title 4 8" xfId="0"/>
    <cellStyle name="Title 4_Profitability Detail NT$ Sep-12" xfId="0"/>
    <cellStyle name="Title 5" xfId="0"/>
    <cellStyle name="Title 5 2" xfId="0"/>
    <cellStyle name="Title 5 3" xfId="0"/>
    <cellStyle name="Title 5 4" xfId="0"/>
    <cellStyle name="Title 6" xfId="0"/>
    <cellStyle name="Title 6 2" xfId="0"/>
    <cellStyle name="Title 7" xfId="0"/>
    <cellStyle name="Title 8" xfId="0"/>
    <cellStyle name="Title 9" xfId="0"/>
    <cellStyle name="Title_Apr CPC" xfId="0"/>
    <cellStyle name="Total" xfId="0"/>
    <cellStyle name="Total 10" xfId="0"/>
    <cellStyle name="Total 10 2" xfId="0"/>
    <cellStyle name="Total 11" xfId="0"/>
    <cellStyle name="Total 11 2" xfId="0"/>
    <cellStyle name="Total 12" xfId="0"/>
    <cellStyle name="Total 12 2" xfId="0"/>
    <cellStyle name="Total 13" xfId="0"/>
    <cellStyle name="Total 13 2" xfId="0"/>
    <cellStyle name="Total 14" xfId="0"/>
    <cellStyle name="Total 14 2" xfId="0"/>
    <cellStyle name="Total 15" xfId="0"/>
    <cellStyle name="Total 15 2" xfId="0"/>
    <cellStyle name="Total 16" xfId="0"/>
    <cellStyle name="Total 16 2" xfId="0"/>
    <cellStyle name="Total 17" xfId="0"/>
    <cellStyle name="Total 17 2" xfId="0"/>
    <cellStyle name="Total 18" xfId="0"/>
    <cellStyle name="Total 18 2" xfId="0"/>
    <cellStyle name="Total 19" xfId="0"/>
    <cellStyle name="Total 19 2" xfId="0"/>
    <cellStyle name="Total 2" xfId="0"/>
    <cellStyle name="Total 2 2" xfId="0"/>
    <cellStyle name="Total 2 2 2" xfId="0"/>
    <cellStyle name="Total 2 2 2 2" xfId="0"/>
    <cellStyle name="Total 2 2 3" xfId="0"/>
    <cellStyle name="Total 2 2 4" xfId="0"/>
    <cellStyle name="Total 2 3" xfId="0"/>
    <cellStyle name="Total 2 3 2" xfId="0"/>
    <cellStyle name="Total 2 3 3" xfId="0"/>
    <cellStyle name="Total 2 4" xfId="0"/>
    <cellStyle name="Total 2 4 2" xfId="0"/>
    <cellStyle name="Total 2 5" xfId="0"/>
    <cellStyle name="Total 2 5 2" xfId="0"/>
    <cellStyle name="Total 2 6" xfId="0"/>
    <cellStyle name="Total 2 7" xfId="0"/>
    <cellStyle name="Total 2 8" xfId="0"/>
    <cellStyle name="Total 2 9" xfId="0"/>
    <cellStyle name="Total 20" xfId="0"/>
    <cellStyle name="Total 20 2" xfId="0"/>
    <cellStyle name="Total 21" xfId="0"/>
    <cellStyle name="Total 21 2" xfId="0"/>
    <cellStyle name="Total 22" xfId="0"/>
    <cellStyle name="Total 22 2" xfId="0"/>
    <cellStyle name="Total 23" xfId="0"/>
    <cellStyle name="Total 23 2" xfId="0"/>
    <cellStyle name="Total 24" xfId="0"/>
    <cellStyle name="Total 25" xfId="0"/>
    <cellStyle name="Total 26" xfId="0"/>
    <cellStyle name="Total 27" xfId="0"/>
    <cellStyle name="Total 28" xfId="0"/>
    <cellStyle name="Total 29" xfId="0"/>
    <cellStyle name="Total 2_Profitability Detail NT$ Sep-12" xfId="0"/>
    <cellStyle name="Total 3" xfId="0"/>
    <cellStyle name="Total 3 2" xfId="0"/>
    <cellStyle name="Total 3 2 2" xfId="0"/>
    <cellStyle name="Total 3 2 2 2" xfId="0"/>
    <cellStyle name="Total 3 2 3" xfId="0"/>
    <cellStyle name="Total 3 3" xfId="0"/>
    <cellStyle name="Total 3 3 2" xfId="0"/>
    <cellStyle name="Total 3 4" xfId="0"/>
    <cellStyle name="Total 3 4 2" xfId="0"/>
    <cellStyle name="Total 3 5" xfId="0"/>
    <cellStyle name="Total 3 5 2" xfId="0"/>
    <cellStyle name="Total 3 6" xfId="0"/>
    <cellStyle name="Total 3 7" xfId="0"/>
    <cellStyle name="Total 3 8" xfId="0"/>
    <cellStyle name="Total 30" xfId="0"/>
    <cellStyle name="Total 31" xfId="0"/>
    <cellStyle name="Total 32" xfId="0"/>
    <cellStyle name="Total 33" xfId="0"/>
    <cellStyle name="Total 34" xfId="0"/>
    <cellStyle name="Total 35" xfId="0"/>
    <cellStyle name="Total 3_Profitability Detail NT$ Sep-12" xfId="0"/>
    <cellStyle name="Total 4" xfId="0"/>
    <cellStyle name="Total 4 2" xfId="0"/>
    <cellStyle name="Total 4 2 2" xfId="0"/>
    <cellStyle name="Total 4 2 2 2" xfId="0"/>
    <cellStyle name="Total 4 2 3" xfId="0"/>
    <cellStyle name="Total 4 3" xfId="0"/>
    <cellStyle name="Total 4 3 2" xfId="0"/>
    <cellStyle name="Total 4 4" xfId="0"/>
    <cellStyle name="Total 4 4 2" xfId="0"/>
    <cellStyle name="Total 4 5" xfId="0"/>
    <cellStyle name="Total 4 5 2" xfId="0"/>
    <cellStyle name="Total 4 6" xfId="0"/>
    <cellStyle name="Total 4 7" xfId="0"/>
    <cellStyle name="Total 4_Profitability Detail NT$ Sep-12" xfId="0"/>
    <cellStyle name="Total 5" xfId="0"/>
    <cellStyle name="Total 5 2" xfId="0"/>
    <cellStyle name="Total 5 3" xfId="0"/>
    <cellStyle name="Total 6" xfId="0"/>
    <cellStyle name="Total 6 2" xfId="0"/>
    <cellStyle name="Total 7" xfId="0"/>
    <cellStyle name="Total 7 2" xfId="0"/>
    <cellStyle name="Total 8" xfId="0"/>
    <cellStyle name="Total 8 2" xfId="0"/>
    <cellStyle name="Total 9" xfId="0"/>
    <cellStyle name="Total 9 2" xfId="0"/>
    <cellStyle name="Total_13-wk VSA_Revised" xfId="0"/>
    <cellStyle name="Warning Text" xfId="0"/>
    <cellStyle name="Warning Text 10" xfId="0"/>
    <cellStyle name="Warning Text 10 2" xfId="0"/>
    <cellStyle name="Warning Text 11" xfId="0"/>
    <cellStyle name="Warning Text 11 2" xfId="0"/>
    <cellStyle name="Warning Text 12" xfId="0"/>
    <cellStyle name="Warning Text 12 2" xfId="0"/>
    <cellStyle name="Warning Text 13" xfId="0"/>
    <cellStyle name="Warning Text 13 2" xfId="0"/>
    <cellStyle name="Warning Text 14" xfId="0"/>
    <cellStyle name="Warning Text 14 2" xfId="0"/>
    <cellStyle name="Warning Text 15" xfId="0"/>
    <cellStyle name="Warning Text 15 2" xfId="0"/>
    <cellStyle name="Warning Text 16" xfId="0"/>
    <cellStyle name="Warning Text 16 2" xfId="0"/>
    <cellStyle name="Warning Text 17" xfId="0"/>
    <cellStyle name="Warning Text 17 2" xfId="0"/>
    <cellStyle name="Warning Text 18" xfId="0"/>
    <cellStyle name="Warning Text 18 2" xfId="0"/>
    <cellStyle name="Warning Text 19" xfId="0"/>
    <cellStyle name="Warning Text 19 2" xfId="0"/>
    <cellStyle name="Warning Text 2" xfId="0"/>
    <cellStyle name="Warning Text 2 2" xfId="0"/>
    <cellStyle name="Warning Text 2 2 2" xfId="0"/>
    <cellStyle name="Warning Text 2 2 3" xfId="0"/>
    <cellStyle name="Warning Text 2 3" xfId="0"/>
    <cellStyle name="Warning Text 2 3 2" xfId="0"/>
    <cellStyle name="Warning Text 2 4" xfId="0"/>
    <cellStyle name="Warning Text 2 4 2" xfId="0"/>
    <cellStyle name="Warning Text 2 5" xfId="0"/>
    <cellStyle name="Warning Text 2 5 2" xfId="0"/>
    <cellStyle name="Warning Text 2 6" xfId="0"/>
    <cellStyle name="Warning Text 20" xfId="0"/>
    <cellStyle name="Warning Text 20 2" xfId="0"/>
    <cellStyle name="Warning Text 21" xfId="0"/>
    <cellStyle name="Warning Text 21 2" xfId="0"/>
    <cellStyle name="Warning Text 22" xfId="0"/>
    <cellStyle name="Warning Text 22 2" xfId="0"/>
    <cellStyle name="Warning Text 23" xfId="0"/>
    <cellStyle name="Warning Text 23 2" xfId="0"/>
    <cellStyle name="Warning Text 24" xfId="0"/>
    <cellStyle name="Warning Text 25" xfId="0"/>
    <cellStyle name="Warning Text 26" xfId="0"/>
    <cellStyle name="Warning Text 27" xfId="0"/>
    <cellStyle name="Warning Text 28" xfId="0"/>
    <cellStyle name="Warning Text 29" xfId="0"/>
    <cellStyle name="Warning Text 2_Profitability Detail NT$ Sep-12" xfId="0"/>
    <cellStyle name="Warning Text 3" xfId="0"/>
    <cellStyle name="Warning Text 3 2" xfId="0"/>
    <cellStyle name="Warning Text 3 2 2" xfId="0"/>
    <cellStyle name="Warning Text 3 3" xfId="0"/>
    <cellStyle name="Warning Text 3 3 2" xfId="0"/>
    <cellStyle name="Warning Text 3 4" xfId="0"/>
    <cellStyle name="Warning Text 3 4 2" xfId="0"/>
    <cellStyle name="Warning Text 3 5" xfId="0"/>
    <cellStyle name="Warning Text 3 5 2" xfId="0"/>
    <cellStyle name="Warning Text 3 6" xfId="0"/>
    <cellStyle name="Warning Text 3 7" xfId="0"/>
    <cellStyle name="Warning Text 30" xfId="0"/>
    <cellStyle name="Warning Text 3_Profitability Detail NT$ Sep-12" xfId="0"/>
    <cellStyle name="Warning Text 4" xfId="0"/>
    <cellStyle name="Warning Text 4 2" xfId="0"/>
    <cellStyle name="Warning Text 4 2 2" xfId="0"/>
    <cellStyle name="Warning Text 4 3" xfId="0"/>
    <cellStyle name="Warning Text 4 3 2" xfId="0"/>
    <cellStyle name="Warning Text 4 4" xfId="0"/>
    <cellStyle name="Warning Text 4 4 2" xfId="0"/>
    <cellStyle name="Warning Text 4 5" xfId="0"/>
    <cellStyle name="Warning Text 4 5 2" xfId="0"/>
    <cellStyle name="Warning Text 4 6" xfId="0"/>
    <cellStyle name="Warning Text 4 7" xfId="0"/>
    <cellStyle name="Warning Text 4_Profitability Detail NT$ Sep-12" xfId="0"/>
    <cellStyle name="Warning Text 5" xfId="0"/>
    <cellStyle name="Warning Text 5 2" xfId="0"/>
    <cellStyle name="Warning Text 5 3" xfId="0"/>
    <cellStyle name="Warning Text 6" xfId="0"/>
    <cellStyle name="Warning Text 6 2" xfId="0"/>
    <cellStyle name="Warning Text 6 3" xfId="0"/>
    <cellStyle name="Warning Text 7" xfId="0"/>
    <cellStyle name="Warning Text 7 2" xfId="0"/>
    <cellStyle name="Warning Text 8" xfId="0"/>
    <cellStyle name="Warning Text 8 2" xfId="0"/>
    <cellStyle name="Warning Text 9" xfId="0"/>
    <cellStyle name="Warning Text 9 2" xfId="0"/>
    <cellStyle name="Warning Text_13-wk VSA_Revised" xfId="0"/>
    <cellStyle name="XComma" xfId="0"/>
    <cellStyle name="XComma 0.0" xfId="0"/>
    <cellStyle name="XComma 0.00" xfId="0"/>
    <cellStyle name="XComma 0.000" xfId="0"/>
    <cellStyle name="XCurrency" xfId="0"/>
    <cellStyle name="XCurrency 0.0" xfId="0"/>
    <cellStyle name="XCurrency 0.00" xfId="0"/>
    <cellStyle name="XCurrency 0.000" xfId="0"/>
    <cellStyle name="Œ…‹æØ‚è [0.00]_Region Orders (2)" xfId="0"/>
    <cellStyle name="Œ…‹æØ‚è_Region Orders (2)" xfId="0"/>
    <cellStyle name="Обычный_Claim_NovPrice 05 PriceProtect_inv" xfId="0"/>
    <cellStyle name="一般 10" xfId="0"/>
    <cellStyle name="一般 10 2" xfId="0"/>
    <cellStyle name="一般 10 2 2" xfId="0"/>
    <cellStyle name="一般 10 2 3" xfId="0"/>
    <cellStyle name="一般 10 3" xfId="0"/>
    <cellStyle name="一般 10 4" xfId="0"/>
    <cellStyle name="一般 10 5" xfId="0"/>
    <cellStyle name="一般 11" xfId="0"/>
    <cellStyle name="一般 11 2" xfId="0"/>
    <cellStyle name="一般 11 2 2" xfId="0"/>
    <cellStyle name="一般 11 3" xfId="0"/>
    <cellStyle name="一般 11 4" xfId="0"/>
    <cellStyle name="一般 12" xfId="0"/>
    <cellStyle name="一般 12 2" xfId="0"/>
    <cellStyle name="一般 12 3" xfId="0"/>
    <cellStyle name="一般 12 4" xfId="0"/>
    <cellStyle name="一般 12 5" xfId="0"/>
    <cellStyle name="一般 13" xfId="0"/>
    <cellStyle name="一般 13 2" xfId="0"/>
    <cellStyle name="一般 13 2 2" xfId="0"/>
    <cellStyle name="一般 13 3" xfId="0"/>
    <cellStyle name="一般 13 4" xfId="0"/>
    <cellStyle name="一般 14" xfId="0"/>
    <cellStyle name="一般 14 2" xfId="0"/>
    <cellStyle name="一般 14 3" xfId="0"/>
    <cellStyle name="一般 15" xfId="0"/>
    <cellStyle name="一般 15 2" xfId="0"/>
    <cellStyle name="一般 15 3" xfId="0"/>
    <cellStyle name="一般 16" xfId="0"/>
    <cellStyle name="一般 16 10" xfId="0"/>
    <cellStyle name="一般 16 11" xfId="0"/>
    <cellStyle name="一般 16 2" xfId="0"/>
    <cellStyle name="一般 16 2 2" xfId="0"/>
    <cellStyle name="一般 16 2 2 2" xfId="0"/>
    <cellStyle name="一般 16 2 3" xfId="0"/>
    <cellStyle name="一般 16 2 4" xfId="0"/>
    <cellStyle name="一般 16 2 5" xfId="0"/>
    <cellStyle name="一般 16 3" xfId="0"/>
    <cellStyle name="一般 16 3 2" xfId="0"/>
    <cellStyle name="一般 16 3 3" xfId="0"/>
    <cellStyle name="一般 16 3 4" xfId="0"/>
    <cellStyle name="一般 16 4" xfId="0"/>
    <cellStyle name="一般 16 4 2" xfId="0"/>
    <cellStyle name="一般 16 4 3" xfId="0"/>
    <cellStyle name="一般 16 4 4" xfId="0"/>
    <cellStyle name="一般 16 5" xfId="0"/>
    <cellStyle name="一般 16 5 2" xfId="0"/>
    <cellStyle name="一般 16 5 3" xfId="0"/>
    <cellStyle name="一般 16 5 4" xfId="0"/>
    <cellStyle name="一般 16 6" xfId="0"/>
    <cellStyle name="一般 16 6 2" xfId="0"/>
    <cellStyle name="一般 16 6 3" xfId="0"/>
    <cellStyle name="一般 16 6 4" xfId="0"/>
    <cellStyle name="一般 16 7" xfId="0"/>
    <cellStyle name="一般 16 7 2" xfId="0"/>
    <cellStyle name="一般 16 7 3" xfId="0"/>
    <cellStyle name="一般 16 7 4" xfId="0"/>
    <cellStyle name="一般 16 8" xfId="0"/>
    <cellStyle name="一般 16 9" xfId="0"/>
    <cellStyle name="一般 17" xfId="0"/>
    <cellStyle name="一般 17 2" xfId="0"/>
    <cellStyle name="一般 17 3" xfId="0"/>
    <cellStyle name="一般 17 4" xfId="0"/>
    <cellStyle name="一般 18" xfId="0"/>
    <cellStyle name="一般 18 2" xfId="0"/>
    <cellStyle name="一般 18 3" xfId="0"/>
    <cellStyle name="一般 18 4" xfId="0"/>
    <cellStyle name="一般 19" xfId="0"/>
    <cellStyle name="一般 19 2" xfId="0"/>
    <cellStyle name="一般 2" xfId="0"/>
    <cellStyle name="一般 2 10" xfId="0"/>
    <cellStyle name="一般 2 10 2" xfId="0"/>
    <cellStyle name="一般 2 11" xfId="0"/>
    <cellStyle name="一般 2 11 2" xfId="0"/>
    <cellStyle name="一般 2 12" xfId="0"/>
    <cellStyle name="一般 2 12 2" xfId="0"/>
    <cellStyle name="一般 2 13" xfId="0"/>
    <cellStyle name="一般 2 13 2" xfId="0"/>
    <cellStyle name="一般 2 14" xfId="0"/>
    <cellStyle name="一般 2 14 2" xfId="0"/>
    <cellStyle name="一般 2 15" xfId="0"/>
    <cellStyle name="一般 2 2" xfId="0"/>
    <cellStyle name="一般 2 2 2" xfId="0"/>
    <cellStyle name="一般 2 2 2 2" xfId="0"/>
    <cellStyle name="一般 2 2 2 2 2" xfId="0"/>
    <cellStyle name="一般 2 2 2 3" xfId="0"/>
    <cellStyle name="一般 2 2 2 3 2" xfId="0"/>
    <cellStyle name="一般 2 2 2 4" xfId="0"/>
    <cellStyle name="一般 2 2 2 5" xfId="0"/>
    <cellStyle name="一般 2 2 3" xfId="0"/>
    <cellStyle name="一般 2 2 3 2" xfId="0"/>
    <cellStyle name="一般 2 2 3 3" xfId="0"/>
    <cellStyle name="一般 2 2 4" xfId="0"/>
    <cellStyle name="一般 2 2 4 2" xfId="0"/>
    <cellStyle name="一般 2 2 5" xfId="0"/>
    <cellStyle name="一般 2 2 5 2" xfId="0"/>
    <cellStyle name="一般 2 2 6" xfId="0"/>
    <cellStyle name="一般 2 2 7" xfId="0"/>
    <cellStyle name="一般 2 2_Prod Line MTD" xfId="0"/>
    <cellStyle name="一般 2 3" xfId="0"/>
    <cellStyle name="一般 2 3 2" xfId="0"/>
    <cellStyle name="一般 2 3 2 2" xfId="0"/>
    <cellStyle name="一般 2 3 2 3" xfId="0"/>
    <cellStyle name="一般 2 3 2 4" xfId="0"/>
    <cellStyle name="一般 2 3 2 5" xfId="0"/>
    <cellStyle name="一般 2 3 2 6" xfId="0"/>
    <cellStyle name="一般 2 3 3" xfId="0"/>
    <cellStyle name="一般 2 3 4" xfId="0"/>
    <cellStyle name="一般 2 4" xfId="0"/>
    <cellStyle name="一般 2 4 2" xfId="0"/>
    <cellStyle name="一般 2 4 3" xfId="0"/>
    <cellStyle name="一般 2 5" xfId="0"/>
    <cellStyle name="一般 2 5 2" xfId="0"/>
    <cellStyle name="一般 2 5 3" xfId="0"/>
    <cellStyle name="一般 2 6" xfId="0"/>
    <cellStyle name="一般 2 6 2" xfId="0"/>
    <cellStyle name="一般 2 6 3" xfId="0"/>
    <cellStyle name="一般 2 7" xfId="0"/>
    <cellStyle name="一般 2 7 2" xfId="0"/>
    <cellStyle name="一般 2 7 2 2" xfId="0"/>
    <cellStyle name="一般 2 7 3" xfId="0"/>
    <cellStyle name="一般 2 7 3 2" xfId="0"/>
    <cellStyle name="一般 2 7 4" xfId="0"/>
    <cellStyle name="一般 2 7 5" xfId="0"/>
    <cellStyle name="一般 2 8" xfId="0"/>
    <cellStyle name="一般 2 8 2" xfId="0"/>
    <cellStyle name="一般 2 9" xfId="0"/>
    <cellStyle name="一般 2 9 2" xfId="0"/>
    <cellStyle name="一般 20" xfId="0"/>
    <cellStyle name="一般 20 2" xfId="0"/>
    <cellStyle name="一般 21" xfId="0"/>
    <cellStyle name="一般 21 2" xfId="0"/>
    <cellStyle name="一般 22" xfId="0"/>
    <cellStyle name="一般 22 2" xfId="0"/>
    <cellStyle name="一般 23" xfId="0"/>
    <cellStyle name="一般 23 2" xfId="0"/>
    <cellStyle name="一般 24" xfId="0"/>
    <cellStyle name="一般 24 2" xfId="0"/>
    <cellStyle name="一般 25" xfId="0"/>
    <cellStyle name="一般 25 2" xfId="0"/>
    <cellStyle name="一般 26" xfId="0"/>
    <cellStyle name="一般 27" xfId="0"/>
    <cellStyle name="一般 2_BU Allocation" xfId="0"/>
    <cellStyle name="一般 3" xfId="0"/>
    <cellStyle name="一般 3 2" xfId="0"/>
    <cellStyle name="一般 3 2 2" xfId="0"/>
    <cellStyle name="一般 3 2 2 2" xfId="0"/>
    <cellStyle name="一般 3 2 2 3" xfId="0"/>
    <cellStyle name="一般 3 2 3" xfId="0"/>
    <cellStyle name="一般 3 2 3 2" xfId="0"/>
    <cellStyle name="一般 3 2 3 3" xfId="0"/>
    <cellStyle name="一般 3 2 4" xfId="0"/>
    <cellStyle name="一般 3 2 4 2" xfId="0"/>
    <cellStyle name="一般 3 2 5" xfId="0"/>
    <cellStyle name="一般 3 2 6" xfId="0"/>
    <cellStyle name="一般 3 3" xfId="0"/>
    <cellStyle name="一般 3 3 2" xfId="0"/>
    <cellStyle name="一般 3 3 3" xfId="0"/>
    <cellStyle name="一般 3 3 4" xfId="0"/>
    <cellStyle name="一般 3 4" xfId="0"/>
    <cellStyle name="一般 3 4 2" xfId="0"/>
    <cellStyle name="一般 3 4 3" xfId="0"/>
    <cellStyle name="一般 3 5" xfId="0"/>
    <cellStyle name="一般 3 5 2" xfId="0"/>
    <cellStyle name="一般 3 6" xfId="0"/>
    <cellStyle name="一般 3 6 2" xfId="0"/>
    <cellStyle name="一般 3 7" xfId="0"/>
    <cellStyle name="一般 3 8" xfId="0"/>
    <cellStyle name="一般 3_BU Allocation" xfId="0"/>
    <cellStyle name="一般 4" xfId="0"/>
    <cellStyle name="一般 4 2" xfId="0"/>
    <cellStyle name="一般 4 2 2" xfId="0"/>
    <cellStyle name="一般 4 2 2 2" xfId="0"/>
    <cellStyle name="一般 4 2 3" xfId="0"/>
    <cellStyle name="一般 4 3" xfId="0"/>
    <cellStyle name="一般 4 3 2" xfId="0"/>
    <cellStyle name="一般 4 4" xfId="0"/>
    <cellStyle name="一般 4 5" xfId="0"/>
    <cellStyle name="一般 4 6" xfId="0"/>
    <cellStyle name="一般 4_BU Allocation" xfId="0"/>
    <cellStyle name="一般 5" xfId="0"/>
    <cellStyle name="一般 5 2" xfId="0"/>
    <cellStyle name="一般 5 2 2" xfId="0"/>
    <cellStyle name="一般 5 3" xfId="0"/>
    <cellStyle name="一般 5 3 2" xfId="0"/>
    <cellStyle name="一般 5 4" xfId="0"/>
    <cellStyle name="一般 5 4 2" xfId="0"/>
    <cellStyle name="一般 5 5" xfId="0"/>
    <cellStyle name="一般 5 6" xfId="0"/>
    <cellStyle name="一般 5_WMR VSI" xfId="0"/>
    <cellStyle name="一般 6" xfId="0"/>
    <cellStyle name="一般 6 2" xfId="0"/>
    <cellStyle name="一般 6 2 2" xfId="0"/>
    <cellStyle name="一般 6 3" xfId="0"/>
    <cellStyle name="一般 6 3 2" xfId="0"/>
    <cellStyle name="一般 6 4" xfId="0"/>
    <cellStyle name="一般 6 4 2" xfId="0"/>
    <cellStyle name="一般 6 5" xfId="0"/>
    <cellStyle name="一般 6 5 2" xfId="0"/>
    <cellStyle name="一般 6 6" xfId="0"/>
    <cellStyle name="一般 6 6 2" xfId="0"/>
    <cellStyle name="一般 6 7" xfId="0"/>
    <cellStyle name="一般 6 7 2" xfId="0"/>
    <cellStyle name="一般 6 8" xfId="0"/>
    <cellStyle name="一般 6 9" xfId="0"/>
    <cellStyle name="一般 6_13-wk VSI_Revised" xfId="0"/>
    <cellStyle name="一般 7" xfId="0"/>
    <cellStyle name="一般 7 2" xfId="0"/>
    <cellStyle name="一般 7 2 2" xfId="0"/>
    <cellStyle name="一般 7 3" xfId="0"/>
    <cellStyle name="一般 8" xfId="0"/>
    <cellStyle name="一般 8 2" xfId="0"/>
    <cellStyle name="一般 8 2 2" xfId="0"/>
    <cellStyle name="一般 8 2 2 2" xfId="0"/>
    <cellStyle name="一般 8 2 3" xfId="0"/>
    <cellStyle name="一般 8 2 4" xfId="0"/>
    <cellStyle name="一般 8 2 5" xfId="0"/>
    <cellStyle name="一般 8 3" xfId="0"/>
    <cellStyle name="一般 8 3 2" xfId="0"/>
    <cellStyle name="一般 8 4" xfId="0"/>
    <cellStyle name="一般 8 4 2" xfId="0"/>
    <cellStyle name="一般 8 5" xfId="0"/>
    <cellStyle name="一般 8 6" xfId="0"/>
    <cellStyle name="一般 8_13-wk VSI_Revised" xfId="0"/>
    <cellStyle name="一般 9" xfId="0"/>
    <cellStyle name="一般 9 2" xfId="0"/>
    <cellStyle name="一般 9 2 2" xfId="0"/>
    <cellStyle name="一般 9 3" xfId="0"/>
    <cellStyle name="一般 9_By Region" xfId="0"/>
    <cellStyle name="中等 2" xfId="0"/>
    <cellStyle name="中等 2 2" xfId="0"/>
    <cellStyle name="中等 2 3" xfId="0"/>
    <cellStyle name="中等 3" xfId="0"/>
    <cellStyle name="備註 2" xfId="0"/>
    <cellStyle name="備註 2 2" xfId="0"/>
    <cellStyle name="備註 2 3" xfId="0"/>
    <cellStyle name="備註 3" xfId="0"/>
    <cellStyle name="備註 4" xfId="0"/>
    <cellStyle name="備註 5" xfId="0"/>
    <cellStyle name="備註 6" xfId="0"/>
    <cellStyle name="千位分隔 2" xfId="0"/>
    <cellStyle name="千位分隔_9-21 AP-AR" xfId="0"/>
    <cellStyle name="千分位 10" xfId="0"/>
    <cellStyle name="千分位 10 2" xfId="0"/>
    <cellStyle name="千分位 11" xfId="0"/>
    <cellStyle name="千分位 12" xfId="0"/>
    <cellStyle name="千分位 2" xfId="0"/>
    <cellStyle name="千分位 2 10" xfId="0"/>
    <cellStyle name="千分位 2 11" xfId="0"/>
    <cellStyle name="千分位 2 12" xfId="0"/>
    <cellStyle name="千分位 2 2" xfId="0"/>
    <cellStyle name="千分位 2 2 2" xfId="0"/>
    <cellStyle name="千分位 2 2 3" xfId="0"/>
    <cellStyle name="千分位 2 3" xfId="0"/>
    <cellStyle name="千分位 2 3 2" xfId="0"/>
    <cellStyle name="千分位 2 3 3" xfId="0"/>
    <cellStyle name="千分位 2 4" xfId="0"/>
    <cellStyle name="千分位 2 5" xfId="0"/>
    <cellStyle name="千分位 2 6" xfId="0"/>
    <cellStyle name="千分位 2 7" xfId="0"/>
    <cellStyle name="千分位 2 8" xfId="0"/>
    <cellStyle name="千分位 2 9" xfId="0"/>
    <cellStyle name="千分位 2_BU Allocation" xfId="0"/>
    <cellStyle name="千分位 3" xfId="0"/>
    <cellStyle name="千分位 3 10" xfId="0"/>
    <cellStyle name="千分位 3 10 2" xfId="0"/>
    <cellStyle name="千分位 3 11" xfId="0"/>
    <cellStyle name="千分位 3 11 2" xfId="0"/>
    <cellStyle name="千分位 3 12" xfId="0"/>
    <cellStyle name="千分位 3 12 2" xfId="0"/>
    <cellStyle name="千分位 3 13" xfId="0"/>
    <cellStyle name="千分位 3 2" xfId="0"/>
    <cellStyle name="千分位 3 2 2" xfId="0"/>
    <cellStyle name="千分位 3 2 2 2" xfId="0"/>
    <cellStyle name="千分位 3 2 2 3" xfId="0"/>
    <cellStyle name="千分位 3 2 3" xfId="0"/>
    <cellStyle name="千分位 3 2 4" xfId="0"/>
    <cellStyle name="千分位 3 2 5" xfId="0"/>
    <cellStyle name="千分位 3 2 6" xfId="0"/>
    <cellStyle name="千分位 3 3" xfId="0"/>
    <cellStyle name="千分位 3 3 2" xfId="0"/>
    <cellStyle name="千分位 3 3 3" xfId="0"/>
    <cellStyle name="千分位 3 4" xfId="0"/>
    <cellStyle name="千分位 3 4 2" xfId="0"/>
    <cellStyle name="千分位 3 4 3" xfId="0"/>
    <cellStyle name="千分位 3 5" xfId="0"/>
    <cellStyle name="千分位 3 6" xfId="0"/>
    <cellStyle name="千分位 3 7" xfId="0"/>
    <cellStyle name="千分位 3 7 2" xfId="0"/>
    <cellStyle name="千分位 3 7 3" xfId="0"/>
    <cellStyle name="千分位 3 8" xfId="0"/>
    <cellStyle name="千分位 3 9" xfId="0"/>
    <cellStyle name="千分位 3 9 2" xfId="0"/>
    <cellStyle name="千分位 3_BU Allocation" xfId="0"/>
    <cellStyle name="千分位 4" xfId="0"/>
    <cellStyle name="千分位 4 2" xfId="0"/>
    <cellStyle name="千分位 4 2 2" xfId="0"/>
    <cellStyle name="千分位 4 2 3" xfId="0"/>
    <cellStyle name="千分位 4 3" xfId="0"/>
    <cellStyle name="千分位 4 4" xfId="0"/>
    <cellStyle name="千分位 4 5" xfId="0"/>
    <cellStyle name="千分位 4 6" xfId="0"/>
    <cellStyle name="千分位 4 7" xfId="0"/>
    <cellStyle name="千分位 5" xfId="0"/>
    <cellStyle name="千分位 5 2" xfId="0"/>
    <cellStyle name="千分位 5 2 2" xfId="0"/>
    <cellStyle name="千分位 5 2 3" xfId="0"/>
    <cellStyle name="千分位 5 2 4" xfId="0"/>
    <cellStyle name="千分位 5 3" xfId="0"/>
    <cellStyle name="千分位 5 4" xfId="0"/>
    <cellStyle name="千分位 6" xfId="0"/>
    <cellStyle name="千分位 6 2" xfId="0"/>
    <cellStyle name="千分位 6 3" xfId="0"/>
    <cellStyle name="千分位 7" xfId="0"/>
    <cellStyle name="千分位 7 2" xfId="0"/>
    <cellStyle name="千分位 7 2 2" xfId="0"/>
    <cellStyle name="千分位 7 3" xfId="0"/>
    <cellStyle name="千分位 7 4" xfId="0"/>
    <cellStyle name="千分位 7 5" xfId="0"/>
    <cellStyle name="千分位 8" xfId="0"/>
    <cellStyle name="千分位 8 2" xfId="0"/>
    <cellStyle name="千分位 8 3" xfId="0"/>
    <cellStyle name="千分位 8 4" xfId="0"/>
    <cellStyle name="千分位 9" xfId="0"/>
    <cellStyle name="千分位 9 2" xfId="0"/>
    <cellStyle name="千分位 9 3" xfId="0"/>
    <cellStyle name="千分位[0] 2" xfId="0"/>
    <cellStyle name="合計 2" xfId="0"/>
    <cellStyle name="合計 2 2" xfId="0"/>
    <cellStyle name="合計 2 3" xfId="0"/>
    <cellStyle name="合計 3" xfId="0"/>
    <cellStyle name="壞 2" xfId="0"/>
    <cellStyle name="壞 2 2" xfId="0"/>
    <cellStyle name="壞 2 3" xfId="0"/>
    <cellStyle name="壞 3" xfId="0"/>
    <cellStyle name="壞_1" xfId="0"/>
    <cellStyle name="壞_1 2" xfId="0"/>
    <cellStyle name="壞_2011 Budget - Product Mix Summary (2)" xfId="0"/>
    <cellStyle name="壞_2011 Budget - Product Mix Summary (2) 2" xfId="0"/>
    <cellStyle name="壞_APR" xfId="0"/>
    <cellStyle name="壞_APR (2)" xfId="0"/>
    <cellStyle name="壞_APR 2" xfId="0"/>
    <cellStyle name="壞_APR 3" xfId="0"/>
    <cellStyle name="壞_APR 4" xfId="0"/>
    <cellStyle name="壞_ATP+EnRoute-detail (original)" xfId="0"/>
    <cellStyle name="壞_ATP+EnRoute-detail (original) 2" xfId="0"/>
    <cellStyle name="壞_AUG" xfId="0"/>
    <cellStyle name="壞_AUG -53" xfId="0"/>
    <cellStyle name="壞_AUG -53 2" xfId="0"/>
    <cellStyle name="壞_AUG 2" xfId="0"/>
    <cellStyle name="壞_BU Allocation" xfId="0"/>
    <cellStyle name="壞_BU Allocation 2" xfId="0"/>
    <cellStyle name="壞_BU Allocation Q1" xfId="0"/>
    <cellStyle name="壞_BU Allocation Q113" xfId="0"/>
    <cellStyle name="壞_BU Allocation Q113_1" xfId="0"/>
    <cellStyle name="壞_BU Allocation Q113_2" xfId="0"/>
    <cellStyle name="壞_BU Allocation Q1_1" xfId="0"/>
    <cellStyle name="壞_BU Allocation Q2" xfId="0"/>
    <cellStyle name="壞_BU Allocation Q2_1" xfId="0"/>
    <cellStyle name="壞_BU Allocation Q3" xfId="0"/>
    <cellStyle name="壞_BU Allocation Q3 2" xfId="0"/>
    <cellStyle name="壞_BU Allocation Q3_1" xfId="0"/>
    <cellStyle name="壞_BU Allocation Q3_1 2" xfId="0"/>
    <cellStyle name="壞_BU Allocation Q412" xfId="0"/>
    <cellStyle name="壞_BU Allocation Q412_1" xfId="0"/>
    <cellStyle name="壞_BU Allocation Q412_2" xfId="0"/>
    <cellStyle name="壞_BU Allocation_1" xfId="0"/>
    <cellStyle name="壞_BU Allocation_1 2" xfId="0"/>
    <cellStyle name="壞_BU Allocation_2" xfId="0"/>
    <cellStyle name="壞_By Region" xfId="0"/>
    <cellStyle name="壞_By Region 2" xfId="0"/>
    <cellStyle name="壞_By Region_1" xfId="0"/>
    <cellStyle name="壞_By Region_1 2" xfId="0"/>
    <cellStyle name="壞_By Region_2" xfId="0"/>
    <cellStyle name="壞_Cloud" xfId="0"/>
    <cellStyle name="壞_CORP" xfId="0"/>
    <cellStyle name="壞_CORP 2" xfId="0"/>
    <cellStyle name="壞_DCR-Inventory" xfId="0"/>
    <cellStyle name="壞_DCR-Inventory 2" xfId="0"/>
    <cellStyle name="壞_DCR-Inventory_WMR VSI" xfId="0"/>
    <cellStyle name="壞_DCR-Inventory_WMR VSI 2" xfId="0"/>
    <cellStyle name="壞_DCR-Inventory_WMR VSI 2 2" xfId="0"/>
    <cellStyle name="壞_DCR-Inventory_WMR VSI 2_13-wk VSI_Revised" xfId="0"/>
    <cellStyle name="壞_DCR-Inventory_WMR VSI 2_13-wk VSI_Revised 2" xfId="0"/>
    <cellStyle name="壞_DCR-Inventory_WMR VSI 3" xfId="0"/>
    <cellStyle name="壞_DCR-Inventory_WMR VSI 3 2" xfId="0"/>
    <cellStyle name="壞_DCR-Inventory_WMR VSI 3_13-wk VSI_Revised" xfId="0"/>
    <cellStyle name="壞_DCR-Inventory_WMR VSI 3_13-wk VSI_Revised 2" xfId="0"/>
    <cellStyle name="壞_DCR-Inventory_WMR VSI 4" xfId="0"/>
    <cellStyle name="壞_DCR-Inventory_WMR VSI 4 2" xfId="0"/>
    <cellStyle name="壞_DCR-Inventory_WMR VSI 4_13-wk VSI_Revised" xfId="0"/>
    <cellStyle name="壞_DCR-Inventory_WMR VSI 4_13-wk VSI_Revised 2" xfId="0"/>
    <cellStyle name="壞_DCR-Inventory_WMR VSI 5" xfId="0"/>
    <cellStyle name="壞_DCR-Inventory_WMR VSI 5 2" xfId="0"/>
    <cellStyle name="壞_DCR-Inventory_WMR VSI 5_13-wk VSI_Revised" xfId="0"/>
    <cellStyle name="壞_DCR-Inventory_WMR VSI 5_13-wk VSI_Revised 2" xfId="0"/>
    <cellStyle name="壞_DCR-Inventory_WMR VSI 6" xfId="0"/>
    <cellStyle name="壞_DCR-Inventory_WMR VSI 6 2" xfId="0"/>
    <cellStyle name="壞_DCR-Inventory_WMR VSI 6_13-wk VSI_Revised" xfId="0"/>
    <cellStyle name="壞_DCR-Inventory_WMR VSI 6_13-wk VSI_Revised 2" xfId="0"/>
    <cellStyle name="壞_DCR-Inventory_WMR VSI 7" xfId="0"/>
    <cellStyle name="壞_DCR-Inventory_WMR VSI 8" xfId="0"/>
    <cellStyle name="壞_DCR-Inventory_WMR VSI 9" xfId="0"/>
    <cellStyle name="壞_DCR-Inventory_WMR VSI_13-wk VSI_Revised" xfId="0"/>
    <cellStyle name="壞_DCR-Inventory_WMR VSI_13-wk VSI_Revised 2" xfId="0"/>
    <cellStyle name="壞_DCR-Inventory_WMR VSI_WMR VSI" xfId="0"/>
    <cellStyle name="壞_DCR-Inventory_WMR VSI_WMR VSI 2" xfId="0"/>
    <cellStyle name="壞_DEC" xfId="0"/>
    <cellStyle name="壞_Digital Signage" xfId="0"/>
    <cellStyle name="壞_FEB" xfId="0"/>
    <cellStyle name="壞_JAN" xfId="0"/>
    <cellStyle name="壞_JUL" xfId="0"/>
    <cellStyle name="壞_JUL 2" xfId="0"/>
    <cellStyle name="壞_JUN" xfId="0"/>
    <cellStyle name="壞_JUN (2)" xfId="0"/>
    <cellStyle name="壞_JUN (2) 2" xfId="0"/>
    <cellStyle name="壞_JUN (af audit)" xfId="0"/>
    <cellStyle name="壞_JUN (af audit) 2" xfId="0"/>
    <cellStyle name="壞_JUN 2" xfId="0"/>
    <cellStyle name="壞_JUN 3" xfId="0"/>
    <cellStyle name="壞_JUN 4" xfId="0"/>
    <cellStyle name="壞_JUN(af)" xfId="0"/>
    <cellStyle name="壞_LCDTV" xfId="0"/>
    <cellStyle name="壞_LCDTV 2" xfId="0"/>
    <cellStyle name="壞_Lighting" xfId="0"/>
    <cellStyle name="壞_MAR" xfId="0"/>
    <cellStyle name="壞_MAY" xfId="0"/>
    <cellStyle name="壞_MAY 2" xfId="0"/>
    <cellStyle name="壞_NOV" xfId="0"/>
    <cellStyle name="壞_OCT" xfId="0"/>
    <cellStyle name="壞_PC Tablet" xfId="0"/>
    <cellStyle name="壞_PC_DT" xfId="0"/>
    <cellStyle name="壞_PC_DT 2" xfId="0"/>
    <cellStyle name="壞_Q1" xfId="0"/>
    <cellStyle name="壞_Q1_1" xfId="0"/>
    <cellStyle name="壞_Q2" xfId="0"/>
    <cellStyle name="壞_Q2 2" xfId="0"/>
    <cellStyle name="壞_Q2 3" xfId="0"/>
    <cellStyle name="壞_Q2 BU Allocation" xfId="0"/>
    <cellStyle name="壞_Q2 BU Allocation 2" xfId="0"/>
    <cellStyle name="壞_Q2 BU Allocation_1" xfId="0"/>
    <cellStyle name="壞_Q2 BU Allocation_1 2" xfId="0"/>
    <cellStyle name="壞_Q2(af)" xfId="0"/>
    <cellStyle name="壞_Q2(af) 2" xfId="0"/>
    <cellStyle name="壞_Q2_1" xfId="0"/>
    <cellStyle name="壞_Q3" xfId="0"/>
    <cellStyle name="壞_Q3 (2)" xfId="0"/>
    <cellStyle name="壞_Q3 2" xfId="0"/>
    <cellStyle name="壞_Q3 3" xfId="0"/>
    <cellStyle name="壞_Q3 4" xfId="0"/>
    <cellStyle name="壞_Q3_1" xfId="0"/>
    <cellStyle name="壞_Q4" xfId="0"/>
    <cellStyle name="壞_Q4 2" xfId="0"/>
    <cellStyle name="壞_Q4_1" xfId="0"/>
    <cellStyle name="壞_RETIREMEN vsi" xfId="0"/>
    <cellStyle name="壞_RETIREMEN vsi 2" xfId="0"/>
    <cellStyle name="壞_RETIREMEN vsi_1" xfId="0"/>
    <cellStyle name="壞_RETIREMEN vsi_1 2" xfId="0"/>
    <cellStyle name="壞_Sales Eval" xfId="0"/>
    <cellStyle name="壞_Sales Eval 2" xfId="0"/>
    <cellStyle name="壞_SEP" xfId="0"/>
    <cellStyle name="壞_SEP (2)" xfId="0"/>
    <cellStyle name="壞_SEP 2" xfId="0"/>
    <cellStyle name="壞_SEP 3" xfId="0"/>
    <cellStyle name="壞_SEP 4" xfId="0"/>
    <cellStyle name="壞_SEP1" xfId="0"/>
    <cellStyle name="壞_SEP1 2" xfId="0"/>
    <cellStyle name="壞_Template" xfId="0"/>
    <cellStyle name="壞_VSE WFP 110311" xfId="0"/>
    <cellStyle name="壞_VSE WFP 110311 2" xfId="0"/>
    <cellStyle name="壞_VSE WFP 110415" xfId="0"/>
    <cellStyle name="壞_VSE WFP 110415 2" xfId="0"/>
    <cellStyle name="壞_VSI 100326" xfId="0"/>
    <cellStyle name="壞_VSI 100326 2" xfId="0"/>
    <cellStyle name="壞_VSI Inventory aging 2013-01-28" xfId="0"/>
    <cellStyle name="壞_VSI Inventory aging 2013-01-28 2" xfId="0"/>
    <cellStyle name="壞_YTD" xfId="0"/>
    <cellStyle name="壞_YTD (2)" xfId="0"/>
    <cellStyle name="壞_YTD 2" xfId="0"/>
    <cellStyle name="壞_YTD 3" xfId="0"/>
    <cellStyle name="壞_YTD 4" xfId="0"/>
    <cellStyle name="好 2" xfId="0"/>
    <cellStyle name="好 2 2" xfId="0"/>
    <cellStyle name="好 2 3" xfId="0"/>
    <cellStyle name="好 3" xfId="0"/>
    <cellStyle name="好 3 2" xfId="0"/>
    <cellStyle name="好 4" xfId="0"/>
    <cellStyle name="好_1" xfId="0"/>
    <cellStyle name="好_1 2" xfId="0"/>
    <cellStyle name="好_2011 Budget - Product Mix Summary (2)" xfId="0"/>
    <cellStyle name="好_2011 Budget - Product Mix Summary (2) 2" xfId="0"/>
    <cellStyle name="好_APR" xfId="0"/>
    <cellStyle name="好_APR (2)" xfId="0"/>
    <cellStyle name="好_APR 2" xfId="0"/>
    <cellStyle name="好_APR 3" xfId="0"/>
    <cellStyle name="好_APR 4" xfId="0"/>
    <cellStyle name="好_ATP+EnRoute-detail (original)" xfId="0"/>
    <cellStyle name="好_ATP+EnRoute-detail (original) 2" xfId="0"/>
    <cellStyle name="好_AUG" xfId="0"/>
    <cellStyle name="好_AUG -53" xfId="0"/>
    <cellStyle name="好_AUG -53 2" xfId="0"/>
    <cellStyle name="好_AUG 2" xfId="0"/>
    <cellStyle name="好_BU Allocation" xfId="0"/>
    <cellStyle name="好_BU Allocation 2" xfId="0"/>
    <cellStyle name="好_BU Allocation Q1" xfId="0"/>
    <cellStyle name="好_BU Allocation Q113" xfId="0"/>
    <cellStyle name="好_BU Allocation Q113_1" xfId="0"/>
    <cellStyle name="好_BU Allocation Q113_2" xfId="0"/>
    <cellStyle name="好_BU Allocation Q1_1" xfId="0"/>
    <cellStyle name="好_BU Allocation Q2" xfId="0"/>
    <cellStyle name="好_BU Allocation Q2_1" xfId="0"/>
    <cellStyle name="好_BU Allocation Q3" xfId="0"/>
    <cellStyle name="好_BU Allocation Q3 2" xfId="0"/>
    <cellStyle name="好_BU Allocation Q3_1" xfId="0"/>
    <cellStyle name="好_BU Allocation Q3_1 2" xfId="0"/>
    <cellStyle name="好_BU Allocation Q412" xfId="0"/>
    <cellStyle name="好_BU Allocation Q412_1" xfId="0"/>
    <cellStyle name="好_BU Allocation Q412_2" xfId="0"/>
    <cellStyle name="好_BU Allocation_1" xfId="0"/>
    <cellStyle name="好_BU Allocation_1 2" xfId="0"/>
    <cellStyle name="好_BU Allocation_2" xfId="0"/>
    <cellStyle name="好_By Region" xfId="0"/>
    <cellStyle name="好_By Region 2" xfId="0"/>
    <cellStyle name="好_By Region_1" xfId="0"/>
    <cellStyle name="好_By Region_1 2" xfId="0"/>
    <cellStyle name="好_By Region_2" xfId="0"/>
    <cellStyle name="好_Cloud" xfId="0"/>
    <cellStyle name="好_CORP" xfId="0"/>
    <cellStyle name="好_CORP 2" xfId="0"/>
    <cellStyle name="好_DCR-Inventory" xfId="0"/>
    <cellStyle name="好_DCR-Inventory 2" xfId="0"/>
    <cellStyle name="好_DCR-Inventory_WMR VSI" xfId="0"/>
    <cellStyle name="好_DCR-Inventory_WMR VSI 2" xfId="0"/>
    <cellStyle name="好_DCR-Inventory_WMR VSI 2 2" xfId="0"/>
    <cellStyle name="好_DCR-Inventory_WMR VSI 2_13-wk VSI_Revised" xfId="0"/>
    <cellStyle name="好_DCR-Inventory_WMR VSI 2_13-wk VSI_Revised 2" xfId="0"/>
    <cellStyle name="好_DCR-Inventory_WMR VSI 2_WMR VSI" xfId="0"/>
    <cellStyle name="好_DCR-Inventory_WMR VSI 2_WMR VSI 2" xfId="0"/>
    <cellStyle name="好_DCR-Inventory_WMR VSI 3" xfId="0"/>
    <cellStyle name="好_DCR-Inventory_WMR VSI 3 2" xfId="0"/>
    <cellStyle name="好_DCR-Inventory_WMR VSI 3_13-wk VSI_Revised" xfId="0"/>
    <cellStyle name="好_DCR-Inventory_WMR VSI 3_13-wk VSI_Revised 2" xfId="0"/>
    <cellStyle name="好_DCR-Inventory_WMR VSI 3_WMR VSI" xfId="0"/>
    <cellStyle name="好_DCR-Inventory_WMR VSI 3_WMR VSI 2" xfId="0"/>
    <cellStyle name="好_DCR-Inventory_WMR VSI 4" xfId="0"/>
    <cellStyle name="好_DCR-Inventory_WMR VSI 4 2" xfId="0"/>
    <cellStyle name="好_DCR-Inventory_WMR VSI 4_13-wk VSI_Revised" xfId="0"/>
    <cellStyle name="好_DCR-Inventory_WMR VSI 4_13-wk VSI_Revised 2" xfId="0"/>
    <cellStyle name="好_DCR-Inventory_WMR VSI 4_WMR VSI" xfId="0"/>
    <cellStyle name="好_DCR-Inventory_WMR VSI 4_WMR VSI 2" xfId="0"/>
    <cellStyle name="好_DCR-Inventory_WMR VSI 5" xfId="0"/>
    <cellStyle name="好_DCR-Inventory_WMR VSI 5 2" xfId="0"/>
    <cellStyle name="好_DCR-Inventory_WMR VSI 5_13-wk VSI_Revised" xfId="0"/>
    <cellStyle name="好_DCR-Inventory_WMR VSI 5_13-wk VSI_Revised 2" xfId="0"/>
    <cellStyle name="好_DCR-Inventory_WMR VSI 5_WMR VSI" xfId="0"/>
    <cellStyle name="好_DCR-Inventory_WMR VSI 5_WMR VSI 2" xfId="0"/>
    <cellStyle name="好_DCR-Inventory_WMR VSI 6" xfId="0"/>
    <cellStyle name="好_DCR-Inventory_WMR VSI 6 2" xfId="0"/>
    <cellStyle name="好_DCR-Inventory_WMR VSI 6_13-wk VSI_Revised" xfId="0"/>
    <cellStyle name="好_DCR-Inventory_WMR VSI 6_13-wk VSI_Revised 2" xfId="0"/>
    <cellStyle name="好_DCR-Inventory_WMR VSI 6_WMR VSI" xfId="0"/>
    <cellStyle name="好_DCR-Inventory_WMR VSI 6_WMR VSI 2" xfId="0"/>
    <cellStyle name="好_DCR-Inventory_WMR VSI 7" xfId="0"/>
    <cellStyle name="好_DCR-Inventory_WMR VSI 8" xfId="0"/>
    <cellStyle name="好_DCR-Inventory_WMR VSI 9" xfId="0"/>
    <cellStyle name="好_DCR-Inventory_WMR VSI_13-wk VSI_Revised" xfId="0"/>
    <cellStyle name="好_DCR-Inventory_WMR VSI_13-wk VSI_Revised 2" xfId="0"/>
    <cellStyle name="好_DCR-Inventory_WMR VSI_WMR VSI" xfId="0"/>
    <cellStyle name="好_DCR-Inventory_WMR VSI_WMR VSI 2" xfId="0"/>
    <cellStyle name="好_DEC" xfId="0"/>
    <cellStyle name="好_Digital Signage" xfId="0"/>
    <cellStyle name="好_FEB" xfId="0"/>
    <cellStyle name="好_JAN" xfId="0"/>
    <cellStyle name="好_JUL" xfId="0"/>
    <cellStyle name="好_JUL 2" xfId="0"/>
    <cellStyle name="好_JUN" xfId="0"/>
    <cellStyle name="好_JUN (2)" xfId="0"/>
    <cellStyle name="好_JUN (2) 2" xfId="0"/>
    <cellStyle name="好_JUN (af audit)" xfId="0"/>
    <cellStyle name="好_JUN (af audit) 2" xfId="0"/>
    <cellStyle name="好_JUN 2" xfId="0"/>
    <cellStyle name="好_JUN 3" xfId="0"/>
    <cellStyle name="好_JUN 4" xfId="0"/>
    <cellStyle name="好_JUN(af)" xfId="0"/>
    <cellStyle name="好_LCDTV" xfId="0"/>
    <cellStyle name="好_LCDTV 2" xfId="0"/>
    <cellStyle name="好_Lighting" xfId="0"/>
    <cellStyle name="好_MAR" xfId="0"/>
    <cellStyle name="好_MAY" xfId="0"/>
    <cellStyle name="好_MAY 2" xfId="0"/>
    <cellStyle name="好_NOV" xfId="0"/>
    <cellStyle name="好_OCT" xfId="0"/>
    <cellStyle name="好_PC Tablet" xfId="0"/>
    <cellStyle name="好_PC_DT" xfId="0"/>
    <cellStyle name="好_PC_DT 2" xfId="0"/>
    <cellStyle name="好_Q1" xfId="0"/>
    <cellStyle name="好_Q1_1" xfId="0"/>
    <cellStyle name="好_Q2" xfId="0"/>
    <cellStyle name="好_Q2 2" xfId="0"/>
    <cellStyle name="好_Q2 3" xfId="0"/>
    <cellStyle name="好_Q2 BU Allocation" xfId="0"/>
    <cellStyle name="好_Q2 BU Allocation 2" xfId="0"/>
    <cellStyle name="好_Q2 BU Allocation_1" xfId="0"/>
    <cellStyle name="好_Q2 BU Allocation_1 2" xfId="0"/>
    <cellStyle name="好_Q2(af)" xfId="0"/>
    <cellStyle name="好_Q2(af) 2" xfId="0"/>
    <cellStyle name="好_Q2_1" xfId="0"/>
    <cellStyle name="好_Q3" xfId="0"/>
    <cellStyle name="好_Q3 (2)" xfId="0"/>
    <cellStyle name="好_Q3 2" xfId="0"/>
    <cellStyle name="好_Q3 3" xfId="0"/>
    <cellStyle name="好_Q3 4" xfId="0"/>
    <cellStyle name="好_Q3_1" xfId="0"/>
    <cellStyle name="好_Q4" xfId="0"/>
    <cellStyle name="好_Q4 2" xfId="0"/>
    <cellStyle name="好_Q4_1" xfId="0"/>
    <cellStyle name="好_RETIREMEN vsi" xfId="0"/>
    <cellStyle name="好_RETIREMEN vsi 2" xfId="0"/>
    <cellStyle name="好_RETIREMEN vsi_1" xfId="0"/>
    <cellStyle name="好_RETIREMEN vsi_1 2" xfId="0"/>
    <cellStyle name="好_Sales Eval" xfId="0"/>
    <cellStyle name="好_Sales Eval 2" xfId="0"/>
    <cellStyle name="好_SEP" xfId="0"/>
    <cellStyle name="好_SEP (2)" xfId="0"/>
    <cellStyle name="好_SEP 2" xfId="0"/>
    <cellStyle name="好_SEP 3" xfId="0"/>
    <cellStyle name="好_SEP 4" xfId="0"/>
    <cellStyle name="好_SEP1" xfId="0"/>
    <cellStyle name="好_SEP1 2" xfId="0"/>
    <cellStyle name="好_Template" xfId="0"/>
    <cellStyle name="好_VSE WFP 110311" xfId="0"/>
    <cellStyle name="好_VSE WFP 110311 2" xfId="0"/>
    <cellStyle name="好_VSE WFP 110415" xfId="0"/>
    <cellStyle name="好_VSE WFP 110415 2" xfId="0"/>
    <cellStyle name="好_VSI 100326" xfId="0"/>
    <cellStyle name="好_VSI 100326 2" xfId="0"/>
    <cellStyle name="好_VSI Inventory aging 2013-01-28" xfId="0"/>
    <cellStyle name="好_VSI Inventory aging 2013-01-28 2" xfId="0"/>
    <cellStyle name="好_YTD" xfId="0"/>
    <cellStyle name="好_YTD (2)" xfId="0"/>
    <cellStyle name="好_YTD 2" xfId="0"/>
    <cellStyle name="好_YTD 3" xfId="0"/>
    <cellStyle name="好_YTD 4" xfId="0"/>
    <cellStyle name="差" xfId="0"/>
    <cellStyle name="差 2" xfId="0"/>
    <cellStyle name="常?_Amtran" xfId="0"/>
    <cellStyle name="常规 2" xfId="0"/>
    <cellStyle name="常规_06-last 3 month" xfId="0"/>
    <cellStyle name="强调文字颜色 1" xfId="0"/>
    <cellStyle name="强调文字颜色 1 2" xfId="0"/>
    <cellStyle name="强调文字颜色 2" xfId="0"/>
    <cellStyle name="强调文字颜色 2 2" xfId="0"/>
    <cellStyle name="强调文字颜色 3" xfId="0"/>
    <cellStyle name="强调文字颜色 3 2" xfId="0"/>
    <cellStyle name="强调文字颜色 4" xfId="0"/>
    <cellStyle name="强调文字颜色 4 2" xfId="0"/>
    <cellStyle name="强调文字颜色 5" xfId="0"/>
    <cellStyle name="强调文字颜色 5 2" xfId="0"/>
    <cellStyle name="强调文字颜色 6" xfId="0"/>
    <cellStyle name="强调文字颜色 6 2" xfId="0"/>
    <cellStyle name="标题" xfId="0"/>
    <cellStyle name="标题 1" xfId="0"/>
    <cellStyle name="标题 1 2" xfId="0"/>
    <cellStyle name="标题 2" xfId="0"/>
    <cellStyle name="标题 2 2" xfId="0"/>
    <cellStyle name="标题 3" xfId="0"/>
    <cellStyle name="标题 3 2" xfId="0"/>
    <cellStyle name="标题 3 3" xfId="0"/>
    <cellStyle name="标题 4" xfId="0"/>
    <cellStyle name="标题 4 2" xfId="0"/>
    <cellStyle name="标题 5" xfId="0"/>
    <cellStyle name="样式 1" xfId="0"/>
    <cellStyle name="样式 1 2" xfId="0"/>
    <cellStyle name="桁?切? [0.00]_Book1 ??? 1" xfId="0"/>
    <cellStyle name="桁?切?_Book1 ??? 1" xfId="0"/>
    <cellStyle name="桁区切り [0.00]_Book1 グラフ 1" xfId="0"/>
    <cellStyle name="桁区切り_Book1 グラフ 1" xfId="0"/>
    <cellStyle name="检查单元格" xfId="0"/>
    <cellStyle name="检查单元格 2" xfId="0"/>
    <cellStyle name="標準_00_ mktbudget" xfId="0"/>
    <cellStyle name="標題 1 2" xfId="0"/>
    <cellStyle name="標題 1 2 2" xfId="0"/>
    <cellStyle name="標題 1 2 3" xfId="0"/>
    <cellStyle name="標題 1 3" xfId="0"/>
    <cellStyle name="標題 10" xfId="0"/>
    <cellStyle name="標題 11" xfId="0"/>
    <cellStyle name="標題 12" xfId="0"/>
    <cellStyle name="標題 13" xfId="0"/>
    <cellStyle name="標題 14" xfId="0"/>
    <cellStyle name="標題 15" xfId="0"/>
    <cellStyle name="標題 16" xfId="0"/>
    <cellStyle name="標題 2 2" xfId="0"/>
    <cellStyle name="標題 2 2 2" xfId="0"/>
    <cellStyle name="標題 2 2 3" xfId="0"/>
    <cellStyle name="標題 2 3" xfId="0"/>
    <cellStyle name="標題 3 2" xfId="0"/>
    <cellStyle name="標題 3 2 2" xfId="0"/>
    <cellStyle name="標題 3 2 2 2" xfId="0"/>
    <cellStyle name="標題 3 2 2 3" xfId="0"/>
    <cellStyle name="標題 3 2 2 4" xfId="0"/>
    <cellStyle name="標題 3 2 3" xfId="0"/>
    <cellStyle name="標題 3 2 3 2" xfId="0"/>
    <cellStyle name="標題 3 2 3 3" xfId="0"/>
    <cellStyle name="標題 3 2 4" xfId="0"/>
    <cellStyle name="標題 3 2 5" xfId="0"/>
    <cellStyle name="標題 3 2 6" xfId="0"/>
    <cellStyle name="標題 3 2 7" xfId="0"/>
    <cellStyle name="標題 3 3" xfId="0"/>
    <cellStyle name="標題 4 2" xfId="0"/>
    <cellStyle name="標題 4 2 2" xfId="0"/>
    <cellStyle name="標題 4 2 3" xfId="0"/>
    <cellStyle name="標題 4 3" xfId="0"/>
    <cellStyle name="標題 4 4" xfId="0"/>
    <cellStyle name="標題 5" xfId="0"/>
    <cellStyle name="標題 5 2" xfId="0"/>
    <cellStyle name="標題 5 3" xfId="0"/>
    <cellStyle name="標題 6" xfId="0"/>
    <cellStyle name="標題 7" xfId="0"/>
    <cellStyle name="標題 8" xfId="0"/>
    <cellStyle name="標題 9" xfId="0"/>
    <cellStyle name="樣式 1" xfId="0"/>
    <cellStyle name="樣式 1 2" xfId="0"/>
    <cellStyle name="樣式 1 2 2" xfId="0"/>
    <cellStyle name="樣式 1 2 3" xfId="0"/>
    <cellStyle name="樣式 1 3" xfId="0"/>
    <cellStyle name="樣式 1 4" xfId="0"/>
    <cellStyle name="檢查儲存格 2" xfId="0"/>
    <cellStyle name="檢查儲存格 2 2" xfId="0"/>
    <cellStyle name="檢查儲存格 2 2 2" xfId="0"/>
    <cellStyle name="檢查儲存格 2 3" xfId="0"/>
    <cellStyle name="檢查儲存格 2 4" xfId="0"/>
    <cellStyle name="檢查儲存格 2 5" xfId="0"/>
    <cellStyle name="檢查儲存格 2 6" xfId="0"/>
    <cellStyle name="檢查儲存格 2 7" xfId="0"/>
    <cellStyle name="檢查儲存格 3" xfId="0"/>
    <cellStyle name="汇总" xfId="0"/>
    <cellStyle name="汇总 2" xfId="0"/>
    <cellStyle name="注释" xfId="0"/>
    <cellStyle name="百分比 10" xfId="0"/>
    <cellStyle name="百分比 10 2" xfId="0"/>
    <cellStyle name="百分比 11" xfId="0"/>
    <cellStyle name="百分比 12" xfId="0"/>
    <cellStyle name="百分比 2" xfId="0"/>
    <cellStyle name="百分比 2 2" xfId="0"/>
    <cellStyle name="百分比 2 2 2" xfId="0"/>
    <cellStyle name="百分比 2 2 2 2" xfId="0"/>
    <cellStyle name="百分比 2 3" xfId="0"/>
    <cellStyle name="百分比 2 3 2" xfId="0"/>
    <cellStyle name="百分比 2 4" xfId="0"/>
    <cellStyle name="百分比 2 4 2" xfId="0"/>
    <cellStyle name="百分比 3" xfId="0"/>
    <cellStyle name="百分比 3 2" xfId="0"/>
    <cellStyle name="百分比 3 3" xfId="0"/>
    <cellStyle name="百分比 3 3 2" xfId="0"/>
    <cellStyle name="百分比 3 3 3" xfId="0"/>
    <cellStyle name="百分比 3 4" xfId="0"/>
    <cellStyle name="百分比 3 5" xfId="0"/>
    <cellStyle name="百分比 4" xfId="0"/>
    <cellStyle name="百分比 4 2" xfId="0"/>
    <cellStyle name="百分比 4 3" xfId="0"/>
    <cellStyle name="百分比 5" xfId="0"/>
    <cellStyle name="百分比 5 2" xfId="0"/>
    <cellStyle name="百分比 5 3" xfId="0"/>
    <cellStyle name="百分比 6" xfId="0"/>
    <cellStyle name="百分比 6 2" xfId="0"/>
    <cellStyle name="百分比 6 3" xfId="0"/>
    <cellStyle name="百分比 7" xfId="0"/>
    <cellStyle name="百分比 7 2" xfId="0"/>
    <cellStyle name="百分比 8" xfId="0"/>
    <cellStyle name="百分比 8 2" xfId="0"/>
    <cellStyle name="百分比 9" xfId="0"/>
    <cellStyle name="百分比 9 2" xfId="0"/>
    <cellStyle name="解释性文本" xfId="0"/>
    <cellStyle name="解释性文本 2" xfId="0"/>
    <cellStyle name="計算方式 2" xfId="0"/>
    <cellStyle name="計算方式 2 2" xfId="0"/>
    <cellStyle name="計算方式 2 3" xfId="0"/>
    <cellStyle name="計算方式 3" xfId="0"/>
    <cellStyle name="說明文字 2" xfId="0"/>
    <cellStyle name="說明文字 2 2" xfId="0"/>
    <cellStyle name="說明文字 2 3" xfId="0"/>
    <cellStyle name="說明文字 3" xfId="0"/>
    <cellStyle name="說明文字 4" xfId="0"/>
    <cellStyle name="警告文字 2" xfId="0"/>
    <cellStyle name="警告文字 2 2" xfId="0"/>
    <cellStyle name="警告文字 2 3" xfId="0"/>
    <cellStyle name="警告文字 3" xfId="0"/>
    <cellStyle name="警告文本" xfId="0"/>
    <cellStyle name="警告文本 2" xfId="0"/>
    <cellStyle name="计算" xfId="0"/>
    <cellStyle name="计算 2" xfId="0"/>
    <cellStyle name="貨幣 2" xfId="0"/>
    <cellStyle name="貨幣 2 2" xfId="0"/>
    <cellStyle name="貨幣 2 3" xfId="0"/>
    <cellStyle name="貨幣 2 4" xfId="0"/>
    <cellStyle name="貨幣 2 5" xfId="0"/>
    <cellStyle name="貨幣 3" xfId="0"/>
    <cellStyle name="貨幣 3 2" xfId="0"/>
    <cellStyle name="貨幣 3 3" xfId="0"/>
    <cellStyle name="貨幣 3 4" xfId="0"/>
    <cellStyle name="貨幣 4" xfId="0"/>
    <cellStyle name="輔色1 2" xfId="0"/>
    <cellStyle name="輔色1 2 2" xfId="0"/>
    <cellStyle name="輔色1 2 3" xfId="0"/>
    <cellStyle name="輔色1 3" xfId="0"/>
    <cellStyle name="輔色2 2" xfId="0"/>
    <cellStyle name="輔色2 2 2" xfId="0"/>
    <cellStyle name="輔色2 2 3" xfId="0"/>
    <cellStyle name="輔色2 3" xfId="0"/>
    <cellStyle name="輔色3 2" xfId="0"/>
    <cellStyle name="輔色3 2 2" xfId="0"/>
    <cellStyle name="輔色3 2 3" xfId="0"/>
    <cellStyle name="輔色3 3" xfId="0"/>
    <cellStyle name="輔色4 2" xfId="0"/>
    <cellStyle name="輔色4 2 2" xfId="0"/>
    <cellStyle name="輔色4 2 3" xfId="0"/>
    <cellStyle name="輔色4 3" xfId="0"/>
    <cellStyle name="輔色5 2" xfId="0"/>
    <cellStyle name="輔色5 2 2" xfId="0"/>
    <cellStyle name="輔色5 2 3" xfId="0"/>
    <cellStyle name="輔色5 3" xfId="0"/>
    <cellStyle name="輔色6 2" xfId="0"/>
    <cellStyle name="輔色6 2 2" xfId="0"/>
    <cellStyle name="輔色6 2 3" xfId="0"/>
    <cellStyle name="輔色6 3" xfId="0"/>
    <cellStyle name="輸入 2" xfId="0"/>
    <cellStyle name="輸入 2 2" xfId="0"/>
    <cellStyle name="輸入 2 3" xfId="0"/>
    <cellStyle name="輸入 3" xfId="0"/>
    <cellStyle name="輸出 2" xfId="0"/>
    <cellStyle name="輸出 2 2" xfId="0"/>
    <cellStyle name="輸出 2 3" xfId="0"/>
    <cellStyle name="輸出 3" xfId="0"/>
    <cellStyle name="输入" xfId="0"/>
    <cellStyle name="输入 2" xfId="0"/>
    <cellStyle name="输出" xfId="0"/>
    <cellStyle name="输出 2" xfId="0"/>
    <cellStyle name="适中" xfId="0"/>
    <cellStyle name="适中 2" xfId="0"/>
    <cellStyle name="通貨 [0.00]_Book1 ??? 1" xfId="0"/>
    <cellStyle name="通貨_Book1 ??? 1" xfId="0"/>
    <cellStyle name="連結的儲存格 2" xfId="0"/>
    <cellStyle name="連結的儲存格 2 2" xfId="0"/>
    <cellStyle name="連結的儲存格 2 2 2" xfId="0"/>
    <cellStyle name="連結的儲存格 2 3" xfId="0"/>
    <cellStyle name="連結的儲存格 3" xfId="0"/>
    <cellStyle name="链接单元格" xfId="0"/>
    <cellStyle name="链接单元格 2" xfId="0"/>
    <cellStyle name="隨後的超連結_DELTA-CRT" xfId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DDD"/>
      <rgbColor rgb="FF808080"/>
      <rgbColor rgb="FFDBEEF4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EF3"/>
      <rgbColor rgb="FFCCFFCC"/>
      <rgbColor rgb="FFEBF1D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517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Pr filterMode="false">
    <pageSetUpPr fitToPage="false"/>
  </sheetPr>
  <dimension ref="B1:AR11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P15" activeCellId="0" sqref="P15"/>
    </sheetView>
  </sheetViews>
  <sheetFormatPr defaultColWidth="9.484375" defaultRowHeight="12.8" zeroHeight="false" outlineLevelRow="0" outlineLevelCol="0"/>
  <sheetData>
    <row r="1" customFormat="false" ht="15" hidden="false" customHeight="false" outlineLevel="0" collapsed="false">
      <c r="B1" s="1"/>
    </row>
    <row r="2" customFormat="false" ht="15" hidden="false" customHeight="false" outlineLevel="0" collapsed="false">
      <c r="B2" s="2" t="s">
        <v>0</v>
      </c>
      <c r="Q2" s="2" t="s">
        <v>1</v>
      </c>
      <c r="AF2" s="2" t="s">
        <v>2</v>
      </c>
    </row>
    <row r="3" customFormat="false" ht="29.85" hidden="false" customHeight="false" outlineLevel="0" collapsed="false">
      <c r="B3" s="3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6" t="s">
        <v>15</v>
      </c>
      <c r="Q3" s="3" t="s">
        <v>3</v>
      </c>
      <c r="R3" s="4" t="s">
        <v>4</v>
      </c>
      <c r="S3" s="5" t="s">
        <v>5</v>
      </c>
      <c r="T3" s="5" t="s">
        <v>6</v>
      </c>
      <c r="U3" s="5" t="s">
        <v>7</v>
      </c>
      <c r="V3" s="5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6" t="s">
        <v>15</v>
      </c>
      <c r="AF3" s="3" t="s">
        <v>3</v>
      </c>
      <c r="AG3" s="4" t="s">
        <v>4</v>
      </c>
      <c r="AH3" s="5" t="s">
        <v>5</v>
      </c>
      <c r="AI3" s="5" t="s">
        <v>6</v>
      </c>
      <c r="AJ3" s="5" t="s">
        <v>7</v>
      </c>
      <c r="AK3" s="5" t="s">
        <v>8</v>
      </c>
      <c r="AL3" s="5" t="s">
        <v>9</v>
      </c>
      <c r="AM3" s="5" t="s">
        <v>10</v>
      </c>
      <c r="AN3" s="5" t="s">
        <v>11</v>
      </c>
      <c r="AO3" s="5" t="s">
        <v>12</v>
      </c>
      <c r="AP3" s="5" t="s">
        <v>13</v>
      </c>
      <c r="AQ3" s="5" t="s">
        <v>14</v>
      </c>
      <c r="AR3" s="6" t="s">
        <v>15</v>
      </c>
    </row>
    <row r="4" customFormat="false" ht="15.6" hidden="false" customHeight="false" outlineLevel="0" collapsed="false">
      <c r="B4" s="7" t="s">
        <v>16</v>
      </c>
      <c r="C4" s="8" t="n">
        <v>67746.60985337927</v>
      </c>
      <c r="D4" s="8" t="n">
        <v>15690.643162691376</v>
      </c>
      <c r="E4" s="8" t="n">
        <v>52253.28313719816</v>
      </c>
      <c r="F4" s="8" t="n">
        <v>14227.330973800588</v>
      </c>
      <c r="G4" s="8" t="n">
        <v>128493.72598802573</v>
      </c>
      <c r="H4" s="8" t="n">
        <v>20662.994209586166</v>
      </c>
      <c r="I4" s="8" t="n">
        <v>70073.83241538552</v>
      </c>
      <c r="J4" s="8" t="n">
        <v>10112.690532278966</v>
      </c>
      <c r="K4" s="8" t="n">
        <v>39189.061909131495</v>
      </c>
      <c r="L4" s="8" t="n">
        <v>12018.268461653408</v>
      </c>
      <c r="M4" s="8" t="n">
        <v>43664.280227162875</v>
      </c>
      <c r="N4" s="9" t="n">
        <v>13409.118693796725</v>
      </c>
      <c r="Q4" s="7" t="s">
        <v>16</v>
      </c>
      <c r="R4" s="8" t="n">
        <v>56486.24208856664</v>
      </c>
      <c r="S4" s="8" t="n">
        <v>23569.142617678695</v>
      </c>
      <c r="T4" s="8" t="n">
        <v>46618.00532146261</v>
      </c>
      <c r="U4" s="8" t="n">
        <v>8533.275328941478</v>
      </c>
      <c r="V4" s="8" t="n">
        <v>203310.60007974412</v>
      </c>
      <c r="W4" s="8" t="n">
        <v>3175.6183699336934</v>
      </c>
      <c r="X4" s="8" t="n">
        <v>97361.97838088396</v>
      </c>
      <c r="Y4" s="8" t="n">
        <v>8739.170967144586</v>
      </c>
      <c r="Z4" s="8" t="n">
        <v>55285.543508372924</v>
      </c>
      <c r="AA4" s="8" t="n">
        <v>4180.333225653638</v>
      </c>
      <c r="AB4" s="8" t="n">
        <v>12762.360793964106</v>
      </c>
      <c r="AC4" s="9" t="n">
        <v>12242.451878662547</v>
      </c>
      <c r="AF4" s="7" t="s">
        <v>16</v>
      </c>
      <c r="AG4" s="8" t="n">
        <v>86696.81422867645</v>
      </c>
      <c r="AH4" s="8" t="n">
        <v>3272.90188743782</v>
      </c>
      <c r="AI4" s="8" t="n">
        <v>24902.971340241478</v>
      </c>
      <c r="AJ4" s="8" t="n">
        <v>8171.513672967605</v>
      </c>
      <c r="AK4" s="8" t="n">
        <v>15634.156166973045</v>
      </c>
      <c r="AL4" s="8" t="n">
        <v>9629.84279611369</v>
      </c>
      <c r="AM4" s="8" t="n">
        <v>8683.826243304355</v>
      </c>
      <c r="AN4" s="8" t="n">
        <v>9295.305585190481</v>
      </c>
      <c r="AO4" s="8" t="n">
        <v>156187.84740358675</v>
      </c>
      <c r="AP4" s="8" t="n">
        <v>3688.9331981550845</v>
      </c>
      <c r="AQ4" s="8" t="n">
        <v>35198.359627131664</v>
      </c>
      <c r="AR4" s="9" t="n">
        <v>8199.645457889474</v>
      </c>
    </row>
    <row r="5" customFormat="false" ht="15.6" hidden="false" customHeight="false" outlineLevel="0" collapsed="false">
      <c r="B5" s="10" t="s">
        <v>17</v>
      </c>
      <c r="C5" s="8" t="n">
        <v>22948.641360552545</v>
      </c>
      <c r="D5" s="8" t="n">
        <v>15512.761296161112</v>
      </c>
      <c r="E5" s="8" t="n">
        <v>101054.55855231777</v>
      </c>
      <c r="F5" s="8" t="n">
        <v>112437.78006517804</v>
      </c>
      <c r="G5" s="8" t="n">
        <v>223713.8682962142</v>
      </c>
      <c r="H5" s="8" t="n">
        <v>305462.2161561946</v>
      </c>
      <c r="I5" s="8" t="n">
        <v>123320.98904621322</v>
      </c>
      <c r="J5" s="8" t="n">
        <v>23924.514782994498</v>
      </c>
      <c r="K5" s="8" t="n">
        <v>272196.2567113924</v>
      </c>
      <c r="L5" s="8" t="n">
        <v>54016.0548583057</v>
      </c>
      <c r="M5" s="8" t="n">
        <v>275772.38652168645</v>
      </c>
      <c r="N5" s="11" t="n">
        <v>332934.16172790225</v>
      </c>
      <c r="Q5" s="10" t="s">
        <v>17</v>
      </c>
      <c r="R5" s="8" t="n">
        <v>65248.617070539505</v>
      </c>
      <c r="S5" s="8" t="n">
        <v>14463.800377187785</v>
      </c>
      <c r="T5" s="8" t="n">
        <v>147730.47809594488</v>
      </c>
      <c r="U5" s="8" t="n">
        <v>159385.01853460533</v>
      </c>
      <c r="V5" s="8" t="n">
        <v>183355.2763568606</v>
      </c>
      <c r="W5" s="8" t="n">
        <v>672721.8616290037</v>
      </c>
      <c r="X5" s="8" t="n">
        <v>117841.43398233496</v>
      </c>
      <c r="Y5" s="8" t="n">
        <v>20935.955673085016</v>
      </c>
      <c r="Z5" s="8" t="n">
        <v>10403.02064480419</v>
      </c>
      <c r="AA5" s="8" t="n">
        <v>60199.35428456302</v>
      </c>
      <c r="AB5" s="8" t="n">
        <v>211872.22709594277</v>
      </c>
      <c r="AC5" s="11" t="n">
        <v>69903.91235877617</v>
      </c>
      <c r="AF5" s="10" t="s">
        <v>17</v>
      </c>
      <c r="AG5" s="8" t="n">
        <v>23290.87075391839</v>
      </c>
      <c r="AH5" s="8" t="n">
        <v>42055.14555600067</v>
      </c>
      <c r="AI5" s="8" t="n">
        <v>198203.51122372915</v>
      </c>
      <c r="AJ5" s="8" t="n">
        <v>62582.85316149382</v>
      </c>
      <c r="AK5" s="8" t="n">
        <v>245883.60881531792</v>
      </c>
      <c r="AL5" s="8" t="n">
        <v>596439.1571056986</v>
      </c>
      <c r="AM5" s="8" t="n">
        <v>97601.18500744311</v>
      </c>
      <c r="AN5" s="8" t="n">
        <v>134942.84773491378</v>
      </c>
      <c r="AO5" s="8" t="n">
        <v>289178.4901480365</v>
      </c>
      <c r="AP5" s="8" t="n">
        <v>80404.94471807957</v>
      </c>
      <c r="AQ5" s="8" t="n">
        <v>40891.58631762606</v>
      </c>
      <c r="AR5" s="11" t="n">
        <v>331332.28193232894</v>
      </c>
    </row>
    <row r="6" customFormat="false" ht="15.6" hidden="false" customHeight="false" outlineLevel="0" collapsed="false">
      <c r="B6" s="10" t="s">
        <v>18</v>
      </c>
      <c r="C6" s="8" t="n">
        <v>21389.142762404696</v>
      </c>
      <c r="D6" s="8" t="n">
        <v>0.0</v>
      </c>
      <c r="E6" s="8" t="n">
        <v>91431.9042212707</v>
      </c>
      <c r="F6" s="8" t="n">
        <v>0.0</v>
      </c>
      <c r="G6" s="8" t="n">
        <v>175070.78897760896</v>
      </c>
      <c r="H6" s="8" t="n">
        <v>103775.09890530434</v>
      </c>
      <c r="I6" s="8" t="n">
        <v>24197.646266896903</v>
      </c>
      <c r="J6" s="8" t="n">
        <v>179232.31395205852</v>
      </c>
      <c r="K6" s="8" t="n">
        <v>29059.009867540142</v>
      </c>
      <c r="L6" s="8" t="n">
        <v>2843.7526828155296</v>
      </c>
      <c r="M6" s="8" t="n">
        <v>413876.9390810529</v>
      </c>
      <c r="N6" s="11" t="n">
        <v>56744.446674649924</v>
      </c>
      <c r="Q6" s="10" t="s">
        <v>18</v>
      </c>
      <c r="R6" s="8" t="n">
        <v>487820.72892566124</v>
      </c>
      <c r="S6" s="8" t="n">
        <v>0.0</v>
      </c>
      <c r="T6" s="8" t="n">
        <v>141939.02863071725</v>
      </c>
      <c r="U6" s="8" t="n">
        <v>0.0</v>
      </c>
      <c r="V6" s="8" t="n">
        <v>60575.52701213083</v>
      </c>
      <c r="W6" s="8" t="n">
        <v>82871.85855839442</v>
      </c>
      <c r="X6" s="8" t="n">
        <v>177015.4075722898</v>
      </c>
      <c r="Y6" s="8" t="n">
        <v>44872.8184252807</v>
      </c>
      <c r="Z6" s="8" t="n">
        <v>203954.48058843755</v>
      </c>
      <c r="AA6" s="8" t="n">
        <v>5416.511041504851</v>
      </c>
      <c r="AB6" s="8" t="n">
        <v>291638.3799699415</v>
      </c>
      <c r="AC6" s="11" t="n">
        <v>9549.7011556374</v>
      </c>
      <c r="AF6" s="10" t="s">
        <v>18</v>
      </c>
      <c r="AG6" s="8" t="n">
        <v>664408.8100436324</v>
      </c>
      <c r="AH6" s="8" t="n">
        <v>0.0</v>
      </c>
      <c r="AI6" s="8" t="n">
        <v>273140.3796034127</v>
      </c>
      <c r="AJ6" s="8" t="n">
        <v>0.0</v>
      </c>
      <c r="AK6" s="8" t="n">
        <v>48442.62503215237</v>
      </c>
      <c r="AL6" s="8" t="n">
        <v>80086.82045010202</v>
      </c>
      <c r="AM6" s="8" t="n">
        <v>143726.1848208957</v>
      </c>
      <c r="AN6" s="8" t="n">
        <v>17620.188918785603</v>
      </c>
      <c r="AO6" s="8" t="n">
        <v>273.51262706283796</v>
      </c>
      <c r="AP6" s="8" t="n">
        <v>15543.29657637504</v>
      </c>
      <c r="AQ6" s="8" t="n">
        <v>261960.30600639337</v>
      </c>
      <c r="AR6" s="11" t="n">
        <v>19597.57677235583</v>
      </c>
    </row>
    <row r="7" customFormat="false" ht="15.6" hidden="false" customHeight="false" outlineLevel="0" collapsed="false">
      <c r="B7" s="10" t="s">
        <v>19</v>
      </c>
      <c r="C7" s="8" t="n">
        <v>560402.3406139537</v>
      </c>
      <c r="D7" s="8" t="n">
        <v>420110.173386438</v>
      </c>
      <c r="E7" s="8" t="n">
        <v>13773.065457240224</v>
      </c>
      <c r="F7" s="8" t="n">
        <v>218318.29812497445</v>
      </c>
      <c r="G7" s="8" t="n">
        <v>76937.14654143255</v>
      </c>
      <c r="H7" s="8" t="n">
        <v>513415.1863276722</v>
      </c>
      <c r="I7" s="8" t="n">
        <v>332143.73598253255</v>
      </c>
      <c r="J7" s="8" t="n">
        <v>4507.658954704685</v>
      </c>
      <c r="K7" s="8" t="n">
        <v>274278.3362313899</v>
      </c>
      <c r="L7" s="8" t="n">
        <v>140884.3499608406</v>
      </c>
      <c r="M7" s="8" t="n">
        <v>128952.92181823796</v>
      </c>
      <c r="N7" s="11" t="n">
        <v>481853.2803253773</v>
      </c>
      <c r="Q7" s="10" t="s">
        <v>19</v>
      </c>
      <c r="R7" s="8" t="n">
        <v>697295.0716382999</v>
      </c>
      <c r="S7" s="8" t="n">
        <v>394938.2781340024</v>
      </c>
      <c r="T7" s="8" t="n">
        <v>65184.936875185434</v>
      </c>
      <c r="U7" s="8" t="n">
        <v>714202.7292554263</v>
      </c>
      <c r="V7" s="8" t="n">
        <v>126646.10640319955</v>
      </c>
      <c r="W7" s="8" t="n">
        <v>106154.981344909</v>
      </c>
      <c r="X7" s="8" t="n">
        <v>84745.51315174384</v>
      </c>
      <c r="Y7" s="8" t="n">
        <v>177405.1273295261</v>
      </c>
      <c r="Z7" s="8" t="n">
        <v>140003.27201412362</v>
      </c>
      <c r="AA7" s="8" t="n">
        <v>234166.6957874358</v>
      </c>
      <c r="AB7" s="8" t="n">
        <v>96545.41146898651</v>
      </c>
      <c r="AC7" s="11" t="n">
        <v>408885.7845864684</v>
      </c>
      <c r="AF7" s="10" t="s">
        <v>19</v>
      </c>
      <c r="AG7" s="8" t="n">
        <v>536344.2836015669</v>
      </c>
      <c r="AH7" s="8" t="n">
        <v>398916.8959737482</v>
      </c>
      <c r="AI7" s="8" t="n">
        <v>33488.19512276026</v>
      </c>
      <c r="AJ7" s="8" t="n">
        <v>100333.92976712037</v>
      </c>
      <c r="AK7" s="8" t="n">
        <v>30.867528915496482</v>
      </c>
      <c r="AL7" s="8" t="n">
        <v>339700.40701432974</v>
      </c>
      <c r="AM7" s="8" t="n">
        <v>19812.464561455487</v>
      </c>
      <c r="AN7" s="8" t="n">
        <v>435006.1681789411</v>
      </c>
      <c r="AO7" s="8" t="n">
        <v>214879.31368823102</v>
      </c>
      <c r="AP7" s="8" t="n">
        <v>182662.07279837158</v>
      </c>
      <c r="AQ7" s="8" t="n">
        <v>128716.97972185111</v>
      </c>
      <c r="AR7" s="11" t="n">
        <v>277552.2757629984</v>
      </c>
    </row>
    <row r="8" customFormat="false" ht="15.6" hidden="false" customHeight="false" outlineLevel="0" collapsed="false">
      <c r="B8" s="7" t="s">
        <v>20</v>
      </c>
      <c r="C8" s="8" t="n">
        <v>34121.32273763238</v>
      </c>
      <c r="D8" s="8" t="n">
        <v>121043.48137012348</v>
      </c>
      <c r="E8" s="8" t="n">
        <v>80916.46324591641</v>
      </c>
      <c r="F8" s="8" t="n">
        <v>62769.37360038851</v>
      </c>
      <c r="G8" s="8" t="n">
        <v>42770.964489815284</v>
      </c>
      <c r="H8" s="8" t="n">
        <v>3421.819102034835</v>
      </c>
      <c r="I8" s="8" t="n">
        <v>92550.91672862333</v>
      </c>
      <c r="J8" s="8" t="n">
        <v>20158.576360067786</v>
      </c>
      <c r="K8" s="8" t="n">
        <v>41785.92049623233</v>
      </c>
      <c r="L8" s="8" t="n">
        <v>39430.89177990373</v>
      </c>
      <c r="M8" s="8" t="n">
        <v>16199.579731842014</v>
      </c>
      <c r="N8" s="11" t="n">
        <v>39492.161540851186</v>
      </c>
      <c r="Q8" s="7" t="s">
        <v>20</v>
      </c>
      <c r="R8" s="8" t="n">
        <v>38228.7093777565</v>
      </c>
      <c r="S8" s="8" t="n">
        <v>14007.355161295118</v>
      </c>
      <c r="T8" s="8" t="n">
        <v>103803.54758400306</v>
      </c>
      <c r="U8" s="8" t="n">
        <v>19913.506398406716</v>
      </c>
      <c r="V8" s="8" t="n">
        <v>95326.19551472877</v>
      </c>
      <c r="W8" s="8" t="n">
        <v>124717.77441154109</v>
      </c>
      <c r="X8" s="8" t="n">
        <v>58594.60849158901</v>
      </c>
      <c r="Y8" s="8" t="n">
        <v>19146.023778145318</v>
      </c>
      <c r="Z8" s="8" t="n">
        <v>14534.892486910472</v>
      </c>
      <c r="AA8" s="8" t="n">
        <v>18115.021843833532</v>
      </c>
      <c r="AB8" s="8" t="n">
        <v>41435.121551583776</v>
      </c>
      <c r="AC8" s="11" t="n">
        <v>109641.1622653163</v>
      </c>
      <c r="AF8" s="7" t="s">
        <v>20</v>
      </c>
      <c r="AG8" s="8" t="n">
        <v>54660.938835642286</v>
      </c>
      <c r="AH8" s="8" t="n">
        <v>52377.856157426504</v>
      </c>
      <c r="AI8" s="8" t="n">
        <v>9548.995842178509</v>
      </c>
      <c r="AJ8" s="8" t="n">
        <v>58943.99037570961</v>
      </c>
      <c r="AK8" s="8" t="n">
        <v>4491.942276177448</v>
      </c>
      <c r="AL8" s="8" t="n">
        <v>95229.19407715308</v>
      </c>
      <c r="AM8" s="8" t="n">
        <v>7662.128810241348</v>
      </c>
      <c r="AN8" s="8" t="n">
        <v>62980.64235137388</v>
      </c>
      <c r="AO8" s="8" t="n">
        <v>72698.9122573647</v>
      </c>
      <c r="AP8" s="8" t="n">
        <v>70977.87977247509</v>
      </c>
      <c r="AQ8" s="8" t="n">
        <v>7431.977828362719</v>
      </c>
      <c r="AR8" s="11" t="n">
        <v>27361.19223873105</v>
      </c>
    </row>
    <row r="9" customFormat="false" ht="15.6" hidden="false" customHeight="false" outlineLevel="0" collapsed="false">
      <c r="B9" s="7" t="s">
        <v>21</v>
      </c>
      <c r="C9" s="8" t="n">
        <v>80997.89886258227</v>
      </c>
      <c r="D9" s="8" t="n">
        <v>436479.577073837</v>
      </c>
      <c r="E9" s="8" t="n">
        <v>161047.28241340828</v>
      </c>
      <c r="F9" s="8" t="n">
        <v>411911.07830469817</v>
      </c>
      <c r="G9" s="8" t="n">
        <v>481688.81000248896</v>
      </c>
      <c r="H9" s="8" t="n">
        <v>169323.74557876665</v>
      </c>
      <c r="I9" s="8" t="n">
        <v>386993.3643346439</v>
      </c>
      <c r="J9" s="8" t="n">
        <v>197435.0627822585</v>
      </c>
      <c r="K9" s="8" t="n">
        <v>136241.6436066329</v>
      </c>
      <c r="L9" s="8" t="n">
        <v>29513.91540802794</v>
      </c>
      <c r="M9" s="8" t="n">
        <v>73546.022542867</v>
      </c>
      <c r="N9" s="11" t="n">
        <v>743539.4982164908</v>
      </c>
      <c r="Q9" s="7" t="s">
        <v>21</v>
      </c>
      <c r="R9" s="8" t="n">
        <v>132186.14383380528</v>
      </c>
      <c r="S9" s="8" t="n">
        <v>404290.5329926803</v>
      </c>
      <c r="T9" s="8" t="n">
        <v>831715.4147366715</v>
      </c>
      <c r="U9" s="8" t="n">
        <v>290876.5851878444</v>
      </c>
      <c r="V9" s="8" t="n">
        <v>310218.64345819043</v>
      </c>
      <c r="W9" s="8" t="n">
        <v>177173.663491688</v>
      </c>
      <c r="X9" s="8" t="n">
        <v>241817.09450201155</v>
      </c>
      <c r="Y9" s="8" t="n">
        <v>90358.29670949013</v>
      </c>
      <c r="Z9" s="8" t="n">
        <v>215779.7139535943</v>
      </c>
      <c r="AA9" s="8" t="n">
        <v>41110.2628867934</v>
      </c>
      <c r="AB9" s="8" t="n">
        <v>241623.88544734224</v>
      </c>
      <c r="AC9" s="11" t="n">
        <v>1001357.3398630643</v>
      </c>
      <c r="AF9" s="7" t="s">
        <v>21</v>
      </c>
      <c r="AG9" s="8" t="n">
        <v>208568.7116137316</v>
      </c>
      <c r="AH9" s="8" t="n">
        <v>557295.2801282981</v>
      </c>
      <c r="AI9" s="8" t="n">
        <v>51390.456160605565</v>
      </c>
      <c r="AJ9" s="8" t="n">
        <v>457076.0553491511</v>
      </c>
      <c r="AK9" s="8" t="n">
        <v>167994.96231617648</v>
      </c>
      <c r="AL9" s="8" t="n">
        <v>691851.1651197304</v>
      </c>
      <c r="AM9" s="8" t="n">
        <v>327944.32956953073</v>
      </c>
      <c r="AN9" s="8" t="n">
        <v>120889.31452141407</v>
      </c>
      <c r="AO9" s="8" t="n">
        <v>327797.3732875791</v>
      </c>
      <c r="AP9" s="8" t="n">
        <v>281647.69230894645</v>
      </c>
      <c r="AQ9" s="8" t="n">
        <v>507036.57448594377</v>
      </c>
      <c r="AR9" s="11" t="n">
        <v>447713.7697793045</v>
      </c>
    </row>
    <row r="10" customFormat="false" ht="15.6" hidden="false" customHeight="false" outlineLevel="0" collapsed="false">
      <c r="B10" s="7" t="s">
        <v>22</v>
      </c>
      <c r="C10" s="8" t="n">
        <v>65244.38580200339</v>
      </c>
      <c r="D10" s="8" t="n">
        <v>33.854087848332625</v>
      </c>
      <c r="E10" s="8" t="n">
        <v>69714.2331514314</v>
      </c>
      <c r="F10" s="8" t="n">
        <v>34711.996053838295</v>
      </c>
      <c r="G10" s="8" t="n">
        <v>11643.663361371835</v>
      </c>
      <c r="H10" s="8" t="n">
        <v>28608.790916150676</v>
      </c>
      <c r="I10" s="8" t="n">
        <v>5075.385427429182</v>
      </c>
      <c r="J10" s="8" t="n">
        <v>166978.54187659157</v>
      </c>
      <c r="K10" s="8" t="n">
        <v>10151.75231236917</v>
      </c>
      <c r="L10" s="8" t="n">
        <v>6970.383816089887</v>
      </c>
      <c r="M10" s="8" t="n">
        <v>62143.04616297283</v>
      </c>
      <c r="N10" s="11" t="n">
        <v>153667.0943583704</v>
      </c>
      <c r="Q10" s="7" t="s">
        <v>22</v>
      </c>
      <c r="R10" s="8" t="n">
        <v>101374.6239870952</v>
      </c>
      <c r="S10" s="8" t="n">
        <v>4.148676644646836</v>
      </c>
      <c r="T10" s="8" t="n">
        <v>166689.70866978643</v>
      </c>
      <c r="U10" s="8" t="n">
        <v>35826.50095083691</v>
      </c>
      <c r="V10" s="8" t="n">
        <v>28721.18894417264</v>
      </c>
      <c r="W10" s="8" t="n">
        <v>105013.26941349651</v>
      </c>
      <c r="X10" s="8" t="n">
        <v>10593.499624677232</v>
      </c>
      <c r="Y10" s="8" t="n">
        <v>48842.15294477743</v>
      </c>
      <c r="Z10" s="8" t="n">
        <v>33943.83202163691</v>
      </c>
      <c r="AA10" s="8" t="n">
        <v>44519.21130630483</v>
      </c>
      <c r="AB10" s="8" t="n">
        <v>73785.67333885039</v>
      </c>
      <c r="AC10" s="11" t="n">
        <v>207102.72198787768</v>
      </c>
      <c r="AF10" s="7" t="s">
        <v>22</v>
      </c>
      <c r="AG10" s="8" t="n">
        <v>108667.50291752623</v>
      </c>
      <c r="AH10" s="8" t="n">
        <v>40.34892110656287</v>
      </c>
      <c r="AI10" s="8" t="n">
        <v>10655.840916533376</v>
      </c>
      <c r="AJ10" s="8" t="n">
        <v>30936.5754766788</v>
      </c>
      <c r="AK10" s="8" t="n">
        <v>44458.58419298238</v>
      </c>
      <c r="AL10" s="8" t="n">
        <v>22599.95856640601</v>
      </c>
      <c r="AM10" s="8" t="n">
        <v>7156.865998478366</v>
      </c>
      <c r="AN10" s="8" t="n">
        <v>328.8175256585564</v>
      </c>
      <c r="AO10" s="8" t="n">
        <v>16336.36970077728</v>
      </c>
      <c r="AP10" s="8" t="n">
        <v>11647.17926606143</v>
      </c>
      <c r="AQ10" s="8" t="n">
        <v>42105.906470534224</v>
      </c>
      <c r="AR10" s="11" t="n">
        <v>25816.87763802595</v>
      </c>
    </row>
    <row r="11" customFormat="false" ht="15.6" hidden="false" customHeight="false" outlineLevel="0" collapsed="false">
      <c r="B11" s="7" t="s">
        <v>23</v>
      </c>
      <c r="C11" s="8" t="n">
        <v>84490.28567725407</v>
      </c>
      <c r="D11" s="8" t="n">
        <v>1468.0643185912015</v>
      </c>
      <c r="E11" s="8" t="n">
        <v>11481.22182793113</v>
      </c>
      <c r="F11" s="8" t="n">
        <v>45438.31799111143</v>
      </c>
      <c r="G11" s="8" t="n">
        <v>20118.625536329735</v>
      </c>
      <c r="H11" s="8" t="n">
        <v>14027.458084488298</v>
      </c>
      <c r="I11" s="8" t="n">
        <v>81803.16970303885</v>
      </c>
      <c r="J11" s="8" t="n">
        <v>73271.46717560431</v>
      </c>
      <c r="K11" s="8" t="n">
        <v>0.0</v>
      </c>
      <c r="L11" s="8" t="n">
        <v>0.0</v>
      </c>
      <c r="M11" s="8" t="n">
        <v>5175.059758913922</v>
      </c>
      <c r="N11" s="11" t="n">
        <v>0.0</v>
      </c>
      <c r="Q11" s="7" t="s">
        <v>23</v>
      </c>
      <c r="R11" s="8" t="n">
        <v>15921.036328805012</v>
      </c>
      <c r="S11" s="8" t="n">
        <v>1772.495906407681</v>
      </c>
      <c r="T11" s="8" t="n">
        <v>9175.788725796843</v>
      </c>
      <c r="U11" s="8" t="n">
        <v>5454.483704026962</v>
      </c>
      <c r="V11" s="8" t="n">
        <v>29364.648370083793</v>
      </c>
      <c r="W11" s="8" t="n">
        <v>11680.4638482558</v>
      </c>
      <c r="X11" s="8" t="n">
        <v>72818.83380782494</v>
      </c>
      <c r="Y11" s="8" t="n">
        <v>48456.697978603326</v>
      </c>
      <c r="Z11" s="8" t="n">
        <v>0.0</v>
      </c>
      <c r="AA11" s="8" t="n">
        <v>0.0</v>
      </c>
      <c r="AB11" s="8" t="n">
        <v>69708.54796116933</v>
      </c>
      <c r="AC11" s="11" t="n">
        <v>0.0</v>
      </c>
      <c r="AF11" s="7" t="s">
        <v>23</v>
      </c>
      <c r="AG11" s="8" t="n">
        <v>91182.6125448723</v>
      </c>
      <c r="AH11" s="8" t="n">
        <v>171.83108641470665</v>
      </c>
      <c r="AI11" s="8" t="n">
        <v>13797.378174474168</v>
      </c>
      <c r="AJ11" s="8" t="n">
        <v>27587.48061088377</v>
      </c>
      <c r="AK11" s="8" t="n">
        <v>26244.324634434084</v>
      </c>
      <c r="AL11" s="8" t="n">
        <v>14636.566750045298</v>
      </c>
      <c r="AM11" s="8" t="n">
        <v>33199.83989589822</v>
      </c>
      <c r="AN11" s="8" t="n">
        <v>55536.103933249506</v>
      </c>
      <c r="AO11" s="8" t="n">
        <v>0.0</v>
      </c>
      <c r="AP11" s="8" t="n">
        <v>0.0</v>
      </c>
      <c r="AQ11" s="8" t="n">
        <v>55161.728151591255</v>
      </c>
      <c r="AR11" s="11" t="n">
        <v>0.0</v>
      </c>
    </row>
    <row r="12" customFormat="false" ht="15.6" hidden="false" customHeight="false" outlineLevel="0" collapsed="false">
      <c r="B12" s="7" t="s">
        <v>24</v>
      </c>
      <c r="C12" s="8" t="n">
        <v>8356.503331970396</v>
      </c>
      <c r="D12" s="8" t="n">
        <v>11858.854520350009</v>
      </c>
      <c r="E12" s="8" t="n">
        <v>15018.428543200718</v>
      </c>
      <c r="F12" s="8" t="n">
        <v>22094.66182278137</v>
      </c>
      <c r="G12" s="8" t="n">
        <v>17700.69302533937</v>
      </c>
      <c r="H12" s="8" t="n">
        <v>25250.4273151434</v>
      </c>
      <c r="I12" s="8" t="n">
        <v>2.3130437297797024</v>
      </c>
      <c r="J12" s="8" t="n">
        <v>18868.609984840285</v>
      </c>
      <c r="K12" s="8" t="n">
        <v>58813.30107279123</v>
      </c>
      <c r="L12" s="8" t="n">
        <v>8825.309328486204</v>
      </c>
      <c r="M12" s="8" t="n">
        <v>85735.89406048783</v>
      </c>
      <c r="N12" s="11" t="n">
        <v>25200.700539327532</v>
      </c>
      <c r="Q12" s="7" t="s">
        <v>24</v>
      </c>
      <c r="R12" s="8" t="n">
        <v>91706.39673303274</v>
      </c>
      <c r="S12" s="8" t="n">
        <v>32679.692012591284</v>
      </c>
      <c r="T12" s="8" t="n">
        <v>12539.349921599844</v>
      </c>
      <c r="U12" s="8" t="n">
        <v>6619.902534376532</v>
      </c>
      <c r="V12" s="8" t="n">
        <v>28131.08762815655</v>
      </c>
      <c r="W12" s="8" t="n">
        <v>20259.781922177488</v>
      </c>
      <c r="X12" s="8" t="n">
        <v>7.246617491689973</v>
      </c>
      <c r="Y12" s="8" t="n">
        <v>4017.406188893039</v>
      </c>
      <c r="Z12" s="8" t="n">
        <v>39568.30985859674</v>
      </c>
      <c r="AA12" s="8" t="n">
        <v>579.2011961373533</v>
      </c>
      <c r="AB12" s="8" t="n">
        <v>118251.25320801641</v>
      </c>
      <c r="AC12" s="11" t="n">
        <v>14347.080497048344</v>
      </c>
      <c r="AF12" s="7" t="s">
        <v>24</v>
      </c>
      <c r="AG12" s="8" t="n">
        <v>20879.11955088244</v>
      </c>
      <c r="AH12" s="8" t="n">
        <v>54494.99313199211</v>
      </c>
      <c r="AI12" s="8" t="n">
        <v>4682.504521261463</v>
      </c>
      <c r="AJ12" s="8" t="n">
        <v>55126.310487422386</v>
      </c>
      <c r="AK12" s="8" t="n">
        <v>15362.342273188455</v>
      </c>
      <c r="AL12" s="8" t="n">
        <v>40128.07981029533</v>
      </c>
      <c r="AM12" s="8" t="n">
        <v>5.0961129265423155</v>
      </c>
      <c r="AN12" s="8" t="n">
        <v>16298.022432554862</v>
      </c>
      <c r="AO12" s="8" t="n">
        <v>73610.52786151848</v>
      </c>
      <c r="AP12" s="8" t="n">
        <v>54883.033231850706</v>
      </c>
      <c r="AQ12" s="8" t="n">
        <v>121557.04202017907</v>
      </c>
      <c r="AR12" s="11" t="n">
        <v>12741.700828058403</v>
      </c>
    </row>
    <row r="13" customFormat="false" ht="15.6" hidden="false" customHeight="false" outlineLevel="0" collapsed="false">
      <c r="B13" s="7" t="s">
        <v>25</v>
      </c>
      <c r="C13" s="8" t="n">
        <v>113749.78629989008</v>
      </c>
      <c r="D13" s="8" t="n">
        <v>137324.55268142364</v>
      </c>
      <c r="E13" s="8" t="n">
        <v>28063.39573758667</v>
      </c>
      <c r="F13" s="8" t="n">
        <v>71940.55861950688</v>
      </c>
      <c r="G13" s="8" t="n">
        <v>63260.39726405848</v>
      </c>
      <c r="H13" s="8" t="n">
        <v>40485.9001492792</v>
      </c>
      <c r="I13" s="8" t="n">
        <v>67638.19728607351</v>
      </c>
      <c r="J13" s="8" t="n">
        <v>18812.17397662838</v>
      </c>
      <c r="K13" s="8" t="n">
        <v>95506.47027035106</v>
      </c>
      <c r="L13" s="8" t="n">
        <v>43124.349644101356</v>
      </c>
      <c r="M13" s="8" t="n">
        <v>41256.920918483265</v>
      </c>
      <c r="N13" s="11" t="n">
        <v>87955.24596997519</v>
      </c>
      <c r="Q13" s="7" t="s">
        <v>25</v>
      </c>
      <c r="R13" s="8" t="n">
        <v>85519.62362551481</v>
      </c>
      <c r="S13" s="8" t="n">
        <v>41432.27723025617</v>
      </c>
      <c r="T13" s="8" t="n">
        <v>97790.79596579548</v>
      </c>
      <c r="U13" s="8" t="n">
        <v>69216.11248259211</v>
      </c>
      <c r="V13" s="8" t="n">
        <v>39837.962920541926</v>
      </c>
      <c r="W13" s="8" t="n">
        <v>112780.78223126582</v>
      </c>
      <c r="X13" s="8" t="n">
        <v>14008.758211347982</v>
      </c>
      <c r="Y13" s="8" t="n">
        <v>55014.80229096398</v>
      </c>
      <c r="Z13" s="8" t="n">
        <v>21851.865046127943</v>
      </c>
      <c r="AA13" s="8" t="n">
        <v>91843.85955129769</v>
      </c>
      <c r="AB13" s="8" t="n">
        <v>27424.22168429879</v>
      </c>
      <c r="AC13" s="11" t="n">
        <v>16345.509954904344</v>
      </c>
      <c r="AF13" s="7" t="s">
        <v>25</v>
      </c>
      <c r="AG13" s="8" t="n">
        <v>25885.934690881128</v>
      </c>
      <c r="AH13" s="8" t="n">
        <v>73238.67593776135</v>
      </c>
      <c r="AI13" s="8" t="n">
        <v>127027.37690497414</v>
      </c>
      <c r="AJ13" s="8" t="n">
        <v>112551.27166096827</v>
      </c>
      <c r="AK13" s="8" t="n">
        <v>148031.42656807153</v>
      </c>
      <c r="AL13" s="8" t="n">
        <v>175368.03365079119</v>
      </c>
      <c r="AM13" s="8" t="n">
        <v>74054.2524481077</v>
      </c>
      <c r="AN13" s="8" t="n">
        <v>63068.196380496294</v>
      </c>
      <c r="AO13" s="8" t="n">
        <v>60772.21740923689</v>
      </c>
      <c r="AP13" s="8" t="n">
        <v>159459.2669617876</v>
      </c>
      <c r="AQ13" s="8" t="n">
        <v>1848.5772861334376</v>
      </c>
      <c r="AR13" s="11" t="n">
        <v>10305.994854144375</v>
      </c>
    </row>
    <row r="14" customFormat="false" ht="15.6" hidden="false" customHeight="false" outlineLevel="0" collapsed="false">
      <c r="B14" s="12" t="s">
        <v>26</v>
      </c>
      <c r="C14" s="8" t="n">
        <v>21494.856652906543</v>
      </c>
      <c r="D14" s="8" t="n">
        <v>421.69647579037644</v>
      </c>
      <c r="E14" s="8" t="n">
        <v>88832.07360473939</v>
      </c>
      <c r="F14" s="8" t="n">
        <v>73526.87696152845</v>
      </c>
      <c r="G14" s="8" t="n">
        <v>92866.24044328653</v>
      </c>
      <c r="H14" s="8" t="n">
        <v>37078.98794514665</v>
      </c>
      <c r="I14" s="8" t="n">
        <v>63051.62869367347</v>
      </c>
      <c r="J14" s="8" t="n">
        <v>47436.19599427943</v>
      </c>
      <c r="K14" s="8" t="n">
        <v>49377.921471501024</v>
      </c>
      <c r="L14" s="8" t="n">
        <v>23283.29273514225</v>
      </c>
      <c r="M14" s="8" t="n">
        <v>2572.584653865292</v>
      </c>
      <c r="N14" s="11" t="n">
        <v>29672.55120118008</v>
      </c>
      <c r="Q14" s="12" t="s">
        <v>26</v>
      </c>
      <c r="R14" s="8" t="n">
        <v>69536.01238479491</v>
      </c>
      <c r="S14" s="8" t="n">
        <v>71893.83699005572</v>
      </c>
      <c r="T14" s="8" t="n">
        <v>258991.55185113926</v>
      </c>
      <c r="U14" s="8" t="n">
        <v>243461.25961879524</v>
      </c>
      <c r="V14" s="8" t="n">
        <v>57168.83043708357</v>
      </c>
      <c r="W14" s="8" t="n">
        <v>133783.74259178728</v>
      </c>
      <c r="X14" s="8" t="n">
        <v>25603.023143053462</v>
      </c>
      <c r="Y14" s="8" t="n">
        <v>78686.4285092256</v>
      </c>
      <c r="Z14" s="8" t="n">
        <v>43250.061360258194</v>
      </c>
      <c r="AA14" s="8" t="n">
        <v>57751.983444437225</v>
      </c>
      <c r="AB14" s="8" t="n">
        <v>2242.6631694552434</v>
      </c>
      <c r="AC14" s="11" t="n">
        <v>6995.305378920985</v>
      </c>
      <c r="AF14" s="12" t="s">
        <v>26</v>
      </c>
      <c r="AG14" s="8" t="n">
        <v>58823.78839862936</v>
      </c>
      <c r="AH14" s="8" t="n">
        <v>63751.73654092118</v>
      </c>
      <c r="AI14" s="8" t="n">
        <v>192132.89051816092</v>
      </c>
      <c r="AJ14" s="8" t="n">
        <v>187213.26265123443</v>
      </c>
      <c r="AK14" s="8" t="n">
        <v>112734.82820883267</v>
      </c>
      <c r="AL14" s="8" t="n">
        <v>9326.446156425676</v>
      </c>
      <c r="AM14" s="8" t="n">
        <v>7125.484253384209</v>
      </c>
      <c r="AN14" s="8" t="n">
        <v>38890.02364399145</v>
      </c>
      <c r="AO14" s="8" t="n">
        <v>39847.6034360101</v>
      </c>
      <c r="AP14" s="8" t="n">
        <v>52653.12698977869</v>
      </c>
      <c r="AQ14" s="8" t="n">
        <v>26887.311590494617</v>
      </c>
      <c r="AR14" s="11" t="n">
        <v>52854.99059477929</v>
      </c>
    </row>
    <row r="15" customFormat="false" ht="15.6" hidden="false" customHeight="false" outlineLevel="0" collapsed="false">
      <c r="B15" s="13" t="s">
        <v>27</v>
      </c>
      <c r="C15" s="14" t="n">
        <f aca="false">SUM(C4:C14)</f>
        <v>1769965.6410912927</v>
      </c>
      <c r="D15" s="15" t="n">
        <f aca="false">SUM(D4:D14)</f>
        <v>657931.4230960238</v>
      </c>
      <c r="E15" s="15" t="n">
        <v>2283670.0242544566</v>
      </c>
      <c r="F15" s="15" t="n">
        <v>698023.5146164986</v>
      </c>
      <c r="G15" s="15" t="n">
        <f aca="false">SUM(G4:G14)</f>
        <v>676846.3981335787</v>
      </c>
      <c r="H15" s="15" t="n">
        <v>1258378.3223212245</v>
      </c>
      <c r="I15" s="15" t="n">
        <f aca="false">SUM(I4:I14)</f>
        <v>1407992.6643621807</v>
      </c>
      <c r="J15" s="15" t="n">
        <f aca="false">SUM(J4:J14)</f>
        <v>1385868.798289052</v>
      </c>
      <c r="K15" s="15" t="n">
        <f aca="false">SUM(K4:K14)</f>
        <v>16951.798732700274</v>
      </c>
      <c r="L15" s="15" t="n">
        <f aca="false">SUM(L4:L14)</f>
        <v>704525.8177802078</v>
      </c>
      <c r="M15" s="15" t="n">
        <v>369019.17969831807</v>
      </c>
      <c r="N15" s="16" t="n">
        <f aca="false">SUM(N4:N14)</f>
        <v>995669.4178305151</v>
      </c>
      <c r="Q15" s="13" t="s">
        <v>27</v>
      </c>
      <c r="R15" s="14" t="n">
        <f aca="false">SUM(R4:R14)</f>
        <v>2184687.5856977436</v>
      </c>
      <c r="S15" s="15" t="n">
        <f aca="false">SUM(S4:S14)</f>
        <v>633786.3515350819</v>
      </c>
      <c r="T15" s="15" t="n">
        <v>1461339.391032497</v>
      </c>
      <c r="U15" s="15" t="n">
        <v>2144392.8417702173</v>
      </c>
      <c r="V15" s="15" t="n">
        <f aca="false">SUM(V4:V14)</f>
        <v>1867438.1243991894</v>
      </c>
      <c r="W15" s="15" t="n">
        <v>541571.9676756997</v>
      </c>
      <c r="X15" s="15" t="n">
        <f aca="false">SUM(X4:X14)</f>
        <v>898348.4446454636</v>
      </c>
      <c r="Y15" s="15" t="n">
        <f aca="false">SUM(Y4:Y14)</f>
        <v>1254078.4873933466</v>
      </c>
      <c r="Z15" s="15" t="n">
        <f aca="false">SUM(Z4:Z14)</f>
        <v>218905.80812797972</v>
      </c>
      <c r="AA15" s="15" t="n">
        <f aca="false">SUM(AA4:AA14)</f>
        <v>613114.1490686415</v>
      </c>
      <c r="AB15" s="15" t="n">
        <v>283083.03940202907</v>
      </c>
      <c r="AC15" s="16" t="n">
        <f aca="false">SUM(AC4:AC14)</f>
        <v>384376.96733806166</v>
      </c>
      <c r="AF15" s="13" t="s">
        <v>27</v>
      </c>
      <c r="AG15" s="14" t="n">
        <f aca="false">SUM(AG4:AG14)</f>
        <v>2553190.960397655</v>
      </c>
      <c r="AH15" s="15" t="n">
        <f aca="false">SUM(AH4:AH14)</f>
        <v>1674814.7785122932</v>
      </c>
      <c r="AI15" s="15" t="n">
        <v>2661569.3736405545</v>
      </c>
      <c r="AJ15" s="15" t="n">
        <v>1917505.6626954216</v>
      </c>
      <c r="AK15" s="15" t="n">
        <f aca="false">SUM(AK4:AK14)</f>
        <v>114863.24090879671</v>
      </c>
      <c r="AL15" s="15" t="n">
        <v>3219428.1737821354</v>
      </c>
      <c r="AM15" s="15" t="n">
        <f aca="false">SUM(AM4:AM14)</f>
        <v>624093.2183257084</v>
      </c>
      <c r="AN15" s="15" t="n">
        <f aca="false">SUM(AN4:AN14)</f>
        <v>804268.8471823735</v>
      </c>
      <c r="AO15" s="15" t="n">
        <f aca="false">SUM(AO4:AO14)</f>
        <v>2313095.7615724336</v>
      </c>
      <c r="AP15" s="15" t="n">
        <f aca="false">SUM(AP4:AP14)</f>
        <v>1026202.5809776876</v>
      </c>
      <c r="AQ15" s="15" t="n">
        <v>1384556.0230881344</v>
      </c>
      <c r="AR15" s="16" t="n">
        <f aca="false">SUM(AR4:AR14)</f>
        <v>591243.7052682311</v>
      </c>
    </row>
    <row r="16" customFormat="false" ht="15.6" hidden="false" customHeight="false" outlineLevel="0" collapsed="false">
      <c r="B16" s="17" t="s">
        <v>28</v>
      </c>
      <c r="C16" s="18" t="n">
        <v>214333.18878788376</v>
      </c>
      <c r="D16" s="18" t="n">
        <v>180669.9310653702</v>
      </c>
      <c r="E16" s="18" t="n">
        <v>344275.3924868021</v>
      </c>
      <c r="F16" s="18" t="n">
        <v>45591.14048572983</v>
      </c>
      <c r="G16" s="18" t="n">
        <v>154318.96426895104</v>
      </c>
      <c r="H16" s="18" t="n">
        <v>113766.80883497758</v>
      </c>
      <c r="I16" s="18" t="n">
        <v>24527.457611860664</v>
      </c>
      <c r="J16" s="18" t="n">
        <v>178770.16118595307</v>
      </c>
      <c r="K16" s="18" t="n">
        <v>105944.75545987228</v>
      </c>
      <c r="L16" s="18" t="n">
        <v>125823.44763685393</v>
      </c>
      <c r="M16" s="18" t="n">
        <v>124169.95808688235</v>
      </c>
      <c r="N16" s="19" t="n">
        <v>112765.54977391835</v>
      </c>
      <c r="Q16" s="17" t="s">
        <v>28</v>
      </c>
      <c r="R16" s="18" t="n">
        <v>244551.78239220934</v>
      </c>
      <c r="S16" s="18" t="n">
        <v>135559.0969962851</v>
      </c>
      <c r="T16" s="18" t="n">
        <v>160573.49100425118</v>
      </c>
      <c r="U16" s="18" t="n">
        <v>87994.36793702637</v>
      </c>
      <c r="V16" s="18" t="n">
        <v>128090.07423434465</v>
      </c>
      <c r="W16" s="18" t="n">
        <v>18884.618811700744</v>
      </c>
      <c r="X16" s="18" t="n">
        <v>146092.791736208</v>
      </c>
      <c r="Y16" s="18" t="n">
        <v>150681.7175314131</v>
      </c>
      <c r="Z16" s="18" t="n">
        <v>98117.43784893991</v>
      </c>
      <c r="AA16" s="18" t="n">
        <v>156871.50058423734</v>
      </c>
      <c r="AB16" s="18" t="n">
        <v>69685.12401348505</v>
      </c>
      <c r="AC16" s="19" t="n">
        <v>167194.4033967055</v>
      </c>
      <c r="AF16" s="17" t="s">
        <v>28</v>
      </c>
      <c r="AG16" s="18" t="n">
        <v>111024.6339146983</v>
      </c>
      <c r="AH16" s="18" t="n">
        <v>82447.51782742311</v>
      </c>
      <c r="AI16" s="18" t="n">
        <v>140895.49518634644</v>
      </c>
      <c r="AJ16" s="18" t="n">
        <v>2365.3184853677103</v>
      </c>
      <c r="AK16" s="18" t="n">
        <v>126645.09441210676</v>
      </c>
      <c r="AL16" s="18" t="n">
        <v>48066.532398641386</v>
      </c>
      <c r="AM16" s="18" t="n">
        <v>45200.53762449144</v>
      </c>
      <c r="AN16" s="18" t="n">
        <v>184937.89731134495</v>
      </c>
      <c r="AO16" s="18" t="n">
        <v>116054.22315330435</v>
      </c>
      <c r="AP16" s="18" t="n">
        <v>57220.417926290465</v>
      </c>
      <c r="AQ16" s="18" t="n">
        <v>135714.89560527258</v>
      </c>
      <c r="AR16" s="19" t="n">
        <v>173736.54659237285</v>
      </c>
    </row>
    <row r="17" customFormat="false" ht="15.6" hidden="false" customHeight="false" outlineLevel="0" collapsed="false">
      <c r="B17" s="20" t="s">
        <v>28</v>
      </c>
      <c r="C17" s="21" t="n">
        <f aca="false">SUM(C16)</f>
        <v>244418.29968772674</v>
      </c>
      <c r="D17" s="21" t="n">
        <f aca="false">SUM(D16)</f>
        <v>223831.5794624349</v>
      </c>
      <c r="E17" s="21" t="n">
        <f aca="false">SUM(E16)</f>
        <v>133461.1676305562</v>
      </c>
      <c r="F17" s="21" t="n">
        <f aca="false">SUM(F16)</f>
        <v>81584.49287866642</v>
      </c>
      <c r="G17" s="21" t="n">
        <f aca="false">SUM(G16)</f>
        <v>67181.91185151736</v>
      </c>
      <c r="H17" s="21" t="n">
        <f aca="false">SUM(H16)</f>
        <v>224521.78332872686</v>
      </c>
      <c r="I17" s="21" t="n">
        <f aca="false">SUM(I16)</f>
        <v>54944.29037803999</v>
      </c>
      <c r="J17" s="21" t="n">
        <f aca="false">SUM(J16)</f>
        <v>266244.01572399307</v>
      </c>
      <c r="K17" s="21" t="n">
        <f aca="false">SUM(K16)</f>
        <v>3883.66502169088</v>
      </c>
      <c r="L17" s="21" t="n">
        <f aca="false">SUM(L16)</f>
        <v>200298.70812396499</v>
      </c>
      <c r="M17" s="21" t="n">
        <f aca="false">SUM(M16)</f>
        <v>226430.97278587936</v>
      </c>
      <c r="N17" s="22" t="n">
        <f aca="false">SUM(N16)</f>
        <v>97166.67046103309</v>
      </c>
      <c r="Q17" s="20" t="s">
        <v>28</v>
      </c>
      <c r="R17" s="21" t="n">
        <f aca="false">SUM(R16)</f>
        <v>71986.18473258229</v>
      </c>
      <c r="S17" s="21" t="n">
        <f aca="false">SUM(S16)</f>
        <v>161478.03933389732</v>
      </c>
      <c r="T17" s="21" t="n">
        <f aca="false">SUM(T16)</f>
        <v>228879.2263872511</v>
      </c>
      <c r="U17" s="21" t="n">
        <f aca="false">SUM(U16)</f>
        <v>7109.244099644674</v>
      </c>
      <c r="V17" s="21" t="n">
        <f aca="false">SUM(V16)</f>
        <v>175118.46553773206</v>
      </c>
      <c r="W17" s="21" t="n">
        <f aca="false">SUM(W16)</f>
        <v>110826.52444104472</v>
      </c>
      <c r="X17" s="21" t="n">
        <f aca="false">SUM(X16)</f>
        <v>217945.2986440531</v>
      </c>
      <c r="Y17" s="21" t="n">
        <f aca="false">SUM(Y16)</f>
        <v>3309.7087666850543</v>
      </c>
      <c r="Z17" s="21" t="n">
        <f aca="false">SUM(Z16)</f>
        <v>108100.9789896561</v>
      </c>
      <c r="AA17" s="21" t="n">
        <f aca="false">SUM(AA16)</f>
        <v>100898.96749235423</v>
      </c>
      <c r="AB17" s="21" t="n">
        <f aca="false">SUM(AB16)</f>
        <v>199185.8395995017</v>
      </c>
      <c r="AC17" s="22" t="n">
        <f aca="false">SUM(AC16)</f>
        <v>188835.3328203453</v>
      </c>
      <c r="AF17" s="20" t="s">
        <v>28</v>
      </c>
      <c r="AG17" s="21" t="n">
        <f aca="false">SUM(AG16)</f>
        <v>103752.96905780761</v>
      </c>
      <c r="AH17" s="21" t="n">
        <f aca="false">SUM(AH16)</f>
        <v>188429.74484531544</v>
      </c>
      <c r="AI17" s="21" t="n">
        <f aca="false">SUM(AI16)</f>
        <v>111914.98916005998</v>
      </c>
      <c r="AJ17" s="21" t="n">
        <f aca="false">SUM(AJ16)</f>
        <v>88738.75207568354</v>
      </c>
      <c r="AK17" s="21" t="n">
        <f aca="false">SUM(AK16)</f>
        <v>109587.01797865443</v>
      </c>
      <c r="AL17" s="21" t="n">
        <f aca="false">SUM(AL16)</f>
        <v>177267.0739460555</v>
      </c>
      <c r="AM17" s="21" t="n">
        <f aca="false">SUM(AM16)</f>
        <v>42833.361679094145</v>
      </c>
      <c r="AN17" s="21" t="n">
        <f aca="false">SUM(AN16)</f>
        <v>153021.20460118045</v>
      </c>
      <c r="AO17" s="21" t="n">
        <f aca="false">SUM(AO16)</f>
        <v>142487.4098661533</v>
      </c>
      <c r="AP17" s="21" t="n">
        <f aca="false">SUM(AP16)</f>
        <v>120360.55155090248</v>
      </c>
      <c r="AQ17" s="21" t="n">
        <f aca="false">SUM(AQ16)</f>
        <v>28406.418514854708</v>
      </c>
      <c r="AR17" s="22" t="n">
        <f aca="false">SUM(AR16)</f>
        <v>199976.5866853574</v>
      </c>
    </row>
    <row r="18" customFormat="false" ht="15.6" hidden="false" customHeight="false" outlineLevel="0" collapsed="false">
      <c r="B18" s="23" t="s">
        <v>29</v>
      </c>
      <c r="C18" s="8" t="n">
        <v>260418.8569943327</v>
      </c>
      <c r="D18" s="8" t="n">
        <v>229186.0262675252</v>
      </c>
      <c r="E18" s="8" t="n">
        <v>88191.52082985902</v>
      </c>
      <c r="F18" s="8" t="n">
        <v>242959.41177895485</v>
      </c>
      <c r="G18" s="8" t="n">
        <v>16269.8044037718</v>
      </c>
      <c r="H18" s="8" t="n">
        <v>151230.1771192846</v>
      </c>
      <c r="I18" s="8" t="n">
        <v>207329.81894454669</v>
      </c>
      <c r="J18" s="8" t="n">
        <v>109465.67433734157</v>
      </c>
      <c r="K18" s="8" t="n">
        <v>28325.255359329967</v>
      </c>
      <c r="L18" s="8" t="n">
        <v>4213.7996045574855</v>
      </c>
      <c r="M18" s="8" t="n">
        <v>128436.85642009383</v>
      </c>
      <c r="N18" s="8" t="n">
        <v>2248.1455796389746</v>
      </c>
      <c r="Q18" s="23" t="s">
        <v>29</v>
      </c>
      <c r="R18" s="8" t="n">
        <v>32889.24629587794</v>
      </c>
      <c r="S18" s="8" t="n">
        <v>207289.16878321636</v>
      </c>
      <c r="T18" s="8" t="n">
        <v>276101.315592462</v>
      </c>
      <c r="U18" s="8" t="n">
        <v>172797.29083980774</v>
      </c>
      <c r="V18" s="8" t="n">
        <v>32504.589099278743</v>
      </c>
      <c r="W18" s="8" t="n">
        <v>86148.72489469188</v>
      </c>
      <c r="X18" s="8" t="n">
        <v>213470.05069745283</v>
      </c>
      <c r="Y18" s="8" t="n">
        <v>103131.23289614044</v>
      </c>
      <c r="Z18" s="8" t="n">
        <v>135110.893522803</v>
      </c>
      <c r="AA18" s="8" t="n">
        <v>183992.53496289122</v>
      </c>
      <c r="AB18" s="8" t="n">
        <v>89710.0342217978</v>
      </c>
      <c r="AC18" s="8" t="n">
        <v>3835.3966011942603</v>
      </c>
      <c r="AF18" s="23" t="s">
        <v>29</v>
      </c>
      <c r="AG18" s="8" t="n">
        <v>310971.1980430525</v>
      </c>
      <c r="AH18" s="8" t="n">
        <v>130992.58426581974</v>
      </c>
      <c r="AI18" s="8" t="n">
        <v>48029.771826611635</v>
      </c>
      <c r="AJ18" s="8" t="n">
        <v>30998.181124963983</v>
      </c>
      <c r="AK18" s="8" t="n">
        <v>66350.96725913876</v>
      </c>
      <c r="AL18" s="8" t="n">
        <v>131516.197910625</v>
      </c>
      <c r="AM18" s="8" t="n">
        <v>227146.59596674147</v>
      </c>
      <c r="AN18" s="8" t="n">
        <v>18126.459590341474</v>
      </c>
      <c r="AO18" s="8" t="n">
        <v>151734.11263533065</v>
      </c>
      <c r="AP18" s="8" t="n">
        <v>2000.2422106172291</v>
      </c>
      <c r="AQ18" s="8" t="n">
        <v>109857.2357256559</v>
      </c>
      <c r="AR18" s="8" t="n">
        <v>10307.758250955194</v>
      </c>
    </row>
    <row r="19" customFormat="false" ht="15.6" hidden="false" customHeight="false" outlineLevel="0" collapsed="false">
      <c r="B19" s="23" t="s">
        <v>30</v>
      </c>
      <c r="C19" s="8" t="n">
        <v>491145.0879867313</v>
      </c>
      <c r="D19" s="8" t="n">
        <v>1345.7906195315938</v>
      </c>
      <c r="E19" s="8" t="n">
        <v>428498.0767770351</v>
      </c>
      <c r="F19" s="8" t="n">
        <v>127274.44293718504</v>
      </c>
      <c r="G19" s="8" t="n">
        <v>162910.4453489186</v>
      </c>
      <c r="H19" s="8" t="n">
        <v>167565.10961369795</v>
      </c>
      <c r="I19" s="8" t="n">
        <v>82182.90618899775</v>
      </c>
      <c r="J19" s="8" t="n">
        <v>75413.16252624852</v>
      </c>
      <c r="K19" s="8" t="n">
        <v>56236.5065831372</v>
      </c>
      <c r="L19" s="8" t="n">
        <v>330083.9467114282</v>
      </c>
      <c r="M19" s="8" t="n">
        <v>331974.892197553</v>
      </c>
      <c r="N19" s="8" t="n">
        <v>208454.24421466183</v>
      </c>
      <c r="Q19" s="23" t="s">
        <v>30</v>
      </c>
      <c r="R19" s="8" t="n">
        <v>40632.51359056404</v>
      </c>
      <c r="S19" s="8" t="n">
        <v>39149.87153487104</v>
      </c>
      <c r="T19" s="8" t="n">
        <v>497720.11929588194</v>
      </c>
      <c r="U19" s="8" t="n">
        <v>213214.37488833157</v>
      </c>
      <c r="V19" s="8" t="n">
        <v>106459.18228538481</v>
      </c>
      <c r="W19" s="8" t="n">
        <v>234053.05878815294</v>
      </c>
      <c r="X19" s="8" t="n">
        <v>67345.48240789692</v>
      </c>
      <c r="Y19" s="8" t="n">
        <v>268258.16781399434</v>
      </c>
      <c r="Z19" s="8" t="n">
        <v>72837.92477360686</v>
      </c>
      <c r="AA19" s="8" t="n">
        <v>192144.88494741477</v>
      </c>
      <c r="AB19" s="8" t="n">
        <v>164122.73124095815</v>
      </c>
      <c r="AC19" s="8" t="n">
        <v>41960.464087048014</v>
      </c>
      <c r="AF19" s="23" t="s">
        <v>30</v>
      </c>
      <c r="AG19" s="8" t="n">
        <v>275909.32975863543</v>
      </c>
      <c r="AH19" s="8" t="n">
        <v>43811.051927116336</v>
      </c>
      <c r="AI19" s="8" t="n">
        <v>210892.2058163172</v>
      </c>
      <c r="AJ19" s="8" t="n">
        <v>143036.7132370378</v>
      </c>
      <c r="AK19" s="8" t="n">
        <v>118961.4540046048</v>
      </c>
      <c r="AL19" s="8" t="n">
        <v>321250.2532149132</v>
      </c>
      <c r="AM19" s="8" t="n">
        <v>162982.80244802247</v>
      </c>
      <c r="AN19" s="8" t="n">
        <v>246812.40541030973</v>
      </c>
      <c r="AO19" s="8" t="n">
        <v>180454.03164371738</v>
      </c>
      <c r="AP19" s="8" t="n">
        <v>118992.9488580138</v>
      </c>
      <c r="AQ19" s="8" t="n">
        <v>208827.8286919429</v>
      </c>
      <c r="AR19" s="8" t="n">
        <v>377672.10509579856</v>
      </c>
    </row>
    <row r="20" customFormat="false" ht="15.6" hidden="false" customHeight="false" outlineLevel="0" collapsed="false">
      <c r="B20" s="23" t="s">
        <v>31</v>
      </c>
      <c r="C20" s="8" t="n">
        <v>214879.8390242831</v>
      </c>
      <c r="D20" s="8" t="n">
        <v>41415.17281686023</v>
      </c>
      <c r="E20" s="8" t="n">
        <v>111421.32197631615</v>
      </c>
      <c r="F20" s="8" t="n">
        <v>377378.0734539972</v>
      </c>
      <c r="G20" s="8" t="n">
        <v>189321.26987486993</v>
      </c>
      <c r="H20" s="8" t="n">
        <v>207306.30931520625</v>
      </c>
      <c r="I20" s="8" t="n">
        <v>255163.87473417458</v>
      </c>
      <c r="J20" s="8" t="n">
        <v>262394.1541652843</v>
      </c>
      <c r="K20" s="8" t="n">
        <v>67609.66165246228</v>
      </c>
      <c r="L20" s="8" t="n">
        <v>32139.631579209985</v>
      </c>
      <c r="M20" s="8" t="n">
        <v>457638.2552105137</v>
      </c>
      <c r="N20" s="8" t="n">
        <v>259134.53952550783</v>
      </c>
      <c r="Q20" s="23" t="s">
        <v>31</v>
      </c>
      <c r="R20" s="8" t="n">
        <v>59661.19286954293</v>
      </c>
      <c r="S20" s="8" t="n">
        <v>25735.83844843473</v>
      </c>
      <c r="T20" s="8" t="n">
        <v>150470.07391276208</v>
      </c>
      <c r="U20" s="8" t="n">
        <v>263097.2466992334</v>
      </c>
      <c r="V20" s="8" t="n">
        <v>62086.69100310845</v>
      </c>
      <c r="W20" s="8" t="n">
        <v>122968.58898438077</v>
      </c>
      <c r="X20" s="8" t="n">
        <v>19937.553250493937</v>
      </c>
      <c r="Y20" s="8" t="n">
        <v>112162.65544123264</v>
      </c>
      <c r="Z20" s="8" t="n">
        <v>256746.8942444158</v>
      </c>
      <c r="AA20" s="8" t="n">
        <v>90916.52933718065</v>
      </c>
      <c r="AB20" s="8" t="n">
        <v>333416.25520090404</v>
      </c>
      <c r="AC20" s="8" t="n">
        <v>313877.98942797014</v>
      </c>
      <c r="AF20" s="23" t="s">
        <v>31</v>
      </c>
      <c r="AG20" s="8" t="n">
        <v>74930.54479384572</v>
      </c>
      <c r="AH20" s="8" t="n">
        <v>74494.19852595926</v>
      </c>
      <c r="AI20" s="8" t="n">
        <v>9747.660135963946</v>
      </c>
      <c r="AJ20" s="8" t="n">
        <v>142445.50044767366</v>
      </c>
      <c r="AK20" s="8" t="n">
        <v>218906.30891516595</v>
      </c>
      <c r="AL20" s="8" t="n">
        <v>517710.3635359653</v>
      </c>
      <c r="AM20" s="8" t="n">
        <v>237693.03157050442</v>
      </c>
      <c r="AN20" s="8" t="n">
        <v>9058.0145662423</v>
      </c>
      <c r="AO20" s="8" t="n">
        <v>70366.4546767602</v>
      </c>
      <c r="AP20" s="8" t="n">
        <v>203567.06302132513</v>
      </c>
      <c r="AQ20" s="8" t="n">
        <v>388495.8988438075</v>
      </c>
      <c r="AR20" s="8" t="n">
        <v>321819.7627560239</v>
      </c>
    </row>
    <row r="21" customFormat="false" ht="15.6" hidden="false" customHeight="false" outlineLevel="0" collapsed="false">
      <c r="B21" s="23" t="s">
        <v>32</v>
      </c>
      <c r="C21" s="8" t="n">
        <v>28693.550880351988</v>
      </c>
      <c r="D21" s="8" t="n">
        <v>23248.644072155927</v>
      </c>
      <c r="E21" s="8" t="n">
        <v>15568.607851061663</v>
      </c>
      <c r="F21" s="8" t="n">
        <v>38419.33736094285</v>
      </c>
      <c r="G21" s="8" t="n">
        <v>16339.40187569482</v>
      </c>
      <c r="H21" s="8" t="n">
        <v>31443.251167247123</v>
      </c>
      <c r="I21" s="8" t="n">
        <v>26516.17016749277</v>
      </c>
      <c r="J21" s="8" t="n">
        <v>10930.837625051965</v>
      </c>
      <c r="K21" s="8" t="n">
        <v>1667.6048084762392</v>
      </c>
      <c r="L21" s="8" t="n">
        <v>3720.452862150939</v>
      </c>
      <c r="M21" s="8" t="n">
        <v>22114.15118926003</v>
      </c>
      <c r="N21" s="8" t="n">
        <v>12693.002147986866</v>
      </c>
      <c r="Q21" s="23" t="s">
        <v>32</v>
      </c>
      <c r="R21" s="8" t="n">
        <v>43912.9260409178</v>
      </c>
      <c r="S21" s="8" t="n">
        <v>1325.4616831209257</v>
      </c>
      <c r="T21" s="8" t="n">
        <v>528.6209074831733</v>
      </c>
      <c r="U21" s="8" t="n">
        <v>24327.79384920689</v>
      </c>
      <c r="V21" s="8" t="n">
        <v>6954.648129549465</v>
      </c>
      <c r="W21" s="8" t="n">
        <v>13519.547295954875</v>
      </c>
      <c r="X21" s="8" t="n">
        <v>34451.88468974512</v>
      </c>
      <c r="Y21" s="8" t="n">
        <v>3125.5269943602543</v>
      </c>
      <c r="Z21" s="8" t="n">
        <v>22634.346303161194</v>
      </c>
      <c r="AA21" s="8" t="n">
        <v>5754.054172859047</v>
      </c>
      <c r="AB21" s="8" t="n">
        <v>2949.0069937299418</v>
      </c>
      <c r="AC21" s="8" t="n">
        <v>21021.650140323596</v>
      </c>
      <c r="AF21" s="23" t="s">
        <v>32</v>
      </c>
      <c r="AG21" s="8" t="n">
        <v>15394.145802477004</v>
      </c>
      <c r="AH21" s="8" t="n">
        <v>28829.59945945387</v>
      </c>
      <c r="AI21" s="8" t="n">
        <v>40055.62364187648</v>
      </c>
      <c r="AJ21" s="8" t="n">
        <v>28021.60871848925</v>
      </c>
      <c r="AK21" s="8" t="n">
        <v>20227.926007887272</v>
      </c>
      <c r="AL21" s="8" t="n">
        <v>4333.890881622881</v>
      </c>
      <c r="AM21" s="8" t="n">
        <v>8139.736853594776</v>
      </c>
      <c r="AN21" s="8" t="n">
        <v>11838.666685275248</v>
      </c>
      <c r="AO21" s="8" t="n">
        <v>5089.154473032343</v>
      </c>
      <c r="AP21" s="8" t="n">
        <v>42247.79986744321</v>
      </c>
      <c r="AQ21" s="8" t="n">
        <v>39688.18382906788</v>
      </c>
      <c r="AR21" s="8" t="n">
        <v>31535.337212782917</v>
      </c>
    </row>
    <row r="22" customFormat="false" ht="15.6" hidden="false" customHeight="false" outlineLevel="0" collapsed="false">
      <c r="B22" s="23" t="s">
        <v>33</v>
      </c>
      <c r="C22" s="8" t="n">
        <v>36094.42602881268</v>
      </c>
      <c r="D22" s="8" t="n">
        <v>40380.281614167994</v>
      </c>
      <c r="E22" s="8" t="n">
        <v>41992.35094118695</v>
      </c>
      <c r="F22" s="8" t="n">
        <v>48638.62879052057</v>
      </c>
      <c r="G22" s="8" t="n">
        <v>7542.694466380958</v>
      </c>
      <c r="H22" s="8" t="n">
        <v>44874.89600690067</v>
      </c>
      <c r="I22" s="8" t="n">
        <v>18518.717140845307</v>
      </c>
      <c r="J22" s="8" t="n">
        <v>10147.771840730953</v>
      </c>
      <c r="K22" s="8" t="n">
        <v>966.0886394609759</v>
      </c>
      <c r="L22" s="8" t="n">
        <v>1583.8829795282004</v>
      </c>
      <c r="M22" s="8" t="n">
        <v>8097.954702408058</v>
      </c>
      <c r="N22" s="8" t="n">
        <v>13511.101577662444</v>
      </c>
      <c r="Q22" s="23" t="s">
        <v>33</v>
      </c>
      <c r="R22" s="8" t="n">
        <v>110453.4921650872</v>
      </c>
      <c r="S22" s="8" t="n">
        <v>20617.999093844788</v>
      </c>
      <c r="T22" s="8" t="n">
        <v>761.8773592359513</v>
      </c>
      <c r="U22" s="8" t="n">
        <v>52130.36842925111</v>
      </c>
      <c r="V22" s="8" t="n">
        <v>42014.07302190336</v>
      </c>
      <c r="W22" s="8" t="n">
        <v>60434.68982254814</v>
      </c>
      <c r="X22" s="8" t="n">
        <v>110185.03197308833</v>
      </c>
      <c r="Y22" s="8" t="n">
        <v>31133.53195246969</v>
      </c>
      <c r="Z22" s="8" t="n">
        <v>59401.03425055983</v>
      </c>
      <c r="AA22" s="8" t="n">
        <v>65104.538917111066</v>
      </c>
      <c r="AB22" s="8" t="n">
        <v>18057.672298682006</v>
      </c>
      <c r="AC22" s="8" t="n">
        <v>35956.64474607848</v>
      </c>
      <c r="AF22" s="23" t="s">
        <v>33</v>
      </c>
      <c r="AG22" s="8" t="n">
        <v>83778.83370187419</v>
      </c>
      <c r="AH22" s="8" t="n">
        <v>20067.571110513538</v>
      </c>
      <c r="AI22" s="8" t="n">
        <v>65936.14336289308</v>
      </c>
      <c r="AJ22" s="8" t="n">
        <v>17537.2798176913</v>
      </c>
      <c r="AK22" s="8" t="n">
        <v>8516.87298025011</v>
      </c>
      <c r="AL22" s="8" t="n">
        <v>17128.67877750936</v>
      </c>
      <c r="AM22" s="8" t="n">
        <v>37936.447536185544</v>
      </c>
      <c r="AN22" s="8" t="n">
        <v>15838.684840459846</v>
      </c>
      <c r="AO22" s="8" t="n">
        <v>28205.522879034223</v>
      </c>
      <c r="AP22" s="8" t="n">
        <v>12425.583739841128</v>
      </c>
      <c r="AQ22" s="8" t="n">
        <v>42234.86011401419</v>
      </c>
      <c r="AR22" s="8" t="n">
        <v>45515.50639419054</v>
      </c>
    </row>
    <row r="23" customFormat="false" ht="15.6" hidden="false" customHeight="false" outlineLevel="0" collapsed="false">
      <c r="B23" s="23" t="s">
        <v>34</v>
      </c>
      <c r="C23" s="8" t="n">
        <v>58063.629292701815</v>
      </c>
      <c r="D23" s="8"/>
      <c r="E23" s="8" t="n">
        <v>1097.8666984391507</v>
      </c>
      <c r="F23" s="8" t="n">
        <v>23889.30670844611</v>
      </c>
      <c r="G23" s="8" t="n">
        <v>15381.747410117498</v>
      </c>
      <c r="H23" s="8" t="n">
        <v>2351.8314297284705</v>
      </c>
      <c r="I23" s="8" t="n">
        <v>703.0744574484593</v>
      </c>
      <c r="J23" s="8" t="n">
        <v>0.0</v>
      </c>
      <c r="K23" s="8" t="n">
        <v>1739.6647336213011</v>
      </c>
      <c r="L23" s="8" t="n">
        <v>306.0855951952734</v>
      </c>
      <c r="M23" s="8" t="n">
        <v>41123.37644743359</v>
      </c>
      <c r="N23" s="8" t="n">
        <v>0.0</v>
      </c>
      <c r="Q23" s="23" t="s">
        <v>34</v>
      </c>
      <c r="R23" s="8" t="n">
        <v>10543.714548312357</v>
      </c>
      <c r="S23" s="8"/>
      <c r="T23" s="8" t="n">
        <v>1084.0381027672886</v>
      </c>
      <c r="U23" s="8" t="n">
        <v>5313.57398258767</v>
      </c>
      <c r="V23" s="8" t="n">
        <v>4088.317418835264</v>
      </c>
      <c r="W23" s="8" t="n">
        <v>2353.3622905188927</v>
      </c>
      <c r="X23" s="8" t="n">
        <v>1263.1839065333488</v>
      </c>
      <c r="Y23" s="8" t="n">
        <v>0.0</v>
      </c>
      <c r="Z23" s="8" t="n">
        <v>156.83307113017997</v>
      </c>
      <c r="AA23" s="8" t="n">
        <v>530.0710786468223</v>
      </c>
      <c r="AB23" s="8" t="n">
        <v>31245.130741412206</v>
      </c>
      <c r="AC23" s="8" t="n">
        <v>0.0</v>
      </c>
      <c r="AF23" s="23" t="s">
        <v>34</v>
      </c>
      <c r="AG23" s="8" t="n">
        <v>41897.606533061655</v>
      </c>
      <c r="AH23" s="8"/>
      <c r="AI23" s="8" t="n">
        <v>3628.0988859664008</v>
      </c>
      <c r="AJ23" s="8" t="n">
        <v>5846.657298808741</v>
      </c>
      <c r="AK23" s="8" t="n">
        <v>5361.566114109026</v>
      </c>
      <c r="AL23" s="8" t="n">
        <v>2789.0148720082166</v>
      </c>
      <c r="AM23" s="8" t="n">
        <v>784.1222497186841</v>
      </c>
      <c r="AN23" s="8" t="n">
        <v>0.0</v>
      </c>
      <c r="AO23" s="8" t="n">
        <v>2003.2266277111223</v>
      </c>
      <c r="AP23" s="8" t="n">
        <v>639.8619673488633</v>
      </c>
      <c r="AQ23" s="8" t="n">
        <v>49688.812956368136</v>
      </c>
      <c r="AR23" s="8" t="n">
        <v>0.0</v>
      </c>
    </row>
    <row r="24" customFormat="false" ht="15.6" hidden="false" customHeight="false" outlineLevel="0" collapsed="false">
      <c r="B24" s="23" t="s">
        <v>35</v>
      </c>
      <c r="C24" s="8" t="n">
        <v>13744.372515291494</v>
      </c>
      <c r="D24" s="8" t="n">
        <v>129737.81447608962</v>
      </c>
      <c r="E24" s="8" t="n">
        <v>23101.169807653536</v>
      </c>
      <c r="F24" s="8" t="n">
        <v>33583.45947037525</v>
      </c>
      <c r="G24" s="8" t="n">
        <v>13188.69020073527</v>
      </c>
      <c r="H24" s="8" t="n">
        <v>72487.35984969418</v>
      </c>
      <c r="I24" s="8" t="n">
        <v>56934.90935774272</v>
      </c>
      <c r="J24" s="8" t="n">
        <v>42341.10820515983</v>
      </c>
      <c r="K24" s="8" t="n">
        <v>93783.77558173865</v>
      </c>
      <c r="L24" s="8" t="n">
        <v>132941.42364379903</v>
      </c>
      <c r="M24" s="8" t="n">
        <v>9922.913803768672</v>
      </c>
      <c r="N24" s="8" t="n">
        <v>3181.190335413437</v>
      </c>
      <c r="Q24" s="23" t="s">
        <v>35</v>
      </c>
      <c r="R24" s="8" t="n">
        <v>71924.43491799488</v>
      </c>
      <c r="S24" s="8" t="n">
        <v>183848.38250995334</v>
      </c>
      <c r="T24" s="8" t="n">
        <v>78354.43528287447</v>
      </c>
      <c r="U24" s="8" t="n">
        <v>16848.7046688337</v>
      </c>
      <c r="V24" s="8" t="n">
        <v>107972.06665369218</v>
      </c>
      <c r="W24" s="8" t="n">
        <v>35393.58375838987</v>
      </c>
      <c r="X24" s="8" t="n">
        <v>125159.11621401795</v>
      </c>
      <c r="Y24" s="8" t="n">
        <v>37090.41034655376</v>
      </c>
      <c r="Z24" s="8" t="n">
        <v>161860.24097266726</v>
      </c>
      <c r="AA24" s="8" t="n">
        <v>30314.256551124126</v>
      </c>
      <c r="AB24" s="8" t="n">
        <v>72096.70615077134</v>
      </c>
      <c r="AC24" s="8" t="n">
        <v>37592.48734475958</v>
      </c>
      <c r="AF24" s="23" t="s">
        <v>35</v>
      </c>
      <c r="AG24" s="8" t="n">
        <v>175291.8515466863</v>
      </c>
      <c r="AH24" s="8" t="n">
        <v>23737.472854001015</v>
      </c>
      <c r="AI24" s="8" t="n">
        <v>5356.218477330518</v>
      </c>
      <c r="AJ24" s="8" t="n">
        <v>122732.84312099397</v>
      </c>
      <c r="AK24" s="8" t="n">
        <v>119949.5094990936</v>
      </c>
      <c r="AL24" s="8" t="n">
        <v>39544.27658249781</v>
      </c>
      <c r="AM24" s="8" t="n">
        <v>19256.017501818733</v>
      </c>
      <c r="AN24" s="8" t="n">
        <v>35510.80328299948</v>
      </c>
      <c r="AO24" s="8" t="n">
        <v>164620.81014095846</v>
      </c>
      <c r="AP24" s="8" t="n">
        <v>22053.286968631925</v>
      </c>
      <c r="AQ24" s="8" t="n">
        <v>161394.1530250148</v>
      </c>
      <c r="AR24" s="8" t="n">
        <v>83668.02961356386</v>
      </c>
    </row>
    <row r="25" customFormat="false" ht="15.6" hidden="false" customHeight="false" outlineLevel="0" collapsed="false">
      <c r="B25" s="24" t="s">
        <v>36</v>
      </c>
      <c r="C25" s="25" t="n">
        <v>94430.78431742721</v>
      </c>
      <c r="D25" s="25" t="n">
        <v>34723.51813164261</v>
      </c>
      <c r="E25" s="25" t="n">
        <v>29039.027385862548</v>
      </c>
      <c r="F25" s="25" t="n">
        <v>41242.16521230178</v>
      </c>
      <c r="G25" s="25" t="n">
        <v>106420.5874726514</v>
      </c>
      <c r="H25" s="25" t="n">
        <v>121651.9718187961</v>
      </c>
      <c r="I25" s="25" t="n">
        <v>64294.88999910831</v>
      </c>
      <c r="J25" s="25" t="n">
        <v>52916.42470020801</v>
      </c>
      <c r="K25" s="25" t="n">
        <v>22831.66459861144</v>
      </c>
      <c r="L25" s="25" t="n">
        <v>78139.82167316406</v>
      </c>
      <c r="M25" s="25" t="n">
        <v>12275.016938858651</v>
      </c>
      <c r="N25" s="26" t="n">
        <v>10461.515649213918</v>
      </c>
      <c r="Q25" s="24" t="s">
        <v>36</v>
      </c>
      <c r="R25" s="25" t="n">
        <v>34966.34274221454</v>
      </c>
      <c r="S25" s="25" t="n">
        <v>79826.74819992899</v>
      </c>
      <c r="T25" s="25" t="n">
        <v>34141.98351009216</v>
      </c>
      <c r="U25" s="25" t="n">
        <v>6297.6277385674</v>
      </c>
      <c r="V25" s="25" t="n">
        <v>101656.45810216176</v>
      </c>
      <c r="W25" s="25" t="n">
        <v>49.70121521640044</v>
      </c>
      <c r="X25" s="25" t="n">
        <v>69332.28172931592</v>
      </c>
      <c r="Y25" s="25" t="n">
        <v>124690.96478252595</v>
      </c>
      <c r="Z25" s="25" t="n">
        <v>17298.438681411397</v>
      </c>
      <c r="AA25" s="25" t="n">
        <v>107138.31742654394</v>
      </c>
      <c r="AB25" s="25" t="n">
        <v>22868.11582292347</v>
      </c>
      <c r="AC25" s="26" t="n">
        <v>61793.28166249901</v>
      </c>
      <c r="AF25" s="24" t="s">
        <v>36</v>
      </c>
      <c r="AG25" s="25" t="n">
        <v>14894.155866255545</v>
      </c>
      <c r="AH25" s="25" t="n">
        <v>17821.7736478176</v>
      </c>
      <c r="AI25" s="25" t="n">
        <v>19174.098939276086</v>
      </c>
      <c r="AJ25" s="25" t="n">
        <v>62522.936857982306</v>
      </c>
      <c r="AK25" s="25" t="n">
        <v>76558.04166452464</v>
      </c>
      <c r="AL25" s="25" t="n">
        <v>104905.59291607005</v>
      </c>
      <c r="AM25" s="25" t="n">
        <v>61184.162830967995</v>
      </c>
      <c r="AN25" s="25" t="n">
        <v>80003.72132689338</v>
      </c>
      <c r="AO25" s="25" t="n">
        <v>122731.64472545378</v>
      </c>
      <c r="AP25" s="25" t="n">
        <v>153584.44202627425</v>
      </c>
      <c r="AQ25" s="25" t="n">
        <v>22683.55878344005</v>
      </c>
      <c r="AR25" s="26" t="n">
        <v>37920.31526827519</v>
      </c>
    </row>
    <row r="26" customFormat="false" ht="15.6" hidden="false" customHeight="false" outlineLevel="0" collapsed="false">
      <c r="B26" s="27" t="s">
        <v>37</v>
      </c>
      <c r="C26" s="28" t="n">
        <f aca="false">SUM(C18:C25)</f>
        <v>650213.4573064642</v>
      </c>
      <c r="D26" s="29" t="n">
        <f aca="false">SUM(D18:D25)</f>
        <v>659889.8765430027</v>
      </c>
      <c r="E26" s="29" t="n">
        <f aca="false">SUM(E18:E25)</f>
        <v>1020918.9051334265</v>
      </c>
      <c r="F26" s="29" t="n">
        <f aca="false">SUM(F18:F25)</f>
        <v>303863.82987945905</v>
      </c>
      <c r="G26" s="29" t="n">
        <f aca="false">SUM(G18:G25)</f>
        <v>134426.65327218326</v>
      </c>
      <c r="H26" s="29" t="n">
        <f aca="false">SUM(H18:H25)</f>
        <v>648207.2738658877</v>
      </c>
      <c r="I26" s="29" t="n">
        <f aca="false">SUM(I18:I25)</f>
        <v>1097765.6852697034</v>
      </c>
      <c r="J26" s="29" t="n">
        <f aca="false">SUM(J18:J25)</f>
        <v>183384.74316305714</v>
      </c>
      <c r="K26" s="29" t="n">
        <f aca="false">SUM(K18:K25)</f>
        <v>823973.114683469</v>
      </c>
      <c r="L26" s="29" t="n">
        <f aca="false">SUM(L18:L25)</f>
        <v>1190443.5805316826</v>
      </c>
      <c r="M26" s="29" t="n">
        <f aca="false">SUM(M18:M25)</f>
        <v>970128.5088500815</v>
      </c>
      <c r="N26" s="29" t="n">
        <f aca="false">SUM(N18:N25)</f>
        <v>656761.739496742</v>
      </c>
      <c r="Q26" s="27" t="s">
        <v>37</v>
      </c>
      <c r="R26" s="28" t="n">
        <f aca="false">SUM(R18:R25)</f>
        <v>1563280.9832216757</v>
      </c>
      <c r="S26" s="29" t="n">
        <f aca="false">SUM(S18:S25)</f>
        <v>212906.3239382644</v>
      </c>
      <c r="T26" s="29" t="n">
        <f aca="false">SUM(T18:T25)</f>
        <v>343803.1331941174</v>
      </c>
      <c r="U26" s="29" t="n">
        <f aca="false">SUM(U18:U25)</f>
        <v>660345.5546480711</v>
      </c>
      <c r="V26" s="29" t="n">
        <f aca="false">SUM(V18:V25)</f>
        <v>548420.8520071112</v>
      </c>
      <c r="W26" s="29" t="n">
        <f aca="false">SUM(W18:W25)</f>
        <v>72707.91128959654</v>
      </c>
      <c r="X26" s="29" t="n">
        <f aca="false">SUM(X18:X25)</f>
        <v>493598.22308299824</v>
      </c>
      <c r="Y26" s="29" t="n">
        <f aca="false">SUM(Y18:Y25)</f>
        <v>366653.41393692547</v>
      </c>
      <c r="Z26" s="29" t="n">
        <f aca="false">SUM(Z18:Z25)</f>
        <v>381358.57731286326</v>
      </c>
      <c r="AA26" s="29" t="n">
        <f aca="false">SUM(AA18:AA25)</f>
        <v>1216753.7261188591</v>
      </c>
      <c r="AB26" s="29" t="n">
        <f aca="false">SUM(AB18:AB25)</f>
        <v>179579.37801411547</v>
      </c>
      <c r="AC26" s="29" t="n">
        <f aca="false">SUM(AC18:AC25)</f>
        <v>323161.552759358</v>
      </c>
      <c r="AF26" s="27" t="s">
        <v>37</v>
      </c>
      <c r="AG26" s="28" t="n">
        <f aca="false">SUM(AG18:AG25)</f>
        <v>1413187.8395367637</v>
      </c>
      <c r="AH26" s="29" t="n">
        <f aca="false">SUM(AH18:AH25)</f>
        <v>1283780.864975559</v>
      </c>
      <c r="AI26" s="29" t="n">
        <f aca="false">SUM(AI18:AI25)</f>
        <v>835751.5845768795</v>
      </c>
      <c r="AJ26" s="29" t="n">
        <f aca="false">SUM(AJ18:AJ25)</f>
        <v>1199464.0967201402</v>
      </c>
      <c r="AK26" s="29" t="n">
        <f aca="false">SUM(AK18:AK25)</f>
        <v>823612.8501773389</v>
      </c>
      <c r="AL26" s="29" t="n">
        <f aca="false">SUM(AL18:AL25)</f>
        <v>875165.2659317922</v>
      </c>
      <c r="AM26" s="29" t="n">
        <f aca="false">SUM(AM18:AM25)</f>
        <v>838184.1015384586</v>
      </c>
      <c r="AN26" s="29" t="n">
        <f aca="false">SUM(AN18:AN25)</f>
        <v>198120.72606569476</v>
      </c>
      <c r="AO26" s="29" t="n">
        <f aca="false">SUM(AO18:AO25)</f>
        <v>188438.9113933463</v>
      </c>
      <c r="AP26" s="29" t="n">
        <f aca="false">SUM(AP18:AP25)</f>
        <v>675906.9135208725</v>
      </c>
      <c r="AQ26" s="29" t="n">
        <f aca="false">SUM(AQ18:AQ25)</f>
        <v>979966.1712142935</v>
      </c>
      <c r="AR26" s="29" t="n">
        <f aca="false">SUM(AR18:AR25)</f>
        <v>366112.1389213482</v>
      </c>
    </row>
    <row r="27" customFormat="false" ht="15.6" hidden="false" customHeight="false" outlineLevel="0" collapsed="false">
      <c r="B27" s="27" t="s">
        <v>38</v>
      </c>
      <c r="C27" s="28" t="n">
        <v>84308.30019243444</v>
      </c>
      <c r="D27" s="29" t="n">
        <v>98350.741380846</v>
      </c>
      <c r="E27" s="29" t="n">
        <v>222861.4113986923</v>
      </c>
      <c r="F27" s="29" t="n">
        <v>136554.32874654848</v>
      </c>
      <c r="G27" s="29" t="n">
        <v>18325.250906073004</v>
      </c>
      <c r="H27" s="29" t="n">
        <v>166817.68787369362</v>
      </c>
      <c r="I27" s="29" t="n">
        <v>327646.6441131904</v>
      </c>
      <c r="J27" s="29" t="n">
        <v>4018.3568644642924</v>
      </c>
      <c r="K27" s="29" t="n">
        <v>249122.4018682768</v>
      </c>
      <c r="L27" s="29" t="n">
        <v>13758.700601490202</v>
      </c>
      <c r="M27" s="29" t="n">
        <v>481287.28441344143</v>
      </c>
      <c r="N27" s="29" t="n">
        <v>373941.7667563268</v>
      </c>
      <c r="Q27" s="27" t="s">
        <v>38</v>
      </c>
      <c r="R27" s="28" t="n">
        <v>197889.25055853341</v>
      </c>
      <c r="S27" s="29" t="n">
        <v>22194.114095002195</v>
      </c>
      <c r="T27" s="29" t="n">
        <v>220636.5665729137</v>
      </c>
      <c r="U27" s="29" t="n">
        <v>19353.041864493935</v>
      </c>
      <c r="V27" s="29" t="n">
        <v>72385.236241955</v>
      </c>
      <c r="W27" s="29" t="n">
        <v>160842.86525525642</v>
      </c>
      <c r="X27" s="29" t="n">
        <v>226631.58833895938</v>
      </c>
      <c r="Y27" s="29" t="n">
        <v>111845.55287575789</v>
      </c>
      <c r="Z27" s="29" t="n">
        <v>203218.14950478554</v>
      </c>
      <c r="AA27" s="29" t="n">
        <v>385714.9596363134</v>
      </c>
      <c r="AB27" s="29" t="n">
        <v>221278.3429647726</v>
      </c>
      <c r="AC27" s="29" t="n">
        <v>192459.0563899252</v>
      </c>
      <c r="AF27" s="27" t="s">
        <v>38</v>
      </c>
      <c r="AG27" s="28" t="n">
        <v>115173.40912289829</v>
      </c>
      <c r="AH27" s="29" t="n">
        <v>43054.45844482207</v>
      </c>
      <c r="AI27" s="29" t="n">
        <v>29811.91371046867</v>
      </c>
      <c r="AJ27" s="29" t="n">
        <v>47950.48323754275</v>
      </c>
      <c r="AK27" s="29" t="n">
        <v>181508.0210787084</v>
      </c>
      <c r="AL27" s="29" t="n">
        <v>144947.60318577095</v>
      </c>
      <c r="AM27" s="29" t="n">
        <v>8455.6778765554</v>
      </c>
      <c r="AN27" s="29" t="n">
        <v>139162.558468669</v>
      </c>
      <c r="AO27" s="29" t="n">
        <v>294041.8347648673</v>
      </c>
      <c r="AP27" s="29" t="n">
        <v>448408.1779010875</v>
      </c>
      <c r="AQ27" s="29" t="n">
        <v>439924.93062009115</v>
      </c>
      <c r="AR27" s="29" t="n">
        <v>546982.5290035903</v>
      </c>
    </row>
    <row r="28" customFormat="false" ht="15.6" hidden="false" customHeight="false" outlineLevel="0" collapsed="false">
      <c r="B28" s="23" t="s">
        <v>39</v>
      </c>
      <c r="C28" s="8" t="n">
        <v>428831.3733765365</v>
      </c>
      <c r="D28" s="8" t="n">
        <v>322161.119454839</v>
      </c>
      <c r="E28" s="8" t="n">
        <v>14259.066222635887</v>
      </c>
      <c r="F28" s="8" t="n">
        <v>422514.08968440694</v>
      </c>
      <c r="G28" s="8" t="n">
        <v>244089.55949083576</v>
      </c>
      <c r="H28" s="8" t="n">
        <v>433332.6149877117</v>
      </c>
      <c r="I28" s="8" t="n">
        <v>493838.537992258</v>
      </c>
      <c r="J28" s="8" t="n">
        <v>462668.2167389534</v>
      </c>
      <c r="K28" s="8" t="n">
        <v>65652.82411155215</v>
      </c>
      <c r="L28" s="8" t="n">
        <v>186899.62383894942</v>
      </c>
      <c r="M28" s="8" t="n">
        <v>910356.7119379224</v>
      </c>
      <c r="N28" s="8" t="n">
        <v>232.0131016024911</v>
      </c>
      <c r="Q28" s="23" t="s">
        <v>39</v>
      </c>
      <c r="R28" s="8" t="n">
        <v>64780.28979827888</v>
      </c>
      <c r="S28" s="8" t="n">
        <v>477869.7586402913</v>
      </c>
      <c r="T28" s="8" t="n">
        <v>356374.5620367891</v>
      </c>
      <c r="U28" s="8" t="n">
        <v>251562.83374095612</v>
      </c>
      <c r="V28" s="8" t="n">
        <v>146433.29313953486</v>
      </c>
      <c r="W28" s="8" t="n">
        <v>386789.69340257416</v>
      </c>
      <c r="X28" s="8" t="n">
        <v>339971.03537570185</v>
      </c>
      <c r="Y28" s="8" t="n">
        <v>504382.2655273682</v>
      </c>
      <c r="Z28" s="8" t="n">
        <v>137715.48573822808</v>
      </c>
      <c r="AA28" s="8" t="n">
        <v>91350.91446356915</v>
      </c>
      <c r="AB28" s="8" t="n">
        <v>321637.3289360564</v>
      </c>
      <c r="AC28" s="8" t="n">
        <v>124905.04951366111</v>
      </c>
      <c r="AF28" s="23" t="s">
        <v>39</v>
      </c>
      <c r="AG28" s="8" t="n">
        <v>912651.8099856287</v>
      </c>
      <c r="AH28" s="8" t="n">
        <v>308803.2508223146</v>
      </c>
      <c r="AI28" s="8" t="n">
        <v>244625.74578992763</v>
      </c>
      <c r="AJ28" s="8" t="n">
        <v>125671.96309556955</v>
      </c>
      <c r="AK28" s="8" t="n">
        <v>130065.76080595683</v>
      </c>
      <c r="AL28" s="8" t="n">
        <v>419356.0368817846</v>
      </c>
      <c r="AM28" s="8" t="n">
        <v>164354.08414624847</v>
      </c>
      <c r="AN28" s="8" t="n">
        <v>204724.09681228737</v>
      </c>
      <c r="AO28" s="8" t="n">
        <v>169999.20410533983</v>
      </c>
      <c r="AP28" s="8" t="n">
        <v>56027.342365154786</v>
      </c>
      <c r="AQ28" s="8" t="n">
        <v>539325.6408467923</v>
      </c>
      <c r="AR28" s="8" t="n">
        <v>12725.621820232696</v>
      </c>
    </row>
    <row r="29" customFormat="false" ht="15.6" hidden="false" customHeight="false" outlineLevel="0" collapsed="false">
      <c r="B29" s="23" t="s">
        <v>40</v>
      </c>
      <c r="C29" s="8" t="n">
        <v>40359.34940964551</v>
      </c>
      <c r="D29" s="8" t="n">
        <v>135470.72387477048</v>
      </c>
      <c r="E29" s="8" t="n">
        <v>126623.04386829476</v>
      </c>
      <c r="F29" s="8" t="n">
        <v>291550.15405929723</v>
      </c>
      <c r="G29" s="8" t="n">
        <v>100222.11189578594</v>
      </c>
      <c r="H29" s="8" t="n">
        <v>402136.97138327436</v>
      </c>
      <c r="I29" s="8" t="n">
        <v>387773.9650064761</v>
      </c>
      <c r="J29" s="8" t="n">
        <v>763.1330478905595</v>
      </c>
      <c r="K29" s="8" t="n">
        <v>145174.69193319106</v>
      </c>
      <c r="L29" s="8" t="n">
        <v>143382.5664354467</v>
      </c>
      <c r="M29" s="8" t="n">
        <v>165016.4399517449</v>
      </c>
      <c r="N29" s="8" t="n">
        <v>77999.1924834206</v>
      </c>
      <c r="Q29" s="23" t="s">
        <v>40</v>
      </c>
      <c r="R29" s="8" t="n">
        <v>49616.35023778252</v>
      </c>
      <c r="S29" s="8" t="n">
        <v>68746.53609478436</v>
      </c>
      <c r="T29" s="8" t="n">
        <v>109563.77245270347</v>
      </c>
      <c r="U29" s="8" t="n">
        <v>232620.29886743467</v>
      </c>
      <c r="V29" s="8" t="n">
        <v>11353.58546901884</v>
      </c>
      <c r="W29" s="8" t="n">
        <v>201543.3274142667</v>
      </c>
      <c r="X29" s="8" t="n">
        <v>42048.609117778564</v>
      </c>
      <c r="Y29" s="8" t="n">
        <v>2450.9566692586654</v>
      </c>
      <c r="Z29" s="8" t="n">
        <v>686292.9936704277</v>
      </c>
      <c r="AA29" s="8" t="n">
        <v>462556.5463200854</v>
      </c>
      <c r="AB29" s="8" t="n">
        <v>55833.20530223588</v>
      </c>
      <c r="AC29" s="8" t="n">
        <v>119735.93244262272</v>
      </c>
      <c r="AF29" s="23" t="s">
        <v>40</v>
      </c>
      <c r="AG29" s="8" t="n">
        <v>46233.838459515646</v>
      </c>
      <c r="AH29" s="8" t="n">
        <v>101931.07600910455</v>
      </c>
      <c r="AI29" s="8" t="n">
        <v>124780.72145800605</v>
      </c>
      <c r="AJ29" s="8" t="n">
        <v>246984.11543662866</v>
      </c>
      <c r="AK29" s="8" t="n">
        <v>28035.433799690913</v>
      </c>
      <c r="AL29" s="8" t="n">
        <v>212957.40468977235</v>
      </c>
      <c r="AM29" s="8" t="n">
        <v>86876.2835902697</v>
      </c>
      <c r="AN29" s="8" t="n">
        <v>165739.35751784316</v>
      </c>
      <c r="AO29" s="8" t="n">
        <v>64523.99351896815</v>
      </c>
      <c r="AP29" s="8" t="n">
        <v>791339.1494603563</v>
      </c>
      <c r="AQ29" s="8" t="n">
        <v>451189.75178394414</v>
      </c>
      <c r="AR29" s="8" t="n">
        <v>53751.89222162961</v>
      </c>
    </row>
    <row r="30" customFormat="false" ht="15.6" hidden="false" customHeight="false" outlineLevel="0" collapsed="false">
      <c r="B30" s="23" t="s">
        <v>41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Q30" s="23" t="s">
        <v>41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F30" s="23" t="s">
        <v>41</v>
      </c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</row>
    <row r="31" customFormat="false" ht="15.6" hidden="false" customHeight="false" outlineLevel="0" collapsed="false">
      <c r="B31" s="24" t="s">
        <v>42</v>
      </c>
      <c r="C31" s="25" t="n">
        <v>309158.15442668594</v>
      </c>
      <c r="D31" s="25" t="n">
        <v>5818.834818903945</v>
      </c>
      <c r="E31" s="25" t="n">
        <v>130186.55950268752</v>
      </c>
      <c r="F31" s="25" t="n">
        <v>91681.57878961788</v>
      </c>
      <c r="G31" s="25" t="n">
        <v>50657.37501828349</v>
      </c>
      <c r="H31" s="25" t="n">
        <v>89083.605458998</v>
      </c>
      <c r="I31" s="25" t="n">
        <v>123.85792444492681</v>
      </c>
      <c r="J31" s="25" t="n">
        <v>65473.306552535214</v>
      </c>
      <c r="K31" s="25" t="n">
        <v>291087.0379126121</v>
      </c>
      <c r="L31" s="25" t="n">
        <v>83916.89922014032</v>
      </c>
      <c r="M31" s="25" t="n">
        <v>15886.862296137106</v>
      </c>
      <c r="N31" s="26" t="n">
        <v>51848.237221997944</v>
      </c>
      <c r="Q31" s="24" t="s">
        <v>42</v>
      </c>
      <c r="R31" s="25" t="n">
        <v>56602.55531491494</v>
      </c>
      <c r="S31" s="25" t="n">
        <v>9004.773401842598</v>
      </c>
      <c r="T31" s="25" t="n">
        <v>143081.19750380612</v>
      </c>
      <c r="U31" s="25" t="n">
        <v>184594.5340927065</v>
      </c>
      <c r="V31" s="25" t="n">
        <v>52433.595896454426</v>
      </c>
      <c r="W31" s="25" t="n">
        <v>25462.246222922637</v>
      </c>
      <c r="X31" s="25" t="n">
        <v>22848.89508974532</v>
      </c>
      <c r="Y31" s="25" t="n">
        <v>83447.3185863382</v>
      </c>
      <c r="Z31" s="25" t="n">
        <v>378538.71352134406</v>
      </c>
      <c r="AA31" s="25" t="n">
        <v>2630.3301650458925</v>
      </c>
      <c r="AB31" s="25" t="n">
        <v>4954.4988305796805</v>
      </c>
      <c r="AC31" s="26" t="n">
        <v>13972.320440834828</v>
      </c>
      <c r="AF31" s="24" t="s">
        <v>42</v>
      </c>
      <c r="AG31" s="25" t="n">
        <v>132554.47425675302</v>
      </c>
      <c r="AH31" s="25" t="n">
        <v>12354.338484870003</v>
      </c>
      <c r="AI31" s="25" t="n">
        <v>68995.56358082993</v>
      </c>
      <c r="AJ31" s="25" t="n">
        <v>35264.51467178265</v>
      </c>
      <c r="AK31" s="25" t="n">
        <v>20110.251050262985</v>
      </c>
      <c r="AL31" s="25" t="n">
        <v>45849.32936186454</v>
      </c>
      <c r="AM31" s="25" t="n">
        <v>11282.768958079132</v>
      </c>
      <c r="AN31" s="25" t="n">
        <v>5867.919683742767</v>
      </c>
      <c r="AO31" s="25" t="n">
        <v>272713.24894051097</v>
      </c>
      <c r="AP31" s="25" t="n">
        <v>193175.88599116303</v>
      </c>
      <c r="AQ31" s="25" t="n">
        <v>6353.4065183361445</v>
      </c>
      <c r="AR31" s="26" t="n">
        <v>78673.79039430412</v>
      </c>
    </row>
    <row r="32" customFormat="false" ht="15.6" hidden="false" customHeight="false" outlineLevel="0" collapsed="false">
      <c r="B32" s="27" t="s">
        <v>43</v>
      </c>
      <c r="C32" s="29" t="n">
        <f aca="false">SUM(C28:C31)</f>
        <v>1444587.0946840006</v>
      </c>
      <c r="D32" s="29" t="n">
        <f aca="false">SUM(D28:D31)</f>
        <v>420314.65432990826</v>
      </c>
      <c r="E32" s="29" t="n">
        <f aca="false">SUM(E28:E31)</f>
        <v>873155.1886919526</v>
      </c>
      <c r="F32" s="29" t="n">
        <f aca="false">SUM(F28:F31)</f>
        <v>274179.0910651874</v>
      </c>
      <c r="G32" s="29" t="n">
        <f aca="false">SUM(G28:G31)</f>
        <v>408197.41759816627</v>
      </c>
      <c r="H32" s="29" t="n">
        <f aca="false">SUM(H28:H31)</f>
        <v>873728.1860651183</v>
      </c>
      <c r="I32" s="29" t="n">
        <f aca="false">SUM(I28:I31)</f>
        <v>556354.696525311</v>
      </c>
      <c r="J32" s="29" t="n">
        <f aca="false">SUM(J28:J31)</f>
        <v>239968.9313082894</v>
      </c>
      <c r="K32" s="29" t="n">
        <f aca="false">SUM(K28:K31)</f>
        <v>1069247.4602616876</v>
      </c>
      <c r="L32" s="29" t="n">
        <f aca="false">SUM(L28:L31)</f>
        <v>1044367.8893418305</v>
      </c>
      <c r="M32" s="29" t="n">
        <f aca="false">SUM(M28:M31)</f>
        <v>993823.3099338227</v>
      </c>
      <c r="N32" s="29" t="n">
        <f aca="false">SUM(N28:N31)</f>
        <v>240031.8225456702</v>
      </c>
      <c r="Q32" s="27" t="s">
        <v>43</v>
      </c>
      <c r="R32" s="29" t="n">
        <f aca="false">SUM(R28:R31)</f>
        <v>82309.93568089213</v>
      </c>
      <c r="S32" s="29" t="n">
        <f aca="false">SUM(S28:S31)</f>
        <v>368393.5109010686</v>
      </c>
      <c r="T32" s="29" t="n">
        <f aca="false">SUM(T28:T31)</f>
        <v>494404.341349777</v>
      </c>
      <c r="U32" s="29" t="n">
        <f aca="false">SUM(U28:U31)</f>
        <v>217724.54148875663</v>
      </c>
      <c r="V32" s="29" t="n">
        <f aca="false">SUM(V28:V31)</f>
        <v>19147.143856045328</v>
      </c>
      <c r="W32" s="29" t="n">
        <f aca="false">SUM(W28:W31)</f>
        <v>180099.13074742284</v>
      </c>
      <c r="X32" s="29" t="n">
        <f aca="false">SUM(X28:X31)</f>
        <v>577405.3761926539</v>
      </c>
      <c r="Y32" s="29" t="n">
        <f aca="false">SUM(Y28:Y31)</f>
        <v>95128.12541418783</v>
      </c>
      <c r="Z32" s="29" t="n">
        <f aca="false">SUM(Z28:Z31)</f>
        <v>1430746.4231462216</v>
      </c>
      <c r="AA32" s="29" t="n">
        <f aca="false">SUM(AA28:AA31)</f>
        <v>1138706.6474919426</v>
      </c>
      <c r="AB32" s="29" t="n">
        <f aca="false">SUM(AB28:AB31)</f>
        <v>513828.52300183603</v>
      </c>
      <c r="AC32" s="29" t="n">
        <f aca="false">SUM(AC28:AC31)</f>
        <v>225736.0389977545</v>
      </c>
      <c r="AF32" s="27" t="s">
        <v>43</v>
      </c>
      <c r="AG32" s="29" t="n">
        <f aca="false">SUM(AG28:AG31)</f>
        <v>188912.8365328771</v>
      </c>
      <c r="AH32" s="29" t="n">
        <f aca="false">SUM(AH28:AH31)</f>
        <v>28395.61750019443</v>
      </c>
      <c r="AI32" s="29" t="n">
        <f aca="false">SUM(AI28:AI31)</f>
        <v>202628.27606646004</v>
      </c>
      <c r="AJ32" s="29" t="n">
        <f aca="false">SUM(AJ28:AJ31)</f>
        <v>275972.1104321241</v>
      </c>
      <c r="AK32" s="29" t="n">
        <f aca="false">SUM(AK28:AK31)</f>
        <v>474368.8367503381</v>
      </c>
      <c r="AL32" s="29" t="n">
        <f aca="false">SUM(AL28:AL31)</f>
        <v>270166.9423215293</v>
      </c>
      <c r="AM32" s="29" t="n">
        <f aca="false">SUM(AM28:AM31)</f>
        <v>230830.2282833926</v>
      </c>
      <c r="AN32" s="29" t="n">
        <f aca="false">SUM(AN28:AN31)</f>
        <v>55635.63802383388</v>
      </c>
      <c r="AO32" s="29" t="n">
        <f aca="false">SUM(AO28:AO31)</f>
        <v>1153539.6026662865</v>
      </c>
      <c r="AP32" s="29" t="n">
        <f aca="false">SUM(AP28:AP31)</f>
        <v>697535.9815144273</v>
      </c>
      <c r="AQ32" s="29" t="n">
        <f aca="false">SUM(AQ28:AQ31)</f>
        <v>267125.4121484019</v>
      </c>
      <c r="AR32" s="29" t="n">
        <f aca="false">SUM(AR28:AR31)</f>
        <v>283197.44980232633</v>
      </c>
    </row>
    <row r="33" customFormat="false" ht="15.6" hidden="false" customHeight="false" outlineLevel="0" collapsed="false">
      <c r="B33" s="30" t="s">
        <v>44</v>
      </c>
      <c r="C33" s="21" t="n">
        <f aca="false">SUM(C26,C27,C32)</f>
        <v>1348997.1660448674</v>
      </c>
      <c r="D33" s="21" t="n">
        <f aca="false">SUM(D26,D27,D32)</f>
        <v>501385.85881025554</v>
      </c>
      <c r="E33" s="21" t="n">
        <f aca="false">SUM(E26,E27,E32)</f>
        <v>2255796.859638214</v>
      </c>
      <c r="F33" s="21" t="n">
        <f aca="false">SUM(F26,F27,F32)</f>
        <v>2403120.4241522546</v>
      </c>
      <c r="G33" s="21" t="n">
        <f aca="false">SUM(G26,G27,G32)</f>
        <v>1659492.7025651338</v>
      </c>
      <c r="H33" s="21" t="n">
        <f aca="false">SUM(H26,H27,H32)</f>
        <v>1359232.141953621</v>
      </c>
      <c r="I33" s="21" t="n">
        <f aca="false">SUM(I26,I27,I32)</f>
        <v>905255.3397741325</v>
      </c>
      <c r="J33" s="21" t="n">
        <f aca="false">SUM(J26,J27,J32)</f>
        <v>2565738.803992786</v>
      </c>
      <c r="K33" s="21" t="n">
        <v>876534.9158030662</v>
      </c>
      <c r="L33" s="21" t="n">
        <f aca="false">SUM(L26,L27,L32)</f>
        <v>2786335.2841411023</v>
      </c>
      <c r="M33" s="21" t="n">
        <f aca="false">SUM(M26,M27,M32)</f>
        <v>133738.82262659393</v>
      </c>
      <c r="N33" s="21" t="n">
        <f aca="false">SUM(N26,N27,N32)</f>
        <v>582134.6922129776</v>
      </c>
      <c r="Q33" s="30" t="s">
        <v>44</v>
      </c>
      <c r="R33" s="21" t="n">
        <f aca="false">SUM(R26,R27,R32)</f>
        <v>963339.4604258379</v>
      </c>
      <c r="S33" s="21" t="n">
        <f aca="false">SUM(S26,S27,S32)</f>
        <v>65195.904462657236</v>
      </c>
      <c r="T33" s="21" t="n">
        <f aca="false">SUM(T26,T27,T32)</f>
        <v>2667760.7755320305</v>
      </c>
      <c r="U33" s="21" t="n">
        <f aca="false">SUM(U26,U27,U32)</f>
        <v>1053541.6388741846</v>
      </c>
      <c r="V33" s="21" t="n">
        <f aca="false">SUM(V26,V27,V32)</f>
        <v>238218.497525943</v>
      </c>
      <c r="W33" s="21" t="n">
        <f aca="false">SUM(W26,W27,W32)</f>
        <v>394412.2707067193</v>
      </c>
      <c r="X33" s="21" t="n">
        <f aca="false">SUM(X26,X27,X32)</f>
        <v>1218997.8611617205</v>
      </c>
      <c r="Y33" s="21" t="n">
        <f aca="false">SUM(Y26,Y27,Y32)</f>
        <v>1253569.7697820533</v>
      </c>
      <c r="Z33" s="21" t="n">
        <v>1081465.1047071542</v>
      </c>
      <c r="AA33" s="21" t="n">
        <f aca="false">SUM(AA26,AA27,AA32)</f>
        <v>2155286.550621136</v>
      </c>
      <c r="AB33" s="21" t="n">
        <f aca="false">SUM(AB26,AB27,AB32)</f>
        <v>1777433.5775040814</v>
      </c>
      <c r="AC33" s="21" t="n">
        <f aca="false">SUM(AC26,AC27,AC32)</f>
        <v>1447780.8748857328</v>
      </c>
      <c r="AF33" s="30" t="s">
        <v>44</v>
      </c>
      <c r="AG33" s="21" t="n">
        <f aca="false">SUM(AG26,AG27,AG32)</f>
        <v>3335254.305691608</v>
      </c>
      <c r="AH33" s="21" t="n">
        <f aca="false">SUM(AH26,AH27,AH32)</f>
        <v>2242792.241491742</v>
      </c>
      <c r="AI33" s="21" t="n">
        <f aca="false">SUM(AI26,AI27,AI32)</f>
        <v>2202727.390413067</v>
      </c>
      <c r="AJ33" s="21" t="n">
        <f aca="false">SUM(AJ26,AJ27,AJ32)</f>
        <v>1112212.3345592725</v>
      </c>
      <c r="AK33" s="21" t="n">
        <f aca="false">SUM(AK26,AK27,AK32)</f>
        <v>1398925.6365168963</v>
      </c>
      <c r="AL33" s="21" t="n">
        <f aca="false">SUM(AL26,AL27,AL32)</f>
        <v>2142927.821811151</v>
      </c>
      <c r="AM33" s="21" t="n">
        <f aca="false">SUM(AM26,AM27,AM32)</f>
        <v>81408.76326457308</v>
      </c>
      <c r="AN33" s="21" t="n">
        <f aca="false">SUM(AN26,AN27,AN32)</f>
        <v>2663772.6888209665</v>
      </c>
      <c r="AO33" s="21" t="n">
        <v>117497.01526624824</v>
      </c>
      <c r="AP33" s="21" t="n">
        <f aca="false">SUM(AP26,AP27,AP32)</f>
        <v>1234752.464493134</v>
      </c>
      <c r="AQ33" s="21" t="n">
        <f aca="false">SUM(AQ26,AQ27,AQ32)</f>
        <v>411700.90879250533</v>
      </c>
      <c r="AR33" s="21" t="n">
        <f aca="false">SUM(AR26,AR27,AR32)</f>
        <v>461912.94242646074</v>
      </c>
    </row>
    <row r="34" customFormat="false" ht="15.6" hidden="false" customHeight="false" outlineLevel="0" collapsed="false">
      <c r="B34" s="24" t="s">
        <v>45</v>
      </c>
      <c r="C34" s="25" t="n">
        <v>790425.2731008426</v>
      </c>
      <c r="D34" s="25" t="n">
        <v>4980700.440323799</v>
      </c>
      <c r="E34" s="25" t="n">
        <v>4176517.70654429</v>
      </c>
      <c r="F34" s="25" t="n">
        <v>2891376.606868713</v>
      </c>
      <c r="G34" s="25" t="n">
        <v>1300240.1078207812</v>
      </c>
      <c r="H34" s="25" t="n">
        <v>2048232.7299756028</v>
      </c>
      <c r="I34" s="25" t="n">
        <v>3054961.2958950866</v>
      </c>
      <c r="J34" s="25" t="n">
        <v>1177784.7008509785</v>
      </c>
      <c r="K34" s="25" t="n">
        <v>4265074.202912897</v>
      </c>
      <c r="L34" s="25" t="n">
        <v>2562427.018378558</v>
      </c>
      <c r="M34" s="25" t="n">
        <v>855967.9453604827</v>
      </c>
      <c r="N34" s="25" t="n">
        <v>4627144.375876079</v>
      </c>
      <c r="Q34" s="24" t="s">
        <v>45</v>
      </c>
      <c r="R34" s="25" t="n">
        <v>3199728.938412161</v>
      </c>
      <c r="S34" s="25" t="n">
        <v>4919347.561659354</v>
      </c>
      <c r="T34" s="25" t="n">
        <v>944666.3917149699</v>
      </c>
      <c r="U34" s="25" t="n">
        <v>1519806.3581344706</v>
      </c>
      <c r="V34" s="25" t="n">
        <v>315231.0557894771</v>
      </c>
      <c r="W34" s="25" t="n">
        <v>778926.187460353</v>
      </c>
      <c r="X34" s="25" t="n">
        <v>4604005.78410592</v>
      </c>
      <c r="Y34" s="25" t="n">
        <v>308601.37931552617</v>
      </c>
      <c r="Z34" s="25" t="n">
        <v>5049049.610392677</v>
      </c>
      <c r="AA34" s="25" t="n">
        <v>3944750.2235642043</v>
      </c>
      <c r="AB34" s="25" t="n">
        <v>4944440.0128146885</v>
      </c>
      <c r="AC34" s="25" t="n">
        <v>5332992.966503664</v>
      </c>
      <c r="AF34" s="24" t="s">
        <v>45</v>
      </c>
      <c r="AG34" s="25" t="n">
        <v>121161.89656740334</v>
      </c>
      <c r="AH34" s="25" t="n">
        <v>3726812.951069842</v>
      </c>
      <c r="AI34" s="25" t="n">
        <v>2067540.8009845556</v>
      </c>
      <c r="AJ34" s="25" t="n">
        <v>39842.26719634266</v>
      </c>
      <c r="AK34" s="25" t="n">
        <v>461185.0050904911</v>
      </c>
      <c r="AL34" s="25" t="n">
        <v>1278508.9210229493</v>
      </c>
      <c r="AM34" s="25" t="n">
        <v>4410622.563470735</v>
      </c>
      <c r="AN34" s="25" t="n">
        <v>1197621.9080157122</v>
      </c>
      <c r="AO34" s="25" t="n">
        <v>4648659.801349329</v>
      </c>
      <c r="AP34" s="25" t="n">
        <v>2012955.6158267702</v>
      </c>
      <c r="AQ34" s="25" t="n">
        <v>4820606.485800085</v>
      </c>
      <c r="AR34" s="25" t="n">
        <v>4422563.902409533</v>
      </c>
    </row>
    <row r="35" customFormat="false" ht="15.6" hidden="false" customHeight="false" outlineLevel="0" collapsed="false">
      <c r="B35" s="30" t="s">
        <v>46</v>
      </c>
      <c r="C35" s="21" t="n">
        <f aca="false">SUM(C34)</f>
        <v>873697.9739226454</v>
      </c>
      <c r="D35" s="21" t="n">
        <f aca="false">SUM(D34)</f>
        <v>4872641.486795106</v>
      </c>
      <c r="E35" s="21" t="n">
        <f aca="false">SUM(E34)</f>
        <v>2367367.311394892</v>
      </c>
      <c r="F35" s="21" t="n">
        <f aca="false">SUM(F34)</f>
        <v>3109913.119080665</v>
      </c>
      <c r="G35" s="21" t="n">
        <f aca="false">SUM(G34)</f>
        <v>1086960.9897367293</v>
      </c>
      <c r="H35" s="21" t="n">
        <f aca="false">SUM(H34)</f>
        <v>2547094.318143819</v>
      </c>
      <c r="I35" s="21" t="n">
        <f aca="false">SUM(I34)</f>
        <v>2256385.8436456425</v>
      </c>
      <c r="J35" s="21" t="n">
        <f aca="false">SUM(J34)</f>
        <v>488156.61902927083</v>
      </c>
      <c r="K35" s="21" t="n">
        <f aca="false">SUM(K34)</f>
        <v>119745.22785375967</v>
      </c>
      <c r="L35" s="21" t="n">
        <f aca="false">SUM(L34)</f>
        <v>1260042.5362786346</v>
      </c>
      <c r="M35" s="21" t="n">
        <f aca="false">SUM(M34)</f>
        <v>1265311.7827762503</v>
      </c>
      <c r="N35" s="21" t="n">
        <f aca="false">SUM(N34)</f>
        <v>3998256.1264870157</v>
      </c>
      <c r="Q35" s="30" t="s">
        <v>46</v>
      </c>
      <c r="R35" s="21" t="n">
        <f aca="false">SUM(R34)</f>
        <v>664824.2337581042</v>
      </c>
      <c r="S35" s="21" t="n">
        <f aca="false">SUM(S34)</f>
        <v>1676395.5837240363</v>
      </c>
      <c r="T35" s="21" t="n">
        <f aca="false">SUM(T34)</f>
        <v>2060225.674360612</v>
      </c>
      <c r="U35" s="21" t="n">
        <f aca="false">SUM(U34)</f>
        <v>2050248.8410688364</v>
      </c>
      <c r="V35" s="21" t="n">
        <f aca="false">SUM(V34)</f>
        <v>1111439.5843071814</v>
      </c>
      <c r="W35" s="21" t="n">
        <f aca="false">SUM(W34)</f>
        <v>1049964.1819708298</v>
      </c>
      <c r="X35" s="21" t="n">
        <f aca="false">SUM(X34)</f>
        <v>3804727.8065458783</v>
      </c>
      <c r="Y35" s="21" t="n">
        <f aca="false">SUM(Y34)</f>
        <v>2931917.5250055026</v>
      </c>
      <c r="Z35" s="21" t="n">
        <f aca="false">SUM(Z34)</f>
        <v>6131204.012904501</v>
      </c>
      <c r="AA35" s="21" t="n">
        <f aca="false">SUM(AA34)</f>
        <v>3348931.4555057</v>
      </c>
      <c r="AB35" s="21" t="n">
        <f aca="false">SUM(AB34)</f>
        <v>3345750.3691990846</v>
      </c>
      <c r="AC35" s="21" t="n">
        <f aca="false">SUM(AC34)</f>
        <v>74220.94552565938</v>
      </c>
      <c r="AF35" s="30" t="s">
        <v>46</v>
      </c>
      <c r="AG35" s="21" t="n">
        <f aca="false">SUM(AG34)</f>
        <v>312227.675104462</v>
      </c>
      <c r="AH35" s="21" t="n">
        <f aca="false">SUM(AH34)</f>
        <v>507408.28409377224</v>
      </c>
      <c r="AI35" s="21" t="n">
        <f aca="false">SUM(AI34)</f>
        <v>2828997.186210529</v>
      </c>
      <c r="AJ35" s="21" t="n">
        <f aca="false">SUM(AJ34)</f>
        <v>3099824.303770804</v>
      </c>
      <c r="AK35" s="21" t="n">
        <f aca="false">SUM(AK34)</f>
        <v>1620730.1084388157</v>
      </c>
      <c r="AL35" s="21" t="n">
        <f aca="false">SUM(AL34)</f>
        <v>3012463.9058797094</v>
      </c>
      <c r="AM35" s="21" t="n">
        <f aca="false">SUM(AM34)</f>
        <v>2320449.956296037</v>
      </c>
      <c r="AN35" s="21" t="n">
        <f aca="false">SUM(AN34)</f>
        <v>1780133.2297187236</v>
      </c>
      <c r="AO35" s="21" t="n">
        <f aca="false">SUM(AO34)</f>
        <v>3924290.943878</v>
      </c>
      <c r="AP35" s="21" t="n">
        <f aca="false">SUM(AP34)</f>
        <v>3823417.9776917184</v>
      </c>
      <c r="AQ35" s="21" t="n">
        <f aca="false">SUM(AQ34)</f>
        <v>79851.83196173522</v>
      </c>
      <c r="AR35" s="21" t="n">
        <f aca="false">SUM(AR34)</f>
        <v>4854238.858253526</v>
      </c>
    </row>
    <row r="36" customFormat="false" ht="15.6" hidden="false" customHeight="false" outlineLevel="0" collapsed="false">
      <c r="B36" s="24" t="s">
        <v>47</v>
      </c>
      <c r="C36" s="31" t="n">
        <v>450159.22756661684</v>
      </c>
      <c r="D36" s="25" t="n">
        <v>1016933.0623310743</v>
      </c>
      <c r="E36" s="25" t="n">
        <v>1218805.631032446</v>
      </c>
      <c r="F36" s="25" t="n">
        <v>676346.2433000564</v>
      </c>
      <c r="G36" s="25" t="n">
        <v>902783.0219520807</v>
      </c>
      <c r="H36" s="25" t="n">
        <v>871571.5322057887</v>
      </c>
      <c r="I36" s="25" t="n">
        <v>779838.923521589</v>
      </c>
      <c r="J36" s="25" t="n">
        <v>620561.6430596426</v>
      </c>
      <c r="K36" s="25" t="n">
        <v>321894.03315659135</v>
      </c>
      <c r="L36" s="25" t="n">
        <v>602148.7599092675</v>
      </c>
      <c r="M36" s="25" t="n">
        <v>392781.0026479467</v>
      </c>
      <c r="N36" s="25" t="n">
        <v>954115.9708984479</v>
      </c>
      <c r="Q36" s="24" t="s">
        <v>47</v>
      </c>
      <c r="R36" s="31" t="n">
        <v>177207.1042491611</v>
      </c>
      <c r="S36" s="25" t="n">
        <v>1190911.0461956693</v>
      </c>
      <c r="T36" s="25" t="n">
        <v>448224.00301101664</v>
      </c>
      <c r="U36" s="25" t="n">
        <v>211573.79111076856</v>
      </c>
      <c r="V36" s="25" t="n">
        <v>125989.60590527019</v>
      </c>
      <c r="W36" s="25" t="n">
        <v>119599.99328919045</v>
      </c>
      <c r="X36" s="25" t="n">
        <v>813410.4383110767</v>
      </c>
      <c r="Y36" s="25" t="n">
        <v>1034530.6054818617</v>
      </c>
      <c r="Z36" s="25" t="n">
        <v>969660.1775206805</v>
      </c>
      <c r="AA36" s="25" t="n">
        <v>139659.71330757285</v>
      </c>
      <c r="AB36" s="25" t="n">
        <v>895677.0281683188</v>
      </c>
      <c r="AC36" s="25" t="n">
        <v>1194480.2131362082</v>
      </c>
      <c r="AF36" s="24" t="s">
        <v>47</v>
      </c>
      <c r="AG36" s="31" t="n">
        <v>155185.05494285986</v>
      </c>
      <c r="AH36" s="25" t="n">
        <v>316678.02278463444</v>
      </c>
      <c r="AI36" s="25" t="n">
        <v>1157072.8999009903</v>
      </c>
      <c r="AJ36" s="25" t="n">
        <v>257439.66018484315</v>
      </c>
      <c r="AK36" s="25" t="n">
        <v>1033934.4669018796</v>
      </c>
      <c r="AL36" s="25" t="n">
        <v>470664.1312671284</v>
      </c>
      <c r="AM36" s="25" t="n">
        <v>844549.7680431028</v>
      </c>
      <c r="AN36" s="25" t="n">
        <v>713801.7870685868</v>
      </c>
      <c r="AO36" s="25" t="n">
        <v>144965.27329763744</v>
      </c>
      <c r="AP36" s="25" t="n">
        <v>485681.51283869037</v>
      </c>
      <c r="AQ36" s="25" t="n">
        <v>473524.8548817187</v>
      </c>
      <c r="AR36" s="25" t="n">
        <v>292395.0383567396</v>
      </c>
    </row>
    <row r="37" customFormat="false" ht="15.6" hidden="false" customHeight="false" outlineLevel="0" collapsed="false">
      <c r="B37" s="30" t="s">
        <v>48</v>
      </c>
      <c r="C37" s="21" t="n">
        <f aca="false">SUM(C36)</f>
        <v>523118.11089983355</v>
      </c>
      <c r="D37" s="21" t="n">
        <f aca="false">SUM(D36)</f>
        <v>568631.4113373265</v>
      </c>
      <c r="E37" s="21" t="n">
        <f aca="false">SUM(E36)</f>
        <v>991055.2347545869</v>
      </c>
      <c r="F37" s="21" t="n">
        <f aca="false">SUM(F36)</f>
        <v>538580.638505442</v>
      </c>
      <c r="G37" s="21" t="n">
        <f aca="false">SUM(G36)</f>
        <v>867371.2486117919</v>
      </c>
      <c r="H37" s="21" t="n">
        <f aca="false">SUM(H36)</f>
        <v>9469.436521793283</v>
      </c>
      <c r="I37" s="21" t="n">
        <f aca="false">SUM(I36)</f>
        <v>370644.9249134963</v>
      </c>
      <c r="J37" s="21" t="n">
        <f aca="false">SUM(J36)</f>
        <v>840578.688687866</v>
      </c>
      <c r="K37" s="21" t="n">
        <f aca="false">SUM(K36)</f>
        <v>98711.88824830702</v>
      </c>
      <c r="L37" s="21" t="n">
        <f aca="false">SUM(L36)</f>
        <v>827629.33562293</v>
      </c>
      <c r="M37" s="21" t="n">
        <f aca="false">SUM(M36)</f>
        <v>519446.46332554385</v>
      </c>
      <c r="N37" s="21" t="n">
        <f aca="false">SUM(N36)</f>
        <v>1165890.1522082556</v>
      </c>
      <c r="Q37" s="30" t="s">
        <v>48</v>
      </c>
      <c r="R37" s="21" t="n">
        <f aca="false">SUM(R36)</f>
        <v>806360.7857044075</v>
      </c>
      <c r="S37" s="21" t="n">
        <f aca="false">SUM(S36)</f>
        <v>1028386.5457179626</v>
      </c>
      <c r="T37" s="21" t="n">
        <f aca="false">SUM(T36)</f>
        <v>328499.32009402727</v>
      </c>
      <c r="U37" s="21" t="n">
        <f aca="false">SUM(U36)</f>
        <v>924493.3712998729</v>
      </c>
      <c r="V37" s="21" t="n">
        <f aca="false">SUM(V36)</f>
        <v>233845.6536877694</v>
      </c>
      <c r="W37" s="21" t="n">
        <f aca="false">SUM(W36)</f>
        <v>268997.0757757485</v>
      </c>
      <c r="X37" s="21" t="n">
        <f aca="false">SUM(X36)</f>
        <v>810675.8859642897</v>
      </c>
      <c r="Y37" s="21" t="n">
        <f aca="false">SUM(Y36)</f>
        <v>965355.3854056009</v>
      </c>
      <c r="Z37" s="21" t="n">
        <f aca="false">SUM(Z36)</f>
        <v>578519.3154869537</v>
      </c>
      <c r="AA37" s="21" t="n">
        <f aca="false">SUM(AA36)</f>
        <v>501594.6548125009</v>
      </c>
      <c r="AB37" s="21" t="n">
        <f aca="false">SUM(AB36)</f>
        <v>67521.47527165548</v>
      </c>
      <c r="AC37" s="21" t="n">
        <f aca="false">SUM(AC36)</f>
        <v>611572.8018300551</v>
      </c>
      <c r="AF37" s="30" t="s">
        <v>48</v>
      </c>
      <c r="AG37" s="21" t="n">
        <f aca="false">SUM(AG36)</f>
        <v>1179800.124481411</v>
      </c>
      <c r="AH37" s="21" t="n">
        <f aca="false">SUM(AH36)</f>
        <v>1195464.8939332347</v>
      </c>
      <c r="AI37" s="21" t="n">
        <f aca="false">SUM(AI36)</f>
        <v>780202.829042015</v>
      </c>
      <c r="AJ37" s="21" t="n">
        <f aca="false">SUM(AJ36)</f>
        <v>856745.9318122278</v>
      </c>
      <c r="AK37" s="21" t="n">
        <f aca="false">SUM(AK36)</f>
        <v>403818.13884517655</v>
      </c>
      <c r="AL37" s="21" t="n">
        <f aca="false">SUM(AL36)</f>
        <v>632376.1445434106</v>
      </c>
      <c r="AM37" s="21" t="n">
        <f aca="false">SUM(AM36)</f>
        <v>302472.118894849</v>
      </c>
      <c r="AN37" s="21" t="n">
        <f aca="false">SUM(AN36)</f>
        <v>888012.0714035983</v>
      </c>
      <c r="AO37" s="21" t="n">
        <f aca="false">SUM(AO36)</f>
        <v>652839.334875095</v>
      </c>
      <c r="AP37" s="21" t="n">
        <f aca="false">SUM(AP36)</f>
        <v>639414.1774384365</v>
      </c>
      <c r="AQ37" s="21" t="n">
        <f aca="false">SUM(AQ36)</f>
        <v>154829.12312047524</v>
      </c>
      <c r="AR37" s="21" t="n">
        <f aca="false">SUM(AR36)</f>
        <v>455100.0334023321</v>
      </c>
    </row>
    <row r="38" customFormat="false" ht="15.6" hidden="false" customHeight="false" outlineLevel="0" collapsed="false">
      <c r="B38" s="32" t="s">
        <v>49</v>
      </c>
      <c r="C38" s="33" t="n">
        <f aca="false">SUM(C15,C17,C33,C35,C37)</f>
        <v>2174919.9905178444</v>
      </c>
      <c r="D38" s="33" t="n">
        <f aca="false">SUM(D15,D17,D33,D35,D37)</f>
        <v>10874444.6412476</v>
      </c>
      <c r="E38" s="33" t="n">
        <f aca="false">SUM(E15,E17,E33,E35,E37)</f>
        <v>4645307.4447026495</v>
      </c>
      <c r="F38" s="33" t="n">
        <f aca="false">SUM(F15,F17,F33,F35,F37)</f>
        <v>5504130.440239919</v>
      </c>
      <c r="G38" s="33" t="n">
        <f aca="false">SUM(G15,G17,G33,G35,G37)</f>
        <v>6027261.421666194</v>
      </c>
      <c r="H38" s="33" t="n">
        <f aca="false">SUM(H15,H17,H33,H35,H37)</f>
        <v>6972281.968041432</v>
      </c>
      <c r="I38" s="33" t="n">
        <f aca="false">SUM(I15,I17,I33,I35,I37)</f>
        <v>8126357.066285905</v>
      </c>
      <c r="J38" s="33" t="n">
        <f aca="false">SUM(J15,J17,J33,J35,J37)</f>
        <v>4459016.1589950295</v>
      </c>
      <c r="K38" s="33" t="n">
        <f aca="false">SUM(K15,K17,K33,K35,K37)</f>
        <v>11643107.97886964</v>
      </c>
      <c r="L38" s="33" t="n">
        <f aca="false">SUM(L15,L17,L33,L35,L37)</f>
        <v>6766295.1795939</v>
      </c>
      <c r="M38" s="33" t="n">
        <f aca="false">SUM(M15,M17,M33,M35,M37)</f>
        <v>590499.9695724403</v>
      </c>
      <c r="N38" s="33" t="n">
        <f aca="false">SUM(N15,N17,N33,N35,N37)</f>
        <v>7650674.001289737</v>
      </c>
      <c r="Q38" s="32" t="s">
        <v>49</v>
      </c>
      <c r="R38" s="33" t="n">
        <f aca="false">SUM(R15,R17,R33,R35,R37)</f>
        <v>12318229.128258912</v>
      </c>
      <c r="S38" s="33" t="n">
        <f aca="false">SUM(S15,S17,S33,S35,S37)</f>
        <v>7448398.509475836</v>
      </c>
      <c r="T38" s="33" t="n">
        <f aca="false">SUM(T15,T17,T33,T35,T37)</f>
        <v>11724723.794976924</v>
      </c>
      <c r="U38" s="33" t="n">
        <f aca="false">SUM(U15,U17,U33,U35,U37)</f>
        <v>10493655.2378653</v>
      </c>
      <c r="V38" s="33" t="n">
        <f aca="false">SUM(V15,V17,V33,V35,V37)</f>
        <v>6730987.226452313</v>
      </c>
      <c r="W38" s="33" t="n">
        <f aca="false">SUM(W15,W17,W33,W35,W37)</f>
        <v>8858872.797254674</v>
      </c>
      <c r="X38" s="33" t="n">
        <f aca="false">SUM(X15,X17,X33,X35,X37)</f>
        <v>833029.1486541418</v>
      </c>
      <c r="Y38" s="33" t="n">
        <f aca="false">SUM(Y15,Y17,Y33,Y35,Y37)</f>
        <v>790476.3709054685</v>
      </c>
      <c r="Z38" s="33" t="n">
        <f aca="false">SUM(Z15,Z17,Z33,Z35,Z37)</f>
        <v>6300856.7195321955</v>
      </c>
      <c r="AA38" s="33" t="n">
        <f aca="false">SUM(AA15,AA17,AA33,AA35,AA37)</f>
        <v>2643701.6149279857</v>
      </c>
      <c r="AB38" s="33" t="n">
        <f aca="false">SUM(AB15,AB17,AB33,AB35,AB37)</f>
        <v>1142088.8431120703</v>
      </c>
      <c r="AC38" s="33" t="n">
        <f aca="false">SUM(AC15,AC17,AC33,AC35,AC37)</f>
        <v>427927.1816385786</v>
      </c>
      <c r="AF38" s="32" t="s">
        <v>49</v>
      </c>
      <c r="AG38" s="33" t="n">
        <f aca="false">SUM(AG15,AG17,AG33,AG35,AG37)</f>
        <v>1271126.2335590513</v>
      </c>
      <c r="AH38" s="33" t="n">
        <f aca="false">SUM(AH15,AH17,AH33,AH35,AH37)</f>
        <v>6700266.871738501</v>
      </c>
      <c r="AI38" s="33" t="n">
        <f aca="false">SUM(AI15,AI17,AI33,AI35,AI37)</f>
        <v>9203791.803367484</v>
      </c>
      <c r="AJ38" s="33" t="n">
        <f aca="false">SUM(AJ15,AJ17,AJ33,AJ35,AJ37)</f>
        <v>8857069.676098732</v>
      </c>
      <c r="AK38" s="33" t="n">
        <f aca="false">SUM(AK15,AK17,AK33,AK35,AK37)</f>
        <v>3396378.962425059</v>
      </c>
      <c r="AL38" s="33" t="n">
        <f aca="false">SUM(AL15,AL17,AL33,AL35,AL37)</f>
        <v>7141152.459855665</v>
      </c>
      <c r="AM38" s="33" t="n">
        <f aca="false">SUM(AM15,AM17,AM33,AM35,AM37)</f>
        <v>3624024.8361115083</v>
      </c>
      <c r="AN38" s="33" t="n">
        <f aca="false">SUM(AN15,AN17,AN33,AN35,AN37)</f>
        <v>7645379.674929479</v>
      </c>
      <c r="AO38" s="33" t="n">
        <f aca="false">SUM(AO15,AO17,AO33,AO35,AO37)</f>
        <v>12249294.694244599</v>
      </c>
      <c r="AP38" s="33" t="n">
        <f aca="false">SUM(AP15,AP17,AP33,AP35,AP37)</f>
        <v>4364341.168870466</v>
      </c>
      <c r="AQ38" s="33" t="n">
        <f aca="false">SUM(AQ15,AQ17,AQ33,AQ35,AQ37)</f>
        <v>10742566.493335087</v>
      </c>
      <c r="AR38" s="33" t="n">
        <f aca="false">SUM(AR15,AR17,AR33,AR35,AR37)</f>
        <v>5254554.558345284</v>
      </c>
    </row>
    <row r="39" customFormat="false" ht="15" hidden="false" customHeight="false" outlineLevel="0" collapsed="false"/>
    <row r="40" customFormat="false" ht="15" hidden="false" customHeight="false" outlineLevel="0" collapsed="false"/>
    <row r="41" customFormat="false" ht="29.85" hidden="false" customHeight="false" outlineLevel="0" collapsed="false">
      <c r="B41" s="3" t="s">
        <v>50</v>
      </c>
      <c r="C41" s="4" t="s">
        <v>4</v>
      </c>
      <c r="D41" s="5" t="s">
        <v>5</v>
      </c>
      <c r="E41" s="5" t="s">
        <v>6</v>
      </c>
      <c r="F41" s="5" t="s">
        <v>7</v>
      </c>
      <c r="G41" s="5" t="s">
        <v>8</v>
      </c>
      <c r="H41" s="5" t="s">
        <v>51</v>
      </c>
      <c r="I41" s="5" t="s">
        <v>10</v>
      </c>
      <c r="J41" s="5" t="s">
        <v>11</v>
      </c>
      <c r="K41" s="5" t="s">
        <v>12</v>
      </c>
      <c r="L41" s="5" t="s">
        <v>13</v>
      </c>
      <c r="M41" s="5" t="s">
        <v>14</v>
      </c>
      <c r="N41" s="5" t="s">
        <v>15</v>
      </c>
      <c r="Q41" s="3" t="s">
        <v>50</v>
      </c>
      <c r="R41" s="4" t="s">
        <v>4</v>
      </c>
      <c r="S41" s="5" t="s">
        <v>5</v>
      </c>
      <c r="T41" s="5" t="s">
        <v>6</v>
      </c>
      <c r="U41" s="5" t="s">
        <v>7</v>
      </c>
      <c r="V41" s="5" t="s">
        <v>8</v>
      </c>
      <c r="W41" s="5" t="s">
        <v>51</v>
      </c>
      <c r="X41" s="5" t="s">
        <v>10</v>
      </c>
      <c r="Y41" s="5" t="s">
        <v>11</v>
      </c>
      <c r="Z41" s="5" t="s">
        <v>12</v>
      </c>
      <c r="AA41" s="5" t="s">
        <v>13</v>
      </c>
      <c r="AB41" s="5" t="s">
        <v>14</v>
      </c>
      <c r="AC41" s="5" t="s">
        <v>15</v>
      </c>
      <c r="AF41" s="3" t="s">
        <v>50</v>
      </c>
      <c r="AG41" s="4" t="s">
        <v>4</v>
      </c>
      <c r="AH41" s="5" t="s">
        <v>5</v>
      </c>
      <c r="AI41" s="5" t="s">
        <v>6</v>
      </c>
      <c r="AJ41" s="5" t="s">
        <v>7</v>
      </c>
      <c r="AK41" s="5" t="s">
        <v>8</v>
      </c>
      <c r="AL41" s="5" t="s">
        <v>51</v>
      </c>
      <c r="AM41" s="5" t="s">
        <v>10</v>
      </c>
      <c r="AN41" s="5" t="s">
        <v>11</v>
      </c>
      <c r="AO41" s="5" t="s">
        <v>12</v>
      </c>
      <c r="AP41" s="5" t="s">
        <v>13</v>
      </c>
      <c r="AQ41" s="5" t="s">
        <v>14</v>
      </c>
      <c r="AR41" s="5" t="s">
        <v>15</v>
      </c>
    </row>
    <row r="42" customFormat="false" ht="15.6" hidden="false" customHeight="false" outlineLevel="0" collapsed="false">
      <c r="B42" s="7" t="s">
        <v>16</v>
      </c>
      <c r="C42" s="8" t="n">
        <v>70509.15640868452</v>
      </c>
      <c r="D42" s="8" t="n">
        <v>3333.049104270659</v>
      </c>
      <c r="E42" s="8" t="n">
        <v>48703.25386670361</v>
      </c>
      <c r="F42" s="8" t="n">
        <v>12559.752156103734</v>
      </c>
      <c r="G42" s="8" t="n">
        <v>188844.31831251792</v>
      </c>
      <c r="H42" s="8" t="n">
        <v>10005.896914791563</v>
      </c>
      <c r="I42" s="8" t="n">
        <v>89855.84277888812</v>
      </c>
      <c r="J42" s="8" t="n">
        <v>11561.970199985159</v>
      </c>
      <c r="K42" s="8" t="n">
        <v>175090.11501403418</v>
      </c>
      <c r="L42" s="8" t="n">
        <v>8786.638382992114</v>
      </c>
      <c r="M42" s="8" t="n">
        <v>8824.65288002684</v>
      </c>
      <c r="N42" s="34" t="n">
        <v>10986.987593021277</v>
      </c>
      <c r="Q42" s="7" t="s">
        <v>16</v>
      </c>
      <c r="R42" s="8" t="n">
        <v>2143.81389157065</v>
      </c>
      <c r="S42" s="8" t="n">
        <v>11321.937206290866</v>
      </c>
      <c r="T42" s="8" t="n">
        <v>2560.6386336524533</v>
      </c>
      <c r="U42" s="8" t="n">
        <v>1471.3827908844394</v>
      </c>
      <c r="V42" s="8" t="n">
        <v>95161.43681866975</v>
      </c>
      <c r="W42" s="8" t="n">
        <v>21841.785489712736</v>
      </c>
      <c r="X42" s="8" t="n">
        <v>23061.411561469067</v>
      </c>
      <c r="Y42" s="8" t="n">
        <v>7602.915915633385</v>
      </c>
      <c r="Z42" s="8" t="n">
        <v>102927.66539409015</v>
      </c>
      <c r="AA42" s="8" t="n">
        <v>10562.142959202194</v>
      </c>
      <c r="AB42" s="8" t="n">
        <v>18673.317223675625</v>
      </c>
      <c r="AC42" s="34" t="n">
        <v>6725.477601607138</v>
      </c>
      <c r="AF42" s="7" t="s">
        <v>16</v>
      </c>
      <c r="AG42" s="8" t="n">
        <v>94534.35849756263</v>
      </c>
      <c r="AH42" s="8" t="n">
        <v>8293.504832701288</v>
      </c>
      <c r="AI42" s="8" t="n">
        <v>124564.68214510746</v>
      </c>
      <c r="AJ42" s="8" t="n">
        <v>9310.261588486925</v>
      </c>
      <c r="AK42" s="8" t="n">
        <v>79401.6716348147</v>
      </c>
      <c r="AL42" s="8" t="n">
        <v>9356.108513300627</v>
      </c>
      <c r="AM42" s="8" t="n">
        <v>79499.62326432786</v>
      </c>
      <c r="AN42" s="8" t="n">
        <v>9514.632332697844</v>
      </c>
      <c r="AO42" s="8" t="n">
        <v>131997.51464388985</v>
      </c>
      <c r="AP42" s="8" t="n">
        <v>8975.355367372313</v>
      </c>
      <c r="AQ42" s="8" t="n">
        <v>19033.395461586537</v>
      </c>
      <c r="AR42" s="34" t="n">
        <v>6362.822417222418</v>
      </c>
    </row>
    <row r="43" customFormat="false" ht="15.6" hidden="false" customHeight="false" outlineLevel="0" collapsed="false">
      <c r="B43" s="7" t="s">
        <v>17</v>
      </c>
      <c r="C43" s="8" t="n">
        <v>48124.30606233804</v>
      </c>
      <c r="D43" s="8" t="n">
        <v>27669.427188664446</v>
      </c>
      <c r="E43" s="8" t="n">
        <v>96008.65534511146</v>
      </c>
      <c r="F43" s="8" t="n">
        <v>134294.53804825826</v>
      </c>
      <c r="G43" s="8" t="n">
        <v>282718.1024255544</v>
      </c>
      <c r="H43" s="8" t="n">
        <v>710599.4104573379</v>
      </c>
      <c r="I43" s="8" t="n">
        <v>37241.2141692728</v>
      </c>
      <c r="J43" s="8" t="n">
        <v>78454.08752947356</v>
      </c>
      <c r="K43" s="8" t="n">
        <v>304148.2057462631</v>
      </c>
      <c r="L43" s="8" t="n">
        <v>2175.2811013529945</v>
      </c>
      <c r="M43" s="8" t="n">
        <v>292454.6714971056</v>
      </c>
      <c r="N43" s="8" t="n">
        <v>212388.07764637916</v>
      </c>
      <c r="Q43" s="7" t="s">
        <v>17</v>
      </c>
      <c r="R43" s="8" t="n">
        <v>63172.47413407444</v>
      </c>
      <c r="S43" s="8" t="n">
        <v>36962.02736965554</v>
      </c>
      <c r="T43" s="8" t="n">
        <v>27403.476932550755</v>
      </c>
      <c r="U43" s="8" t="n">
        <v>161606.07194738652</v>
      </c>
      <c r="V43" s="8" t="n">
        <v>89815.41102470136</v>
      </c>
      <c r="W43" s="8" t="n">
        <v>480020.80860349187</v>
      </c>
      <c r="X43" s="8" t="n">
        <v>6879.1706818541115</v>
      </c>
      <c r="Y43" s="8" t="n">
        <v>78933.3498908589</v>
      </c>
      <c r="Z43" s="8" t="n">
        <v>236521.3403369115</v>
      </c>
      <c r="AA43" s="8" t="n">
        <v>72496.09319897524</v>
      </c>
      <c r="AB43" s="8" t="n">
        <v>207962.53493359816</v>
      </c>
      <c r="AC43" s="8" t="n">
        <v>288707.82479438843</v>
      </c>
      <c r="AF43" s="7" t="s">
        <v>17</v>
      </c>
      <c r="AG43" s="8" t="n">
        <v>17822.722650089578</v>
      </c>
      <c r="AH43" s="8" t="n">
        <v>4286.664167734188</v>
      </c>
      <c r="AI43" s="8" t="n">
        <v>94874.19021585699</v>
      </c>
      <c r="AJ43" s="8" t="n">
        <v>112527.30540665504</v>
      </c>
      <c r="AK43" s="8" t="n">
        <v>74456.6720491845</v>
      </c>
      <c r="AL43" s="8" t="n">
        <v>81077.32235792284</v>
      </c>
      <c r="AM43" s="8" t="n">
        <v>100762.4420220825</v>
      </c>
      <c r="AN43" s="8" t="n">
        <v>173685.12406501986</v>
      </c>
      <c r="AO43" s="8" t="n">
        <v>263974.467309752</v>
      </c>
      <c r="AP43" s="8" t="n">
        <v>155368.43308334408</v>
      </c>
      <c r="AQ43" s="8" t="n">
        <v>192358.06067891564</v>
      </c>
      <c r="AR43" s="8" t="n">
        <v>356035.3009236244</v>
      </c>
    </row>
    <row r="44" customFormat="false" ht="15.6" hidden="false" customHeight="false" outlineLevel="0" collapsed="false">
      <c r="B44" s="7" t="s">
        <v>18</v>
      </c>
      <c r="C44" s="8" t="n">
        <v>327342.10479329934</v>
      </c>
      <c r="D44" s="8" t="n">
        <f aca="false">D10/(1+$A44)</f>
        <v>30.44569019137328</v>
      </c>
      <c r="E44" s="8" t="n">
        <v>75568.1797197764</v>
      </c>
      <c r="F44" s="8" t="n">
        <f aca="false">F10/(1+$A44)</f>
        <v>54756.099154600655</v>
      </c>
      <c r="G44" s="8" t="n">
        <v>116525.75086043234</v>
      </c>
      <c r="H44" s="8" t="n">
        <v>9610.999673174738</v>
      </c>
      <c r="I44" s="8" t="n">
        <v>156008.8547250129</v>
      </c>
      <c r="J44" s="8" t="n">
        <v>119958.28810274055</v>
      </c>
      <c r="K44" s="8" t="n">
        <v>225405.04243140673</v>
      </c>
      <c r="L44" s="8" t="n">
        <v>70011.91205126904</v>
      </c>
      <c r="M44" s="8" t="n">
        <v>494518.37628520763</v>
      </c>
      <c r="N44" s="8" t="n">
        <v>25620.32924747666</v>
      </c>
      <c r="Q44" s="7" t="s">
        <v>18</v>
      </c>
      <c r="R44" s="8" t="n">
        <v>408004.95425905974</v>
      </c>
      <c r="S44" s="8" t="n">
        <f aca="false">S10/(1+$A44)</f>
        <v>36.82103385836997</v>
      </c>
      <c r="T44" s="8" t="n">
        <v>499660.7119334073</v>
      </c>
      <c r="U44" s="8" t="n">
        <f aca="false">U10/(1+$A44)</f>
        <v>5059.842640147782</v>
      </c>
      <c r="V44" s="8" t="n">
        <v>140730.4541596347</v>
      </c>
      <c r="W44" s="8" t="n">
        <v>76029.64899454068</v>
      </c>
      <c r="X44" s="8" t="n">
        <v>83353.61205982372</v>
      </c>
      <c r="Y44" s="8" t="n">
        <v>177210.7042748283</v>
      </c>
      <c r="Z44" s="8" t="n">
        <v>61264.273772284425</v>
      </c>
      <c r="AA44" s="8" t="n">
        <v>100698.03191408432</v>
      </c>
      <c r="AB44" s="8" t="n">
        <v>318512.3079575954</v>
      </c>
      <c r="AC44" s="8" t="n">
        <v>29936.559117097055</v>
      </c>
      <c r="AF44" s="7" t="s">
        <v>18</v>
      </c>
      <c r="AG44" s="8" t="n">
        <v>508453.6608017471</v>
      </c>
      <c r="AH44" s="8" t="n">
        <f aca="false">AH10/(1+$A44)</f>
        <v>24.31510886815329</v>
      </c>
      <c r="AI44" s="8" t="n">
        <v>286360.7309645718</v>
      </c>
      <c r="AJ44" s="8" t="n">
        <f aca="false">AJ10/(1+$A44)</f>
        <v>43278.906830157015</v>
      </c>
      <c r="AK44" s="8" t="n">
        <v>139094.35212547882</v>
      </c>
      <c r="AL44" s="8" t="n">
        <v>18766.795187702035</v>
      </c>
      <c r="AM44" s="8" t="n">
        <v>181144.43243606074</v>
      </c>
      <c r="AN44" s="8" t="n">
        <v>251736.46821289934</v>
      </c>
      <c r="AO44" s="8" t="n">
        <v>83596.67614707001</v>
      </c>
      <c r="AP44" s="8" t="n">
        <v>90304.0383961888</v>
      </c>
      <c r="AQ44" s="8" t="n">
        <v>155357.1483488801</v>
      </c>
      <c r="AR44" s="8" t="n">
        <v>38524.367557839905</v>
      </c>
    </row>
    <row r="45" customFormat="false" ht="15.6" hidden="false" customHeight="false" outlineLevel="0" collapsed="false">
      <c r="B45" s="7" t="s">
        <v>19</v>
      </c>
      <c r="C45" s="8" t="n">
        <v>529177.1988616177</v>
      </c>
      <c r="D45" s="8" t="n">
        <v>26928.30360783139</v>
      </c>
      <c r="E45" s="8" t="n">
        <v>97364.1979073514</v>
      </c>
      <c r="F45" s="8" t="n">
        <v>722597.6519991603</v>
      </c>
      <c r="G45" s="8" t="n">
        <v>128870.30770638328</v>
      </c>
      <c r="H45" s="8" t="n">
        <v>421869.44582366734</v>
      </c>
      <c r="I45" s="8" t="n">
        <v>303111.1796546316</v>
      </c>
      <c r="J45" s="8" t="n">
        <v>119395.65891491511</v>
      </c>
      <c r="K45" s="8" t="n">
        <v>334806.22054478555</v>
      </c>
      <c r="L45" s="8" t="n">
        <v>20199.44797405864</v>
      </c>
      <c r="M45" s="8" t="n">
        <v>77455.70468336437</v>
      </c>
      <c r="N45" s="8" t="n">
        <v>581780.255932704</v>
      </c>
      <c r="Q45" s="7" t="s">
        <v>19</v>
      </c>
      <c r="R45" s="8" t="n">
        <v>457708.08707779506</v>
      </c>
      <c r="S45" s="8" t="n">
        <v>237118.57298602408</v>
      </c>
      <c r="T45" s="8" t="n">
        <v>30589.748452939148</v>
      </c>
      <c r="U45" s="8" t="n">
        <v>863122.8495009933</v>
      </c>
      <c r="V45" s="8" t="n">
        <v>100805.22735902847</v>
      </c>
      <c r="W45" s="8" t="n">
        <v>370613.3058194719</v>
      </c>
      <c r="X45" s="8" t="n">
        <v>56168.87799597401</v>
      </c>
      <c r="Y45" s="8" t="n">
        <v>474119.56956287863</v>
      </c>
      <c r="Z45" s="8" t="n">
        <v>320461.96841388824</v>
      </c>
      <c r="AA45" s="8" t="n">
        <v>89296.3519144805</v>
      </c>
      <c r="AB45" s="8" t="n">
        <v>17373.98331527242</v>
      </c>
      <c r="AC45" s="8" t="n">
        <v>389100.7114850617</v>
      </c>
      <c r="AF45" s="7" t="s">
        <v>19</v>
      </c>
      <c r="AG45" s="8" t="n">
        <v>657510.9804297072</v>
      </c>
      <c r="AH45" s="8" t="n">
        <v>232129.69588331017</v>
      </c>
      <c r="AI45" s="8" t="n">
        <v>34813.989607317926</v>
      </c>
      <c r="AJ45" s="8" t="n">
        <v>427069.4613544547</v>
      </c>
      <c r="AK45" s="8" t="n">
        <v>120195.29794503693</v>
      </c>
      <c r="AL45" s="8" t="n">
        <v>247645.9453455443</v>
      </c>
      <c r="AM45" s="8" t="n">
        <v>80506.72589096491</v>
      </c>
      <c r="AN45" s="8" t="n">
        <v>17504.831748307224</v>
      </c>
      <c r="AO45" s="8" t="n">
        <v>274232.50611327746</v>
      </c>
      <c r="AP45" s="8" t="n">
        <v>48704.65507430332</v>
      </c>
      <c r="AQ45" s="8" t="n">
        <v>39352.20611728827</v>
      </c>
      <c r="AR45" s="8" t="n">
        <v>326281.073941169</v>
      </c>
    </row>
    <row r="46" customFormat="false" ht="15.6" hidden="false" customHeight="false" outlineLevel="0" collapsed="false">
      <c r="B46" s="7" t="s">
        <v>20</v>
      </c>
      <c r="C46" s="8" t="n">
        <v>65440.87136149437</v>
      </c>
      <c r="D46" s="8" t="n">
        <v>88108.85584383483</v>
      </c>
      <c r="E46" s="8" t="n">
        <v>63849.326221802025</v>
      </c>
      <c r="F46" s="8" t="n">
        <v>10572.719805288432</v>
      </c>
      <c r="G46" s="8" t="n">
        <v>64000.940162746374</v>
      </c>
      <c r="H46" s="8" t="n">
        <v>7163.731520546434</v>
      </c>
      <c r="I46" s="8" t="n">
        <v>40506.28297468422</v>
      </c>
      <c r="J46" s="8" t="n">
        <v>24791.901430081027</v>
      </c>
      <c r="K46" s="8" t="n">
        <v>50363.666569984925</v>
      </c>
      <c r="L46" s="8" t="n">
        <v>9911.677899240307</v>
      </c>
      <c r="M46" s="8" t="n">
        <v>18575.70751812891</v>
      </c>
      <c r="N46" s="8" t="n">
        <v>3587.5311290101636</v>
      </c>
      <c r="Q46" s="7" t="s">
        <v>20</v>
      </c>
      <c r="R46" s="8" t="n">
        <v>76100.9604012489</v>
      </c>
      <c r="S46" s="8" t="n">
        <v>13492.41398252697</v>
      </c>
      <c r="T46" s="8" t="n">
        <v>34431.58159245124</v>
      </c>
      <c r="U46" s="8" t="n">
        <v>24053.394319861844</v>
      </c>
      <c r="V46" s="8" t="n">
        <v>18390.284923391067</v>
      </c>
      <c r="W46" s="8" t="n">
        <v>86348.42413622895</v>
      </c>
      <c r="X46" s="8" t="n">
        <v>98859.1730826248</v>
      </c>
      <c r="Y46" s="8" t="n">
        <v>45125.61796122209</v>
      </c>
      <c r="Z46" s="8" t="n">
        <v>35113.50635364281</v>
      </c>
      <c r="AA46" s="8" t="n">
        <v>67232.79613917398</v>
      </c>
      <c r="AB46" s="8" t="n">
        <v>35059.75615629846</v>
      </c>
      <c r="AC46" s="8" t="n">
        <v>15605.348284860851</v>
      </c>
      <c r="AF46" s="7" t="s">
        <v>20</v>
      </c>
      <c r="AG46" s="8" t="n">
        <v>7278.0356077608485</v>
      </c>
      <c r="AH46" s="8" t="n">
        <v>23857.123794528485</v>
      </c>
      <c r="AI46" s="8" t="n">
        <v>50559.95662378668</v>
      </c>
      <c r="AJ46" s="8" t="n">
        <v>19169.349249962008</v>
      </c>
      <c r="AK46" s="8" t="n">
        <v>52123.87159441615</v>
      </c>
      <c r="AL46" s="8" t="n">
        <v>9500.808140926849</v>
      </c>
      <c r="AM46" s="8" t="n">
        <v>85156.24116300223</v>
      </c>
      <c r="AN46" s="8" t="n">
        <v>26596.299711037314</v>
      </c>
      <c r="AO46" s="8" t="n">
        <v>14245.71139898606</v>
      </c>
      <c r="AP46" s="8" t="n">
        <v>73912.56449305719</v>
      </c>
      <c r="AQ46" s="8" t="n">
        <v>60703.33638280067</v>
      </c>
      <c r="AR46" s="8" t="n">
        <v>24699.577896020714</v>
      </c>
    </row>
    <row r="47" customFormat="false" ht="15.6" hidden="false" customHeight="false" outlineLevel="0" collapsed="false">
      <c r="B47" s="7" t="s">
        <v>21</v>
      </c>
      <c r="C47" s="8" t="n">
        <v>286330.5752672691</v>
      </c>
      <c r="D47" s="8" t="n">
        <v>14102.458167115949</v>
      </c>
      <c r="E47" s="8" t="n">
        <v>813059.9197359177</v>
      </c>
      <c r="F47" s="8" t="n">
        <v>235582.69146433243</v>
      </c>
      <c r="G47" s="8" t="n">
        <v>178215.01473073132</v>
      </c>
      <c r="H47" s="8" t="n">
        <v>157450.22619085104</v>
      </c>
      <c r="I47" s="8" t="n">
        <v>212901.63749071758</v>
      </c>
      <c r="J47" s="8" t="n">
        <v>242374.8274513678</v>
      </c>
      <c r="K47" s="8" t="n">
        <v>84407.14553486451</v>
      </c>
      <c r="L47" s="8" t="n">
        <v>268002.49368260306</v>
      </c>
      <c r="M47" s="8" t="n">
        <v>390690.407286165</v>
      </c>
      <c r="N47" s="8" t="n">
        <v>839119.3348091508</v>
      </c>
      <c r="Q47" s="7" t="s">
        <v>21</v>
      </c>
      <c r="R47" s="8" t="n">
        <v>224130.1622150374</v>
      </c>
      <c r="S47" s="8" t="n">
        <v>51088.575546501124</v>
      </c>
      <c r="T47" s="8" t="n">
        <v>424016.6279404856</v>
      </c>
      <c r="U47" s="8" t="n">
        <v>110076.2902906606</v>
      </c>
      <c r="V47" s="8" t="n">
        <v>20632.071483908214</v>
      </c>
      <c r="W47" s="8" t="n">
        <v>920544.5658766071</v>
      </c>
      <c r="X47" s="8" t="n">
        <v>124747.45235098085</v>
      </c>
      <c r="Y47" s="8" t="n">
        <v>247218.5026797842</v>
      </c>
      <c r="Z47" s="8" t="n">
        <v>87960.78227557646</v>
      </c>
      <c r="AA47" s="8" t="n">
        <v>256254.49652099024</v>
      </c>
      <c r="AB47" s="8" t="n">
        <v>704481.1388914807</v>
      </c>
      <c r="AC47" s="8" t="n">
        <v>293324.28665785963</v>
      </c>
      <c r="AF47" s="7" t="s">
        <v>21</v>
      </c>
      <c r="AG47" s="8" t="n">
        <v>127898.69984627313</v>
      </c>
      <c r="AH47" s="8" t="n">
        <v>168589.19466542423</v>
      </c>
      <c r="AI47" s="8" t="n">
        <v>166356.69386051747</v>
      </c>
      <c r="AJ47" s="8" t="n">
        <v>345372.8310278514</v>
      </c>
      <c r="AK47" s="8" t="n">
        <v>81508.47437621899</v>
      </c>
      <c r="AL47" s="8" t="n">
        <v>757157.6217008645</v>
      </c>
      <c r="AM47" s="8" t="n">
        <v>119286.34842507231</v>
      </c>
      <c r="AN47" s="8" t="n">
        <v>6385.556716171627</v>
      </c>
      <c r="AO47" s="8" t="n">
        <v>153202.95506432658</v>
      </c>
      <c r="AP47" s="8" t="n">
        <v>279763.7247582464</v>
      </c>
      <c r="AQ47" s="8" t="n">
        <v>607743.8192157218</v>
      </c>
      <c r="AR47" s="8" t="n">
        <v>509309.28892671695</v>
      </c>
    </row>
    <row r="48" customFormat="false" ht="15.6" hidden="false" customHeight="false" outlineLevel="0" collapsed="false">
      <c r="B48" s="7" t="s">
        <v>22</v>
      </c>
      <c r="C48" s="8" t="n">
        <v>5827.729200810836</v>
      </c>
      <c r="D48" s="8" t="n">
        <v>3.1651417203765013</v>
      </c>
      <c r="E48" s="8" t="n">
        <v>289856.63424012775</v>
      </c>
      <c r="F48" s="8" t="n">
        <v>35409.56848382198</v>
      </c>
      <c r="G48" s="8" t="n">
        <v>108187.26890216925</v>
      </c>
      <c r="H48" s="8" t="n">
        <v>111388.78154734976</v>
      </c>
      <c r="I48" s="8" t="n">
        <v>654.3188749950001</v>
      </c>
      <c r="J48" s="8" t="n">
        <v>66480.9746387291</v>
      </c>
      <c r="K48" s="8" t="n">
        <v>69599.04726524712</v>
      </c>
      <c r="L48" s="8" t="n">
        <v>2123.1642213283058</v>
      </c>
      <c r="M48" s="8" t="n">
        <v>49959.27220977631</v>
      </c>
      <c r="N48" s="8" t="n">
        <v>189050.96883243648</v>
      </c>
      <c r="Q48" s="7" t="s">
        <v>22</v>
      </c>
      <c r="R48" s="8" t="n">
        <v>50542.05848148195</v>
      </c>
      <c r="S48" s="8" t="n">
        <v>9.028626338299773</v>
      </c>
      <c r="T48" s="8" t="n">
        <v>151952.92869223608</v>
      </c>
      <c r="U48" s="8" t="n">
        <v>32769.14864054989</v>
      </c>
      <c r="V48" s="8" t="n">
        <v>97304.32682844349</v>
      </c>
      <c r="W48" s="8" t="n">
        <v>78328.37058191573</v>
      </c>
      <c r="X48" s="8" t="n">
        <v>11843.799607542367</v>
      </c>
      <c r="Y48" s="8" t="n">
        <v>57810.0975905591</v>
      </c>
      <c r="Z48" s="8" t="n">
        <v>100018.464271115</v>
      </c>
      <c r="AA48" s="8" t="n">
        <v>17010.388343983577</v>
      </c>
      <c r="AB48" s="8" t="n">
        <v>34837.84116841991</v>
      </c>
      <c r="AC48" s="8" t="n">
        <v>123847.67334428358</v>
      </c>
      <c r="AF48" s="7" t="s">
        <v>22</v>
      </c>
      <c r="AG48" s="8" t="n">
        <v>101032.21911626591</v>
      </c>
      <c r="AH48" s="8" t="n">
        <v>41.80397593579896</v>
      </c>
      <c r="AI48" s="8" t="n">
        <v>256596.91661843238</v>
      </c>
      <c r="AJ48" s="8" t="n">
        <v>56777.29046703813</v>
      </c>
      <c r="AK48" s="8" t="n">
        <v>38219.38470950906</v>
      </c>
      <c r="AL48" s="8" t="n">
        <v>29185.467281945002</v>
      </c>
      <c r="AM48" s="8" t="n">
        <v>3085.460472436641</v>
      </c>
      <c r="AN48" s="8" t="n">
        <v>159919.52590450936</v>
      </c>
      <c r="AO48" s="8" t="n">
        <v>24147.16762855721</v>
      </c>
      <c r="AP48" s="8" t="n">
        <v>20934.950781849642</v>
      </c>
      <c r="AQ48" s="8" t="n">
        <v>5263.615545969014</v>
      </c>
      <c r="AR48" s="8" t="n">
        <v>22257.67992308181</v>
      </c>
    </row>
    <row r="49" customFormat="false" ht="15.6" hidden="false" customHeight="false" outlineLevel="0" collapsed="false">
      <c r="B49" s="7" t="s">
        <v>23</v>
      </c>
      <c r="C49" s="8" t="n">
        <v>61468.71613386583</v>
      </c>
      <c r="D49" s="8" t="n">
        <v>1622.9653967304187</v>
      </c>
      <c r="E49" s="8" t="n">
        <v>2230.7972999550943</v>
      </c>
      <c r="F49" s="8" t="n">
        <v>81965.88852440802</v>
      </c>
      <c r="G49" s="8" t="n">
        <v>25535.87265452749</v>
      </c>
      <c r="H49" s="8" t="n">
        <v>39185.13219439765</v>
      </c>
      <c r="I49" s="8" t="n">
        <v>64587.012292245076</v>
      </c>
      <c r="J49" s="8" t="n">
        <v>55004.326765176425</v>
      </c>
      <c r="K49" s="8" t="n">
        <v>-8607.007867946813</v>
      </c>
      <c r="L49" s="8" t="n">
        <v>0.0</v>
      </c>
      <c r="M49" s="8" t="n">
        <v>18724.876497816622</v>
      </c>
      <c r="N49" s="8" t="n">
        <v>-153.12559810870368</v>
      </c>
      <c r="Q49" s="7" t="s">
        <v>23</v>
      </c>
      <c r="R49" s="8" t="n">
        <v>151923.52145184303</v>
      </c>
      <c r="S49" s="8" t="n">
        <v>2971.2769767593068</v>
      </c>
      <c r="T49" s="8" t="n">
        <v>4458.349399184104</v>
      </c>
      <c r="U49" s="8" t="n">
        <v>78920.20139168025</v>
      </c>
      <c r="V49" s="8" t="n">
        <v>5452.815136369052</v>
      </c>
      <c r="W49" s="8" t="n">
        <v>16295.459318795318</v>
      </c>
      <c r="X49" s="8" t="n">
        <v>48017.94274932287</v>
      </c>
      <c r="Y49" s="8" t="n">
        <v>94429.60515864972</v>
      </c>
      <c r="Z49" s="8" t="n">
        <v>-1729.0633995079565</v>
      </c>
      <c r="AA49" s="8" t="n">
        <v>0.0</v>
      </c>
      <c r="AB49" s="8" t="n">
        <v>36598.19748881366</v>
      </c>
      <c r="AC49" s="8" t="n">
        <v>-3522.5404262232732</v>
      </c>
      <c r="AF49" s="7" t="s">
        <v>23</v>
      </c>
      <c r="AG49" s="8" t="n">
        <v>38769.86686513356</v>
      </c>
      <c r="AH49" s="8" t="n">
        <v>3417.636010417372</v>
      </c>
      <c r="AI49" s="8" t="n">
        <v>1817.5775668382096</v>
      </c>
      <c r="AJ49" s="8" t="n">
        <v>93745.34316927796</v>
      </c>
      <c r="AK49" s="8" t="n">
        <v>9586.152577054712</v>
      </c>
      <c r="AL49" s="8" t="n">
        <v>4142.086979526339</v>
      </c>
      <c r="AM49" s="8" t="n">
        <v>77649.5379559616</v>
      </c>
      <c r="AN49" s="8" t="n">
        <v>11879.91056507527</v>
      </c>
      <c r="AO49" s="8" t="n">
        <v>-9794.556351156643</v>
      </c>
      <c r="AP49" s="8" t="n">
        <v>0.0</v>
      </c>
      <c r="AQ49" s="8" t="n">
        <v>1695.278009447166</v>
      </c>
      <c r="AR49" s="8" t="n">
        <v>-8028.391403114081</v>
      </c>
    </row>
    <row r="50" customFormat="false" ht="15.6" hidden="false" customHeight="false" outlineLevel="0" collapsed="false">
      <c r="B50" s="7" t="s">
        <v>24</v>
      </c>
      <c r="C50" s="8" t="n">
        <v>71646.88696380591</v>
      </c>
      <c r="D50" s="8" t="n">
        <v>85545.7315028912</v>
      </c>
      <c r="E50" s="8" t="n">
        <v>5819.925260788481</v>
      </c>
      <c r="F50" s="8" t="n">
        <v>21619.884836888305</v>
      </c>
      <c r="G50" s="8" t="n">
        <v>13837.25740584942</v>
      </c>
      <c r="H50" s="8" t="n">
        <v>33424.62234548446</v>
      </c>
      <c r="I50" s="8" t="n">
        <v>-124.05954749247202</v>
      </c>
      <c r="J50" s="8" t="n">
        <v>18732.135543616245</v>
      </c>
      <c r="K50" s="8" t="n">
        <v>650.4596479804795</v>
      </c>
      <c r="L50" s="8" t="n">
        <v>10424.24233859433</v>
      </c>
      <c r="M50" s="8" t="n">
        <v>171366.5240241204</v>
      </c>
      <c r="N50" s="8" t="n">
        <v>36299.188893596176</v>
      </c>
      <c r="Q50" s="7" t="s">
        <v>24</v>
      </c>
      <c r="R50" s="8" t="n">
        <v>82529.33117186668</v>
      </c>
      <c r="S50" s="8" t="n">
        <v>83876.20152218443</v>
      </c>
      <c r="T50" s="8" t="n">
        <v>3502.565112749034</v>
      </c>
      <c r="U50" s="8" t="n">
        <v>17348.41397290549</v>
      </c>
      <c r="V50" s="8" t="n">
        <v>48381.16700839305</v>
      </c>
      <c r="W50" s="8" t="n">
        <v>38133.716753532026</v>
      </c>
      <c r="X50" s="8" t="n">
        <v>-72.86714798211605</v>
      </c>
      <c r="Y50" s="8" t="n">
        <v>11387.198090942553</v>
      </c>
      <c r="Z50" s="8" t="n">
        <v>12116.91910899047</v>
      </c>
      <c r="AA50" s="8" t="n">
        <v>15158.01150885949</v>
      </c>
      <c r="AB50" s="8" t="n">
        <v>108493.41383785004</v>
      </c>
      <c r="AC50" s="8" t="n">
        <v>31504.46250175836</v>
      </c>
      <c r="AF50" s="7" t="s">
        <v>24</v>
      </c>
      <c r="AG50" s="8" t="n">
        <v>41981.93726844532</v>
      </c>
      <c r="AH50" s="8" t="n">
        <v>78343.05281629568</v>
      </c>
      <c r="AI50" s="8" t="n">
        <v>7609.634576536679</v>
      </c>
      <c r="AJ50" s="8" t="n">
        <v>29646.71985971586</v>
      </c>
      <c r="AK50" s="8" t="n">
        <v>49002.99743035545</v>
      </c>
      <c r="AL50" s="8" t="n">
        <v>21911.044207655694</v>
      </c>
      <c r="AM50" s="8" t="n">
        <v>-43.161019866126246</v>
      </c>
      <c r="AN50" s="8" t="n">
        <v>756.0621146879221</v>
      </c>
      <c r="AO50" s="8" t="n">
        <v>18984.041400019898</v>
      </c>
      <c r="AP50" s="8" t="n">
        <v>13173.472620119619</v>
      </c>
      <c r="AQ50" s="8" t="n">
        <v>34824.40021814217</v>
      </c>
      <c r="AR50" s="8" t="n">
        <v>11261.314972789844</v>
      </c>
    </row>
    <row r="51" customFormat="false" ht="15.6" hidden="false" customHeight="false" outlineLevel="0" collapsed="false">
      <c r="B51" s="7" t="s">
        <v>25</v>
      </c>
      <c r="C51" s="8" t="n">
        <v>113925.48134791575</v>
      </c>
      <c r="D51" s="8" t="n">
        <v>158375.106265559</v>
      </c>
      <c r="E51" s="8" t="n">
        <v>64983.89906651956</v>
      </c>
      <c r="F51" s="8" t="n">
        <v>136226.05123899868</v>
      </c>
      <c r="G51" s="8" t="n">
        <v>12062.430557816753</v>
      </c>
      <c r="H51" s="8" t="n">
        <v>53583.351796344476</v>
      </c>
      <c r="I51" s="8" t="n">
        <v>23066.425695400725</v>
      </c>
      <c r="J51" s="8" t="n">
        <v>50494.165830768936</v>
      </c>
      <c r="K51" s="8" t="n">
        <v>107982.49675755527</v>
      </c>
      <c r="L51" s="8" t="n">
        <v>61229.34365546622</v>
      </c>
      <c r="M51" s="8" t="n">
        <v>7559.714508877654</v>
      </c>
      <c r="N51" s="8" t="n">
        <v>22498.392529619192</v>
      </c>
      <c r="Q51" s="7" t="s">
        <v>25</v>
      </c>
      <c r="R51" s="8" t="n">
        <v>210375.74956255645</v>
      </c>
      <c r="S51" s="8" t="n">
        <v>65593.45326367588</v>
      </c>
      <c r="T51" s="8" t="n">
        <v>17430.723186365605</v>
      </c>
      <c r="U51" s="8" t="n">
        <v>162525.2542137596</v>
      </c>
      <c r="V51" s="8" t="n">
        <v>14658.479399054871</v>
      </c>
      <c r="W51" s="8" t="n">
        <v>75836.33359139813</v>
      </c>
      <c r="X51" s="8" t="n">
        <v>4647.144475531935</v>
      </c>
      <c r="Y51" s="8" t="n">
        <v>65552.18162953662</v>
      </c>
      <c r="Z51" s="8" t="n">
        <v>108653.65863655998</v>
      </c>
      <c r="AA51" s="8" t="n">
        <v>53820.41038819309</v>
      </c>
      <c r="AB51" s="8" t="n">
        <v>39658.3588239051</v>
      </c>
      <c r="AC51" s="8" t="n">
        <v>45859.591998558135</v>
      </c>
      <c r="AF51" s="7" t="s">
        <v>25</v>
      </c>
      <c r="AG51" s="8" t="n">
        <v>83107.46769564263</v>
      </c>
      <c r="AH51" s="8" t="n">
        <v>99065.75899250952</v>
      </c>
      <c r="AI51" s="8" t="n">
        <v>59252.947676195385</v>
      </c>
      <c r="AJ51" s="8" t="n">
        <v>138674.36696527558</v>
      </c>
      <c r="AK51" s="8" t="n">
        <v>134285.94188538738</v>
      </c>
      <c r="AL51" s="8" t="n">
        <v>23169.87043982863</v>
      </c>
      <c r="AM51" s="8" t="n">
        <v>75007.49120903065</v>
      </c>
      <c r="AN51" s="8" t="n">
        <v>38486.17712514371</v>
      </c>
      <c r="AO51" s="8" t="n">
        <v>20269.64517223894</v>
      </c>
      <c r="AP51" s="8" t="n">
        <v>136783.38484754178</v>
      </c>
      <c r="AQ51" s="8" t="n">
        <v>28580.7001140608</v>
      </c>
      <c r="AR51" s="8" t="n">
        <v>58591.361007001266</v>
      </c>
    </row>
    <row r="52" customFormat="false" ht="15.6" hidden="false" customHeight="false" outlineLevel="0" collapsed="false">
      <c r="B52" s="7" t="s">
        <v>26</v>
      </c>
      <c r="C52" s="8" t="n">
        <v>47840.59822235851</v>
      </c>
      <c r="D52" s="8" t="n">
        <v>5172.606559736284</v>
      </c>
      <c r="E52" s="8" t="n">
        <v>214636.5116681443</v>
      </c>
      <c r="F52" s="8" t="n">
        <v>165888.9172014873</v>
      </c>
      <c r="G52" s="8" t="n">
        <v>20884.59922039593</v>
      </c>
      <c r="H52" s="8" t="n">
        <v>31571.985358927344</v>
      </c>
      <c r="I52" s="8" t="n">
        <v>47152.995877072215</v>
      </c>
      <c r="J52" s="8" t="n">
        <v>77946.13638456764</v>
      </c>
      <c r="K52" s="8" t="n">
        <v>21345.70848976116</v>
      </c>
      <c r="L52" s="8" t="n">
        <v>47987.22544509229</v>
      </c>
      <c r="M52" s="8" t="n">
        <v>24900.76286649815</v>
      </c>
      <c r="N52" s="8" t="n">
        <v>37835.502593488156</v>
      </c>
      <c r="Q52" s="7" t="s">
        <v>26</v>
      </c>
      <c r="R52" s="8" t="n">
        <v>75498.01074959002</v>
      </c>
      <c r="S52" s="8" t="n">
        <v>18384.962706447895</v>
      </c>
      <c r="T52" s="8" t="n">
        <v>62405.638777646396</v>
      </c>
      <c r="U52" s="8" t="n">
        <v>284757.5959379887</v>
      </c>
      <c r="V52" s="8" t="n">
        <v>36366.18146823933</v>
      </c>
      <c r="W52" s="8" t="n">
        <v>146859.71570726647</v>
      </c>
      <c r="X52" s="8" t="n">
        <v>12618.685865874948</v>
      </c>
      <c r="Y52" s="8" t="n">
        <v>46770.81219573761</v>
      </c>
      <c r="Z52" s="8" t="n">
        <v>46916.6978437204</v>
      </c>
      <c r="AA52" s="8" t="n">
        <v>52716.49596697092</v>
      </c>
      <c r="AB52" s="8" t="n">
        <v>1197.4749812888242</v>
      </c>
      <c r="AC52" s="8" t="n">
        <v>81475.59645817577</v>
      </c>
      <c r="AF52" s="7" t="s">
        <v>26</v>
      </c>
      <c r="AG52" s="8" t="n">
        <v>41360.788032409684</v>
      </c>
      <c r="AH52" s="8" t="n">
        <v>2375.178796441901</v>
      </c>
      <c r="AI52" s="8" t="n">
        <v>43574.29606343864</v>
      </c>
      <c r="AJ52" s="8" t="n">
        <v>22167.46679808911</v>
      </c>
      <c r="AK52" s="8" t="n">
        <v>11639.48792278145</v>
      </c>
      <c r="AL52" s="8" t="n">
        <v>190914.5090004676</v>
      </c>
      <c r="AM52" s="8" t="n">
        <v>65110.480509093424</v>
      </c>
      <c r="AN52" s="8" t="n">
        <v>36615.529651445235</v>
      </c>
      <c r="AO52" s="8" t="n">
        <v>29335.38618674671</v>
      </c>
      <c r="AP52" s="8" t="n">
        <v>32445.255386750992</v>
      </c>
      <c r="AQ52" s="8" t="n">
        <v>13573.883083111545</v>
      </c>
      <c r="AR52" s="8" t="n">
        <v>84031.17655167886</v>
      </c>
    </row>
    <row r="53" customFormat="false" ht="15.6" hidden="false" customHeight="false" outlineLevel="0" collapsed="false">
      <c r="B53" s="20" t="s">
        <v>27</v>
      </c>
      <c r="C53" s="21" t="n">
        <f aca="false">SUM(C42:C52)</f>
        <v>1092076.671491309</v>
      </c>
      <c r="D53" s="21" t="n">
        <f aca="false">SUM(D42:D52)</f>
        <v>234888.2400517746</v>
      </c>
      <c r="E53" s="21" t="n">
        <v>169044.81757117392</v>
      </c>
      <c r="F53" s="21" t="n">
        <v>1763201.1185730714</v>
      </c>
      <c r="G53" s="21" t="n">
        <f aca="false">SUM(G42:G52)</f>
        <v>1144403.404728266</v>
      </c>
      <c r="H53" s="21" t="n">
        <v>1830938.9905155387</v>
      </c>
      <c r="I53" s="21" t="n">
        <f aca="false">SUM(I42:I52)</f>
        <v>196317.5254135854</v>
      </c>
      <c r="J53" s="21" t="n">
        <f aca="false">SUM(J42:J52)</f>
        <v>1910307.958230075</v>
      </c>
      <c r="K53" s="21" t="n">
        <f aca="false">SUM(K42:K52)</f>
        <v>1241400.1722869927</v>
      </c>
      <c r="L53" s="21" t="n">
        <f aca="false">SUM(L42:L52)</f>
        <v>906702.967977217</v>
      </c>
      <c r="M53" s="21" t="n">
        <v>1449482.040292959</v>
      </c>
      <c r="N53" s="21" t="n">
        <f aca="false">SUM(N42:N52)</f>
        <v>44243.703330395896</v>
      </c>
      <c r="Q53" s="20" t="s">
        <v>27</v>
      </c>
      <c r="R53" s="21" t="n">
        <f aca="false">SUM(R42:R52)</f>
        <v>2686313.8788200105</v>
      </c>
      <c r="S53" s="21" t="n">
        <f aca="false">SUM(S42:S52)</f>
        <v>87236.3842127447</v>
      </c>
      <c r="T53" s="21" t="n">
        <v>1595166.9230576337</v>
      </c>
      <c r="U53" s="21" t="n">
        <v>573907.5791904696</v>
      </c>
      <c r="V53" s="21" t="n">
        <f aca="false">SUM(V42:V52)</f>
        <v>1896632.7809172831</v>
      </c>
      <c r="W53" s="21" t="n">
        <v>305184.5634876348</v>
      </c>
      <c r="X53" s="21" t="n">
        <f aca="false">SUM(X42:X52)</f>
        <v>78894.18808053319</v>
      </c>
      <c r="Y53" s="21" t="n">
        <f aca="false">SUM(Y42:Y52)</f>
        <v>48690.901300576304</v>
      </c>
      <c r="Z53" s="21" t="n">
        <f aca="false">SUM(Z42:Z52)</f>
        <v>22730.165127768978</v>
      </c>
      <c r="AA53" s="21" t="n">
        <f aca="false">SUM(AA42:AA52)</f>
        <v>896265.9839938763</v>
      </c>
      <c r="AB53" s="21" t="n">
        <v>540880.0971252933</v>
      </c>
      <c r="AC53" s="21" t="n">
        <f aca="false">SUM(AC42:AC52)</f>
        <v>2466717.284128138</v>
      </c>
      <c r="AF53" s="20" t="s">
        <v>27</v>
      </c>
      <c r="AG53" s="21" t="n">
        <f aca="false">SUM(AG42:AG52)</f>
        <v>1422824.7091465173</v>
      </c>
      <c r="AH53" s="21" t="n">
        <f aca="false">SUM(AH42:AH52)</f>
        <v>306825.35614908085</v>
      </c>
      <c r="AI53" s="21" t="n">
        <v>2579371.882510254</v>
      </c>
      <c r="AJ53" s="21" t="n">
        <v>276582.8804652935</v>
      </c>
      <c r="AK53" s="21" t="n">
        <f aca="false">SUM(AK42:AK52)</f>
        <v>1685029.3651685684</v>
      </c>
      <c r="AL53" s="21" t="n">
        <v>1670571.0036950766</v>
      </c>
      <c r="AM53" s="21" t="n">
        <f aca="false">SUM(AM42:AM52)</f>
        <v>640218.0756366854</v>
      </c>
      <c r="AN53" s="21" t="n">
        <f aca="false">SUM(AN42:AN52)</f>
        <v>948174.8179662098</v>
      </c>
      <c r="AO53" s="21" t="n">
        <f aca="false">SUM(AO42:AO52)</f>
        <v>916132.3836893119</v>
      </c>
      <c r="AP53" s="21" t="n">
        <f aca="false">SUM(AP42:AP52)</f>
        <v>1023513.3340379916</v>
      </c>
      <c r="AQ53" s="21" t="n">
        <v>1737205.956511267</v>
      </c>
      <c r="AR53" s="21" t="n">
        <f aca="false">SUM(AR42:AR52)</f>
        <v>2366870.6082269354</v>
      </c>
    </row>
    <row r="54" customFormat="false" ht="15.6" hidden="false" customHeight="false" outlineLevel="0" collapsed="false">
      <c r="B54" s="7" t="s">
        <v>28</v>
      </c>
      <c r="C54" s="8" t="n">
        <v>27352.633414757773</v>
      </c>
      <c r="D54" s="8" t="n">
        <v>100681.82093354771</v>
      </c>
      <c r="E54" s="8" t="n">
        <v>183306.64536893528</v>
      </c>
      <c r="F54" s="8" t="n">
        <v>122293.70271363293</v>
      </c>
      <c r="G54" s="8" t="n">
        <v>3754.6935835895883</v>
      </c>
      <c r="H54" s="8" t="n">
        <v>97852.88063699986</v>
      </c>
      <c r="I54" s="8" t="n">
        <v>210103.27656928627</v>
      </c>
      <c r="J54" s="8" t="n">
        <v>51395.935987714234</v>
      </c>
      <c r="K54" s="8" t="n">
        <v>3012.0337596749087</v>
      </c>
      <c r="L54" s="8" t="n">
        <v>232080.63580594948</v>
      </c>
      <c r="M54" s="8" t="n">
        <f aca="false">M20/(1+$A54)</f>
        <v>62979.54314058761</v>
      </c>
      <c r="N54" s="8" t="n">
        <v>14308.069851107903</v>
      </c>
      <c r="Q54" s="7" t="s">
        <v>28</v>
      </c>
      <c r="R54" s="8" t="n">
        <v>256872.64799906802</v>
      </c>
      <c r="S54" s="8" t="n">
        <v>182239.5907266878</v>
      </c>
      <c r="T54" s="8" t="n">
        <v>374644.6615397387</v>
      </c>
      <c r="U54" s="8" t="n">
        <v>116497.8705901807</v>
      </c>
      <c r="V54" s="8" t="n">
        <v>3164.9913911002545</v>
      </c>
      <c r="W54" s="8" t="n">
        <v>54103.87855474351</v>
      </c>
      <c r="X54" s="8" t="n">
        <v>126577.50726899707</v>
      </c>
      <c r="Y54" s="8" t="n">
        <v>172466.63332981587</v>
      </c>
      <c r="Z54" s="8" t="n">
        <v>93637.35071776899</v>
      </c>
      <c r="AA54" s="8" t="n">
        <v>59318.87938787864</v>
      </c>
      <c r="AB54" s="8" t="n">
        <f aca="false">AB20/(1+$A54)</f>
        <v>120495.9049479956</v>
      </c>
      <c r="AC54" s="8" t="n">
        <v>128718.96048401964</v>
      </c>
      <c r="AF54" s="7" t="s">
        <v>28</v>
      </c>
      <c r="AG54" s="8" t="n">
        <v>298548.8217371323</v>
      </c>
      <c r="AH54" s="8" t="n">
        <v>51305.29999513115</v>
      </c>
      <c r="AI54" s="8" t="n">
        <v>213757.2227749299</v>
      </c>
      <c r="AJ54" s="8" t="n">
        <v>102565.91404570111</v>
      </c>
      <c r="AK54" s="8" t="n">
        <v>219695.87267796855</v>
      </c>
      <c r="AL54" s="8" t="n">
        <v>229428.36962528058</v>
      </c>
      <c r="AM54" s="8" t="n">
        <v>1324.540361744553</v>
      </c>
      <c r="AN54" s="8" t="n">
        <v>9285.342010148313</v>
      </c>
      <c r="AO54" s="8" t="n">
        <v>133968.58596461313</v>
      </c>
      <c r="AP54" s="8" t="n">
        <v>209635.3260369825</v>
      </c>
      <c r="AQ54" s="8" t="n">
        <f aca="false">AQ20/(1+$A54)</f>
        <v>283888.35357012734</v>
      </c>
      <c r="AR54" s="8" t="n">
        <v>54624.6477747078</v>
      </c>
    </row>
    <row r="55" customFormat="false" ht="15.6" hidden="false" customHeight="false" outlineLevel="0" collapsed="false">
      <c r="B55" s="20" t="s">
        <v>28</v>
      </c>
      <c r="C55" s="21" t="n">
        <f aca="false">SUM(C54)</f>
        <v>299275.8976973482</v>
      </c>
      <c r="D55" s="21" t="n">
        <f aca="false">SUM(D54)</f>
        <v>194412.21493931883</v>
      </c>
      <c r="E55" s="21" t="n">
        <f aca="false">SUM(E54)</f>
        <v>36742.45571827479</v>
      </c>
      <c r="F55" s="21" t="n">
        <f aca="false">SUM(F54)</f>
        <v>107900.1633157118</v>
      </c>
      <c r="G55" s="21" t="n">
        <f aca="false">SUM(G54)</f>
        <v>166370.70391862612</v>
      </c>
      <c r="H55" s="21" t="n">
        <f aca="false">SUM(H54)</f>
        <v>198101.63809355558</v>
      </c>
      <c r="I55" s="21" t="n">
        <f aca="false">SUM(I54)</f>
        <v>163139.28611483824</v>
      </c>
      <c r="J55" s="21" t="n">
        <f aca="false">SUM(J54)</f>
        <v>186653.27912939573</v>
      </c>
      <c r="K55" s="21" t="n">
        <f aca="false">SUM(K54)</f>
        <v>46559.28685238851</v>
      </c>
      <c r="L55" s="21" t="n">
        <f aca="false">SUM(L54)</f>
        <v>222675.17137223997</v>
      </c>
      <c r="M55" s="21" t="n">
        <f aca="false">SUM(M54)</f>
        <v>356784.56782331364</v>
      </c>
      <c r="N55" s="21" t="n">
        <f aca="false">SUM(N54)</f>
        <v>5028.083270421193</v>
      </c>
      <c r="Q55" s="20" t="s">
        <v>28</v>
      </c>
      <c r="R55" s="21" t="n">
        <f aca="false">SUM(R54)</f>
        <v>13906.872410613136</v>
      </c>
      <c r="S55" s="21" t="n">
        <f aca="false">SUM(S54)</f>
        <v>129044.1044523167</v>
      </c>
      <c r="T55" s="21" t="n">
        <f aca="false">SUM(T54)</f>
        <v>45593.1769035854</v>
      </c>
      <c r="U55" s="21" t="n">
        <f aca="false">SUM(U54)</f>
        <v>110922.69570706437</v>
      </c>
      <c r="V55" s="21" t="n">
        <f aca="false">SUM(V54)</f>
        <v>255064.19944357534</v>
      </c>
      <c r="W55" s="21" t="n">
        <f aca="false">SUM(W54)</f>
        <v>111010.06548135712</v>
      </c>
      <c r="X55" s="21" t="n">
        <f aca="false">SUM(X54)</f>
        <v>146437.38895056595</v>
      </c>
      <c r="Y55" s="21" t="n">
        <f aca="false">SUM(Y54)</f>
        <v>181202.25756785955</v>
      </c>
      <c r="Z55" s="21" t="n">
        <f aca="false">SUM(Z54)</f>
        <v>51522.82356099887</v>
      </c>
      <c r="AA55" s="21" t="n">
        <f aca="false">SUM(AA54)</f>
        <v>242434.5193180103</v>
      </c>
      <c r="AB55" s="21" t="n">
        <f aca="false">SUM(AB54)</f>
        <v>401366.4281344601</v>
      </c>
      <c r="AC55" s="21" t="n">
        <f aca="false">SUM(AC54)</f>
        <v>115300.62443140813</v>
      </c>
      <c r="AF55" s="20" t="s">
        <v>28</v>
      </c>
      <c r="AG55" s="21" t="n">
        <f aca="false">SUM(AG54)</f>
        <v>50348.48080784046</v>
      </c>
      <c r="AH55" s="21" t="n">
        <f aca="false">SUM(AH54)</f>
        <v>6001.769355442256</v>
      </c>
      <c r="AI55" s="21" t="n">
        <f aca="false">SUM(AI54)</f>
        <v>198294.89181457274</v>
      </c>
      <c r="AJ55" s="21" t="n">
        <f aca="false">SUM(AJ54)</f>
        <v>31305.31657473925</v>
      </c>
      <c r="AK55" s="21" t="n">
        <f aca="false">SUM(AK54)</f>
        <v>41601.08084495888</v>
      </c>
      <c r="AL55" s="21" t="n">
        <f aca="false">SUM(AL54)</f>
        <v>251544.39750569672</v>
      </c>
      <c r="AM55" s="21" t="n">
        <f aca="false">SUM(AM54)</f>
        <v>11742.011357754798</v>
      </c>
      <c r="AN55" s="21" t="n">
        <f aca="false">SUM(AN54)</f>
        <v>159770.04313343466</v>
      </c>
      <c r="AO55" s="21" t="n">
        <f aca="false">SUM(AO54)</f>
        <v>18423.064814496323</v>
      </c>
      <c r="AP55" s="21" t="n">
        <f aca="false">SUM(AP54)</f>
        <v>184797.16399168444</v>
      </c>
      <c r="AQ55" s="21" t="n">
        <f aca="false">SUM(AQ54)</f>
        <v>354445.88798935094</v>
      </c>
      <c r="AR55" s="21" t="n">
        <f aca="false">SUM(AR54)</f>
        <v>153461.4671706893</v>
      </c>
    </row>
    <row r="56" customFormat="false" ht="15.6" hidden="false" customHeight="false" outlineLevel="0" collapsed="false">
      <c r="B56" s="23" t="s">
        <v>29</v>
      </c>
      <c r="C56" s="8" t="n">
        <v>206103.55817065277</v>
      </c>
      <c r="D56" s="8" t="n">
        <v>99340.99737239369</v>
      </c>
      <c r="E56" s="8" t="n">
        <v>77056.82099769828</v>
      </c>
      <c r="F56" s="8" t="n">
        <v>203302.60067096274</v>
      </c>
      <c r="G56" s="8" t="n">
        <v>72998.75553835613</v>
      </c>
      <c r="H56" s="8" t="n">
        <v>66581.09911724093</v>
      </c>
      <c r="I56" s="8" t="n">
        <v>191747.20170627988</v>
      </c>
      <c r="J56" s="8" t="n">
        <v>89152.28013042457</v>
      </c>
      <c r="K56" s="8" t="n">
        <v>37931.254031211276</v>
      </c>
      <c r="L56" s="8" t="n">
        <v>186487.0042399337</v>
      </c>
      <c r="M56" s="8" t="n">
        <v>67920.31875165772</v>
      </c>
      <c r="N56" s="8" t="n">
        <v>3440.7401622185507</v>
      </c>
      <c r="Q56" s="23" t="s">
        <v>29</v>
      </c>
      <c r="R56" s="8" t="n">
        <v>40202.274392952</v>
      </c>
      <c r="S56" s="8" t="n">
        <v>36622.44669002741</v>
      </c>
      <c r="T56" s="8" t="n">
        <v>123283.41864748814</v>
      </c>
      <c r="U56" s="8" t="n">
        <v>19923.98789047506</v>
      </c>
      <c r="V56" s="8" t="n">
        <v>112005.62623685719</v>
      </c>
      <c r="W56" s="8" t="n">
        <v>112226.44491522686</v>
      </c>
      <c r="X56" s="8" t="n">
        <v>106419.76848353718</v>
      </c>
      <c r="Y56" s="8" t="n">
        <v>42622.33839315071</v>
      </c>
      <c r="Z56" s="8" t="n">
        <v>56984.184496475944</v>
      </c>
      <c r="AA56" s="8" t="n">
        <v>138606.55588131907</v>
      </c>
      <c r="AB56" s="8" t="n">
        <v>971.3709054096196</v>
      </c>
      <c r="AC56" s="8" t="n">
        <v>862.9822016137945</v>
      </c>
      <c r="AF56" s="23" t="s">
        <v>29</v>
      </c>
      <c r="AG56" s="8" t="n">
        <v>7566.114622802106</v>
      </c>
      <c r="AH56" s="8" t="n">
        <v>101295.56009270319</v>
      </c>
      <c r="AI56" s="8" t="n">
        <v>169040.18733956086</v>
      </c>
      <c r="AJ56" s="8" t="n">
        <v>10872.998213238181</v>
      </c>
      <c r="AK56" s="8" t="n">
        <v>69009.80435554894</v>
      </c>
      <c r="AL56" s="8" t="n">
        <v>110093.58371550089</v>
      </c>
      <c r="AM56" s="8" t="n">
        <v>55189.45443910634</v>
      </c>
      <c r="AN56" s="8" t="n">
        <v>74219.04845569265</v>
      </c>
      <c r="AO56" s="8" t="n">
        <v>73847.11036074159</v>
      </c>
      <c r="AP56" s="8" t="n">
        <v>171896.61498974825</v>
      </c>
      <c r="AQ56" s="8" t="n">
        <v>2397.590444300425</v>
      </c>
      <c r="AR56" s="8" t="n">
        <v>2951.468175710225</v>
      </c>
    </row>
    <row r="57" customFormat="false" ht="15.6" hidden="false" customHeight="false" outlineLevel="0" collapsed="false">
      <c r="B57" s="23" t="s">
        <v>30</v>
      </c>
      <c r="C57" s="8" t="n">
        <v>57466.07485208846</v>
      </c>
      <c r="D57" s="8" t="n">
        <v>21752.014929152196</v>
      </c>
      <c r="E57" s="8" t="n">
        <v>335482.6920396724</v>
      </c>
      <c r="F57" s="8" t="n">
        <v>129335.31307791968</v>
      </c>
      <c r="G57" s="8" t="n">
        <v>144026.66368553482</v>
      </c>
      <c r="H57" s="8" t="n">
        <v>250105.53102587216</v>
      </c>
      <c r="I57" s="8" t="n">
        <v>24097.431805953427</v>
      </c>
      <c r="J57" s="8" t="n">
        <v>205794.54438795176</v>
      </c>
      <c r="K57" s="8" t="n">
        <v>189419.37476128954</v>
      </c>
      <c r="L57" s="8" t="n">
        <v>93137.65539340042</v>
      </c>
      <c r="M57" s="8" t="n">
        <v>118774.9381627417</v>
      </c>
      <c r="N57" s="8" t="n">
        <v>180327.1077278121</v>
      </c>
      <c r="Q57" s="23" t="s">
        <v>30</v>
      </c>
      <c r="R57" s="8" t="n">
        <v>2743.122336787647</v>
      </c>
      <c r="S57" s="8" t="n">
        <v>21587.06879083418</v>
      </c>
      <c r="T57" s="8" t="n">
        <v>414266.3562896907</v>
      </c>
      <c r="U57" s="8" t="n">
        <v>66832.79878260421</v>
      </c>
      <c r="V57" s="8" t="n">
        <v>129043.17199154325</v>
      </c>
      <c r="W57" s="8" t="n">
        <v>289996.0789539383</v>
      </c>
      <c r="X57" s="8" t="n">
        <v>194999.77365882913</v>
      </c>
      <c r="Y57" s="8" t="n">
        <v>44124.834411938624</v>
      </c>
      <c r="Z57" s="8" t="n">
        <v>179695.32089342634</v>
      </c>
      <c r="AA57" s="8" t="n">
        <v>170432.39995853964</v>
      </c>
      <c r="AB57" s="8" t="n">
        <v>225430.93020437917</v>
      </c>
      <c r="AC57" s="8" t="n">
        <v>197691.6562187283</v>
      </c>
      <c r="AF57" s="23" t="s">
        <v>30</v>
      </c>
      <c r="AG57" s="8" t="n">
        <v>208632.9694375596</v>
      </c>
      <c r="AH57" s="8" t="n">
        <v>25862.314622059428</v>
      </c>
      <c r="AI57" s="8" t="n">
        <v>383740.2625525738</v>
      </c>
      <c r="AJ57" s="8" t="n">
        <v>115885.80219214788</v>
      </c>
      <c r="AK57" s="8" t="n">
        <v>51053.44295679027</v>
      </c>
      <c r="AL57" s="8" t="n">
        <v>273144.623421731</v>
      </c>
      <c r="AM57" s="8" t="n">
        <v>58289.64236651498</v>
      </c>
      <c r="AN57" s="8" t="n">
        <v>266050.1853406203</v>
      </c>
      <c r="AO57" s="8" t="n">
        <v>131956.72764759714</v>
      </c>
      <c r="AP57" s="8" t="n">
        <v>1729.7523062679502</v>
      </c>
      <c r="AQ57" s="8" t="n">
        <v>271209.28996885975</v>
      </c>
      <c r="AR57" s="8" t="n">
        <v>183217.62097461944</v>
      </c>
    </row>
    <row r="58" customFormat="false" ht="15.6" hidden="false" customHeight="false" outlineLevel="0" collapsed="false">
      <c r="B58" s="23" t="s">
        <v>31</v>
      </c>
      <c r="C58" s="8" t="n">
        <v>24131.053763979948</v>
      </c>
      <c r="D58" s="8" t="n">
        <v>137553.71856006142</v>
      </c>
      <c r="E58" s="8" t="n">
        <v>79383.42304960462</v>
      </c>
      <c r="F58" s="8" t="n">
        <v>66729.72120699093</v>
      </c>
      <c r="G58" s="8" t="n">
        <v>300631.0088413191</v>
      </c>
      <c r="H58" s="8" t="n">
        <v>374036.83426430984</v>
      </c>
      <c r="I58" s="8" t="n">
        <v>162658.44835033343</v>
      </c>
      <c r="J58" s="8" t="n">
        <v>351637.17385282024</v>
      </c>
      <c r="K58" s="8" t="n">
        <v>19240.86881419392</v>
      </c>
      <c r="L58" s="8" t="n">
        <v>305684.2348934362</v>
      </c>
      <c r="M58" s="8" t="n">
        <v>3989.417532837894</v>
      </c>
      <c r="N58" s="8" t="n">
        <v>53286.87269522215</v>
      </c>
      <c r="Q58" s="23" t="s">
        <v>31</v>
      </c>
      <c r="R58" s="8" t="n">
        <v>160121.63072277393</v>
      </c>
      <c r="S58" s="8" t="n">
        <v>107694.54132434369</v>
      </c>
      <c r="T58" s="8" t="n">
        <v>68272.57039406775</v>
      </c>
      <c r="U58" s="8" t="n">
        <v>453818.1044693292</v>
      </c>
      <c r="V58" s="8" t="n">
        <v>60053.898771602224</v>
      </c>
      <c r="W58" s="8" t="n">
        <v>462021.1966743444</v>
      </c>
      <c r="X58" s="8" t="n">
        <v>25432.77569393549</v>
      </c>
      <c r="Y58" s="8" t="n">
        <v>29979.65858116298</v>
      </c>
      <c r="Z58" s="8" t="n">
        <v>17960.521835988042</v>
      </c>
      <c r="AA58" s="8" t="n">
        <v>343229.42394348123</v>
      </c>
      <c r="AB58" s="8" t="n">
        <v>122896.40856014646</v>
      </c>
      <c r="AC58" s="8" t="n">
        <v>187361.8588597479</v>
      </c>
      <c r="AF58" s="23" t="s">
        <v>31</v>
      </c>
      <c r="AG58" s="8" t="n">
        <v>115545.47621710274</v>
      </c>
      <c r="AH58" s="8" t="n">
        <v>7803.159039617877</v>
      </c>
      <c r="AI58" s="8" t="n">
        <v>68334.81815392221</v>
      </c>
      <c r="AJ58" s="8" t="n">
        <v>35139.50255353605</v>
      </c>
      <c r="AK58" s="8" t="n">
        <v>20416.334183560986</v>
      </c>
      <c r="AL58" s="8" t="n">
        <v>387153.29320064804</v>
      </c>
      <c r="AM58" s="8" t="n">
        <v>102440.77179460494</v>
      </c>
      <c r="AN58" s="8" t="n">
        <v>75320.10823378258</v>
      </c>
      <c r="AO58" s="8" t="n">
        <v>629884.3753612195</v>
      </c>
      <c r="AP58" s="8" t="n">
        <v>267224.38475714944</v>
      </c>
      <c r="AQ58" s="8" t="n">
        <v>170682.7024034423</v>
      </c>
      <c r="AR58" s="8" t="n">
        <v>75592.20289043227</v>
      </c>
    </row>
    <row r="59" customFormat="false" ht="15.6" hidden="false" customHeight="false" outlineLevel="0" collapsed="false">
      <c r="B59" s="23" t="s">
        <v>32</v>
      </c>
      <c r="C59" s="8" t="n">
        <v>12969.124401720597</v>
      </c>
      <c r="D59" s="8" t="n">
        <v>8858.052971097</v>
      </c>
      <c r="E59" s="8" t="n">
        <v>43704.53418374929</v>
      </c>
      <c r="F59" s="8" t="n">
        <v>27780.193624933</v>
      </c>
      <c r="G59" s="8" t="n">
        <v>19093.855680807002</v>
      </c>
      <c r="H59" s="8" t="n">
        <v>17361.00155210502</v>
      </c>
      <c r="I59" s="8" t="n">
        <v>4762.904404924018</v>
      </c>
      <c r="J59" s="8" t="n">
        <v>138.26668122969647</v>
      </c>
      <c r="K59" s="8" t="n">
        <v>22698.965330506795</v>
      </c>
      <c r="L59" s="8" t="n">
        <v>48121.280660930744</v>
      </c>
      <c r="M59" s="8" t="n">
        <v>20979.70247904929</v>
      </c>
      <c r="N59" s="8" t="n">
        <v>9333.32135621858</v>
      </c>
      <c r="Q59" s="23" t="s">
        <v>32</v>
      </c>
      <c r="R59" s="8" t="n">
        <v>29995.99377092221</v>
      </c>
      <c r="S59" s="8" t="n">
        <v>47005.7067621577</v>
      </c>
      <c r="T59" s="8" t="n">
        <v>15995.764524435144</v>
      </c>
      <c r="U59" s="8" t="n">
        <v>10427.323932785645</v>
      </c>
      <c r="V59" s="8" t="n">
        <v>21161.03364758204</v>
      </c>
      <c r="W59" s="8" t="n">
        <v>26800.71624165243</v>
      </c>
      <c r="X59" s="8" t="n">
        <v>38855.3422051746</v>
      </c>
      <c r="Y59" s="8" t="n">
        <v>15488.569490409547</v>
      </c>
      <c r="Z59" s="8" t="n">
        <v>6032.4437971163525</v>
      </c>
      <c r="AA59" s="8" t="n">
        <v>2101.3450541302004</v>
      </c>
      <c r="AB59" s="8" t="n">
        <v>40019.42407178369</v>
      </c>
      <c r="AC59" s="8" t="n">
        <v>3356.9424060490746</v>
      </c>
      <c r="AF59" s="23" t="s">
        <v>32</v>
      </c>
      <c r="AG59" s="8" t="n">
        <v>33089.60607015575</v>
      </c>
      <c r="AH59" s="8" t="n">
        <v>40080.31383009744</v>
      </c>
      <c r="AI59" s="8" t="n">
        <v>43733.38674197444</v>
      </c>
      <c r="AJ59" s="8" t="n">
        <v>1367.813312524729</v>
      </c>
      <c r="AK59" s="8" t="n">
        <v>6386.307035364414</v>
      </c>
      <c r="AL59" s="8" t="n">
        <v>32224.316665452618</v>
      </c>
      <c r="AM59" s="8" t="n">
        <v>23820.424159504397</v>
      </c>
      <c r="AN59" s="8" t="n">
        <v>10898.736091425186</v>
      </c>
      <c r="AO59" s="8" t="n">
        <v>16618.45007348333</v>
      </c>
      <c r="AP59" s="8" t="n">
        <v>2625.368605326552</v>
      </c>
      <c r="AQ59" s="8" t="n">
        <v>4906.285646987229</v>
      </c>
      <c r="AR59" s="8" t="n">
        <v>14760.99923647689</v>
      </c>
    </row>
    <row r="60" customFormat="false" ht="15.6" hidden="false" customHeight="false" outlineLevel="0" collapsed="false">
      <c r="B60" s="23" t="s">
        <v>33</v>
      </c>
      <c r="C60" s="8" t="n">
        <v>14984.540640167368</v>
      </c>
      <c r="D60" s="8" t="n">
        <v>46443.06337874617</v>
      </c>
      <c r="E60" s="8" t="n">
        <v>9235.090100402813</v>
      </c>
      <c r="F60" s="8" t="n">
        <v>67042.39149704597</v>
      </c>
      <c r="G60" s="8" t="n">
        <v>28476.595951870666</v>
      </c>
      <c r="H60" s="8" t="n">
        <v>11141.867466102996</v>
      </c>
      <c r="I60" s="8" t="n">
        <v>88886.94758810983</v>
      </c>
      <c r="J60" s="8" t="n">
        <v>1255.4799425727867</v>
      </c>
      <c r="K60" s="8" t="n">
        <v>48253.02997046967</v>
      </c>
      <c r="L60" s="8" t="n">
        <v>49769.54239094444</v>
      </c>
      <c r="M60" s="8" t="n">
        <v>42000.22858421549</v>
      </c>
      <c r="N60" s="8" t="n">
        <v>27053.933502002186</v>
      </c>
      <c r="Q60" s="23" t="s">
        <v>33</v>
      </c>
      <c r="R60" s="8" t="n">
        <v>6621.944048316526</v>
      </c>
      <c r="S60" s="8" t="n">
        <v>51217.108231487626</v>
      </c>
      <c r="T60" s="8" t="n">
        <v>62585.781019045535</v>
      </c>
      <c r="U60" s="8" t="n">
        <v>18445.030072288555</v>
      </c>
      <c r="V60" s="8" t="n">
        <v>13253.999908774744</v>
      </c>
      <c r="W60" s="8" t="n">
        <v>18895.95298161652</v>
      </c>
      <c r="X60" s="8" t="n">
        <v>28445.950434564456</v>
      </c>
      <c r="Y60" s="8" t="n">
        <v>34891.55691566221</v>
      </c>
      <c r="Z60" s="8" t="n">
        <v>41284.11816484853</v>
      </c>
      <c r="AA60" s="8" t="n">
        <v>50571.21486774469</v>
      </c>
      <c r="AB60" s="8" t="n">
        <v>73531.93444793292</v>
      </c>
      <c r="AC60" s="8" t="n">
        <v>53401.9549052071</v>
      </c>
      <c r="AF60" s="23" t="s">
        <v>33</v>
      </c>
      <c r="AG60" s="8" t="n">
        <v>47415.8914254555</v>
      </c>
      <c r="AH60" s="8" t="n">
        <v>23948.972003058087</v>
      </c>
      <c r="AI60" s="8" t="n">
        <v>89770.86992227471</v>
      </c>
      <c r="AJ60" s="8" t="n">
        <v>46974.369287293084</v>
      </c>
      <c r="AK60" s="8" t="n">
        <v>41307.884228736926</v>
      </c>
      <c r="AL60" s="8" t="n">
        <v>39462.87016036015</v>
      </c>
      <c r="AM60" s="8" t="n">
        <v>96994.37162474563</v>
      </c>
      <c r="AN60" s="8" t="n">
        <v>35587.589234879495</v>
      </c>
      <c r="AO60" s="8" t="n">
        <v>23469.92133343882</v>
      </c>
      <c r="AP60" s="8" t="n">
        <v>8745.463435723548</v>
      </c>
      <c r="AQ60" s="8" t="n">
        <v>26941.590866269515</v>
      </c>
      <c r="AR60" s="8" t="n">
        <v>45614.34498384781</v>
      </c>
    </row>
    <row r="61" customFormat="false" ht="15.6" hidden="false" customHeight="false" outlineLevel="0" collapsed="false">
      <c r="B61" s="23" t="s">
        <v>34</v>
      </c>
      <c r="C61" s="8" t="n">
        <v>5236.951652361259</v>
      </c>
      <c r="D61" s="8" t="n">
        <v>-31.224974445699758</v>
      </c>
      <c r="E61" s="8" t="n">
        <v>3251.4451786465265</v>
      </c>
      <c r="F61" s="8" t="n">
        <v>20629.44984451562</v>
      </c>
      <c r="G61" s="8" t="n">
        <v>11855.436924975254</v>
      </c>
      <c r="H61" s="8" t="n">
        <v>1746.3055567930862</v>
      </c>
      <c r="I61" s="8" t="n">
        <v>728.7263255143303</v>
      </c>
      <c r="J61" s="8" t="n">
        <v>0.0</v>
      </c>
      <c r="K61" s="8" t="n">
        <v>280.470760708333</v>
      </c>
      <c r="L61" s="8" t="n">
        <v>-2227.392586868983</v>
      </c>
      <c r="M61" s="8" t="n">
        <v>18524.770194963694</v>
      </c>
      <c r="N61" s="8" t="n">
        <v>-14928.761461847767</v>
      </c>
      <c r="Q61" s="23" t="s">
        <v>34</v>
      </c>
      <c r="R61" s="8" t="n">
        <v>19227.499056964392</v>
      </c>
      <c r="S61" s="8" t="n">
        <v>-125.21948863243931</v>
      </c>
      <c r="T61" s="8" t="n">
        <v>1945.9906705828555</v>
      </c>
      <c r="U61" s="8" t="n">
        <v>45614.19466093451</v>
      </c>
      <c r="V61" s="8" t="n">
        <v>15481.157940445328</v>
      </c>
      <c r="W61" s="8" t="n">
        <v>1909.1854938684419</v>
      </c>
      <c r="X61" s="8" t="n">
        <v>569.5790320983651</v>
      </c>
      <c r="Y61" s="8" t="n">
        <v>0.0</v>
      </c>
      <c r="Z61" s="8" t="n">
        <v>323.27312593776105</v>
      </c>
      <c r="AA61" s="8" t="n">
        <v>-1622.3660579530012</v>
      </c>
      <c r="AB61" s="8" t="n">
        <v>38533.90861813616</v>
      </c>
      <c r="AC61" s="8" t="n">
        <v>-16104.381060041396</v>
      </c>
      <c r="AF61" s="23" t="s">
        <v>34</v>
      </c>
      <c r="AG61" s="8" t="n">
        <v>50906.96791125735</v>
      </c>
      <c r="AH61" s="8" t="n">
        <v>-171.49986227842928</v>
      </c>
      <c r="AI61" s="8" t="n">
        <v>3813.536878354934</v>
      </c>
      <c r="AJ61" s="8" t="n">
        <v>29778.50020078871</v>
      </c>
      <c r="AK61" s="8" t="n">
        <v>17462.14863549024</v>
      </c>
      <c r="AL61" s="8" t="n">
        <v>1410.6093574698452</v>
      </c>
      <c r="AM61" s="8" t="n">
        <v>620.7255757462881</v>
      </c>
      <c r="AN61" s="8" t="n">
        <v>0.0</v>
      </c>
      <c r="AO61" s="8" t="n">
        <v>815.1863746380427</v>
      </c>
      <c r="AP61" s="8" t="n">
        <v>-856.1480210567107</v>
      </c>
      <c r="AQ61" s="8" t="n">
        <v>17096.729262910358</v>
      </c>
      <c r="AR61" s="8" t="n">
        <v>-12330.060460633678</v>
      </c>
    </row>
    <row r="62" customFormat="false" ht="15.6" hidden="false" customHeight="false" outlineLevel="0" collapsed="false">
      <c r="B62" s="23" t="s">
        <v>35</v>
      </c>
      <c r="C62" s="8" t="n">
        <v>123198.55703810591</v>
      </c>
      <c r="D62" s="8" t="n">
        <v>126068.81902789102</v>
      </c>
      <c r="E62" s="8" t="n">
        <v>44207.23600736384</v>
      </c>
      <c r="F62" s="8" t="n">
        <v>12563.716843563478</v>
      </c>
      <c r="G62" s="8" t="n">
        <v>42626.10766643291</v>
      </c>
      <c r="H62" s="8" t="n">
        <v>17719.390607594487</v>
      </c>
      <c r="I62" s="8" t="n">
        <v>72725.93581705294</v>
      </c>
      <c r="J62" s="8" t="n">
        <v>25375.81605690646</v>
      </c>
      <c r="K62" s="8" t="n">
        <v>56621.736342339864</v>
      </c>
      <c r="L62" s="8" t="n">
        <v>89048.51400603764</v>
      </c>
      <c r="M62" s="8" t="n">
        <v>27207.98363784616</v>
      </c>
      <c r="N62" s="8" t="n">
        <v>29207.89729534683</v>
      </c>
      <c r="Q62" s="23" t="s">
        <v>35</v>
      </c>
      <c r="R62" s="8" t="n">
        <v>190283.05701256456</v>
      </c>
      <c r="S62" s="8" t="n">
        <v>133323.87538422452</v>
      </c>
      <c r="T62" s="8" t="n">
        <v>98995.16113889689</v>
      </c>
      <c r="U62" s="8" t="n">
        <v>48501.641705815004</v>
      </c>
      <c r="V62" s="8" t="n">
        <v>91600.65079874125</v>
      </c>
      <c r="W62" s="8" t="n">
        <v>43253.73413241343</v>
      </c>
      <c r="X62" s="8" t="n">
        <v>49046.06716542929</v>
      </c>
      <c r="Y62" s="8" t="n">
        <v>31954.84325437584</v>
      </c>
      <c r="Z62" s="8" t="n">
        <v>80849.85967965829</v>
      </c>
      <c r="AA62" s="8" t="n">
        <v>69233.97444270659</v>
      </c>
      <c r="AB62" s="8" t="n">
        <v>83065.51386439094</v>
      </c>
      <c r="AC62" s="8" t="n">
        <v>36810.9152331644</v>
      </c>
      <c r="AF62" s="23" t="s">
        <v>35</v>
      </c>
      <c r="AG62" s="8" t="n">
        <v>31550.879721708417</v>
      </c>
      <c r="AH62" s="8" t="n">
        <v>84571.8381576931</v>
      </c>
      <c r="AI62" s="8" t="n">
        <v>55083.888656832176</v>
      </c>
      <c r="AJ62" s="8" t="n">
        <v>79809.26647593566</v>
      </c>
      <c r="AK62" s="8" t="n">
        <v>114576.02938549065</v>
      </c>
      <c r="AL62" s="8" t="n">
        <v>57247.912214616576</v>
      </c>
      <c r="AM62" s="8" t="n">
        <v>74938.74800589039</v>
      </c>
      <c r="AN62" s="8" t="n">
        <v>22312.456659029423</v>
      </c>
      <c r="AO62" s="8" t="n">
        <v>116386.38349567982</v>
      </c>
      <c r="AP62" s="8" t="n">
        <v>137068.23300884498</v>
      </c>
      <c r="AQ62" s="8" t="n">
        <v>85906.81438904519</v>
      </c>
      <c r="AR62" s="8" t="n">
        <v>38046.03757830926</v>
      </c>
    </row>
    <row r="63" customFormat="false" ht="15.6" hidden="false" customHeight="false" outlineLevel="0" collapsed="false">
      <c r="B63" s="24" t="s">
        <v>36</v>
      </c>
      <c r="C63" s="25" t="n">
        <v>71371.65721396175</v>
      </c>
      <c r="D63" s="25" t="n">
        <v>1360.291697295382</v>
      </c>
      <c r="E63" s="25" t="n">
        <v>9754.183978801733</v>
      </c>
      <c r="F63" s="25" t="n">
        <v>49407.555026529124</v>
      </c>
      <c r="G63" s="25" t="n">
        <v>7340.397782382899</v>
      </c>
      <c r="H63" s="25" t="n">
        <v>108922.64415265642</v>
      </c>
      <c r="I63" s="25" t="n">
        <v>82921.81170674584</v>
      </c>
      <c r="J63" s="25" t="n">
        <v>81729.3704864036</v>
      </c>
      <c r="K63" s="25" t="n">
        <v>25541.412547743657</v>
      </c>
      <c r="L63" s="25" t="n">
        <v>57497.38797002789</v>
      </c>
      <c r="M63" s="25" t="n">
        <v>21175.46936168592</v>
      </c>
      <c r="N63" s="25" t="n">
        <v>13806.33840620001</v>
      </c>
      <c r="Q63" s="24" t="s">
        <v>36</v>
      </c>
      <c r="R63" s="25" t="n">
        <v>98543.6428270589</v>
      </c>
      <c r="S63" s="25" t="n">
        <v>38733.56025431683</v>
      </c>
      <c r="T63" s="25" t="n">
        <v>22122.262478643224</v>
      </c>
      <c r="U63" s="25" t="n">
        <v>15668.08041871309</v>
      </c>
      <c r="V63" s="25" t="n">
        <v>3502.900240613041</v>
      </c>
      <c r="W63" s="25" t="n">
        <v>143852.35188418126</v>
      </c>
      <c r="X63" s="25" t="n">
        <v>161036.44584611192</v>
      </c>
      <c r="Y63" s="25" t="n">
        <v>93457.83525921848</v>
      </c>
      <c r="Z63" s="25" t="n">
        <v>100362.70478601463</v>
      </c>
      <c r="AA63" s="25" t="n">
        <v>90268.40015064816</v>
      </c>
      <c r="AB63" s="25" t="n">
        <v>31559.08476805206</v>
      </c>
      <c r="AC63" s="25" t="n">
        <v>71201.47815104293</v>
      </c>
      <c r="AF63" s="24" t="s">
        <v>36</v>
      </c>
      <c r="AG63" s="25" t="n">
        <v>74553.81649336725</v>
      </c>
      <c r="AH63" s="25" t="n">
        <v>55089.380107626</v>
      </c>
      <c r="AI63" s="25" t="n">
        <v>3608.5122388195505</v>
      </c>
      <c r="AJ63" s="25" t="n">
        <v>41272.670710604514</v>
      </c>
      <c r="AK63" s="25" t="n">
        <v>20779.54975018421</v>
      </c>
      <c r="AL63" s="25" t="n">
        <v>120997.78766988339</v>
      </c>
      <c r="AM63" s="25" t="n">
        <v>93206.46546726795</v>
      </c>
      <c r="AN63" s="25" t="n">
        <v>93026.1898228218</v>
      </c>
      <c r="AO63" s="25" t="n">
        <v>82723.8238091607</v>
      </c>
      <c r="AP63" s="25" t="n">
        <v>26575.60202336819</v>
      </c>
      <c r="AQ63" s="25" t="n">
        <v>21015.61866265979</v>
      </c>
      <c r="AR63" s="25" t="n">
        <v>35767.09937071983</v>
      </c>
    </row>
    <row r="64" customFormat="false" ht="15.6" hidden="false" customHeight="false" outlineLevel="0" collapsed="false">
      <c r="B64" s="27" t="s">
        <v>37</v>
      </c>
      <c r="C64" s="28" t="n">
        <f aca="false">SUM(C56:C63)</f>
        <v>666364.9196980046</v>
      </c>
      <c r="D64" s="29" t="n">
        <f aca="false">SUM(D56:D63)</f>
        <v>320577.9835431436</v>
      </c>
      <c r="E64" s="29" t="n">
        <f aca="false">SUM(E56:E63)</f>
        <v>510167.0644745418</v>
      </c>
      <c r="F64" s="29" t="n">
        <f aca="false">SUM(F56:F63)</f>
        <v>652291.1400154113</v>
      </c>
      <c r="G64" s="29" t="n">
        <f aca="false">SUM(G56:G63)</f>
        <v>530623.7509228633</v>
      </c>
      <c r="H64" s="29" t="n">
        <f aca="false">SUM(H56:H63)</f>
        <v>1316958.9622226767</v>
      </c>
      <c r="I64" s="29" t="n">
        <f aca="false">SUM(I56:I63)</f>
        <v>1103417.7146769417</v>
      </c>
      <c r="J64" s="29" t="n">
        <f aca="false">SUM(J56:J63)</f>
        <v>1024727.316476345</v>
      </c>
      <c r="K64" s="29" t="n">
        <f aca="false">SUM(K56:K63)</f>
        <v>493663.26470648596</v>
      </c>
      <c r="L64" s="29" t="n">
        <f aca="false">SUM(L56:L63)</f>
        <v>884132.0589702011</v>
      </c>
      <c r="M64" s="29" t="n">
        <f aca="false">SUM(M56:M63)</f>
        <v>773848.2072085857</v>
      </c>
      <c r="N64" s="35" t="n">
        <f aca="false">SUM(N56:N63)</f>
        <v>209785.3360238341</v>
      </c>
      <c r="Q64" s="27" t="s">
        <v>37</v>
      </c>
      <c r="R64" s="28" t="n">
        <f aca="false">SUM(R56:R63)</f>
        <v>1597318.616632609</v>
      </c>
      <c r="S64" s="29" t="n">
        <f aca="false">SUM(S56:S63)</f>
        <v>873642.6461421852</v>
      </c>
      <c r="T64" s="29" t="n">
        <f aca="false">SUM(T56:T63)</f>
        <v>654610.4184436948</v>
      </c>
      <c r="U64" s="29" t="n">
        <f aca="false">SUM(U56:U63)</f>
        <v>424821.34890645754</v>
      </c>
      <c r="V64" s="29" t="n">
        <f aca="false">SUM(V56:V63)</f>
        <v>885695.0801483823</v>
      </c>
      <c r="W64" s="29" t="n">
        <f aca="false">SUM(W56:W63)</f>
        <v>1042964.6159548793</v>
      </c>
      <c r="X64" s="29" t="n">
        <f aca="false">SUM(X56:X63)</f>
        <v>337162.31353404373</v>
      </c>
      <c r="Y64" s="29" t="n">
        <f aca="false">SUM(Y56:Y63)</f>
        <v>1132276.299510049</v>
      </c>
      <c r="Z64" s="29" t="n">
        <f aca="false">SUM(Z56:Z63)</f>
        <v>398974.60846559145</v>
      </c>
      <c r="AA64" s="29" t="n">
        <f aca="false">SUM(AA56:AA63)</f>
        <v>617157.0506160124</v>
      </c>
      <c r="AB64" s="29" t="n">
        <f aca="false">SUM(AB56:AB63)</f>
        <v>679953.2256472352</v>
      </c>
      <c r="AC64" s="35" t="n">
        <f aca="false">SUM(AC56:AC63)</f>
        <v>441790.4966131519</v>
      </c>
      <c r="AF64" s="27" t="s">
        <v>37</v>
      </c>
      <c r="AG64" s="28" t="n">
        <f aca="false">SUM(AG56:AG63)</f>
        <v>1493122.3159962401</v>
      </c>
      <c r="AH64" s="29" t="n">
        <f aca="false">SUM(AH56:AH63)</f>
        <v>716796.6200008141</v>
      </c>
      <c r="AI64" s="29" t="n">
        <f aca="false">SUM(AI56:AI63)</f>
        <v>870561.5549744081</v>
      </c>
      <c r="AJ64" s="29" t="n">
        <f aca="false">SUM(AJ56:AJ63)</f>
        <v>993273.4544360484</v>
      </c>
      <c r="AK64" s="29" t="n">
        <f aca="false">SUM(AK56:AK63)</f>
        <v>981559.6423454252</v>
      </c>
      <c r="AL64" s="29" t="n">
        <f aca="false">SUM(AL56:AL63)</f>
        <v>429896.202524316</v>
      </c>
      <c r="AM64" s="29" t="n">
        <f aca="false">SUM(AM56:AM63)</f>
        <v>29387.226914618885</v>
      </c>
      <c r="AN64" s="29" t="n">
        <f aca="false">SUM(AN56:AN63)</f>
        <v>230129.01098046987</v>
      </c>
      <c r="AO64" s="29" t="n">
        <f aca="false">SUM(AO56:AO63)</f>
        <v>749085.4148685797</v>
      </c>
      <c r="AP64" s="29" t="n">
        <f aca="false">SUM(AP56:AP63)</f>
        <v>737546.621166614</v>
      </c>
      <c r="AQ64" s="29" t="n">
        <f aca="false">SUM(AQ56:AQ63)</f>
        <v>1208376.9858180732</v>
      </c>
      <c r="AR64" s="35" t="n">
        <f aca="false">SUM(AR56:AR63)</f>
        <v>128360.01589242952</v>
      </c>
    </row>
    <row r="65" customFormat="false" ht="15.6" hidden="false" customHeight="false" outlineLevel="0" collapsed="false">
      <c r="B65" s="27" t="s">
        <v>38</v>
      </c>
      <c r="C65" s="28" t="n">
        <v>20881.00505293546</v>
      </c>
      <c r="D65" s="29" t="n">
        <v>23728.79926114809</v>
      </c>
      <c r="E65" s="29" t="n">
        <v>251344.12328875854</v>
      </c>
      <c r="F65" s="29" t="n">
        <v>24404.028547609953</v>
      </c>
      <c r="G65" s="29" t="n">
        <v>84821.1090254619</v>
      </c>
      <c r="H65" s="29" t="n">
        <v>57823.519904243505</v>
      </c>
      <c r="I65" s="29" t="n">
        <v>199344.52916326176</v>
      </c>
      <c r="J65" s="29" t="n">
        <v>1271.3809723148731</v>
      </c>
      <c r="K65" s="29" t="n">
        <v>155173.28359534044</v>
      </c>
      <c r="L65" s="29" t="n">
        <v>193791.52494977275</v>
      </c>
      <c r="M65" s="29" t="n">
        <v>283627.9091927874</v>
      </c>
      <c r="N65" s="29" t="n">
        <v>11594.30226959236</v>
      </c>
      <c r="Q65" s="27" t="s">
        <v>38</v>
      </c>
      <c r="R65" s="28" t="n">
        <v>75154.45770647746</v>
      </c>
      <c r="S65" s="29" t="n">
        <v>10030.546725987992</v>
      </c>
      <c r="T65" s="29" t="n">
        <v>141526.13950799257</v>
      </c>
      <c r="U65" s="29" t="n">
        <v>65555.29866442493</v>
      </c>
      <c r="V65" s="29" t="n">
        <v>89361.81754234034</v>
      </c>
      <c r="W65" s="29" t="n">
        <v>170249.28020431846</v>
      </c>
      <c r="X65" s="29" t="n">
        <v>20010.637676737526</v>
      </c>
      <c r="Y65" s="29" t="n">
        <v>87503.3807173685</v>
      </c>
      <c r="Z65" s="29" t="n">
        <v>15893.847979965061</v>
      </c>
      <c r="AA65" s="29" t="n">
        <v>207035.6816828857</v>
      </c>
      <c r="AB65" s="29" t="n">
        <v>204346.4749462918</v>
      </c>
      <c r="AC65" s="29" t="n">
        <v>95259.71625948984</v>
      </c>
      <c r="AF65" s="27" t="s">
        <v>38</v>
      </c>
      <c r="AG65" s="28" t="n">
        <v>105203.95912395895</v>
      </c>
      <c r="AH65" s="29" t="n">
        <v>66643.37981203513</v>
      </c>
      <c r="AI65" s="29" t="n">
        <v>99621.95902537774</v>
      </c>
      <c r="AJ65" s="29" t="n">
        <v>91186.46733070996</v>
      </c>
      <c r="AK65" s="29" t="n">
        <v>437.383800054291</v>
      </c>
      <c r="AL65" s="29" t="n">
        <v>36403.47417303141</v>
      </c>
      <c r="AM65" s="29" t="n">
        <v>21356.680883591816</v>
      </c>
      <c r="AN65" s="29" t="n">
        <v>155190.69878903468</v>
      </c>
      <c r="AO65" s="29" t="n">
        <v>222559.05449859245</v>
      </c>
      <c r="AP65" s="29" t="n">
        <v>87867.16636518473</v>
      </c>
      <c r="AQ65" s="29" t="n">
        <v>392004.2491754451</v>
      </c>
      <c r="AR65" s="29" t="n">
        <v>270838.0826412985</v>
      </c>
    </row>
    <row r="66" customFormat="false" ht="15.6" hidden="false" customHeight="false" outlineLevel="0" collapsed="false">
      <c r="B66" s="23" t="s">
        <v>39</v>
      </c>
      <c r="C66" s="8" t="n">
        <v>404149.22095697577</v>
      </c>
      <c r="D66" s="8" t="n">
        <v>44646.73516167647</v>
      </c>
      <c r="E66" s="8" t="n">
        <v>181307.0670428716</v>
      </c>
      <c r="F66" s="8" t="n">
        <v>188010.66479114356</v>
      </c>
      <c r="G66" s="8" t="n">
        <v>253008.96207978154</v>
      </c>
      <c r="H66" s="8" t="n">
        <v>243024.38131815894</v>
      </c>
      <c r="I66" s="8" t="n">
        <v>164941.86817393848</v>
      </c>
      <c r="J66" s="8" t="n">
        <v>399039.26323393174</v>
      </c>
      <c r="K66" s="8" t="n">
        <v>7294.12550116246</v>
      </c>
      <c r="L66" s="8" t="n">
        <v>185509.34951352503</v>
      </c>
      <c r="M66" s="8" t="n">
        <v>436815.1732454863</v>
      </c>
      <c r="N66" s="8" t="n">
        <v>18961.224827187863</v>
      </c>
      <c r="Q66" s="23" t="s">
        <v>39</v>
      </c>
      <c r="R66" s="8" t="n">
        <v>491059.49674525636</v>
      </c>
      <c r="S66" s="8" t="n">
        <v>152372.71820832463</v>
      </c>
      <c r="T66" s="8" t="n">
        <v>116859.70215705683</v>
      </c>
      <c r="U66" s="8" t="n">
        <v>80268.4903055176</v>
      </c>
      <c r="V66" s="8" t="n">
        <v>388387.84233857587</v>
      </c>
      <c r="W66" s="8" t="n">
        <v>437752.6392516294</v>
      </c>
      <c r="X66" s="8" t="n">
        <v>132719.85444507303</v>
      </c>
      <c r="Y66" s="8" t="n">
        <v>325119.97350138845</v>
      </c>
      <c r="Z66" s="8" t="n">
        <v>133975.93177465504</v>
      </c>
      <c r="AA66" s="8" t="n">
        <v>91849.74430394742</v>
      </c>
      <c r="AB66" s="8" t="n">
        <v>312624.45728211664</v>
      </c>
      <c r="AC66" s="8" t="n">
        <v>34581.342946224395</v>
      </c>
      <c r="AF66" s="23" t="s">
        <v>39</v>
      </c>
      <c r="AG66" s="8" t="n">
        <v>144796.88459448962</v>
      </c>
      <c r="AH66" s="8" t="n">
        <v>64432.084558721355</v>
      </c>
      <c r="AI66" s="8" t="n">
        <v>297817.84350533935</v>
      </c>
      <c r="AJ66" s="8" t="n">
        <v>291082.6328553685</v>
      </c>
      <c r="AK66" s="8" t="n">
        <v>261346.32748809012</v>
      </c>
      <c r="AL66" s="8" t="n">
        <v>313002.3046164917</v>
      </c>
      <c r="AM66" s="8" t="n">
        <v>53004.26455016104</v>
      </c>
      <c r="AN66" s="8" t="n">
        <v>222110.85984069473</v>
      </c>
      <c r="AO66" s="8" t="n">
        <v>177982.7350207362</v>
      </c>
      <c r="AP66" s="8" t="n">
        <v>166674.47301881615</v>
      </c>
      <c r="AQ66" s="8" t="n">
        <v>438519.7348555523</v>
      </c>
      <c r="AR66" s="8" t="n">
        <v>59118.56161321079</v>
      </c>
    </row>
    <row r="67" customFormat="false" ht="15.6" hidden="false" customHeight="false" outlineLevel="0" collapsed="false">
      <c r="B67" s="23" t="s">
        <v>40</v>
      </c>
      <c r="C67" s="8" t="n">
        <v>67737.61878205446</v>
      </c>
      <c r="D67" s="8" t="n">
        <v>113410.61883894581</v>
      </c>
      <c r="E67" s="8" t="n">
        <v>23607.124087403787</v>
      </c>
      <c r="F67" s="8" t="n">
        <v>184883.32320954662</v>
      </c>
      <c r="G67" s="8" t="n">
        <v>63945.21046517091</v>
      </c>
      <c r="H67" s="8" t="n">
        <v>117616.45444410991</v>
      </c>
      <c r="I67" s="8" t="n">
        <v>14815.305553947419</v>
      </c>
      <c r="J67" s="8" t="n">
        <v>41783.608039888226</v>
      </c>
      <c r="K67" s="8" t="n">
        <v>318605.8295034463</v>
      </c>
      <c r="L67" s="8" t="n">
        <v>176845.69933846864</v>
      </c>
      <c r="M67" s="8" t="n">
        <v>327017.6137956151</v>
      </c>
      <c r="N67" s="8" t="n">
        <v>67063.84936921962</v>
      </c>
      <c r="Q67" s="23" t="s">
        <v>40</v>
      </c>
      <c r="R67" s="8" t="n">
        <v>172843.59447546347</v>
      </c>
      <c r="S67" s="8" t="n">
        <v>184249.71210052303</v>
      </c>
      <c r="T67" s="8" t="n">
        <v>92047.20957444597</v>
      </c>
      <c r="U67" s="8" t="n">
        <v>43386.5832863673</v>
      </c>
      <c r="V67" s="8" t="n">
        <v>98495.8744813911</v>
      </c>
      <c r="W67" s="8" t="n">
        <v>268070.2080054496</v>
      </c>
      <c r="X67" s="8" t="n">
        <v>190696.99539430576</v>
      </c>
      <c r="Y67" s="8" t="n">
        <v>229757.95289333942</v>
      </c>
      <c r="Z67" s="8" t="n">
        <v>7601.849778915679</v>
      </c>
      <c r="AA67" s="8" t="n">
        <v>325103.50945466605</v>
      </c>
      <c r="AB67" s="8" t="n">
        <v>32330.174562788197</v>
      </c>
      <c r="AC67" s="8" t="n">
        <v>35480.343902529705</v>
      </c>
      <c r="AF67" s="23" t="s">
        <v>40</v>
      </c>
      <c r="AG67" s="8" t="n">
        <v>62890.0804812193</v>
      </c>
      <c r="AH67" s="8" t="n">
        <v>160.1042155659268</v>
      </c>
      <c r="AI67" s="8" t="n">
        <v>277508.79000689386</v>
      </c>
      <c r="AJ67" s="8" t="n">
        <v>253379.33285445973</v>
      </c>
      <c r="AK67" s="8" t="n">
        <v>89451.59383229793</v>
      </c>
      <c r="AL67" s="8" t="n">
        <v>21064.825362680003</v>
      </c>
      <c r="AM67" s="8" t="n">
        <v>276387.1913423426</v>
      </c>
      <c r="AN67" s="8" t="n">
        <v>102644.29366791551</v>
      </c>
      <c r="AO67" s="8" t="n">
        <v>431649.15877211693</v>
      </c>
      <c r="AP67" s="8" t="n">
        <v>223949.71052223872</v>
      </c>
      <c r="AQ67" s="8" t="n">
        <v>346813.4674584549</v>
      </c>
      <c r="AR67" s="8" t="n">
        <v>124726.36823788867</v>
      </c>
    </row>
    <row r="68" customFormat="false" ht="15.6" hidden="false" customHeight="false" outlineLevel="0" collapsed="false">
      <c r="B68" s="23" t="s">
        <v>41</v>
      </c>
      <c r="C68" s="8"/>
      <c r="D68" s="8" t="n">
        <f aca="false">D34/(1+$A68)</f>
        <v>2614171.418624706</v>
      </c>
      <c r="E68" s="8" t="n">
        <f aca="false">E34/(1+A68)</f>
        <v>2795442.1027221913</v>
      </c>
      <c r="F68" s="8"/>
      <c r="G68" s="8"/>
      <c r="H68" s="8"/>
      <c r="I68" s="8"/>
      <c r="J68" s="8" t="n">
        <v>0.0</v>
      </c>
      <c r="K68" s="8" t="n">
        <v>0.0</v>
      </c>
      <c r="L68" s="8" t="n">
        <f aca="false">L34/(1+$A68)</f>
        <v>2637598.410124683</v>
      </c>
      <c r="M68" s="8" t="n">
        <f aca="false">M34/(1+$A68)</f>
        <v>4362447.132615538</v>
      </c>
      <c r="N68" s="8" t="n">
        <f aca="false">N34/(1+$A68)</f>
        <v>4854275.363864927</v>
      </c>
      <c r="Q68" s="23" t="s">
        <v>41</v>
      </c>
      <c r="R68" s="8"/>
      <c r="S68" s="8" t="n">
        <f aca="false">S34/(1+$A68)</f>
        <v>4301426.790793417</v>
      </c>
      <c r="T68" s="8" t="n">
        <f aca="false">T34/(1+P68)</f>
        <v>3768212.8012003475</v>
      </c>
      <c r="U68" s="8"/>
      <c r="V68" s="8"/>
      <c r="W68" s="8"/>
      <c r="X68" s="8"/>
      <c r="Y68" s="8" t="n">
        <v>0.0</v>
      </c>
      <c r="Z68" s="8" t="n">
        <v>0.0</v>
      </c>
      <c r="AA68" s="8" t="n">
        <f aca="false">AA34/(1+$A68)</f>
        <v>3258735.1959963627</v>
      </c>
      <c r="AB68" s="8" t="n">
        <f aca="false">AB34/(1+$A68)</f>
        <v>5262874.603140437</v>
      </c>
      <c r="AC68" s="8" t="n">
        <f aca="false">AC34/(1+$A68)</f>
        <v>2275380.061507201</v>
      </c>
      <c r="AF68" s="23" t="s">
        <v>41</v>
      </c>
      <c r="AG68" s="8"/>
      <c r="AH68" s="8" t="n">
        <f aca="false">AH34/(1+$A68)</f>
        <v>3158185.5686621116</v>
      </c>
      <c r="AI68" s="8" t="n">
        <f aca="false">AI34/(1+AE68)</f>
        <v>1861688.6495565996</v>
      </c>
      <c r="AJ68" s="8"/>
      <c r="AK68" s="8"/>
      <c r="AL68" s="8"/>
      <c r="AM68" s="8"/>
      <c r="AN68" s="8" t="n">
        <v>0.0</v>
      </c>
      <c r="AO68" s="8" t="n">
        <v>0.0</v>
      </c>
      <c r="AP68" s="8" t="n">
        <f aca="false">AP34/(1+$A68)</f>
        <v>4949555.424116141</v>
      </c>
      <c r="AQ68" s="8" t="n">
        <f aca="false">AQ34/(1+$A68)</f>
        <v>1337917.496623269</v>
      </c>
      <c r="AR68" s="8" t="n">
        <f aca="false">AR34/(1+$A68)</f>
        <v>5055413.168180135</v>
      </c>
    </row>
    <row r="69" customFormat="false" ht="15.6" hidden="false" customHeight="false" outlineLevel="0" collapsed="false">
      <c r="B69" s="24" t="s">
        <v>42</v>
      </c>
      <c r="C69" s="36" t="n">
        <v>344668.7045054501</v>
      </c>
      <c r="D69" s="25" t="n">
        <v>7149.3028121146</v>
      </c>
      <c r="E69" s="25" t="n">
        <v>108513.05362948899</v>
      </c>
      <c r="F69" s="25" t="n">
        <v>15308.864289446832</v>
      </c>
      <c r="G69" s="25" t="n">
        <v>37613.337267719304</v>
      </c>
      <c r="H69" s="25" t="n">
        <v>66673.82704969963</v>
      </c>
      <c r="I69" s="25" t="n">
        <v>25502.847498227304</v>
      </c>
      <c r="J69" s="25" t="n">
        <v>52180.23184054403</v>
      </c>
      <c r="K69" s="25" t="n">
        <v>210098.82600561675</v>
      </c>
      <c r="L69" s="25" t="n">
        <v>189526.33881098175</v>
      </c>
      <c r="M69" s="25" t="n">
        <v>30078.42269413526</v>
      </c>
      <c r="N69" s="25" t="n">
        <v>96256.93642323755</v>
      </c>
      <c r="Q69" s="24" t="s">
        <v>42</v>
      </c>
      <c r="R69" s="36" t="n">
        <v>218282.4043844242</v>
      </c>
      <c r="S69" s="25" t="n">
        <v>18463.674206793996</v>
      </c>
      <c r="T69" s="25" t="n">
        <v>114520.8282144155</v>
      </c>
      <c r="U69" s="25" t="n">
        <v>152304.99431731598</v>
      </c>
      <c r="V69" s="25" t="n">
        <v>51628.153943919526</v>
      </c>
      <c r="W69" s="25" t="n">
        <v>13503.767342098703</v>
      </c>
      <c r="X69" s="25" t="n">
        <v>2530.91915906501</v>
      </c>
      <c r="Y69" s="25" t="n">
        <v>48953.769677881326</v>
      </c>
      <c r="Z69" s="25" t="n">
        <v>115173.1986878858</v>
      </c>
      <c r="AA69" s="25" t="n">
        <v>58766.48246167678</v>
      </c>
      <c r="AB69" s="25" t="n">
        <v>32268.86122724642</v>
      </c>
      <c r="AC69" s="25" t="n">
        <v>74831.88899945458</v>
      </c>
      <c r="AF69" s="24" t="s">
        <v>42</v>
      </c>
      <c r="AG69" s="36" t="n">
        <v>192139.41445559356</v>
      </c>
      <c r="AH69" s="25" t="n">
        <v>2020.1594557911492</v>
      </c>
      <c r="AI69" s="25" t="n">
        <v>8507.69747828437</v>
      </c>
      <c r="AJ69" s="25" t="n">
        <v>132254.71627001278</v>
      </c>
      <c r="AK69" s="25" t="n">
        <v>57259.2596901107</v>
      </c>
      <c r="AL69" s="25" t="n">
        <v>59783.098482853</v>
      </c>
      <c r="AM69" s="25" t="n">
        <v>43651.79896842656</v>
      </c>
      <c r="AN69" s="25" t="n">
        <v>51638.25779973145</v>
      </c>
      <c r="AO69" s="25" t="n">
        <v>13482.726048646638</v>
      </c>
      <c r="AP69" s="25" t="n">
        <v>174735.1066246076</v>
      </c>
      <c r="AQ69" s="25" t="n">
        <v>23594.89942592155</v>
      </c>
      <c r="AR69" s="25" t="n">
        <v>93961.50095590633</v>
      </c>
    </row>
    <row r="70" customFormat="false" ht="15.6" hidden="false" customHeight="false" outlineLevel="0" collapsed="false">
      <c r="B70" s="27" t="s">
        <v>43</v>
      </c>
      <c r="C70" s="29" t="n">
        <f aca="false">SUM(C66:C69)</f>
        <v>772364.8231560912</v>
      </c>
      <c r="D70" s="29" t="n">
        <f aca="false">SUM(D66:D69)</f>
        <v>2251620.490376507</v>
      </c>
      <c r="E70" s="29" t="n">
        <f aca="false">SUM(E66:E69)</f>
        <v>2694938.9172988646</v>
      </c>
      <c r="F70" s="29" t="n">
        <f aca="false">SUM(F66:F69)</f>
        <v>861245.6214292581</v>
      </c>
      <c r="G70" s="29" t="n">
        <f aca="false">SUM(G66:G69)</f>
        <v>507092.7463523156</v>
      </c>
      <c r="H70" s="29" t="n">
        <f aca="false">SUM(H66:H69)</f>
        <v>902620.1617332005</v>
      </c>
      <c r="I70" s="29" t="n">
        <f aca="false">SUM(I66:I69)</f>
        <v>561231.9194104503</v>
      </c>
      <c r="J70" s="29" t="n">
        <f aca="false">SUM(J66:J69)</f>
        <v>833286.0033259479</v>
      </c>
      <c r="K70" s="29" t="n">
        <f aca="false">SUM(K66:K69)</f>
        <v>679670.8280383444</v>
      </c>
      <c r="L70" s="29" t="n">
        <f aca="false">SUM(L66:L69)</f>
        <v>2213131.8471785225</v>
      </c>
      <c r="M70" s="29" t="n">
        <f aca="false">SUM(M66:M69)</f>
        <v>2474692.1659409055</v>
      </c>
      <c r="N70" s="29" t="n">
        <f aca="false">SUM(N66:N69)</f>
        <v>543270.2250019633</v>
      </c>
      <c r="Q70" s="27" t="s">
        <v>43</v>
      </c>
      <c r="R70" s="29" t="n">
        <f aca="false">SUM(R66:R69)</f>
        <v>803850.6955272924</v>
      </c>
      <c r="S70" s="29" t="n">
        <f aca="false">SUM(S66:S69)</f>
        <v>1027762.4744818032</v>
      </c>
      <c r="T70" s="29" t="n">
        <f aca="false">SUM(T66:T69)</f>
        <v>2989553.5360203683</v>
      </c>
      <c r="U70" s="29" t="n">
        <f aca="false">SUM(U66:U69)</f>
        <v>804902.8824396373</v>
      </c>
      <c r="V70" s="29" t="n">
        <f aca="false">SUM(V66:V69)</f>
        <v>430705.498221846</v>
      </c>
      <c r="W70" s="29" t="n">
        <f aca="false">SUM(W66:W69)</f>
        <v>174321.4770427171</v>
      </c>
      <c r="X70" s="29" t="n">
        <f aca="false">SUM(X66:X69)</f>
        <v>148784.12013362392</v>
      </c>
      <c r="Y70" s="29" t="n">
        <f aca="false">SUM(Y66:Y69)</f>
        <v>290482.61974916566</v>
      </c>
      <c r="Z70" s="29" t="n">
        <f aca="false">SUM(Z66:Z69)</f>
        <v>21310.039396418408</v>
      </c>
      <c r="AA70" s="29" t="n">
        <f aca="false">SUM(AA66:AA69)</f>
        <v>5952048.573434491</v>
      </c>
      <c r="AB70" s="29" t="n">
        <f aca="false">SUM(AB66:AB69)</f>
        <v>5815916.49172068</v>
      </c>
      <c r="AC70" s="29" t="n">
        <f aca="false">SUM(AC66:AC69)</f>
        <v>3919922.305516501</v>
      </c>
      <c r="AF70" s="27" t="s">
        <v>43</v>
      </c>
      <c r="AG70" s="29" t="n">
        <f aca="false">SUM(AG66:AG69)</f>
        <v>83168.9726983905</v>
      </c>
      <c r="AH70" s="29" t="n">
        <f aca="false">SUM(AH66:AH69)</f>
        <v>2357850.6415678086</v>
      </c>
      <c r="AI70" s="29" t="n">
        <f aca="false">SUM(AI66:AI69)</f>
        <v>5478705.299140674</v>
      </c>
      <c r="AJ70" s="29" t="n">
        <f aca="false">SUM(AJ66:AJ69)</f>
        <v>546357.1626401078</v>
      </c>
      <c r="AK70" s="29" t="n">
        <f aca="false">SUM(AK66:AK69)</f>
        <v>211729.8775694682</v>
      </c>
      <c r="AL70" s="29" t="n">
        <f aca="false">SUM(AL66:AL69)</f>
        <v>129253.12160273318</v>
      </c>
      <c r="AM70" s="29" t="n">
        <f aca="false">SUM(AM66:AM69)</f>
        <v>654680.774044517</v>
      </c>
      <c r="AN70" s="29" t="n">
        <f aca="false">SUM(AN66:AN69)</f>
        <v>69253.28314288998</v>
      </c>
      <c r="AO70" s="29" t="n">
        <f aca="false">SUM(AO66:AO69)</f>
        <v>192126.24875896267</v>
      </c>
      <c r="AP70" s="29" t="n">
        <f aca="false">SUM(AP66:AP69)</f>
        <v>1719906.8765011542</v>
      </c>
      <c r="AQ70" s="29" t="n">
        <f aca="false">SUM(AQ66:AQ69)</f>
        <v>6623098.200092509</v>
      </c>
      <c r="AR70" s="29" t="n">
        <f aca="false">SUM(AR66:AR69)</f>
        <v>4635681.595947434</v>
      </c>
    </row>
    <row r="71" customFormat="false" ht="15.6" hidden="false" customHeight="false" outlineLevel="0" collapsed="false">
      <c r="B71" s="30" t="s">
        <v>44</v>
      </c>
      <c r="C71" s="21" t="n">
        <f aca="false">SUM(C64,C65,C70)</f>
        <v>2759798.2380959</v>
      </c>
      <c r="D71" s="21" t="n">
        <f aca="false">SUM(D64,D65,D70)-1783</f>
        <v>5263959.148602506</v>
      </c>
      <c r="E71" s="21" t="n">
        <f aca="false">SUM(E64,E65,E70)</f>
        <v>233538.81632105183</v>
      </c>
      <c r="F71" s="21" t="n">
        <f aca="false">SUM(F64,F65,F70)</f>
        <v>1885395.6307292264</v>
      </c>
      <c r="G71" s="21" t="n">
        <f aca="false">SUM(G64,G65,G70)-510</f>
        <v>520710.2025157567</v>
      </c>
      <c r="H71" s="21" t="n">
        <f aca="false">SUM(H64,H65,H70)</f>
        <v>57922.51579305591</v>
      </c>
      <c r="I71" s="21" t="n">
        <f aca="false">SUM(I64,I65,I70)</f>
        <v>875792.9910188434</v>
      </c>
      <c r="J71" s="21" t="n">
        <f aca="false">SUM(J64,J65,J70)</f>
        <v>278528.3712831793</v>
      </c>
      <c r="K71" s="21" t="n">
        <f aca="false">SUM(K64,K65,K70)-450</f>
        <v>1175228.5858792695</v>
      </c>
      <c r="L71" s="21" t="n">
        <f aca="false">SUM(L64,L65,L70)</f>
        <v>7044712.15981431</v>
      </c>
      <c r="M71" s="21" t="n">
        <f aca="false">SUM(M64,M65,M70)</f>
        <v>6984004.489351025</v>
      </c>
      <c r="N71" s="21" t="n">
        <f aca="false">SUM(N64,N65,N70)-1591</f>
        <v>7003680.060358437</v>
      </c>
      <c r="Q71" s="30" t="s">
        <v>44</v>
      </c>
      <c r="R71" s="21" t="n">
        <f aca="false">SUM(R64,R65,R70)</f>
        <v>2198754.9645875297</v>
      </c>
      <c r="S71" s="21" t="n">
        <f aca="false">SUM(S64,S65,S70)-1783</f>
        <v>6389601.069217926</v>
      </c>
      <c r="T71" s="21" t="n">
        <f aca="false">SUM(T64,T65,T70)</f>
        <v>6911967.248793503</v>
      </c>
      <c r="U71" s="21" t="n">
        <f aca="false">SUM(U64,U65,U70)</f>
        <v>750464.163616714</v>
      </c>
      <c r="V71" s="21" t="n">
        <f aca="false">SUM(V64,V65,V70)-510</f>
        <v>1507132.819051606</v>
      </c>
      <c r="W71" s="21" t="n">
        <f aca="false">SUM(W64,W65,W70)</f>
        <v>196895.4132831113</v>
      </c>
      <c r="X71" s="21" t="n">
        <f aca="false">SUM(X64,X65,X70)</f>
        <v>17262.855054662694</v>
      </c>
      <c r="Y71" s="21" t="n">
        <f aca="false">SUM(Y64,Y65,Y70)</f>
        <v>972276.3214849436</v>
      </c>
      <c r="Z71" s="21" t="n">
        <f aca="false">SUM(Z64,Z65,Z70)-450</f>
        <v>1700351.1686594423</v>
      </c>
      <c r="AA71" s="21" t="n">
        <f aca="false">SUM(AA64,AA65,AA70)</f>
        <v>5761808.817902369</v>
      </c>
      <c r="AB71" s="21" t="n">
        <f aca="false">SUM(AB64,AB65,AB70)</f>
        <v>3400325.229860956</v>
      </c>
      <c r="AC71" s="21" t="n">
        <f aca="false">SUM(AC64,AC65,AC70)-1591</f>
        <v>1255024.8836502943</v>
      </c>
      <c r="AF71" s="30" t="s">
        <v>44</v>
      </c>
      <c r="AG71" s="21" t="n">
        <f aca="false">SUM(AG64,AG65,AG70)</f>
        <v>682648.4328676322</v>
      </c>
      <c r="AH71" s="21" t="n">
        <f aca="false">SUM(AH64,AH65,AH70)-1783</f>
        <v>6320440.046719004</v>
      </c>
      <c r="AI71" s="21" t="n">
        <f aca="false">SUM(AI64,AI65,AI70)</f>
        <v>404944.6975779386</v>
      </c>
      <c r="AJ71" s="21" t="n">
        <f aca="false">SUM(AJ64,AJ65,AJ70)</f>
        <v>2294416.29591606</v>
      </c>
      <c r="AK71" s="21" t="n">
        <f aca="false">SUM(AK64,AK65,AK70)-510</f>
        <v>1824796.535747173</v>
      </c>
      <c r="AL71" s="21" t="n">
        <f aca="false">SUM(AL64,AL65,AL70)</f>
        <v>689065.0767751195</v>
      </c>
      <c r="AM71" s="21" t="n">
        <f aca="false">SUM(AM64,AM65,AM70)</f>
        <v>1281252.8983039777</v>
      </c>
      <c r="AN71" s="21" t="n">
        <f aca="false">SUM(AN64,AN65,AN70)</f>
        <v>1982376.9807121651</v>
      </c>
      <c r="AO71" s="21" t="n">
        <f aca="false">SUM(AO64,AO65,AO70)-450</f>
        <v>2448090.5943079577</v>
      </c>
      <c r="AP71" s="21" t="n">
        <f aca="false">SUM(AP64,AP65,AP70)</f>
        <v>4644093.906227259</v>
      </c>
      <c r="AQ71" s="21" t="n">
        <f aca="false">SUM(AQ64,AQ65,AQ70)</f>
        <v>881867.0043415363</v>
      </c>
      <c r="AR71" s="21" t="n">
        <f aca="false">SUM(AR64,AR65,AR70)-1591</f>
        <v>1612169.1984033666</v>
      </c>
    </row>
    <row r="72" customFormat="false" ht="15.6" hidden="false" customHeight="false" outlineLevel="0" collapsed="false">
      <c r="B72" s="24" t="s">
        <v>45</v>
      </c>
      <c r="C72" s="31" t="n">
        <v>2890418.7423325432</v>
      </c>
      <c r="D72" s="25" t="n">
        <v>560179.7568044743</v>
      </c>
      <c r="E72" s="25" t="n">
        <v>2362518.241666161</v>
      </c>
      <c r="F72" s="25" t="n">
        <v>1915546.7424568955</v>
      </c>
      <c r="G72" s="25" t="n">
        <v>1333175.8445040095</v>
      </c>
      <c r="H72" s="25" t="n">
        <v>990251.2440744892</v>
      </c>
      <c r="I72" s="25" t="n">
        <v>4203804.321132698</v>
      </c>
      <c r="J72" s="25" t="n">
        <v>1989705.8609807855</v>
      </c>
      <c r="K72" s="25" t="n">
        <v>4922958.248431042</v>
      </c>
      <c r="L72" s="25" t="n">
        <v>3187534.587860145</v>
      </c>
      <c r="M72" s="25" t="n">
        <v>3816644.5025540343</v>
      </c>
      <c r="N72" s="25" t="n">
        <v>1481977.1469643323</v>
      </c>
      <c r="Q72" s="24" t="s">
        <v>45</v>
      </c>
      <c r="R72" s="31" t="n">
        <v>1778334.908437651</v>
      </c>
      <c r="S72" s="25" t="n">
        <v>3758443.7096170643</v>
      </c>
      <c r="T72" s="25" t="n">
        <v>1498828.0746426936</v>
      </c>
      <c r="U72" s="25" t="n">
        <v>4380574.671934065</v>
      </c>
      <c r="V72" s="25" t="n">
        <v>1519628.857491023</v>
      </c>
      <c r="W72" s="25" t="n">
        <v>1492347.91875654</v>
      </c>
      <c r="X72" s="25" t="n">
        <v>1549397.2379306897</v>
      </c>
      <c r="Y72" s="25" t="n">
        <v>2318351.629993812</v>
      </c>
      <c r="Z72" s="25" t="n">
        <v>1460245.5306493335</v>
      </c>
      <c r="AA72" s="25" t="n">
        <v>1952145.4898323852</v>
      </c>
      <c r="AB72" s="25" t="n">
        <v>4766165.039274026</v>
      </c>
      <c r="AC72" s="25" t="n">
        <v>1076133.0146309903</v>
      </c>
      <c r="AF72" s="24" t="s">
        <v>45</v>
      </c>
      <c r="AG72" s="31" t="n">
        <v>462399.31101845094</v>
      </c>
      <c r="AH72" s="25" t="n">
        <v>654175.7149346836</v>
      </c>
      <c r="AI72" s="25" t="n">
        <v>1148813.0102446778</v>
      </c>
      <c r="AJ72" s="25" t="n">
        <v>4049824.2851157784</v>
      </c>
      <c r="AK72" s="25" t="n">
        <v>803569.4436554601</v>
      </c>
      <c r="AL72" s="25" t="n">
        <v>2473507.2804951393</v>
      </c>
      <c r="AM72" s="25" t="n">
        <v>3154706.8949049925</v>
      </c>
      <c r="AN72" s="25" t="n">
        <v>2534589.1832831325</v>
      </c>
      <c r="AO72" s="25" t="n">
        <v>348030.7444131942</v>
      </c>
      <c r="AP72" s="25" t="n">
        <v>1472345.6729051059</v>
      </c>
      <c r="AQ72" s="25" t="n">
        <v>421367.125743227</v>
      </c>
      <c r="AR72" s="25" t="n">
        <v>104868.79003782416</v>
      </c>
    </row>
    <row r="73" customFormat="false" ht="15.6" hidden="false" customHeight="false" outlineLevel="0" collapsed="false">
      <c r="B73" s="30" t="s">
        <v>46</v>
      </c>
      <c r="C73" s="21" t="n">
        <f aca="false">SUM(C72)</f>
        <v>376120.58971182286</v>
      </c>
      <c r="D73" s="21" t="n">
        <f aca="false">SUM(D72)</f>
        <v>814443.9006559069</v>
      </c>
      <c r="E73" s="21" t="n">
        <f aca="false">SUM(E72)</f>
        <v>3546763.9399709455</v>
      </c>
      <c r="F73" s="21" t="n">
        <f aca="false">SUM(F72)</f>
        <v>554192.6870983546</v>
      </c>
      <c r="G73" s="21" t="n">
        <f aca="false">SUM(G72)</f>
        <v>1469157.0097278974</v>
      </c>
      <c r="H73" s="21" t="n">
        <f aca="false">SUM(H72)</f>
        <v>2166840.428140725</v>
      </c>
      <c r="I73" s="21" t="n">
        <f aca="false">SUM(I72)</f>
        <v>2233466.4314473174</v>
      </c>
      <c r="J73" s="21" t="n">
        <f aca="false">SUM(J72)</f>
        <v>3597374.180867838</v>
      </c>
      <c r="K73" s="21" t="n">
        <f aca="false">SUM(K72)</f>
        <v>1099877.5327759306</v>
      </c>
      <c r="L73" s="21" t="n">
        <f aca="false">SUM(L72)</f>
        <v>916434.1408282667</v>
      </c>
      <c r="M73" s="21" t="n">
        <f aca="false">SUM(M72)</f>
        <v>1217405.899262792</v>
      </c>
      <c r="N73" s="21" t="n">
        <f aca="false">SUM(N72)</f>
        <v>640444.0658451767</v>
      </c>
      <c r="Q73" s="30" t="s">
        <v>46</v>
      </c>
      <c r="R73" s="21" t="n">
        <f aca="false">SUM(R72)</f>
        <v>319080.8465092251</v>
      </c>
      <c r="S73" s="21" t="n">
        <f aca="false">SUM(S72)</f>
        <v>2748572.537098646</v>
      </c>
      <c r="T73" s="21" t="n">
        <f aca="false">SUM(T72)</f>
        <v>1088784.8666357964</v>
      </c>
      <c r="U73" s="21" t="n">
        <f aca="false">SUM(U72)</f>
        <v>1763983.8277970576</v>
      </c>
      <c r="V73" s="21" t="n">
        <f aca="false">SUM(V72)</f>
        <v>1731001.9449302491</v>
      </c>
      <c r="W73" s="21" t="n">
        <f aca="false">SUM(W72)</f>
        <v>1045922.4938836154</v>
      </c>
      <c r="X73" s="21" t="n">
        <f aca="false">SUM(X72)</f>
        <v>2284522.6219721464</v>
      </c>
      <c r="Y73" s="21" t="n">
        <f aca="false">SUM(Y72)</f>
        <v>3132555.3404837167</v>
      </c>
      <c r="Z73" s="21" t="n">
        <f aca="false">SUM(Z72)</f>
        <v>4801110.532973324</v>
      </c>
      <c r="AA73" s="21" t="n">
        <f aca="false">SUM(AA72)</f>
        <v>2360223.810341168</v>
      </c>
      <c r="AB73" s="21" t="n">
        <f aca="false">SUM(AB72)</f>
        <v>4199094.333113653</v>
      </c>
      <c r="AC73" s="21" t="n">
        <f aca="false">SUM(AC72)</f>
        <v>2785446.698786824</v>
      </c>
      <c r="AF73" s="30" t="s">
        <v>46</v>
      </c>
      <c r="AG73" s="21" t="n">
        <f aca="false">SUM(AG72)</f>
        <v>1749193.2363306214</v>
      </c>
      <c r="AH73" s="21" t="n">
        <f aca="false">SUM(AH72)</f>
        <v>2398839.2570361244</v>
      </c>
      <c r="AI73" s="21" t="n">
        <f aca="false">SUM(AI72)</f>
        <v>1164145.8489488082</v>
      </c>
      <c r="AJ73" s="21" t="n">
        <f aca="false">SUM(AJ72)</f>
        <v>2700386.117014145</v>
      </c>
      <c r="AK73" s="21" t="n">
        <f aca="false">SUM(AK72)</f>
        <v>1053553.3604587934</v>
      </c>
      <c r="AL73" s="21" t="n">
        <f aca="false">SUM(AL72)</f>
        <v>2361425.21433277</v>
      </c>
      <c r="AM73" s="21" t="n">
        <f aca="false">SUM(AM72)</f>
        <v>486298.2504111582</v>
      </c>
      <c r="AN73" s="21" t="n">
        <f aca="false">SUM(AN72)</f>
        <v>7739.86113583909</v>
      </c>
      <c r="AO73" s="21" t="n">
        <f aca="false">SUM(AO72)</f>
        <v>1308755.4959656587</v>
      </c>
      <c r="AP73" s="21" t="n">
        <f aca="false">SUM(AP72)</f>
        <v>1976617.3279969462</v>
      </c>
      <c r="AQ73" s="21" t="n">
        <f aca="false">SUM(AQ72)</f>
        <v>2447517.3780692345</v>
      </c>
      <c r="AR73" s="21" t="n">
        <f aca="false">SUM(AR72)</f>
        <v>3855632.846618487</v>
      </c>
    </row>
    <row r="74" customFormat="false" ht="15.6" hidden="false" customHeight="false" outlineLevel="0" collapsed="false">
      <c r="B74" s="24" t="s">
        <v>47</v>
      </c>
      <c r="C74" s="31" t="n">
        <v>571160.1217923145</v>
      </c>
      <c r="D74" s="25" t="n">
        <v>306949.90292200306</v>
      </c>
      <c r="E74" s="25" t="n">
        <v>874787.4916629107</v>
      </c>
      <c r="F74" s="25" t="n">
        <v>536658.8424340356</v>
      </c>
      <c r="G74" s="25" t="n">
        <v>936957.506251375</v>
      </c>
      <c r="H74" s="25" t="n">
        <v>518980.55499155103</v>
      </c>
      <c r="I74" s="25" t="n">
        <v>29315.508052527202</v>
      </c>
      <c r="J74" s="25" t="n">
        <v>8504.2747877456</v>
      </c>
      <c r="K74" s="25" t="n">
        <v>894660.0611544986</v>
      </c>
      <c r="L74" s="25" t="n">
        <v>371926.03328519006</v>
      </c>
      <c r="M74" s="25" t="n">
        <v>335822.7352914005</v>
      </c>
      <c r="N74" s="25" t="n">
        <v>132895.93238396026</v>
      </c>
      <c r="Q74" s="24" t="s">
        <v>47</v>
      </c>
      <c r="R74" s="31" t="n">
        <v>953954.0011375583</v>
      </c>
      <c r="S74" s="25" t="n">
        <v>1144394.497523214</v>
      </c>
      <c r="T74" s="25" t="n">
        <v>356804.0342097094</v>
      </c>
      <c r="U74" s="25" t="n">
        <v>891158.244277256</v>
      </c>
      <c r="V74" s="25" t="n">
        <v>136084.28885976278</v>
      </c>
      <c r="W74" s="25" t="n">
        <v>618560.0260378064</v>
      </c>
      <c r="X74" s="25" t="n">
        <v>474484.70009108493</v>
      </c>
      <c r="Y74" s="25" t="n">
        <v>762455.7018738608</v>
      </c>
      <c r="Z74" s="25" t="n">
        <v>485792.0978133307</v>
      </c>
      <c r="AA74" s="25" t="n">
        <v>367178.2023130145</v>
      </c>
      <c r="AB74" s="25" t="n">
        <v>952911.49300986</v>
      </c>
      <c r="AC74" s="25" t="n">
        <v>181041.86249591288</v>
      </c>
      <c r="AF74" s="24" t="s">
        <v>47</v>
      </c>
      <c r="AG74" s="31" t="n">
        <v>356334.630908365</v>
      </c>
      <c r="AH74" s="25" t="n">
        <v>291869.9687068507</v>
      </c>
      <c r="AI74" s="25" t="n">
        <v>330885.7855620258</v>
      </c>
      <c r="AJ74" s="25" t="n">
        <v>80593.54287269605</v>
      </c>
      <c r="AK74" s="25" t="n">
        <v>923406.7617809819</v>
      </c>
      <c r="AL74" s="25" t="n">
        <v>57160.77012025417</v>
      </c>
      <c r="AM74" s="25" t="n">
        <v>313028.6475171729</v>
      </c>
      <c r="AN74" s="25" t="n">
        <v>223956.80852117488</v>
      </c>
      <c r="AO74" s="25" t="n">
        <v>58360.77804019763</v>
      </c>
      <c r="AP74" s="25" t="n">
        <v>925900.6290428702</v>
      </c>
      <c r="AQ74" s="25" t="n">
        <v>631706.8324103414</v>
      </c>
      <c r="AR74" s="25" t="n">
        <v>620146.7015258628</v>
      </c>
    </row>
    <row r="75" customFormat="false" ht="15.6" hidden="false" customHeight="false" outlineLevel="0" collapsed="false">
      <c r="B75" s="30" t="s">
        <v>48</v>
      </c>
      <c r="C75" s="21" t="n">
        <f aca="false">SUM(C74)</f>
        <v>1078160.6709410818</v>
      </c>
      <c r="D75" s="21" t="n">
        <f aca="false">SUM(D74)</f>
        <v>1164837.1242789095</v>
      </c>
      <c r="E75" s="21" t="n">
        <f aca="false">SUM(E74)</f>
        <v>664556.8782490961</v>
      </c>
      <c r="F75" s="21" t="n">
        <f aca="false">SUM(F74)</f>
        <v>49648.381408124354</v>
      </c>
      <c r="G75" s="21" t="n">
        <f aca="false">SUM(G74)</f>
        <v>90924.24711357156</v>
      </c>
      <c r="H75" s="21" t="n">
        <f aca="false">SUM(H74)</f>
        <v>709361.6891218238</v>
      </c>
      <c r="I75" s="21" t="n">
        <f aca="false">SUM(I74)</f>
        <v>385554.1165399973</v>
      </c>
      <c r="J75" s="21" t="n">
        <f aca="false">SUM(J74)</f>
        <v>149251.0083731321</v>
      </c>
      <c r="K75" s="21" t="n">
        <f aca="false">SUM(K74)</f>
        <v>27395.484372108545</v>
      </c>
      <c r="L75" s="21" t="n">
        <f aca="false">SUM(L74)</f>
        <v>871259.8797818816</v>
      </c>
      <c r="M75" s="21" t="n">
        <f aca="false">SUM(M74)</f>
        <v>646697.5388062857</v>
      </c>
      <c r="N75" s="21" t="n">
        <f aca="false">SUM(N74)</f>
        <v>460594.8979362209</v>
      </c>
      <c r="Q75" s="30" t="s">
        <v>48</v>
      </c>
      <c r="R75" s="21" t="n">
        <f aca="false">SUM(R74)</f>
        <v>1085600.0822291952</v>
      </c>
      <c r="S75" s="21" t="n">
        <f aca="false">SUM(S74)</f>
        <v>414699.7763013301</v>
      </c>
      <c r="T75" s="21" t="n">
        <f aca="false">SUM(T74)</f>
        <v>466176.22228444857</v>
      </c>
      <c r="U75" s="21" t="n">
        <f aca="false">SUM(U74)</f>
        <v>853175.8263186525</v>
      </c>
      <c r="V75" s="21" t="n">
        <f aca="false">SUM(V74)</f>
        <v>21454.368689242947</v>
      </c>
      <c r="W75" s="21" t="n">
        <f aca="false">SUM(W74)</f>
        <v>824554.6110278239</v>
      </c>
      <c r="X75" s="21" t="n">
        <f aca="false">SUM(X74)</f>
        <v>14811.845846507487</v>
      </c>
      <c r="Y75" s="21" t="n">
        <f aca="false">SUM(Y74)</f>
        <v>826536.4036039426</v>
      </c>
      <c r="Z75" s="21" t="n">
        <f aca="false">SUM(Z74)</f>
        <v>719455.5011491078</v>
      </c>
      <c r="AA75" s="21" t="n">
        <f aca="false">SUM(AA74)</f>
        <v>52373.52983871413</v>
      </c>
      <c r="AB75" s="21" t="n">
        <f aca="false">SUM(AB74)</f>
        <v>67660.12524605221</v>
      </c>
      <c r="AC75" s="21" t="n">
        <f aca="false">SUM(AC74)</f>
        <v>1024621.6220034269</v>
      </c>
      <c r="AF75" s="30" t="s">
        <v>48</v>
      </c>
      <c r="AG75" s="21" t="n">
        <f aca="false">SUM(AG74)</f>
        <v>658566.741168743</v>
      </c>
      <c r="AH75" s="21" t="n">
        <f aca="false">SUM(AH74)</f>
        <v>360445.8853863253</v>
      </c>
      <c r="AI75" s="21" t="n">
        <f aca="false">SUM(AI74)</f>
        <v>153806.28152761166</v>
      </c>
      <c r="AJ75" s="21" t="n">
        <f aca="false">SUM(AJ74)</f>
        <v>386928.4379967123</v>
      </c>
      <c r="AK75" s="21" t="n">
        <f aca="false">SUM(AK74)</f>
        <v>405362.3076452915</v>
      </c>
      <c r="AL75" s="21" t="n">
        <f aca="false">SUM(AL74)</f>
        <v>76976.00660786561</v>
      </c>
      <c r="AM75" s="21" t="n">
        <f aca="false">SUM(AM74)</f>
        <v>779822.4465843554</v>
      </c>
      <c r="AN75" s="21" t="n">
        <f aca="false">SUM(AN74)</f>
        <v>228047.55446837735</v>
      </c>
      <c r="AO75" s="21" t="n">
        <f aca="false">SUM(AO74)</f>
        <v>191324.2524685069</v>
      </c>
      <c r="AP75" s="21" t="n">
        <f aca="false">SUM(AP74)</f>
        <v>1010352.3399940224</v>
      </c>
      <c r="AQ75" s="21" t="n">
        <f aca="false">SUM(AQ74)</f>
        <v>704781.7539411612</v>
      </c>
      <c r="AR75" s="21" t="n">
        <f aca="false">SUM(AR74)</f>
        <v>983529.2735683485</v>
      </c>
    </row>
    <row r="76" customFormat="false" ht="15.6" hidden="false" customHeight="false" outlineLevel="0" collapsed="false">
      <c r="B76" s="32" t="s">
        <v>49</v>
      </c>
      <c r="C76" s="33" t="n">
        <f aca="false">SUM(C53,C55,C71,C73,C75)</f>
        <v>7440672.416078416</v>
      </c>
      <c r="D76" s="33" t="n">
        <f aca="false">SUM(D53,D55,D71,D73,D75)</f>
        <v>2550844.0239466173</v>
      </c>
      <c r="E76" s="33" t="n">
        <f aca="false">SUM(E53,E55,E71,E73,E75)</f>
        <v>15705725.306876224</v>
      </c>
      <c r="F76" s="33" t="n">
        <f aca="false">SUM(F53,F55,F71,F73,F75)</f>
        <v>935748.6059706089</v>
      </c>
      <c r="G76" s="33" t="n">
        <f aca="false">SUM(G53,G55,G71,G73,G75)</f>
        <v>5490300.56159601</v>
      </c>
      <c r="H76" s="33" t="n">
        <f aca="false">SUM(H53,H55,H71,H73,H75)</f>
        <v>5469429.709361876</v>
      </c>
      <c r="I76" s="33" t="n">
        <f aca="false">SUM(I53,I55,I71,I73,I75)</f>
        <v>9078932.57951421</v>
      </c>
      <c r="J76" s="33" t="n">
        <f aca="false">SUM(J53,J55,J71,J73,J75)</f>
        <v>5043414.827440449</v>
      </c>
      <c r="K76" s="33" t="n">
        <f aca="false">SUM(K53,K55,K71,K73,K75)</f>
        <v>5248250.541996855</v>
      </c>
      <c r="L76" s="33" t="n">
        <f aca="false">SUM(L53,L55,L71,L73,L75)</f>
        <v>9538389.37725647</v>
      </c>
      <c r="M76" s="33" t="n">
        <f aca="false">SUM(M53,M55,M71,M73,M75)</f>
        <v>3194880.293349969</v>
      </c>
      <c r="N76" s="33" t="n">
        <f aca="false">SUM(N53,N55,N71,N73,N75)</f>
        <v>311429.42867593485</v>
      </c>
      <c r="Q76" s="32" t="s">
        <v>49</v>
      </c>
      <c r="R76" s="33" t="n">
        <f aca="false">SUM(R53,R55,R71,R73,R75)</f>
        <v>2658991.949234302</v>
      </c>
      <c r="S76" s="33" t="n">
        <f aca="false">SUM(S53,S55,S71,S73,S75)</f>
        <v>6363274.568355917</v>
      </c>
      <c r="T76" s="33" t="n">
        <f aca="false">SUM(T53,T55,T71,T73,T75)</f>
        <v>9050902.901905745</v>
      </c>
      <c r="U76" s="33" t="n">
        <f aca="false">SUM(U53,U55,U71,U73,U75)</f>
        <v>3757264.373983759</v>
      </c>
      <c r="V76" s="33" t="n">
        <f aca="false">SUM(V53,V55,V71,V73,V75)</f>
        <v>1615997.6962019035</v>
      </c>
      <c r="W76" s="33" t="n">
        <f aca="false">SUM(W53,W55,W71,W73,W75)</f>
        <v>3041736.802891276</v>
      </c>
      <c r="X76" s="33" t="n">
        <f aca="false">SUM(X53,X55,X71,X73,X75)</f>
        <v>3808146.7682206607</v>
      </c>
      <c r="Y76" s="33" t="n">
        <f aca="false">SUM(Y53,Y55,Y71,Y73,Y75)</f>
        <v>405521.7238524729</v>
      </c>
      <c r="Z76" s="33" t="n">
        <f aca="false">SUM(Z53,Z55,Z71,Z73,Z75)</f>
        <v>5271818.668214899</v>
      </c>
      <c r="AA76" s="33" t="n">
        <f aca="false">SUM(AA53,AA55,AA71,AA73,AA75)</f>
        <v>14442360.859777862</v>
      </c>
      <c r="AB76" s="33" t="n">
        <f aca="false">SUM(AB53,AB55,AB71,AB73,AB75)</f>
        <v>4103364.4367462443</v>
      </c>
      <c r="AC76" s="33" t="n">
        <f aca="false">SUM(AC53,AC55,AC71,AC73,AC75)</f>
        <v>1514229.1836046723</v>
      </c>
      <c r="AF76" s="32" t="s">
        <v>49</v>
      </c>
      <c r="AG76" s="33" t="n">
        <f aca="false">SUM(AG53,AG55,AG71,AG73,AG75)</f>
        <v>3479912.682365486</v>
      </c>
      <c r="AH76" s="33" t="n">
        <f aca="false">SUM(AH53,AH55,AH71,AH73,AH75)</f>
        <v>9454649.773789644</v>
      </c>
      <c r="AI76" s="33" t="n">
        <f aca="false">SUM(AI53,AI55,AI71,AI73,AI75)</f>
        <v>14961680.544432089</v>
      </c>
      <c r="AJ76" s="33" t="n">
        <f aca="false">SUM(AJ53,AJ55,AJ71,AJ73,AJ75)</f>
        <v>6608595.546070517</v>
      </c>
      <c r="AK76" s="33" t="n">
        <f aca="false">SUM(AK53,AK55,AK71,AK73,AK75)</f>
        <v>7042602.246585938</v>
      </c>
      <c r="AL76" s="33" t="n">
        <f aca="false">SUM(AL53,AL55,AL71,AL73,AL75)</f>
        <v>4198349.150480003</v>
      </c>
      <c r="AM76" s="33" t="n">
        <f aca="false">SUM(AM53,AM55,AM71,AM73,AM75)</f>
        <v>703858.185283105</v>
      </c>
      <c r="AN76" s="33" t="n">
        <f aca="false">SUM(AN53,AN55,AN71,AN73,AN75)</f>
        <v>4144339.276310894</v>
      </c>
      <c r="AO76" s="33" t="n">
        <f aca="false">SUM(AO53,AO55,AO71,AO73,AO75)</f>
        <v>4128828.858861051</v>
      </c>
      <c r="AP76" s="33" t="n">
        <f aca="false">SUM(AP53,AP55,AP71,AP73,AP75)</f>
        <v>14307571.336213937</v>
      </c>
      <c r="AQ76" s="33" t="n">
        <f aca="false">SUM(AQ53,AQ55,AQ71,AQ73,AQ75)</f>
        <v>10187587.141838482</v>
      </c>
      <c r="AR76" s="33" t="n">
        <f aca="false">SUM(AR53,AR55,AR71,AR73,AR75)</f>
        <v>7837199.629454042</v>
      </c>
    </row>
    <row r="77" customFormat="false" ht="15" hidden="false" customHeight="false" outlineLevel="0" collapsed="false"/>
    <row r="78" customFormat="false" ht="15" hidden="false" customHeight="false" outlineLevel="0" collapsed="false"/>
    <row r="79" customFormat="false" ht="29.85" hidden="false" customHeight="false" outlineLevel="0" collapsed="false">
      <c r="B79" s="3" t="s">
        <v>52</v>
      </c>
      <c r="C79" s="4" t="s">
        <v>4</v>
      </c>
      <c r="D79" s="5" t="s">
        <v>5</v>
      </c>
      <c r="E79" s="5" t="s">
        <v>6</v>
      </c>
      <c r="F79" s="5" t="s">
        <v>7</v>
      </c>
      <c r="G79" s="5" t="s">
        <v>8</v>
      </c>
      <c r="H79" s="5" t="s">
        <v>51</v>
      </c>
      <c r="I79" s="5" t="s">
        <v>10</v>
      </c>
      <c r="J79" s="5" t="s">
        <v>11</v>
      </c>
      <c r="K79" s="5" t="s">
        <v>12</v>
      </c>
      <c r="L79" s="5" t="s">
        <v>13</v>
      </c>
      <c r="M79" s="5" t="s">
        <v>14</v>
      </c>
      <c r="N79" s="5" t="s">
        <v>15</v>
      </c>
      <c r="Q79" s="3" t="s">
        <v>52</v>
      </c>
      <c r="R79" s="4" t="s">
        <v>4</v>
      </c>
      <c r="S79" s="5" t="s">
        <v>5</v>
      </c>
      <c r="T79" s="5" t="s">
        <v>6</v>
      </c>
      <c r="U79" s="5" t="s">
        <v>7</v>
      </c>
      <c r="V79" s="5" t="s">
        <v>8</v>
      </c>
      <c r="W79" s="5" t="s">
        <v>51</v>
      </c>
      <c r="X79" s="5" t="s">
        <v>10</v>
      </c>
      <c r="Y79" s="5" t="s">
        <v>11</v>
      </c>
      <c r="Z79" s="5" t="s">
        <v>12</v>
      </c>
      <c r="AA79" s="5" t="s">
        <v>13</v>
      </c>
      <c r="AB79" s="5" t="s">
        <v>14</v>
      </c>
      <c r="AC79" s="5" t="s">
        <v>15</v>
      </c>
      <c r="AF79" s="3" t="s">
        <v>52</v>
      </c>
      <c r="AG79" s="4" t="s">
        <v>4</v>
      </c>
      <c r="AH79" s="5" t="s">
        <v>5</v>
      </c>
      <c r="AI79" s="5" t="s">
        <v>6</v>
      </c>
      <c r="AJ79" s="5" t="s">
        <v>7</v>
      </c>
      <c r="AK79" s="5" t="s">
        <v>8</v>
      </c>
      <c r="AL79" s="5" t="s">
        <v>51</v>
      </c>
      <c r="AM79" s="5" t="s">
        <v>10</v>
      </c>
      <c r="AN79" s="5" t="s">
        <v>11</v>
      </c>
      <c r="AO79" s="5" t="s">
        <v>12</v>
      </c>
      <c r="AP79" s="5" t="s">
        <v>13</v>
      </c>
      <c r="AQ79" s="5" t="s">
        <v>14</v>
      </c>
      <c r="AR79" s="5" t="s">
        <v>15</v>
      </c>
    </row>
    <row r="80" customFormat="false" ht="15.6" hidden="false" customHeight="false" outlineLevel="0" collapsed="false">
      <c r="B80" s="7" t="s">
        <v>16</v>
      </c>
      <c r="C80" s="8" t="n">
        <v>62849.64887222667</v>
      </c>
      <c r="D80" s="8" t="n">
        <v>7711.5837274006135</v>
      </c>
      <c r="E80" s="8" t="n">
        <v>39855.34362687851</v>
      </c>
      <c r="F80" s="8" t="n">
        <v>12154.623334041215</v>
      </c>
      <c r="G80" s="8" t="n">
        <v>119179.24187578243</v>
      </c>
      <c r="H80" s="8" t="n">
        <v>14616.986697272905</v>
      </c>
      <c r="I80" s="8" t="n">
        <v>13052.77112363688</v>
      </c>
      <c r="J80" s="8" t="n">
        <v>9883.063543126445</v>
      </c>
      <c r="K80" s="8" t="n">
        <v>6972.98081949476</v>
      </c>
      <c r="L80" s="8" t="n">
        <v>11946.136411536134</v>
      </c>
      <c r="M80" s="8" t="n">
        <v>87828.80746243507</v>
      </c>
      <c r="N80" s="34" t="n">
        <v>2045.6411101291926</v>
      </c>
      <c r="Q80" s="7" t="s">
        <v>16</v>
      </c>
      <c r="R80" s="8" t="n">
        <v>67746.06068948879</v>
      </c>
      <c r="S80" s="8" t="n">
        <v>5384.82641596055</v>
      </c>
      <c r="T80" s="8" t="n">
        <v>172727.59559673053</v>
      </c>
      <c r="U80" s="8" t="n">
        <v>7012.94661791023</v>
      </c>
      <c r="V80" s="8" t="n">
        <v>90159.2595415761</v>
      </c>
      <c r="W80" s="8" t="n">
        <v>33500.03162987797</v>
      </c>
      <c r="X80" s="8" t="n">
        <v>77737.4984333393</v>
      </c>
      <c r="Y80" s="8" t="n">
        <v>9654.518106300191</v>
      </c>
      <c r="Z80" s="8" t="n">
        <v>195701.19373245406</v>
      </c>
      <c r="AA80" s="8" t="n">
        <v>4850.325529943327</v>
      </c>
      <c r="AB80" s="8" t="n">
        <v>34556.86481479824</v>
      </c>
      <c r="AC80" s="34" t="n">
        <v>4277.120750490886</v>
      </c>
      <c r="AF80" s="7" t="s">
        <v>16</v>
      </c>
      <c r="AG80" s="8" t="n">
        <v>919.3554475015156</v>
      </c>
      <c r="AH80" s="8" t="n">
        <v>847.4063062612149</v>
      </c>
      <c r="AI80" s="8" t="n">
        <v>73605.00740653957</v>
      </c>
      <c r="AJ80" s="8" t="n">
        <v>387.5396137123132</v>
      </c>
      <c r="AK80" s="8" t="n">
        <v>107751.09721910906</v>
      </c>
      <c r="AL80" s="8" t="n">
        <v>29945.084338234177</v>
      </c>
      <c r="AM80" s="8" t="n">
        <v>67916.01368205309</v>
      </c>
      <c r="AN80" s="8" t="n">
        <v>8871.51946607988</v>
      </c>
      <c r="AO80" s="8" t="n">
        <v>205011.6770588718</v>
      </c>
      <c r="AP80" s="8" t="n">
        <v>8127.158774876156</v>
      </c>
      <c r="AQ80" s="8" t="n">
        <v>44677.74716012782</v>
      </c>
      <c r="AR80" s="34" t="n">
        <v>5722.559093254744</v>
      </c>
    </row>
    <row r="81" customFormat="false" ht="15.6" hidden="false" customHeight="false" outlineLevel="0" collapsed="false">
      <c r="B81" s="7" t="s">
        <v>17</v>
      </c>
      <c r="C81" s="8" t="n">
        <v>38620.66850443357</v>
      </c>
      <c r="D81" s="8" t="n">
        <v>12815.803537546459</v>
      </c>
      <c r="E81" s="8" t="n">
        <v>621.1404502411858</v>
      </c>
      <c r="F81" s="8" t="n">
        <v>62015.62631810061</v>
      </c>
      <c r="G81" s="8" t="n">
        <v>215574.5959716146</v>
      </c>
      <c r="H81" s="8" t="n">
        <v>617935.1176456393</v>
      </c>
      <c r="I81" s="8" t="n">
        <v>8502.16162211724</v>
      </c>
      <c r="J81" s="8" t="n">
        <v>102955.87298517386</v>
      </c>
      <c r="K81" s="8" t="n">
        <v>223374.1879402347</v>
      </c>
      <c r="L81" s="8" t="n">
        <v>9833.727738448228</v>
      </c>
      <c r="M81" s="8" t="n">
        <v>35209.3501251</v>
      </c>
      <c r="N81" s="8" t="n">
        <v>104714.22225639914</v>
      </c>
      <c r="Q81" s="7" t="s">
        <v>17</v>
      </c>
      <c r="R81" s="8" t="n">
        <v>30035.901944084766</v>
      </c>
      <c r="S81" s="8" t="n">
        <v>41327.569859142975</v>
      </c>
      <c r="T81" s="8" t="n">
        <v>131294.1701512564</v>
      </c>
      <c r="U81" s="8" t="n">
        <v>41828.6352383311</v>
      </c>
      <c r="V81" s="8" t="n">
        <v>99577.95462892808</v>
      </c>
      <c r="W81" s="8" t="n">
        <v>580645.6015459391</v>
      </c>
      <c r="X81" s="8" t="n">
        <v>86361.48211756775</v>
      </c>
      <c r="Y81" s="8" t="n">
        <v>141752.18927322404</v>
      </c>
      <c r="Z81" s="8" t="n">
        <v>315283.4595073711</v>
      </c>
      <c r="AA81" s="8" t="n">
        <v>9360.3007573146</v>
      </c>
      <c r="AB81" s="8" t="n">
        <v>143915.288059544</v>
      </c>
      <c r="AC81" s="8" t="n">
        <v>46653.53702441109</v>
      </c>
      <c r="AF81" s="7" t="s">
        <v>17</v>
      </c>
      <c r="AG81" s="8" t="n">
        <v>30523.049718776816</v>
      </c>
      <c r="AH81" s="8" t="n">
        <v>14645.325136874728</v>
      </c>
      <c r="AI81" s="8" t="n">
        <v>11241.816055495552</v>
      </c>
      <c r="AJ81" s="8" t="n">
        <v>105044.27817633266</v>
      </c>
      <c r="AK81" s="8" t="n">
        <v>157968.08710807053</v>
      </c>
      <c r="AL81" s="8" t="n">
        <v>755862.8307517975</v>
      </c>
      <c r="AM81" s="8" t="n">
        <v>20961.320492632378</v>
      </c>
      <c r="AN81" s="8" t="n">
        <v>72507.95342672776</v>
      </c>
      <c r="AO81" s="8" t="n">
        <v>210759.32778697202</v>
      </c>
      <c r="AP81" s="8" t="n">
        <v>68537.47677908285</v>
      </c>
      <c r="AQ81" s="8" t="n">
        <v>150527.8787173506</v>
      </c>
      <c r="AR81" s="8" t="n">
        <v>224395.2765996776</v>
      </c>
    </row>
    <row r="82" customFormat="false" ht="15.6" hidden="false" customHeight="false" outlineLevel="0" collapsed="false">
      <c r="B82" s="7" t="s">
        <v>18</v>
      </c>
      <c r="C82" s="8" t="n">
        <v>741000.2169299172</v>
      </c>
      <c r="D82" s="8" t="n">
        <f aca="false">D44/(1+$A82)</f>
        <v>33.253613279660655</v>
      </c>
      <c r="E82" s="8" t="n">
        <v>148522.7752577818</v>
      </c>
      <c r="F82" s="8" t="n">
        <f aca="false">F44/(1+$A82)</f>
        <v>9368.720141714672</v>
      </c>
      <c r="G82" s="8" t="n">
        <v>3764.836902225689</v>
      </c>
      <c r="H82" s="8" t="n">
        <v>1858.5614378899963</v>
      </c>
      <c r="I82" s="8" t="n">
        <v>48388.22697727329</v>
      </c>
      <c r="J82" s="8" t="n">
        <v>42088.14322933572</v>
      </c>
      <c r="K82" s="8" t="n">
        <v>262050.223509646</v>
      </c>
      <c r="L82" s="8" t="n">
        <v>50270.79579224613</v>
      </c>
      <c r="M82" s="8" t="n">
        <v>404.6602032880776</v>
      </c>
      <c r="N82" s="8" t="n">
        <v>25426.756289470806</v>
      </c>
      <c r="Q82" s="7" t="s">
        <v>18</v>
      </c>
      <c r="R82" s="8" t="n">
        <v>539574.5503010309</v>
      </c>
      <c r="S82" s="8" t="n">
        <f aca="false">S44/(1+$A82)</f>
        <v>4.750200482718347</v>
      </c>
      <c r="T82" s="8" t="n">
        <v>423280.21302742494</v>
      </c>
      <c r="U82" s="8" t="n">
        <f aca="false">U44/(1+$A82)</f>
        <v>12787.193635249472</v>
      </c>
      <c r="V82" s="8" t="n">
        <v>81765.56782510501</v>
      </c>
      <c r="W82" s="8" t="n">
        <v>60896.89874959665</v>
      </c>
      <c r="X82" s="8" t="n">
        <v>128578.69489567254</v>
      </c>
      <c r="Y82" s="8" t="n">
        <v>50351.571134085185</v>
      </c>
      <c r="Z82" s="8" t="n">
        <v>311445.4902684686</v>
      </c>
      <c r="AA82" s="8" t="n">
        <v>59197.86724497022</v>
      </c>
      <c r="AB82" s="8" t="n">
        <v>192351.97698085912</v>
      </c>
      <c r="AC82" s="8" t="n">
        <v>12868.448213376592</v>
      </c>
      <c r="AF82" s="7" t="s">
        <v>18</v>
      </c>
      <c r="AG82" s="8" t="n">
        <v>464979.011444751</v>
      </c>
      <c r="AH82" s="8" t="n">
        <f aca="false">AH44/(1+$A82)</f>
        <v>4.924884354395977</v>
      </c>
      <c r="AI82" s="8" t="n">
        <v>576675.2777996345</v>
      </c>
      <c r="AJ82" s="8" t="n">
        <f aca="false">AJ44/(1+$A82)</f>
        <v>9454.755364440582</v>
      </c>
      <c r="AK82" s="8" t="n">
        <v>24869.697043781118</v>
      </c>
      <c r="AL82" s="8" t="n">
        <v>23540.053460004903</v>
      </c>
      <c r="AM82" s="8" t="n">
        <v>69907.34897538004</v>
      </c>
      <c r="AN82" s="8" t="n">
        <v>240518.74448768163</v>
      </c>
      <c r="AO82" s="8" t="n">
        <v>215368.20022193855</v>
      </c>
      <c r="AP82" s="8" t="n">
        <v>29951.15240028666</v>
      </c>
      <c r="AQ82" s="8" t="n">
        <v>508397.5529730342</v>
      </c>
      <c r="AR82" s="8" t="n">
        <v>4012.9829726592566</v>
      </c>
    </row>
    <row r="83" customFormat="false" ht="15.6" hidden="false" customHeight="false" outlineLevel="0" collapsed="false">
      <c r="B83" s="7" t="s">
        <v>19</v>
      </c>
      <c r="C83" s="8" t="n">
        <v>434370.6848476677</v>
      </c>
      <c r="D83" s="8" t="n">
        <v>274444.93881802267</v>
      </c>
      <c r="E83" s="8" t="n">
        <v>77120.16263797885</v>
      </c>
      <c r="F83" s="8" t="n">
        <v>744137.4020218686</v>
      </c>
      <c r="G83" s="8" t="n">
        <v>63032.03098462065</v>
      </c>
      <c r="H83" s="8" t="n">
        <v>110188.00341735451</v>
      </c>
      <c r="I83" s="8" t="n">
        <v>331474.29081892426</v>
      </c>
      <c r="J83" s="8" t="n">
        <v>293395.5560054275</v>
      </c>
      <c r="K83" s="8" t="n">
        <v>155139.4355094877</v>
      </c>
      <c r="L83" s="8" t="n">
        <v>159913.1694357083</v>
      </c>
      <c r="M83" s="8" t="n">
        <v>36625.50741208819</v>
      </c>
      <c r="N83" s="8" t="n">
        <v>540275.7092313356</v>
      </c>
      <c r="Q83" s="7" t="s">
        <v>19</v>
      </c>
      <c r="R83" s="8" t="n">
        <v>256830.02386791797</v>
      </c>
      <c r="S83" s="8" t="n">
        <v>3127.563814934654</v>
      </c>
      <c r="T83" s="8" t="n">
        <v>132869.67578469796</v>
      </c>
      <c r="U83" s="8" t="n">
        <v>643451.3724943589</v>
      </c>
      <c r="V83" s="8" t="n">
        <v>150379.84879140777</v>
      </c>
      <c r="W83" s="8" t="n">
        <v>299738.68604531995</v>
      </c>
      <c r="X83" s="8" t="n">
        <v>339190.9834540868</v>
      </c>
      <c r="Y83" s="8" t="n">
        <v>191632.52871128806</v>
      </c>
      <c r="Z83" s="8" t="n">
        <v>95297.48401394703</v>
      </c>
      <c r="AA83" s="8" t="n">
        <v>121501.30499599724</v>
      </c>
      <c r="AB83" s="8" t="n">
        <v>132357.77880103874</v>
      </c>
      <c r="AC83" s="8" t="n">
        <v>191859.6104139038</v>
      </c>
      <c r="AF83" s="7" t="s">
        <v>19</v>
      </c>
      <c r="AG83" s="8" t="n">
        <v>99457.39907550413</v>
      </c>
      <c r="AH83" s="8" t="n">
        <v>514882.48248694616</v>
      </c>
      <c r="AI83" s="8" t="n">
        <v>64731.72161377449</v>
      </c>
      <c r="AJ83" s="8" t="n">
        <v>895478.9147521202</v>
      </c>
      <c r="AK83" s="8" t="n">
        <v>12409.695945599491</v>
      </c>
      <c r="AL83" s="8" t="n">
        <v>606433.3625280331</v>
      </c>
      <c r="AM83" s="8" t="n">
        <v>236899.14949670836</v>
      </c>
      <c r="AN83" s="8" t="n">
        <v>471386.7079344421</v>
      </c>
      <c r="AO83" s="8" t="n">
        <v>119237.1032453265</v>
      </c>
      <c r="AP83" s="8" t="n">
        <v>168031.21606077385</v>
      </c>
      <c r="AQ83" s="8" t="n">
        <v>87458.09970024205</v>
      </c>
      <c r="AR83" s="8" t="n">
        <v>28440.38435073988</v>
      </c>
    </row>
    <row r="84" customFormat="false" ht="15.6" hidden="false" customHeight="false" outlineLevel="0" collapsed="false">
      <c r="B84" s="7" t="s">
        <v>20</v>
      </c>
      <c r="C84" s="8" t="n">
        <v>43387.13947832777</v>
      </c>
      <c r="D84" s="8" t="n">
        <v>69607.77346707844</v>
      </c>
      <c r="E84" s="8" t="n">
        <v>132888.39740470526</v>
      </c>
      <c r="F84" s="8" t="n">
        <v>74954.42811485902</v>
      </c>
      <c r="G84" s="8" t="n">
        <v>2298.6567954871775</v>
      </c>
      <c r="H84" s="8" t="n">
        <v>8060.136791343027</v>
      </c>
      <c r="I84" s="8" t="n">
        <v>23768.412260859062</v>
      </c>
      <c r="J84" s="8" t="n">
        <v>46621.95691292392</v>
      </c>
      <c r="K84" s="8" t="n">
        <v>92060.72298482941</v>
      </c>
      <c r="L84" s="8" t="n">
        <v>47903.760918666056</v>
      </c>
      <c r="M84" s="8" t="n">
        <v>30823.629507124897</v>
      </c>
      <c r="N84" s="8" t="n">
        <v>60191.77147092635</v>
      </c>
      <c r="Q84" s="7" t="s">
        <v>20</v>
      </c>
      <c r="R84" s="8" t="n">
        <v>71460.62642723991</v>
      </c>
      <c r="S84" s="8" t="n">
        <v>51146.216609111514</v>
      </c>
      <c r="T84" s="8" t="n">
        <v>61093.71264966767</v>
      </c>
      <c r="U84" s="8" t="n">
        <v>16668.955578155295</v>
      </c>
      <c r="V84" s="8" t="n">
        <v>38776.70560008173</v>
      </c>
      <c r="W84" s="8" t="n">
        <v>73231.74495419822</v>
      </c>
      <c r="X84" s="8" t="n">
        <v>23076.74130657427</v>
      </c>
      <c r="Y84" s="8" t="n">
        <v>13501.705344282724</v>
      </c>
      <c r="Z84" s="8" t="n">
        <v>49981.35163954646</v>
      </c>
      <c r="AA84" s="8" t="n">
        <v>71806.54270778666</v>
      </c>
      <c r="AB84" s="8" t="n">
        <v>60710.35732903023</v>
      </c>
      <c r="AC84" s="8" t="n">
        <v>112969.72517502302</v>
      </c>
      <c r="AF84" s="7" t="s">
        <v>20</v>
      </c>
      <c r="AG84" s="8" t="n">
        <v>73890.70312868537</v>
      </c>
      <c r="AH84" s="8" t="n">
        <v>122356.91190240424</v>
      </c>
      <c r="AI84" s="8" t="n">
        <v>88609.87855559924</v>
      </c>
      <c r="AJ84" s="8" t="n">
        <v>7931.009407829155</v>
      </c>
      <c r="AK84" s="8" t="n">
        <v>49735.94662925114</v>
      </c>
      <c r="AL84" s="8" t="n">
        <v>81381.95912111337</v>
      </c>
      <c r="AM84" s="8" t="n">
        <v>732.8477624189055</v>
      </c>
      <c r="AN84" s="8" t="n">
        <v>34954.42998075846</v>
      </c>
      <c r="AO84" s="8" t="n">
        <v>25435.39962095895</v>
      </c>
      <c r="AP84" s="8" t="n">
        <v>18094.053492575407</v>
      </c>
      <c r="AQ84" s="8" t="n">
        <v>27083.117618954344</v>
      </c>
      <c r="AR84" s="8" t="n">
        <v>82739.42020510271</v>
      </c>
    </row>
    <row r="85" customFormat="false" ht="15.6" hidden="false" customHeight="false" outlineLevel="0" collapsed="false">
      <c r="B85" s="7" t="s">
        <v>21</v>
      </c>
      <c r="C85" s="8" t="n">
        <v>91120.18325106165</v>
      </c>
      <c r="D85" s="8" t="n">
        <v>153072.704623952</v>
      </c>
      <c r="E85" s="8" t="n">
        <v>503076.8644198941</v>
      </c>
      <c r="F85" s="8" t="n">
        <v>262513.72946232307</v>
      </c>
      <c r="G85" s="8" t="n">
        <v>140917.33718165</v>
      </c>
      <c r="H85" s="8" t="n">
        <v>107294.48660883505</v>
      </c>
      <c r="I85" s="8" t="n">
        <v>180953.4159080479</v>
      </c>
      <c r="J85" s="8" t="n">
        <v>168176.76312873818</v>
      </c>
      <c r="K85" s="8" t="n">
        <v>203431.9493122772</v>
      </c>
      <c r="L85" s="8" t="n">
        <v>173943.5731847904</v>
      </c>
      <c r="M85" s="8" t="n">
        <v>269475.914752209</v>
      </c>
      <c r="N85" s="8" t="n">
        <v>946791.2338782449</v>
      </c>
      <c r="Q85" s="7" t="s">
        <v>21</v>
      </c>
      <c r="R85" s="8" t="n">
        <v>328924.57561355236</v>
      </c>
      <c r="S85" s="8" t="n">
        <v>126713.20219321392</v>
      </c>
      <c r="T85" s="8" t="n">
        <v>325229.8393898001</v>
      </c>
      <c r="U85" s="8" t="n">
        <v>458447.8163773242</v>
      </c>
      <c r="V85" s="8" t="n">
        <v>403940.49543751875</v>
      </c>
      <c r="W85" s="8" t="n">
        <v>920017.2476098874</v>
      </c>
      <c r="X85" s="8" t="n">
        <v>122606.83636965421</v>
      </c>
      <c r="Y85" s="8" t="n">
        <v>157399.5610929957</v>
      </c>
      <c r="Z85" s="8" t="n">
        <v>484386.6085255452</v>
      </c>
      <c r="AA85" s="8" t="n">
        <v>148962.3090470849</v>
      </c>
      <c r="AB85" s="8" t="n">
        <v>4814.696935275188</v>
      </c>
      <c r="AC85" s="8" t="n">
        <v>103590.56250349534</v>
      </c>
      <c r="AF85" s="7" t="s">
        <v>21</v>
      </c>
      <c r="AG85" s="8" t="n">
        <v>141486.81455984956</v>
      </c>
      <c r="AH85" s="8" t="n">
        <v>493272.1736887189</v>
      </c>
      <c r="AI85" s="8" t="n">
        <v>413277.23595910147</v>
      </c>
      <c r="AJ85" s="8" t="n">
        <v>378322.8359915759</v>
      </c>
      <c r="AK85" s="8" t="n">
        <v>49197.3269007943</v>
      </c>
      <c r="AL85" s="8" t="n">
        <v>484596.62737763714</v>
      </c>
      <c r="AM85" s="8" t="n">
        <v>65146.831574134136</v>
      </c>
      <c r="AN85" s="8" t="n">
        <v>125468.67505391827</v>
      </c>
      <c r="AO85" s="8" t="n">
        <v>223731.42058676164</v>
      </c>
      <c r="AP85" s="8" t="n">
        <v>216012.08062054243</v>
      </c>
      <c r="AQ85" s="8" t="n">
        <v>353175.30121060164</v>
      </c>
      <c r="AR85" s="8" t="n">
        <v>833612.3581534409</v>
      </c>
    </row>
    <row r="86" customFormat="false" ht="15.6" hidden="false" customHeight="false" outlineLevel="0" collapsed="false">
      <c r="B86" s="7" t="s">
        <v>22</v>
      </c>
      <c r="C86" s="8" t="n">
        <v>33996.84726573446</v>
      </c>
      <c r="D86" s="8" t="n">
        <v>7.811529178474367</v>
      </c>
      <c r="E86" s="8" t="n">
        <v>144388.31138859203</v>
      </c>
      <c r="F86" s="8" t="n">
        <v>50930.01465910475</v>
      </c>
      <c r="G86" s="8" t="n">
        <v>146571.29589582348</v>
      </c>
      <c r="H86" s="8" t="n">
        <v>94742.75917027945</v>
      </c>
      <c r="I86" s="8" t="n">
        <v>3630.1199849272393</v>
      </c>
      <c r="J86" s="8" t="n">
        <v>19355.76129696466</v>
      </c>
      <c r="K86" s="8" t="n">
        <v>41298.81712888703</v>
      </c>
      <c r="L86" s="8" t="n">
        <v>19424.706253343935</v>
      </c>
      <c r="M86" s="8" t="n">
        <v>30241.60345690565</v>
      </c>
      <c r="N86" s="8" t="n">
        <v>123751.79757261598</v>
      </c>
      <c r="Q86" s="7" t="s">
        <v>22</v>
      </c>
      <c r="R86" s="8" t="n">
        <v>84271.49241566037</v>
      </c>
      <c r="S86" s="8" t="n">
        <v>31.555440567516218</v>
      </c>
      <c r="T86" s="8" t="n">
        <v>39916.056945346085</v>
      </c>
      <c r="U86" s="8" t="n">
        <v>28410.97333962287</v>
      </c>
      <c r="V86" s="8" t="n">
        <v>5760.271888554319</v>
      </c>
      <c r="W86" s="8" t="n">
        <v>89454.69052677302</v>
      </c>
      <c r="X86" s="8" t="n">
        <v>10720.280627991611</v>
      </c>
      <c r="Y86" s="8" t="n">
        <v>186344.10964020737</v>
      </c>
      <c r="Z86" s="8" t="n">
        <v>48362.95743218436</v>
      </c>
      <c r="AA86" s="8" t="n">
        <v>31489.471850965794</v>
      </c>
      <c r="AB86" s="8" t="n">
        <v>6223.59470364643</v>
      </c>
      <c r="AC86" s="8" t="n">
        <v>49207.87913652619</v>
      </c>
      <c r="AF86" s="7" t="s">
        <v>22</v>
      </c>
      <c r="AG86" s="8" t="n">
        <v>9496.666121928338</v>
      </c>
      <c r="AH86" s="8" t="n">
        <v>15.953827155774482</v>
      </c>
      <c r="AI86" s="8" t="n">
        <v>197840.51683499225</v>
      </c>
      <c r="AJ86" s="8" t="n">
        <v>62468.42200498853</v>
      </c>
      <c r="AK86" s="8" t="n">
        <v>80601.77822065592</v>
      </c>
      <c r="AL86" s="8" t="n">
        <v>119427.80578393843</v>
      </c>
      <c r="AM86" s="8" t="n">
        <v>3556.4025041793448</v>
      </c>
      <c r="AN86" s="8" t="n">
        <v>48791.965478932</v>
      </c>
      <c r="AO86" s="8" t="n">
        <v>79863.51492431556</v>
      </c>
      <c r="AP86" s="8" t="n">
        <v>41398.75991913191</v>
      </c>
      <c r="AQ86" s="8" t="n">
        <v>73243.09648368566</v>
      </c>
      <c r="AR86" s="8" t="n">
        <v>9466.603364952782</v>
      </c>
    </row>
    <row r="87" customFormat="false" ht="15.6" hidden="false" customHeight="false" outlineLevel="0" collapsed="false">
      <c r="B87" s="7" t="s">
        <v>23</v>
      </c>
      <c r="C87" s="8" t="n">
        <v>164189.96861198515</v>
      </c>
      <c r="D87" s="8" t="n">
        <v>1949.7363010189574</v>
      </c>
      <c r="E87" s="8" t="n">
        <v>4962.958825591386</v>
      </c>
      <c r="F87" s="8" t="n">
        <v>60023.585566166235</v>
      </c>
      <c r="G87" s="8" t="n">
        <v>6699.178315821714</v>
      </c>
      <c r="H87" s="8" t="n">
        <v>6630.512448938771</v>
      </c>
      <c r="I87" s="8" t="n">
        <v>61545.29178140607</v>
      </c>
      <c r="J87" s="8" t="n">
        <v>71070.77231052693</v>
      </c>
      <c r="K87" s="8" t="n">
        <v>-2964.729753251131</v>
      </c>
      <c r="L87" s="8" t="n">
        <v>0.0</v>
      </c>
      <c r="M87" s="8" t="n">
        <v>39238.30226509897</v>
      </c>
      <c r="N87" s="8" t="n">
        <v>-2802.859524687642</v>
      </c>
      <c r="Q87" s="7" t="s">
        <v>23</v>
      </c>
      <c r="R87" s="8" t="n">
        <v>59772.7619543776</v>
      </c>
      <c r="S87" s="8" t="n">
        <v>3054.6760495580784</v>
      </c>
      <c r="T87" s="8" t="n">
        <v>3682.8042825989646</v>
      </c>
      <c r="U87" s="8" t="n">
        <v>52413.07472205409</v>
      </c>
      <c r="V87" s="8" t="n">
        <v>22763.931767696537</v>
      </c>
      <c r="W87" s="8" t="n">
        <v>19832.31639427028</v>
      </c>
      <c r="X87" s="8" t="n">
        <v>103655.01381667604</v>
      </c>
      <c r="Y87" s="8" t="n">
        <v>120553.85197147918</v>
      </c>
      <c r="Z87" s="8" t="n">
        <v>-4809.477438974135</v>
      </c>
      <c r="AA87" s="8" t="n">
        <v>0.0</v>
      </c>
      <c r="AB87" s="8" t="n">
        <v>49875.49471034012</v>
      </c>
      <c r="AC87" s="8" t="n">
        <v>-5481.46297138282</v>
      </c>
      <c r="AF87" s="7" t="s">
        <v>23</v>
      </c>
      <c r="AG87" s="8" t="n">
        <v>133733.60664934915</v>
      </c>
      <c r="AH87" s="8" t="n">
        <v>1965.7786959105558</v>
      </c>
      <c r="AI87" s="8" t="n">
        <v>5041.610795316432</v>
      </c>
      <c r="AJ87" s="8" t="n">
        <v>63417.352161997995</v>
      </c>
      <c r="AK87" s="8" t="n">
        <v>21665.331556854053</v>
      </c>
      <c r="AL87" s="8" t="n">
        <v>40147.06826021785</v>
      </c>
      <c r="AM87" s="8" t="n">
        <v>52744.051487800214</v>
      </c>
      <c r="AN87" s="8" t="n">
        <v>78235.79249355421</v>
      </c>
      <c r="AO87" s="8" t="n">
        <v>-6024.883557432203</v>
      </c>
      <c r="AP87" s="8" t="n">
        <v>0.0</v>
      </c>
      <c r="AQ87" s="8" t="n">
        <v>3496.4333391399687</v>
      </c>
      <c r="AR87" s="8" t="n">
        <v>-7566.422486980868</v>
      </c>
    </row>
    <row r="88" customFormat="false" ht="15.6" hidden="false" customHeight="false" outlineLevel="0" collapsed="false">
      <c r="B88" s="7" t="s">
        <v>24</v>
      </c>
      <c r="C88" s="8" t="n">
        <v>151508.376525014</v>
      </c>
      <c r="D88" s="8" t="n">
        <v>15232.365656685635</v>
      </c>
      <c r="E88" s="8" t="n">
        <v>113.19035310381187</v>
      </c>
      <c r="F88" s="8" t="n">
        <v>30355.663620542044</v>
      </c>
      <c r="G88" s="8" t="n">
        <v>14463.849745275891</v>
      </c>
      <c r="H88" s="8" t="n">
        <v>39521.700753794124</v>
      </c>
      <c r="I88" s="8" t="n">
        <v>-79.1545045030451</v>
      </c>
      <c r="J88" s="8" t="n">
        <v>17871.063302191757</v>
      </c>
      <c r="K88" s="8" t="n">
        <v>5695.59080693639</v>
      </c>
      <c r="L88" s="8" t="n">
        <v>30832.957617952972</v>
      </c>
      <c r="M88" s="8" t="n">
        <v>127629.71610629298</v>
      </c>
      <c r="N88" s="8" t="n">
        <v>28617.18624338146</v>
      </c>
      <c r="Q88" s="7" t="s">
        <v>24</v>
      </c>
      <c r="R88" s="8" t="n">
        <v>33104.891494270465</v>
      </c>
      <c r="S88" s="8" t="n">
        <v>38470.32879722859</v>
      </c>
      <c r="T88" s="8" t="n">
        <v>8491.45109126297</v>
      </c>
      <c r="U88" s="8" t="n">
        <v>32334.398182273064</v>
      </c>
      <c r="V88" s="8" t="n">
        <v>28484.08321382185</v>
      </c>
      <c r="W88" s="8" t="n">
        <v>3015.1149846738654</v>
      </c>
      <c r="X88" s="8" t="n">
        <v>-36.102582416882484</v>
      </c>
      <c r="Y88" s="8" t="n">
        <v>17843.00852592482</v>
      </c>
      <c r="Z88" s="8" t="n">
        <v>1584.8674108986602</v>
      </c>
      <c r="AA88" s="8" t="n">
        <v>8748.073824854673</v>
      </c>
      <c r="AB88" s="8" t="n">
        <v>107886.42677391302</v>
      </c>
      <c r="AC88" s="8" t="n">
        <v>14043.670893983435</v>
      </c>
      <c r="AF88" s="7" t="s">
        <v>24</v>
      </c>
      <c r="AG88" s="8" t="n">
        <v>135186.14799799278</v>
      </c>
      <c r="AH88" s="8" t="n">
        <v>75293.68401526521</v>
      </c>
      <c r="AI88" s="8" t="n">
        <v>2476.2103241041245</v>
      </c>
      <c r="AJ88" s="8" t="n">
        <v>64973.78785852311</v>
      </c>
      <c r="AK88" s="8" t="n">
        <v>12857.73920221122</v>
      </c>
      <c r="AL88" s="8" t="n">
        <v>40531.523160550205</v>
      </c>
      <c r="AM88" s="8" t="n">
        <v>-48.87093377362742</v>
      </c>
      <c r="AN88" s="8" t="n">
        <v>14010.384848105412</v>
      </c>
      <c r="AO88" s="8" t="n">
        <v>42175.9772706027</v>
      </c>
      <c r="AP88" s="8" t="n">
        <v>28137.535590478274</v>
      </c>
      <c r="AQ88" s="8" t="n">
        <v>58959.053607334936</v>
      </c>
      <c r="AR88" s="8" t="n">
        <v>6159.745850035459</v>
      </c>
    </row>
    <row r="89" customFormat="false" ht="15.6" hidden="false" customHeight="false" outlineLevel="0" collapsed="false">
      <c r="B89" s="7" t="s">
        <v>25</v>
      </c>
      <c r="C89" s="8" t="n">
        <v>182397.80375454813</v>
      </c>
      <c r="D89" s="8" t="n">
        <v>151498.32477441587</v>
      </c>
      <c r="E89" s="8" t="n">
        <v>64262.11631296236</v>
      </c>
      <c r="F89" s="8" t="n">
        <v>103008.15317885274</v>
      </c>
      <c r="G89" s="8" t="n">
        <v>5539.776687622782</v>
      </c>
      <c r="H89" s="8" t="n">
        <v>151086.94508086136</v>
      </c>
      <c r="I89" s="8" t="n">
        <v>31479.81301045053</v>
      </c>
      <c r="J89" s="8" t="n">
        <v>6391.952093994535</v>
      </c>
      <c r="K89" s="8" t="n">
        <v>76351.06695092058</v>
      </c>
      <c r="L89" s="8" t="n">
        <v>117334.0668605855</v>
      </c>
      <c r="M89" s="8" t="n">
        <v>10904.21187965133</v>
      </c>
      <c r="N89" s="8" t="n">
        <v>36674.08771825056</v>
      </c>
      <c r="Q89" s="7" t="s">
        <v>25</v>
      </c>
      <c r="R89" s="8" t="n">
        <v>64366.728263836936</v>
      </c>
      <c r="S89" s="8" t="n">
        <v>148716.82588538638</v>
      </c>
      <c r="T89" s="8" t="n">
        <v>135909.43606020912</v>
      </c>
      <c r="U89" s="8" t="n">
        <v>110265.68418044302</v>
      </c>
      <c r="V89" s="8" t="n">
        <v>22849.710061479596</v>
      </c>
      <c r="W89" s="8" t="n">
        <v>162502.37692438657</v>
      </c>
      <c r="X89" s="8" t="n">
        <v>82494.99093536426</v>
      </c>
      <c r="Y89" s="8" t="n">
        <v>56453.229686482395</v>
      </c>
      <c r="Z89" s="8" t="n">
        <v>14893.389431029404</v>
      </c>
      <c r="AA89" s="8" t="n">
        <v>46520.97676219181</v>
      </c>
      <c r="AB89" s="8" t="n">
        <v>3467.893730461548</v>
      </c>
      <c r="AC89" s="8" t="n">
        <v>25932.89940453803</v>
      </c>
      <c r="AF89" s="7" t="s">
        <v>25</v>
      </c>
      <c r="AG89" s="8" t="n">
        <v>23995.744556657646</v>
      </c>
      <c r="AH89" s="8" t="n">
        <v>155180.26993399207</v>
      </c>
      <c r="AI89" s="8" t="n">
        <v>128473.87103030481</v>
      </c>
      <c r="AJ89" s="8" t="n">
        <v>103799.95380889736</v>
      </c>
      <c r="AK89" s="8" t="n">
        <v>142744.12640479297</v>
      </c>
      <c r="AL89" s="8" t="n">
        <v>15541.237916784798</v>
      </c>
      <c r="AM89" s="8" t="n">
        <v>76562.2396307817</v>
      </c>
      <c r="AN89" s="8" t="n">
        <v>45165.067596279965</v>
      </c>
      <c r="AO89" s="8" t="n">
        <v>60014.1577564959</v>
      </c>
      <c r="AP89" s="8" t="n">
        <v>151085.51167161422</v>
      </c>
      <c r="AQ89" s="8" t="n">
        <v>40360.59495269972</v>
      </c>
      <c r="AR89" s="8" t="n">
        <v>27488.238210259675</v>
      </c>
    </row>
    <row r="90" customFormat="false" ht="15.6" hidden="false" customHeight="false" outlineLevel="0" collapsed="false">
      <c r="B90" s="7" t="s">
        <v>26</v>
      </c>
      <c r="C90" s="8" t="n">
        <v>64757.32083133113</v>
      </c>
      <c r="D90" s="8" t="n">
        <v>44225.878840978934</v>
      </c>
      <c r="E90" s="8" t="n">
        <v>243643.6857522881</v>
      </c>
      <c r="F90" s="8" t="n">
        <v>284410.3390355777</v>
      </c>
      <c r="G90" s="8" t="n">
        <v>15812.424213696646</v>
      </c>
      <c r="H90" s="8" t="n">
        <v>76985.8797436316</v>
      </c>
      <c r="I90" s="8" t="n">
        <v>56484.106553339574</v>
      </c>
      <c r="J90" s="8" t="n">
        <v>32425.066907786586</v>
      </c>
      <c r="K90" s="8" t="n">
        <v>89880.53788393438</v>
      </c>
      <c r="L90" s="8" t="n">
        <v>18941.039249574642</v>
      </c>
      <c r="M90" s="8" t="n">
        <v>18272.121633206887</v>
      </c>
      <c r="N90" s="8" t="n">
        <v>14474.417122303972</v>
      </c>
      <c r="Q90" s="7" t="s">
        <v>26</v>
      </c>
      <c r="R90" s="8" t="n">
        <v>62533.19710341663</v>
      </c>
      <c r="S90" s="8" t="n">
        <v>28192.08535563589</v>
      </c>
      <c r="T90" s="8" t="n">
        <v>207206.89645753693</v>
      </c>
      <c r="U90" s="8" t="n">
        <v>125175.68370256801</v>
      </c>
      <c r="V90" s="8" t="n">
        <v>138459.00096171218</v>
      </c>
      <c r="W90" s="8" t="n">
        <v>163185.77956740264</v>
      </c>
      <c r="X90" s="8" t="n">
        <v>52384.11017653241</v>
      </c>
      <c r="Y90" s="8" t="n">
        <v>55064.31405167049</v>
      </c>
      <c r="Z90" s="8" t="n">
        <v>1410.8856955080275</v>
      </c>
      <c r="AA90" s="8" t="n">
        <v>5902.8893675455365</v>
      </c>
      <c r="AB90" s="8" t="n">
        <v>22336.576718413</v>
      </c>
      <c r="AC90" s="8" t="n">
        <v>3072.035230283849</v>
      </c>
      <c r="AF90" s="7" t="s">
        <v>26</v>
      </c>
      <c r="AG90" s="8" t="n">
        <v>31938.167950970015</v>
      </c>
      <c r="AH90" s="8" t="n">
        <v>8749.079013261386</v>
      </c>
      <c r="AI90" s="8" t="n">
        <v>49529.59239667577</v>
      </c>
      <c r="AJ90" s="8" t="n">
        <v>54813.94003978502</v>
      </c>
      <c r="AK90" s="8" t="n">
        <v>151294.17169077398</v>
      </c>
      <c r="AL90" s="8" t="n">
        <v>110153.36332497933</v>
      </c>
      <c r="AM90" s="8" t="n">
        <v>81585.12818296546</v>
      </c>
      <c r="AN90" s="8" t="n">
        <v>24257.407978367948</v>
      </c>
      <c r="AO90" s="8" t="n">
        <v>46363.751567587184</v>
      </c>
      <c r="AP90" s="8" t="n">
        <v>39848.063002339215</v>
      </c>
      <c r="AQ90" s="8" t="n">
        <v>10772.68332495239</v>
      </c>
      <c r="AR90" s="8" t="n">
        <v>90024.06943167846</v>
      </c>
    </row>
    <row r="91" customFormat="false" ht="15.6" hidden="false" customHeight="false" outlineLevel="0" collapsed="false">
      <c r="B91" s="20" t="s">
        <v>27</v>
      </c>
      <c r="C91" s="21" t="n">
        <f aca="false">SUM(C80:C90)</f>
        <v>2565132.00104818</v>
      </c>
      <c r="D91" s="21" t="n">
        <f aca="false">SUM(D80:D90)</f>
        <v>1000570.1463375023</v>
      </c>
      <c r="E91" s="21" t="n">
        <v>669867.6026597279</v>
      </c>
      <c r="F91" s="21" t="n">
        <v>2037533.6145633454</v>
      </c>
      <c r="G91" s="21" t="n">
        <f aca="false">SUM(G80:G90)</f>
        <v>961422.6866946851</v>
      </c>
      <c r="H91" s="21" t="n">
        <v>3065050.763447505</v>
      </c>
      <c r="I91" s="21" t="n">
        <f aca="false">SUM(I80:I90)</f>
        <v>1359640.3761625544</v>
      </c>
      <c r="J91" s="21" t="n">
        <f aca="false">SUM(J80:J90)</f>
        <v>1296709.4119493966</v>
      </c>
      <c r="K91" s="21" t="n">
        <f aca="false">SUM(K80:K90)</f>
        <v>342103.43788306596</v>
      </c>
      <c r="L91" s="21" t="n">
        <f aca="false">SUM(L80:L90)</f>
        <v>328829.4774029308</v>
      </c>
      <c r="M91" s="21" t="n">
        <v>1235692.4103709161</v>
      </c>
      <c r="N91" s="21" t="n">
        <f aca="false">SUM(N80:N90)</f>
        <v>1844200.0330085587</v>
      </c>
      <c r="Q91" s="20" t="s">
        <v>27</v>
      </c>
      <c r="R91" s="21" t="n">
        <f aca="false">SUM(R80:R90)</f>
        <v>1075852.5420707676</v>
      </c>
      <c r="S91" s="21" t="n">
        <f aca="false">SUM(S80:S90)</f>
        <v>1439570.4485948063</v>
      </c>
      <c r="T91" s="21" t="n">
        <v>464394.5299884659</v>
      </c>
      <c r="U91" s="21" t="n">
        <v>2139167.2566235396</v>
      </c>
      <c r="V91" s="21" t="n">
        <f aca="false">SUM(V80:V90)</f>
        <v>1356351.1484356541</v>
      </c>
      <c r="W91" s="21" t="n">
        <v>2530952.5335119073</v>
      </c>
      <c r="X91" s="21" t="n">
        <f aca="false">SUM(X80:X90)</f>
        <v>1446336.1173304028</v>
      </c>
      <c r="Y91" s="21" t="n">
        <f aca="false">SUM(Y80:Y90)</f>
        <v>1496207.653875258</v>
      </c>
      <c r="Z91" s="21" t="n">
        <f aca="false">SUM(Z80:Z90)</f>
        <v>644311.1916788797</v>
      </c>
      <c r="AA91" s="21" t="n">
        <f aca="false">SUM(AA80:AA90)</f>
        <v>1058852.4807970095</v>
      </c>
      <c r="AB91" s="21" t="n">
        <v>362820.17607439257</v>
      </c>
      <c r="AC91" s="21" t="n">
        <f aca="false">SUM(AC80:AC90)</f>
        <v>2513052.1032377207</v>
      </c>
      <c r="AF91" s="20" t="s">
        <v>27</v>
      </c>
      <c r="AG91" s="21" t="n">
        <f aca="false">SUM(AG80:AG90)</f>
        <v>23631.980553691454</v>
      </c>
      <c r="AH91" s="21" t="n">
        <f aca="false">SUM(AH80:AH90)</f>
        <v>599472.1006365847</v>
      </c>
      <c r="AI91" s="21" t="n">
        <v>449192.031214849</v>
      </c>
      <c r="AJ91" s="21" t="n">
        <v>883806.2296415862</v>
      </c>
      <c r="AK91" s="21" t="n">
        <f aca="false">SUM(AK80:AK90)</f>
        <v>1888036.015674758</v>
      </c>
      <c r="AL91" s="21" t="n">
        <v>3194794.370648297</v>
      </c>
      <c r="AM91" s="21" t="n">
        <f aca="false">SUM(AM80:AM90)</f>
        <v>1181035.018087805</v>
      </c>
      <c r="AN91" s="21" t="n">
        <f aca="false">SUM(AN80:AN90)</f>
        <v>600901.6900425927</v>
      </c>
      <c r="AO91" s="21" t="n">
        <f aca="false">SUM(AO80:AO90)</f>
        <v>855063.1809339649</v>
      </c>
      <c r="AP91" s="21" t="n">
        <f aca="false">SUM(AP80:AP90)</f>
        <v>864528.8933442512</v>
      </c>
      <c r="AQ91" s="21" t="n">
        <v>835131.7576844385</v>
      </c>
      <c r="AR91" s="21" t="n">
        <f aca="false">SUM(AR80:AR90)</f>
        <v>234847.03858403742</v>
      </c>
    </row>
    <row r="92" customFormat="false" ht="15.6" hidden="false" customHeight="false" outlineLevel="0" collapsed="false">
      <c r="B92" s="7" t="s">
        <v>28</v>
      </c>
      <c r="C92" s="8" t="n">
        <v>72266.5505940222</v>
      </c>
      <c r="D92" s="8" t="n">
        <v>15302.046952368577</v>
      </c>
      <c r="E92" s="8" t="n">
        <v>121352.83313354941</v>
      </c>
      <c r="F92" s="8" t="n">
        <v>27241.34465917566</v>
      </c>
      <c r="G92" s="8" t="n">
        <v>268223.53548433416</v>
      </c>
      <c r="H92" s="8" t="n">
        <v>134283.05483409873</v>
      </c>
      <c r="I92" s="8" t="n">
        <v>169700.0822012175</v>
      </c>
      <c r="J92" s="8" t="n">
        <v>253906.33323982797</v>
      </c>
      <c r="K92" s="8" t="n">
        <v>134343.76048163</v>
      </c>
      <c r="L92" s="8" t="n">
        <v>97170.32679833617</v>
      </c>
      <c r="M92" s="8" t="n">
        <f aca="false">M54/(1+$A92)</f>
        <v>325494.73163217405</v>
      </c>
      <c r="N92" s="8" t="n">
        <v>101680.15960613724</v>
      </c>
      <c r="Q92" s="7" t="s">
        <v>28</v>
      </c>
      <c r="R92" s="8" t="n">
        <v>253780.86446080482</v>
      </c>
      <c r="S92" s="8" t="n">
        <v>184440.3101146813</v>
      </c>
      <c r="T92" s="8" t="n">
        <v>353885.5789131898</v>
      </c>
      <c r="U92" s="8" t="n">
        <v>89117.27471047835</v>
      </c>
      <c r="V92" s="8" t="n">
        <v>228545.80885226157</v>
      </c>
      <c r="W92" s="8" t="n">
        <v>117921.97319225343</v>
      </c>
      <c r="X92" s="8" t="n">
        <v>48109.55849562004</v>
      </c>
      <c r="Y92" s="8" t="n">
        <v>21769.587492229388</v>
      </c>
      <c r="Z92" s="8" t="n">
        <v>4649.032248677386</v>
      </c>
      <c r="AA92" s="8" t="n">
        <v>58072.847448578235</v>
      </c>
      <c r="AB92" s="8" t="n">
        <f aca="false">AB54/(1+$A92)</f>
        <v>203037.9363526671</v>
      </c>
      <c r="AC92" s="8" t="n">
        <v>92643.63902592246</v>
      </c>
      <c r="AF92" s="7" t="s">
        <v>28</v>
      </c>
      <c r="AG92" s="8" t="n">
        <v>271641.4676507648</v>
      </c>
      <c r="AH92" s="8" t="n">
        <v>72310.89032817702</v>
      </c>
      <c r="AI92" s="8" t="n">
        <v>144011.96651099008</v>
      </c>
      <c r="AJ92" s="8" t="n">
        <v>146813.49742746435</v>
      </c>
      <c r="AK92" s="8" t="n">
        <v>176512.52691778078</v>
      </c>
      <c r="AL92" s="8" t="n">
        <v>42440.657638523844</v>
      </c>
      <c r="AM92" s="8" t="n">
        <v>101414.45222504182</v>
      </c>
      <c r="AN92" s="8" t="n">
        <v>103270.6403421797</v>
      </c>
      <c r="AO92" s="8" t="n">
        <v>111753.85052091423</v>
      </c>
      <c r="AP92" s="8" t="n">
        <v>157255.5879853506</v>
      </c>
      <c r="AQ92" s="8" t="n">
        <f aca="false">AQ54/(1+$A92)</f>
        <v>181239.0260214336</v>
      </c>
      <c r="AR92" s="8" t="n">
        <v>30099.502931078343</v>
      </c>
    </row>
    <row r="93" customFormat="false" ht="15.6" hidden="false" customHeight="false" outlineLevel="0" collapsed="false">
      <c r="B93" s="20" t="s">
        <v>28</v>
      </c>
      <c r="C93" s="21" t="n">
        <f aca="false">SUM(C92)</f>
        <v>45240.53931545753</v>
      </c>
      <c r="D93" s="21" t="n">
        <f aca="false">SUM(D92)</f>
        <v>108672.529861869</v>
      </c>
      <c r="E93" s="21" t="n">
        <f aca="false">SUM(E92)</f>
        <v>161370.92888233473</v>
      </c>
      <c r="F93" s="21" t="n">
        <f aca="false">SUM(F92)</f>
        <v>173147.5597067139</v>
      </c>
      <c r="G93" s="21" t="n">
        <f aca="false">SUM(G92)</f>
        <v>223346.8234221476</v>
      </c>
      <c r="H93" s="21" t="n">
        <f aca="false">SUM(H92)</f>
        <v>129042.83491930082</v>
      </c>
      <c r="I93" s="21" t="n">
        <f aca="false">SUM(I92)</f>
        <v>144042.23502065305</v>
      </c>
      <c r="J93" s="21" t="n">
        <f aca="false">SUM(J92)</f>
        <v>195084.32319776388</v>
      </c>
      <c r="K93" s="21" t="n">
        <f aca="false">SUM(K92)</f>
        <v>34114.49393127915</v>
      </c>
      <c r="L93" s="21" t="n">
        <f aca="false">SUM(L92)</f>
        <v>161550.03333033738</v>
      </c>
      <c r="M93" s="21" t="n">
        <f aca="false">SUM(M92)</f>
        <v>433771.13974187686</v>
      </c>
      <c r="N93" s="21" t="n">
        <f aca="false">SUM(N92)</f>
        <v>104597.89603269543</v>
      </c>
      <c r="Q93" s="20" t="s">
        <v>28</v>
      </c>
      <c r="R93" s="21" t="n">
        <f aca="false">SUM(R92)</f>
        <v>215795.58792868746</v>
      </c>
      <c r="S93" s="21" t="n">
        <f aca="false">SUM(S92)</f>
        <v>148363.0321160142</v>
      </c>
      <c r="T93" s="21" t="n">
        <f aca="false">SUM(T92)</f>
        <v>154755.32940701663</v>
      </c>
      <c r="U93" s="21" t="n">
        <f aca="false">SUM(U92)</f>
        <v>58085.77528716107</v>
      </c>
      <c r="V93" s="21" t="n">
        <f aca="false">SUM(V92)</f>
        <v>231868.8572147126</v>
      </c>
      <c r="W93" s="21" t="n">
        <f aca="false">SUM(W92)</f>
        <v>88363.0057375553</v>
      </c>
      <c r="X93" s="21" t="n">
        <f aca="false">SUM(X92)</f>
        <v>206535.53541685626</v>
      </c>
      <c r="Y93" s="21" t="n">
        <f aca="false">SUM(Y92)</f>
        <v>106293.39946187551</v>
      </c>
      <c r="Z93" s="21" t="n">
        <f aca="false">SUM(Z92)</f>
        <v>151148.46040111437</v>
      </c>
      <c r="AA93" s="21" t="n">
        <f aca="false">SUM(AA92)</f>
        <v>126798.51226788838</v>
      </c>
      <c r="AB93" s="21" t="n">
        <f aca="false">SUM(AB92)</f>
        <v>164471.5142268736</v>
      </c>
      <c r="AC93" s="21" t="n">
        <f aca="false">SUM(AC92)</f>
        <v>153092.1313493644</v>
      </c>
      <c r="AF93" s="20" t="s">
        <v>28</v>
      </c>
      <c r="AG93" s="21" t="n">
        <f aca="false">SUM(AG92)</f>
        <v>2602.3743353990167</v>
      </c>
      <c r="AH93" s="21" t="n">
        <f aca="false">SUM(AH92)</f>
        <v>10332.299279481627</v>
      </c>
      <c r="AI93" s="21" t="n">
        <f aca="false">SUM(AI92)</f>
        <v>337855.1808419723</v>
      </c>
      <c r="AJ93" s="21" t="n">
        <f aca="false">SUM(AJ92)</f>
        <v>88052.34778517755</v>
      </c>
      <c r="AK93" s="21" t="n">
        <f aca="false">SUM(AK92)</f>
        <v>77709.74257132046</v>
      </c>
      <c r="AL93" s="21" t="n">
        <f aca="false">SUM(AL92)</f>
        <v>48384.35132550113</v>
      </c>
      <c r="AM93" s="21" t="n">
        <f aca="false">SUM(AM92)</f>
        <v>214510.4955722067</v>
      </c>
      <c r="AN93" s="21" t="n">
        <f aca="false">SUM(AN92)</f>
        <v>168727.77952305335</v>
      </c>
      <c r="AO93" s="21" t="n">
        <f aca="false">SUM(AO92)</f>
        <v>61776.53143916452</v>
      </c>
      <c r="AP93" s="21" t="n">
        <f aca="false">SUM(AP92)</f>
        <v>214975.12680952888</v>
      </c>
      <c r="AQ93" s="21" t="n">
        <f aca="false">SUM(AQ92)</f>
        <v>86886.02433631018</v>
      </c>
      <c r="AR93" s="21" t="n">
        <f aca="false">SUM(AR92)</f>
        <v>4032.8854995700904</v>
      </c>
    </row>
    <row r="94" customFormat="false" ht="15.6" hidden="false" customHeight="false" outlineLevel="0" collapsed="false">
      <c r="B94" s="23" t="s">
        <v>29</v>
      </c>
      <c r="C94" s="8" t="n">
        <v>137455.9741626211</v>
      </c>
      <c r="D94" s="8" t="n">
        <v>107966.17458685259</v>
      </c>
      <c r="E94" s="8" t="n">
        <v>24304.51115740699</v>
      </c>
      <c r="F94" s="8" t="n">
        <v>137572.8746072747</v>
      </c>
      <c r="G94" s="8" t="n">
        <v>40247.60779122265</v>
      </c>
      <c r="H94" s="8" t="n">
        <v>97103.46893572823</v>
      </c>
      <c r="I94" s="8" t="n">
        <v>63642.020465416346</v>
      </c>
      <c r="J94" s="8" t="n">
        <v>74236.92710278387</v>
      </c>
      <c r="K94" s="8" t="n">
        <v>150897.3210330312</v>
      </c>
      <c r="L94" s="8" t="n">
        <v>35705.17204603997</v>
      </c>
      <c r="M94" s="8" t="n">
        <v>17085.45792210719</v>
      </c>
      <c r="N94" s="8" t="n">
        <v>6032.265733543233</v>
      </c>
      <c r="Q94" s="23" t="s">
        <v>29</v>
      </c>
      <c r="R94" s="8" t="n">
        <v>79608.88003945448</v>
      </c>
      <c r="S94" s="8" t="n">
        <v>92745.14095440436</v>
      </c>
      <c r="T94" s="8" t="n">
        <v>120949.45586469979</v>
      </c>
      <c r="U94" s="8" t="n">
        <v>50528.10143318017</v>
      </c>
      <c r="V94" s="8" t="n">
        <v>103318.7775049795</v>
      </c>
      <c r="W94" s="8" t="n">
        <v>42838.772793251104</v>
      </c>
      <c r="X94" s="8" t="n">
        <v>133362.9005294807</v>
      </c>
      <c r="Y94" s="8" t="n">
        <v>26436.460042018716</v>
      </c>
      <c r="Z94" s="8" t="n">
        <v>182155.834640605</v>
      </c>
      <c r="AA94" s="8" t="n">
        <v>140211.19530488647</v>
      </c>
      <c r="AB94" s="8" t="n">
        <v>79232.10136618129</v>
      </c>
      <c r="AC94" s="8" t="n">
        <v>3256.623735099971</v>
      </c>
      <c r="AF94" s="23" t="s">
        <v>29</v>
      </c>
      <c r="AG94" s="8" t="n">
        <v>204672.7343400241</v>
      </c>
      <c r="AH94" s="8" t="n">
        <v>157704.26737694163</v>
      </c>
      <c r="AI94" s="8" t="n">
        <v>237045.79038710048</v>
      </c>
      <c r="AJ94" s="8" t="n">
        <v>104976.35329139506</v>
      </c>
      <c r="AK94" s="8" t="n">
        <v>60589.98603493244</v>
      </c>
      <c r="AL94" s="8" t="n">
        <v>94075.37888364102</v>
      </c>
      <c r="AM94" s="8" t="n">
        <v>29335.642210774196</v>
      </c>
      <c r="AN94" s="8" t="n">
        <v>95402.42703320502</v>
      </c>
      <c r="AO94" s="8" t="n">
        <v>2991.032596102161</v>
      </c>
      <c r="AP94" s="8" t="n">
        <v>163415.00104242034</v>
      </c>
      <c r="AQ94" s="8" t="n">
        <v>48773.57793769215</v>
      </c>
      <c r="AR94" s="8" t="n">
        <v>1031.534797374737</v>
      </c>
    </row>
    <row r="95" customFormat="false" ht="15.6" hidden="false" customHeight="false" outlineLevel="0" collapsed="false">
      <c r="B95" s="23" t="s">
        <v>30</v>
      </c>
      <c r="C95" s="8" t="n">
        <v>307382.9570483407</v>
      </c>
      <c r="D95" s="8" t="n">
        <v>19962.50576609577</v>
      </c>
      <c r="E95" s="8" t="n">
        <v>227960.8646201731</v>
      </c>
      <c r="F95" s="8" t="n">
        <v>163935.93400099783</v>
      </c>
      <c r="G95" s="8" t="n">
        <v>10607.178555585848</v>
      </c>
      <c r="H95" s="8" t="n">
        <v>115030.89343538496</v>
      </c>
      <c r="I95" s="8" t="n">
        <v>263952.7216487844</v>
      </c>
      <c r="J95" s="8" t="n">
        <v>203180.5134751151</v>
      </c>
      <c r="K95" s="8" t="n">
        <v>234640.5122411291</v>
      </c>
      <c r="L95" s="8" t="n">
        <v>328067.4510538997</v>
      </c>
      <c r="M95" s="8" t="n">
        <v>166671.39974657673</v>
      </c>
      <c r="N95" s="8" t="n">
        <v>257187.70058835522</v>
      </c>
      <c r="Q95" s="23" t="s">
        <v>30</v>
      </c>
      <c r="R95" s="8" t="n">
        <v>225104.616215706</v>
      </c>
      <c r="S95" s="8" t="n">
        <v>1909.605220360512</v>
      </c>
      <c r="T95" s="8" t="n">
        <v>214320.52042775368</v>
      </c>
      <c r="U95" s="8" t="n">
        <v>32372.473596424847</v>
      </c>
      <c r="V95" s="8" t="n">
        <v>13844.891693331643</v>
      </c>
      <c r="W95" s="8" t="n">
        <v>295491.2039707703</v>
      </c>
      <c r="X95" s="8" t="n">
        <v>9892.680792009189</v>
      </c>
      <c r="Y95" s="8" t="n">
        <v>454514.91902509367</v>
      </c>
      <c r="Z95" s="8" t="n">
        <v>4106.545028477944</v>
      </c>
      <c r="AA95" s="8" t="n">
        <v>426587.48697899265</v>
      </c>
      <c r="AB95" s="8" t="n">
        <v>136174.60423456517</v>
      </c>
      <c r="AC95" s="8" t="n">
        <v>225596.25761105443</v>
      </c>
      <c r="AF95" s="23" t="s">
        <v>30</v>
      </c>
      <c r="AG95" s="8" t="n">
        <v>437579.9587815097</v>
      </c>
      <c r="AH95" s="8" t="n">
        <v>15852.72192043249</v>
      </c>
      <c r="AI95" s="8" t="n">
        <v>256561.77120257125</v>
      </c>
      <c r="AJ95" s="8" t="n">
        <v>202666.52220511844</v>
      </c>
      <c r="AK95" s="8" t="n">
        <v>152265.27668839338</v>
      </c>
      <c r="AL95" s="8" t="n">
        <v>60806.227012593</v>
      </c>
      <c r="AM95" s="8" t="n">
        <v>183500.08598558453</v>
      </c>
      <c r="AN95" s="8" t="n">
        <v>294192.5329023786</v>
      </c>
      <c r="AO95" s="8" t="n">
        <v>161558.7002375172</v>
      </c>
      <c r="AP95" s="8" t="n">
        <v>442713.45538416086</v>
      </c>
      <c r="AQ95" s="8" t="n">
        <v>54403.11792232625</v>
      </c>
      <c r="AR95" s="8" t="n">
        <v>253414.24035524184</v>
      </c>
    </row>
    <row r="96" customFormat="false" ht="15.6" hidden="false" customHeight="false" outlineLevel="0" collapsed="false">
      <c r="B96" s="23" t="s">
        <v>31</v>
      </c>
      <c r="C96" s="8" t="n">
        <v>287721.8375069914</v>
      </c>
      <c r="D96" s="8" t="n">
        <v>199452.71450673701</v>
      </c>
      <c r="E96" s="8" t="n">
        <v>154724.358370402</v>
      </c>
      <c r="F96" s="8" t="n">
        <v>36990.14460283934</v>
      </c>
      <c r="G96" s="8" t="n">
        <v>369116.1323334932</v>
      </c>
      <c r="H96" s="8" t="n">
        <v>448104.404147503</v>
      </c>
      <c r="I96" s="8" t="n">
        <v>289701.44641836913</v>
      </c>
      <c r="J96" s="8" t="n">
        <v>248189.56371974273</v>
      </c>
      <c r="K96" s="8" t="n">
        <v>216047.88518168454</v>
      </c>
      <c r="L96" s="8" t="n">
        <v>298730.25141783693</v>
      </c>
      <c r="M96" s="8" t="n">
        <v>212566.54782240518</v>
      </c>
      <c r="N96" s="8" t="n">
        <v>163004.9901863246</v>
      </c>
      <c r="Q96" s="23" t="s">
        <v>31</v>
      </c>
      <c r="R96" s="8" t="n">
        <v>250382.4638625586</v>
      </c>
      <c r="S96" s="8" t="n">
        <v>163.65016775361138</v>
      </c>
      <c r="T96" s="8" t="n">
        <v>40985.105524217644</v>
      </c>
      <c r="U96" s="8" t="n">
        <v>358843.8439809627</v>
      </c>
      <c r="V96" s="8" t="n">
        <v>31759.06986267736</v>
      </c>
      <c r="W96" s="8" t="n">
        <v>152413.97329359897</v>
      </c>
      <c r="X96" s="8" t="n">
        <v>417360.05957577826</v>
      </c>
      <c r="Y96" s="8" t="n">
        <v>241321.69528311797</v>
      </c>
      <c r="Z96" s="8" t="n">
        <v>459250.6929016959</v>
      </c>
      <c r="AA96" s="8" t="n">
        <v>287164.4585734564</v>
      </c>
      <c r="AB96" s="8" t="n">
        <v>36215.829694797736</v>
      </c>
      <c r="AC96" s="8" t="n">
        <v>302809.03171308944</v>
      </c>
      <c r="AF96" s="23" t="s">
        <v>31</v>
      </c>
      <c r="AG96" s="8" t="n">
        <v>326971.3458822903</v>
      </c>
      <c r="AH96" s="8" t="n">
        <v>313949.15616689756</v>
      </c>
      <c r="AI96" s="8" t="n">
        <v>11483.827419975854</v>
      </c>
      <c r="AJ96" s="8" t="n">
        <v>406172.13609607477</v>
      </c>
      <c r="AK96" s="8" t="n">
        <v>353570.42712301004</v>
      </c>
      <c r="AL96" s="8" t="n">
        <v>223379.90352277088</v>
      </c>
      <c r="AM96" s="8" t="n">
        <v>168665.71721510377</v>
      </c>
      <c r="AN96" s="8" t="n">
        <v>161656.61004384505</v>
      </c>
      <c r="AO96" s="8" t="n">
        <v>526328.018438377</v>
      </c>
      <c r="AP96" s="8" t="n">
        <v>210017.306701295</v>
      </c>
      <c r="AQ96" s="8" t="n">
        <v>133853.35066513548</v>
      </c>
      <c r="AR96" s="8" t="n">
        <v>40302.362093843585</v>
      </c>
    </row>
    <row r="97" customFormat="false" ht="15.6" hidden="false" customHeight="false" outlineLevel="0" collapsed="false">
      <c r="B97" s="23" t="s">
        <v>32</v>
      </c>
      <c r="C97" s="8" t="n">
        <v>35062.94313148135</v>
      </c>
      <c r="D97" s="8" t="n">
        <v>4983.578060408379</v>
      </c>
      <c r="E97" s="8" t="n">
        <v>22761.57172606229</v>
      </c>
      <c r="F97" s="8" t="n">
        <v>10130.123952621792</v>
      </c>
      <c r="G97" s="8" t="n">
        <v>16671.969217200643</v>
      </c>
      <c r="H97" s="8" t="n">
        <v>22371.163239614514</v>
      </c>
      <c r="I97" s="8" t="n">
        <v>2660.4294387117875</v>
      </c>
      <c r="J97" s="8" t="n">
        <v>5901.3990673740645</v>
      </c>
      <c r="K97" s="8" t="n">
        <v>16497.738737116237</v>
      </c>
      <c r="L97" s="8" t="n">
        <v>47719.38389518196</v>
      </c>
      <c r="M97" s="8" t="n">
        <v>37487.13142437434</v>
      </c>
      <c r="N97" s="8" t="n">
        <v>31064.96984548194</v>
      </c>
      <c r="Q97" s="23" t="s">
        <v>32</v>
      </c>
      <c r="R97" s="8" t="n">
        <v>8171.7826782965285</v>
      </c>
      <c r="S97" s="8" t="n">
        <v>14887.592106709464</v>
      </c>
      <c r="T97" s="8" t="n">
        <v>5731.733490996382</v>
      </c>
      <c r="U97" s="8" t="n">
        <v>2364.9359731748464</v>
      </c>
      <c r="V97" s="8" t="n">
        <v>22521.706591820657</v>
      </c>
      <c r="W97" s="8" t="n">
        <v>14543.267733570225</v>
      </c>
      <c r="X97" s="8" t="n">
        <v>11840.552068005203</v>
      </c>
      <c r="Y97" s="8" t="n">
        <v>14783.909477335143</v>
      </c>
      <c r="Z97" s="8" t="n">
        <v>5354.123736554863</v>
      </c>
      <c r="AA97" s="8" t="n">
        <v>11180.049423566932</v>
      </c>
      <c r="AB97" s="8" t="n">
        <v>5859.341399213852</v>
      </c>
      <c r="AC97" s="8" t="n">
        <v>28713.378955457963</v>
      </c>
      <c r="AF97" s="23" t="s">
        <v>32</v>
      </c>
      <c r="AG97" s="8" t="n">
        <v>51806.83590925111</v>
      </c>
      <c r="AH97" s="8" t="n">
        <v>25423.02676270879</v>
      </c>
      <c r="AI97" s="8" t="n">
        <v>14289.379244675798</v>
      </c>
      <c r="AJ97" s="8" t="n">
        <v>1420.8922695649571</v>
      </c>
      <c r="AK97" s="8" t="n">
        <v>14071.996006665397</v>
      </c>
      <c r="AL97" s="8" t="n">
        <v>4202.010888697772</v>
      </c>
      <c r="AM97" s="8" t="n">
        <v>17566.234944577653</v>
      </c>
      <c r="AN97" s="8" t="n">
        <v>13597.868360865727</v>
      </c>
      <c r="AO97" s="8" t="n">
        <v>6705.387738601616</v>
      </c>
      <c r="AP97" s="8" t="n">
        <v>57679.02548223118</v>
      </c>
      <c r="AQ97" s="8" t="n">
        <v>36237.11753692545</v>
      </c>
      <c r="AR97" s="8" t="n">
        <v>28977.473424692245</v>
      </c>
    </row>
    <row r="98" customFormat="false" ht="15.6" hidden="false" customHeight="false" outlineLevel="0" collapsed="false">
      <c r="B98" s="23" t="s">
        <v>33</v>
      </c>
      <c r="C98" s="8" t="n">
        <v>13160.742875675784</v>
      </c>
      <c r="D98" s="8" t="n">
        <v>30691.1359042036</v>
      </c>
      <c r="E98" s="8" t="n">
        <v>36292.50480398155</v>
      </c>
      <c r="F98" s="8" t="n">
        <v>31180.098412968968</v>
      </c>
      <c r="G98" s="8" t="n">
        <v>9515.690291666288</v>
      </c>
      <c r="H98" s="8" t="n">
        <v>12165.129083881886</v>
      </c>
      <c r="I98" s="8" t="n">
        <v>93296.0926669376</v>
      </c>
      <c r="J98" s="8" t="n">
        <v>54657.2063872771</v>
      </c>
      <c r="K98" s="8" t="n">
        <v>47897.12986668675</v>
      </c>
      <c r="L98" s="8" t="n">
        <v>39439.827997673616</v>
      </c>
      <c r="M98" s="8" t="n">
        <v>13807.77399546344</v>
      </c>
      <c r="N98" s="8" t="n">
        <v>22982.114267892666</v>
      </c>
      <c r="Q98" s="23" t="s">
        <v>33</v>
      </c>
      <c r="R98" s="8" t="n">
        <v>58331.89640625016</v>
      </c>
      <c r="S98" s="8" t="n">
        <v>24389.632704945805</v>
      </c>
      <c r="T98" s="8" t="n">
        <v>57366.569262543715</v>
      </c>
      <c r="U98" s="8" t="n">
        <v>51134.76837601554</v>
      </c>
      <c r="V98" s="8" t="n">
        <v>34099.66691038207</v>
      </c>
      <c r="W98" s="8" t="n">
        <v>27715.73052724211</v>
      </c>
      <c r="X98" s="8" t="n">
        <v>9204.649674251135</v>
      </c>
      <c r="Y98" s="8" t="n">
        <v>40093.88986353316</v>
      </c>
      <c r="Z98" s="8" t="n">
        <v>12408.694416661703</v>
      </c>
      <c r="AA98" s="8" t="n">
        <v>66586.08143142507</v>
      </c>
      <c r="AB98" s="8" t="n">
        <v>55345.76707887443</v>
      </c>
      <c r="AC98" s="8" t="n">
        <v>7164.823873067667</v>
      </c>
      <c r="AF98" s="23" t="s">
        <v>33</v>
      </c>
      <c r="AG98" s="8" t="n">
        <v>43515.19695816938</v>
      </c>
      <c r="AH98" s="8" t="n">
        <v>31917.482420965815</v>
      </c>
      <c r="AI98" s="8" t="n">
        <v>92392.6236685268</v>
      </c>
      <c r="AJ98" s="8" t="n">
        <v>39630.59833303803</v>
      </c>
      <c r="AK98" s="8" t="n">
        <v>20215.90737930096</v>
      </c>
      <c r="AL98" s="8" t="n">
        <v>15706.415349552208</v>
      </c>
      <c r="AM98" s="8" t="n">
        <v>110375.3015752461</v>
      </c>
      <c r="AN98" s="8" t="n">
        <v>4979.920387453933</v>
      </c>
      <c r="AO98" s="8" t="n">
        <v>42428.396536020184</v>
      </c>
      <c r="AP98" s="8" t="n">
        <v>57371.071807107255</v>
      </c>
      <c r="AQ98" s="8" t="n">
        <v>12606.495724287717</v>
      </c>
      <c r="AR98" s="8" t="n">
        <v>30996.167206128568</v>
      </c>
    </row>
    <row r="99" customFormat="false" ht="15.6" hidden="false" customHeight="false" outlineLevel="0" collapsed="false">
      <c r="B99" s="23" t="s">
        <v>34</v>
      </c>
      <c r="C99" s="8" t="n">
        <v>49369.18100329927</v>
      </c>
      <c r="D99" s="8" t="n">
        <v>-327.2029660205029</v>
      </c>
      <c r="E99" s="8" t="n">
        <v>660.7228085018046</v>
      </c>
      <c r="F99" s="8" t="n">
        <v>29514.84214126107</v>
      </c>
      <c r="G99" s="8" t="n">
        <v>16191.445792015285</v>
      </c>
      <c r="H99" s="8" t="n">
        <v>2301.929608146461</v>
      </c>
      <c r="I99" s="8" t="n">
        <v>656.6830745808476</v>
      </c>
      <c r="J99" s="8" t="n">
        <v>0.0</v>
      </c>
      <c r="K99" s="8" t="n">
        <v>1453.200001532735</v>
      </c>
      <c r="L99" s="8" t="n">
        <v>-1243.033079055426</v>
      </c>
      <c r="M99" s="8" t="n">
        <v>51193.878951337334</v>
      </c>
      <c r="N99" s="8" t="n">
        <v>-4465.873461126363</v>
      </c>
      <c r="Q99" s="23" t="s">
        <v>34</v>
      </c>
      <c r="R99" s="8" t="n">
        <v>2575.7341295706988</v>
      </c>
      <c r="S99" s="8" t="n">
        <v>-521.1580193857739</v>
      </c>
      <c r="T99" s="8" t="n">
        <v>548.0199086491401</v>
      </c>
      <c r="U99" s="8" t="n">
        <v>24506.803398759585</v>
      </c>
      <c r="V99" s="8" t="n">
        <v>9111.360823588378</v>
      </c>
      <c r="W99" s="8" t="n">
        <v>1533.9186485949622</v>
      </c>
      <c r="X99" s="8" t="n">
        <v>147.98771278819865</v>
      </c>
      <c r="Y99" s="8" t="n">
        <v>0.0</v>
      </c>
      <c r="Z99" s="8" t="n">
        <v>1466.0470106741604</v>
      </c>
      <c r="AA99" s="8" t="n">
        <v>-421.38376023425883</v>
      </c>
      <c r="AB99" s="8" t="n">
        <v>33683.17120785246</v>
      </c>
      <c r="AC99" s="8" t="n">
        <v>-10327.984845318402</v>
      </c>
      <c r="AF99" s="23" t="s">
        <v>34</v>
      </c>
      <c r="AG99" s="8" t="n">
        <v>41760.99275346994</v>
      </c>
      <c r="AH99" s="8" t="n">
        <v>-424.03307883873265</v>
      </c>
      <c r="AI99" s="8" t="n">
        <v>604.2070404085014</v>
      </c>
      <c r="AJ99" s="8" t="n">
        <v>38717.37120658666</v>
      </c>
      <c r="AK99" s="8" t="n">
        <v>3641.127847872324</v>
      </c>
      <c r="AL99" s="8" t="n">
        <v>1936.402191466726</v>
      </c>
      <c r="AM99" s="8" t="n">
        <v>172.50478650202103</v>
      </c>
      <c r="AN99" s="8" t="n">
        <v>0.0</v>
      </c>
      <c r="AO99" s="8" t="n">
        <v>1429.6436532472312</v>
      </c>
      <c r="AP99" s="8" t="n">
        <v>-2502.5597925172815</v>
      </c>
      <c r="AQ99" s="8" t="n">
        <v>47137.61935386961</v>
      </c>
      <c r="AR99" s="8" t="n">
        <v>-14047.358025623054</v>
      </c>
    </row>
    <row r="100" customFormat="false" ht="15.6" hidden="false" customHeight="false" outlineLevel="0" collapsed="false">
      <c r="B100" s="23" t="s">
        <v>35</v>
      </c>
      <c r="C100" s="8" t="n">
        <v>52499.80213942485</v>
      </c>
      <c r="D100" s="8" t="n">
        <v>140248.53027723162</v>
      </c>
      <c r="E100" s="8" t="n">
        <v>62018.48571734614</v>
      </c>
      <c r="F100" s="8" t="n">
        <v>1156.9696080291064</v>
      </c>
      <c r="G100" s="8" t="n">
        <v>4445.245780616808</v>
      </c>
      <c r="H100" s="8" t="n">
        <v>60152.58952474597</v>
      </c>
      <c r="I100" s="8" t="n">
        <v>35135.071112663136</v>
      </c>
      <c r="J100" s="8" t="n">
        <v>16632.08080203898</v>
      </c>
      <c r="K100" s="8" t="n">
        <v>12239.455601744172</v>
      </c>
      <c r="L100" s="8" t="n">
        <v>119680.00281837708</v>
      </c>
      <c r="M100" s="8" t="n">
        <v>63680.58484818965</v>
      </c>
      <c r="N100" s="8" t="n">
        <v>38138.17055175064</v>
      </c>
      <c r="Q100" s="23" t="s">
        <v>35</v>
      </c>
      <c r="R100" s="8" t="n">
        <v>178620.00127322885</v>
      </c>
      <c r="S100" s="8" t="n">
        <v>129691.66399908565</v>
      </c>
      <c r="T100" s="8" t="n">
        <v>40883.54695078546</v>
      </c>
      <c r="U100" s="8" t="n">
        <v>102719.15599482383</v>
      </c>
      <c r="V100" s="8" t="n">
        <v>92222.05848648786</v>
      </c>
      <c r="W100" s="8" t="n">
        <v>63125.33609184758</v>
      </c>
      <c r="X100" s="8" t="n">
        <v>16897.880472270357</v>
      </c>
      <c r="Y100" s="8" t="n">
        <v>27834.047802652065</v>
      </c>
      <c r="Z100" s="8" t="n">
        <v>59207.58082851413</v>
      </c>
      <c r="AA100" s="8" t="n">
        <v>144363.6942765937</v>
      </c>
      <c r="AB100" s="8" t="n">
        <v>65762.20100514259</v>
      </c>
      <c r="AC100" s="8" t="n">
        <v>42949.47097436987</v>
      </c>
      <c r="AF100" s="23" t="s">
        <v>35</v>
      </c>
      <c r="AG100" s="8" t="n">
        <v>15772.16500283424</v>
      </c>
      <c r="AH100" s="8" t="n">
        <v>118490.35153839164</v>
      </c>
      <c r="AI100" s="8" t="n">
        <v>36841.06278954481</v>
      </c>
      <c r="AJ100" s="8" t="n">
        <v>101621.11182602581</v>
      </c>
      <c r="AK100" s="8" t="n">
        <v>71352.1620717669</v>
      </c>
      <c r="AL100" s="8" t="n">
        <v>30784.85054365267</v>
      </c>
      <c r="AM100" s="8" t="n">
        <v>32349.893265983446</v>
      </c>
      <c r="AN100" s="8" t="n">
        <v>6056.417520632158</v>
      </c>
      <c r="AO100" s="8" t="n">
        <v>44948.61713280141</v>
      </c>
      <c r="AP100" s="8" t="n">
        <v>135091.30608385595</v>
      </c>
      <c r="AQ100" s="8" t="n">
        <v>102874.24808004935</v>
      </c>
      <c r="AR100" s="8" t="n">
        <v>58927.046130846815</v>
      </c>
    </row>
    <row r="101" customFormat="false" ht="15.6" hidden="false" customHeight="false" outlineLevel="0" collapsed="false">
      <c r="B101" s="24" t="s">
        <v>36</v>
      </c>
      <c r="C101" s="25" t="n">
        <v>104057.63843674248</v>
      </c>
      <c r="D101" s="25" t="n">
        <v>64943.19580441463</v>
      </c>
      <c r="E101" s="25" t="n">
        <v>21749.676472475683</v>
      </c>
      <c r="F101" s="25" t="n">
        <v>53415.56527723496</v>
      </c>
      <c r="G101" s="25" t="n">
        <v>90536.76636906253</v>
      </c>
      <c r="H101" s="25" t="n">
        <v>6449.129019269626</v>
      </c>
      <c r="I101" s="25" t="n">
        <v>24992.608704362494</v>
      </c>
      <c r="J101" s="25" t="n">
        <v>237.89317246952785</v>
      </c>
      <c r="K101" s="25" t="n">
        <v>117513.96808785068</v>
      </c>
      <c r="L101" s="25" t="n">
        <v>7109.071184169577</v>
      </c>
      <c r="M101" s="25" t="n">
        <v>422.1028646413757</v>
      </c>
      <c r="N101" s="25" t="n">
        <v>15478.357142702886</v>
      </c>
      <c r="Q101" s="24" t="s">
        <v>36</v>
      </c>
      <c r="R101" s="25" t="n">
        <v>73304.2917922584</v>
      </c>
      <c r="S101" s="25" t="n">
        <v>28249.68156646495</v>
      </c>
      <c r="T101" s="25" t="n">
        <v>33182.82616351685</v>
      </c>
      <c r="U101" s="25" t="n">
        <v>11727.790354177934</v>
      </c>
      <c r="V101" s="25" t="n">
        <v>103755.73260098045</v>
      </c>
      <c r="W101" s="25" t="n">
        <v>84789.74995046356</v>
      </c>
      <c r="X101" s="25" t="n">
        <v>39831.26415513701</v>
      </c>
      <c r="Y101" s="25" t="n">
        <v>5119.166689248098</v>
      </c>
      <c r="Z101" s="25" t="n">
        <v>54531.02294303469</v>
      </c>
      <c r="AA101" s="25" t="n">
        <v>90164.5839951421</v>
      </c>
      <c r="AB101" s="25" t="n">
        <v>31441.31462179031</v>
      </c>
      <c r="AC101" s="25" t="n">
        <v>30242.543999363454</v>
      </c>
      <c r="AF101" s="24" t="s">
        <v>36</v>
      </c>
      <c r="AG101" s="25" t="n">
        <v>103361.3979634365</v>
      </c>
      <c r="AH101" s="25" t="n">
        <v>3801.192252285365</v>
      </c>
      <c r="AI101" s="25" t="n">
        <v>32878.91454734621</v>
      </c>
      <c r="AJ101" s="25" t="n">
        <v>40242.224395391626</v>
      </c>
      <c r="AK101" s="25" t="n">
        <v>5285.165196469265</v>
      </c>
      <c r="AL101" s="25" t="n">
        <v>77651.84480406898</v>
      </c>
      <c r="AM101" s="25" t="n">
        <v>68996.56526965568</v>
      </c>
      <c r="AN101" s="25" t="n">
        <v>97920.73838133123</v>
      </c>
      <c r="AO101" s="25" t="n">
        <v>102056.02665155045</v>
      </c>
      <c r="AP101" s="25" t="n">
        <v>103287.77120146588</v>
      </c>
      <c r="AQ101" s="25" t="n">
        <v>14474.48346392381</v>
      </c>
      <c r="AR101" s="25" t="n">
        <v>16116.194421527587</v>
      </c>
    </row>
    <row r="102" customFormat="false" ht="15.6" hidden="false" customHeight="false" outlineLevel="0" collapsed="false">
      <c r="B102" s="27" t="s">
        <v>37</v>
      </c>
      <c r="C102" s="28" t="n">
        <f aca="false">SUM(C94:C101)</f>
        <v>1716574.5840291234</v>
      </c>
      <c r="D102" s="29" t="n">
        <f aca="false">SUM(D94:D101)</f>
        <v>426866.15843929496</v>
      </c>
      <c r="E102" s="29" t="n">
        <f aca="false">SUM(E94:E101)</f>
        <v>376329.4412484032</v>
      </c>
      <c r="F102" s="29" t="n">
        <f aca="false">SUM(F94:F101)</f>
        <v>1222281.1580805609</v>
      </c>
      <c r="G102" s="29" t="n">
        <f aca="false">SUM(G94:G101)</f>
        <v>616240.8905308145</v>
      </c>
      <c r="H102" s="29" t="n">
        <f aca="false">SUM(H94:H101)</f>
        <v>1163822.377691765</v>
      </c>
      <c r="I102" s="29" t="n">
        <f aca="false">SUM(I94:I101)</f>
        <v>628513.4365339802</v>
      </c>
      <c r="J102" s="29" t="n">
        <f aca="false">SUM(J94:J101)</f>
        <v>1231551.6794959416</v>
      </c>
      <c r="K102" s="29" t="n">
        <f aca="false">SUM(K94:K101)</f>
        <v>1230442.5160743354</v>
      </c>
      <c r="L102" s="29" t="n">
        <f aca="false">SUM(L94:L101)</f>
        <v>726766.4803801428</v>
      </c>
      <c r="M102" s="29" t="n">
        <f aca="false">SUM(M94:M101)</f>
        <v>303729.3129427349</v>
      </c>
      <c r="N102" s="35" t="n">
        <f aca="false">SUM(N94:N101)</f>
        <v>534360.8933354955</v>
      </c>
      <c r="Q102" s="27" t="s">
        <v>37</v>
      </c>
      <c r="R102" s="28" t="n">
        <f aca="false">SUM(R94:R101)</f>
        <v>701595.0759570685</v>
      </c>
      <c r="S102" s="29" t="n">
        <f aca="false">SUM(S94:S101)</f>
        <v>7777.905172951642</v>
      </c>
      <c r="T102" s="29" t="n">
        <f aca="false">SUM(T94:T101)</f>
        <v>1082229.4398722795</v>
      </c>
      <c r="U102" s="29" t="n">
        <f aca="false">SUM(U94:U101)</f>
        <v>664442.0149820992</v>
      </c>
      <c r="V102" s="29" t="n">
        <f aca="false">SUM(V94:V101)</f>
        <v>929935.7505204403</v>
      </c>
      <c r="W102" s="29" t="n">
        <f aca="false">SUM(W94:W101)</f>
        <v>60620.057460296535</v>
      </c>
      <c r="X102" s="29" t="n">
        <f aca="false">SUM(X94:X101)</f>
        <v>74901.9465010902</v>
      </c>
      <c r="Y102" s="29" t="n">
        <f aca="false">SUM(Y94:Y101)</f>
        <v>215947.31788686276</v>
      </c>
      <c r="Z102" s="29" t="n">
        <f aca="false">SUM(Z94:Z101)</f>
        <v>605199.6465790484</v>
      </c>
      <c r="AA102" s="29" t="n">
        <f aca="false">SUM(AA94:AA101)</f>
        <v>930375.315253925</v>
      </c>
      <c r="AB102" s="29" t="n">
        <f aca="false">SUM(AB94:AB101)</f>
        <v>1135582.911262772</v>
      </c>
      <c r="AC102" s="35" t="n">
        <f aca="false">SUM(AC94:AC101)</f>
        <v>434969.5542149773</v>
      </c>
      <c r="AF102" s="27" t="s">
        <v>37</v>
      </c>
      <c r="AG102" s="28" t="n">
        <f aca="false">SUM(AG94:AG101)</f>
        <v>414605.613404372</v>
      </c>
      <c r="AH102" s="29" t="n">
        <f aca="false">SUM(AH94:AH101)</f>
        <v>808203.6538308751</v>
      </c>
      <c r="AI102" s="29" t="n">
        <f aca="false">SUM(AI94:AI101)</f>
        <v>343127.7082605225</v>
      </c>
      <c r="AJ102" s="29" t="n">
        <f aca="false">SUM(AJ94:AJ101)</f>
        <v>1023647.440649496</v>
      </c>
      <c r="AK102" s="29" t="n">
        <f aca="false">SUM(AK94:AK101)</f>
        <v>334107.04741465056</v>
      </c>
      <c r="AL102" s="29" t="n">
        <f aca="false">SUM(AL94:AL101)</f>
        <v>54461.427062191215</v>
      </c>
      <c r="AM102" s="29" t="n">
        <f aca="false">SUM(AM94:AM101)</f>
        <v>1378070.8413819796</v>
      </c>
      <c r="AN102" s="29" t="n">
        <f aca="false">SUM(AN94:AN101)</f>
        <v>619729.4647080757</v>
      </c>
      <c r="AO102" s="29" t="n">
        <f aca="false">SUM(AO94:AO101)</f>
        <v>140570.10435589045</v>
      </c>
      <c r="AP102" s="29" t="n">
        <f aca="false">SUM(AP94:AP101)</f>
        <v>720717.967177577</v>
      </c>
      <c r="AQ102" s="29" t="n">
        <f aca="false">SUM(AQ94:AQ101)</f>
        <v>836244.8502002754</v>
      </c>
      <c r="AR102" s="35" t="n">
        <f aca="false">SUM(AR94:AR101)</f>
        <v>11543.539016306959</v>
      </c>
    </row>
    <row r="103" customFormat="false" ht="15.6" hidden="false" customHeight="false" outlineLevel="0" collapsed="false">
      <c r="B103" s="27" t="s">
        <v>38</v>
      </c>
      <c r="C103" s="28" t="n">
        <v>81843.19145338438</v>
      </c>
      <c r="D103" s="29" t="n">
        <v>52997.426171415136</v>
      </c>
      <c r="E103" s="29" t="n">
        <v>205147.07208397562</v>
      </c>
      <c r="F103" s="29" t="n">
        <v>16788.079646937338</v>
      </c>
      <c r="G103" s="29" t="n">
        <v>75464.90734215622</v>
      </c>
      <c r="H103" s="29" t="n">
        <v>40845.970278020635</v>
      </c>
      <c r="I103" s="29" t="n">
        <v>157553.11441181792</v>
      </c>
      <c r="J103" s="29" t="n">
        <v>169885.41763124563</v>
      </c>
      <c r="K103" s="29" t="n">
        <v>82816.95577340238</v>
      </c>
      <c r="L103" s="29" t="n">
        <v>230132.22590308456</v>
      </c>
      <c r="M103" s="29" t="n">
        <v>247899.1437569522</v>
      </c>
      <c r="N103" s="29" t="n">
        <v>296497.4698246594</v>
      </c>
      <c r="Q103" s="27" t="s">
        <v>38</v>
      </c>
      <c r="R103" s="28" t="n">
        <v>54396.12398630983</v>
      </c>
      <c r="S103" s="29" t="n">
        <v>43854.510613511186</v>
      </c>
      <c r="T103" s="29" t="n">
        <v>182145.01395974233</v>
      </c>
      <c r="U103" s="29" t="n">
        <v>64524.23339025346</v>
      </c>
      <c r="V103" s="29" t="n">
        <v>57220.268654075364</v>
      </c>
      <c r="W103" s="29" t="n">
        <v>32975.86635502447</v>
      </c>
      <c r="X103" s="29" t="n">
        <v>150482.51773353657</v>
      </c>
      <c r="Y103" s="29" t="n">
        <v>110369.29109653788</v>
      </c>
      <c r="Z103" s="29" t="n">
        <v>89976.73007127085</v>
      </c>
      <c r="AA103" s="29" t="n">
        <v>323139.0816617325</v>
      </c>
      <c r="AB103" s="29" t="n">
        <v>39762.674996769725</v>
      </c>
      <c r="AC103" s="29" t="n">
        <v>143370.02921038604</v>
      </c>
      <c r="AF103" s="27" t="s">
        <v>38</v>
      </c>
      <c r="AG103" s="28" t="n">
        <v>16107.31722425675</v>
      </c>
      <c r="AH103" s="29" t="n">
        <v>53225.994223624</v>
      </c>
      <c r="AI103" s="29" t="n">
        <v>28245.353102392735</v>
      </c>
      <c r="AJ103" s="29" t="n">
        <v>78533.39540886556</v>
      </c>
      <c r="AK103" s="29" t="n">
        <v>112066.16928218919</v>
      </c>
      <c r="AL103" s="29" t="n">
        <v>7605.736105205589</v>
      </c>
      <c r="AM103" s="29" t="n">
        <v>38188.97445533204</v>
      </c>
      <c r="AN103" s="29" t="n">
        <v>45813.65874272334</v>
      </c>
      <c r="AO103" s="29" t="n">
        <v>152071.70888605865</v>
      </c>
      <c r="AP103" s="29" t="n">
        <v>321401.6140479683</v>
      </c>
      <c r="AQ103" s="29" t="n">
        <v>55076.83680768454</v>
      </c>
      <c r="AR103" s="29" t="n">
        <v>74051.85952221329</v>
      </c>
    </row>
    <row r="104" customFormat="false" ht="15.6" hidden="false" customHeight="false" outlineLevel="0" collapsed="false">
      <c r="B104" s="23" t="s">
        <v>39</v>
      </c>
      <c r="C104" s="8" t="n">
        <v>489707.10773287056</v>
      </c>
      <c r="D104" s="8" t="n">
        <v>323941.5269807383</v>
      </c>
      <c r="E104" s="8" t="n">
        <v>319524.0871755105</v>
      </c>
      <c r="F104" s="8" t="n">
        <v>316236.39430295915</v>
      </c>
      <c r="G104" s="8" t="n">
        <v>180993.41468735473</v>
      </c>
      <c r="H104" s="8" t="n">
        <v>178155.97291382862</v>
      </c>
      <c r="I104" s="8" t="n">
        <v>298562.237072844</v>
      </c>
      <c r="J104" s="8" t="n">
        <v>277233.4295823563</v>
      </c>
      <c r="K104" s="8" t="n">
        <v>212315.22870532205</v>
      </c>
      <c r="L104" s="8" t="n">
        <v>251244.66453322122</v>
      </c>
      <c r="M104" s="8" t="n">
        <v>455139.0277312924</v>
      </c>
      <c r="N104" s="8" t="n">
        <v>90577.2546713685</v>
      </c>
      <c r="Q104" s="23" t="s">
        <v>39</v>
      </c>
      <c r="R104" s="8" t="n">
        <v>161010.78604903934</v>
      </c>
      <c r="S104" s="8" t="n">
        <v>11135.084586987921</v>
      </c>
      <c r="T104" s="8" t="n">
        <v>160320.82149742646</v>
      </c>
      <c r="U104" s="8" t="n">
        <v>238521.98278129857</v>
      </c>
      <c r="V104" s="8" t="n">
        <v>363404.55231993995</v>
      </c>
      <c r="W104" s="8" t="n">
        <v>145329.09232954166</v>
      </c>
      <c r="X104" s="8" t="n">
        <v>1704.3814493867096</v>
      </c>
      <c r="Y104" s="8" t="n">
        <v>153071.7113873152</v>
      </c>
      <c r="Z104" s="8" t="n">
        <v>16152.900023729875</v>
      </c>
      <c r="AA104" s="8" t="n">
        <v>98589.98435176075</v>
      </c>
      <c r="AB104" s="8" t="n">
        <v>516739.05561725935</v>
      </c>
      <c r="AC104" s="8" t="n">
        <v>4703.970953771747</v>
      </c>
      <c r="AF104" s="23" t="s">
        <v>39</v>
      </c>
      <c r="AG104" s="8" t="n">
        <v>835476.4779141812</v>
      </c>
      <c r="AH104" s="8" t="n">
        <v>426515.2446321533</v>
      </c>
      <c r="AI104" s="8" t="n">
        <v>115505.72117234538</v>
      </c>
      <c r="AJ104" s="8" t="n">
        <v>323518.9785309219</v>
      </c>
      <c r="AK104" s="8" t="n">
        <v>362082.8263289149</v>
      </c>
      <c r="AL104" s="8" t="n">
        <v>103692.3187265789</v>
      </c>
      <c r="AM104" s="8" t="n">
        <v>101818.83604898005</v>
      </c>
      <c r="AN104" s="8" t="n">
        <v>579649.5649219719</v>
      </c>
      <c r="AO104" s="8" t="n">
        <v>31796.040254312768</v>
      </c>
      <c r="AP104" s="8" t="n">
        <v>307970.1432466522</v>
      </c>
      <c r="AQ104" s="8" t="n">
        <v>115774.14517216719</v>
      </c>
      <c r="AR104" s="8" t="n">
        <v>55573.77143541825</v>
      </c>
    </row>
    <row r="105" customFormat="false" ht="15.6" hidden="false" customHeight="false" outlineLevel="0" collapsed="false">
      <c r="B105" s="23" t="s">
        <v>40</v>
      </c>
      <c r="C105" s="8" t="n">
        <v>24241.565035612548</v>
      </c>
      <c r="D105" s="8" t="n">
        <v>76077.16592583376</v>
      </c>
      <c r="E105" s="8" t="n">
        <v>92878.24964791724</v>
      </c>
      <c r="F105" s="8" t="n">
        <v>163112.69522688806</v>
      </c>
      <c r="G105" s="8" t="n">
        <v>47746.74784811041</v>
      </c>
      <c r="H105" s="8" t="n">
        <v>141592.35657432888</v>
      </c>
      <c r="I105" s="8" t="n">
        <v>220674.27896047191</v>
      </c>
      <c r="J105" s="8" t="n">
        <v>186052.7118507545</v>
      </c>
      <c r="K105" s="8" t="n">
        <v>463594.55540673295</v>
      </c>
      <c r="L105" s="8" t="n">
        <v>190701.95005974974</v>
      </c>
      <c r="M105" s="8" t="n">
        <v>276036.71707812673</v>
      </c>
      <c r="N105" s="8" t="n">
        <v>46044.734092240236</v>
      </c>
      <c r="Q105" s="23" t="s">
        <v>40</v>
      </c>
      <c r="R105" s="8" t="n">
        <v>69900.48416727711</v>
      </c>
      <c r="S105" s="8" t="n">
        <v>63710.04967928252</v>
      </c>
      <c r="T105" s="8" t="n">
        <v>425352.5166462934</v>
      </c>
      <c r="U105" s="8" t="n">
        <v>67163.1008490498</v>
      </c>
      <c r="V105" s="8" t="n">
        <v>15447.266971151128</v>
      </c>
      <c r="W105" s="8" t="n">
        <v>320531.0154260245</v>
      </c>
      <c r="X105" s="8" t="n">
        <v>240005.1239474849</v>
      </c>
      <c r="Y105" s="8" t="n">
        <v>24677.061928761592</v>
      </c>
      <c r="Z105" s="8" t="n">
        <v>21003.68922999567</v>
      </c>
      <c r="AA105" s="8" t="n">
        <v>238668.67971748317</v>
      </c>
      <c r="AB105" s="8" t="n">
        <v>91963.23820428704</v>
      </c>
      <c r="AC105" s="8" t="n">
        <v>128145.04177091116</v>
      </c>
      <c r="AF105" s="23" t="s">
        <v>40</v>
      </c>
      <c r="AG105" s="8" t="n">
        <v>95995.72955236706</v>
      </c>
      <c r="AH105" s="8" t="n">
        <v>31044.514832166868</v>
      </c>
      <c r="AI105" s="8" t="n">
        <v>560471.2525320977</v>
      </c>
      <c r="AJ105" s="8" t="n">
        <v>124334.46901549395</v>
      </c>
      <c r="AK105" s="8" t="n">
        <v>21158.370978694264</v>
      </c>
      <c r="AL105" s="8" t="n">
        <v>32483.41139107026</v>
      </c>
      <c r="AM105" s="8" t="n">
        <v>58370.98633906703</v>
      </c>
      <c r="AN105" s="8" t="n">
        <v>107209.04790788294</v>
      </c>
      <c r="AO105" s="8" t="n">
        <v>657517.1305899558</v>
      </c>
      <c r="AP105" s="8" t="n">
        <v>392437.878961806</v>
      </c>
      <c r="AQ105" s="8" t="n">
        <v>343044.62481267157</v>
      </c>
      <c r="AR105" s="8" t="n">
        <v>105898.55018073901</v>
      </c>
    </row>
    <row r="106" customFormat="false" ht="15.6" hidden="false" customHeight="false" outlineLevel="0" collapsed="false">
      <c r="B106" s="23" t="s">
        <v>41</v>
      </c>
      <c r="C106" s="8"/>
      <c r="D106" s="8" t="n">
        <f aca="false">D68/(1+$A106)</f>
        <v>3734969.267919109</v>
      </c>
      <c r="E106" s="8" t="n">
        <f aca="false">E68/(1+A106)</f>
        <v>2633416.142623345</v>
      </c>
      <c r="F106" s="8"/>
      <c r="G106" s="8"/>
      <c r="H106" s="8"/>
      <c r="I106" s="8"/>
      <c r="J106" s="8" t="n">
        <v>0.0</v>
      </c>
      <c r="K106" s="8" t="n">
        <v>0.0</v>
      </c>
      <c r="L106" s="8" t="n">
        <f aca="false">L68/(1+$A106)</f>
        <v>4841178.417130895</v>
      </c>
      <c r="M106" s="8" t="n">
        <f aca="false">M68/(1+$A106)</f>
        <v>1516048.4957518051</v>
      </c>
      <c r="N106" s="8" t="n">
        <f aca="false">N68/(1+$A106)</f>
        <v>914501.5676081429</v>
      </c>
      <c r="Q106" s="23" t="s">
        <v>41</v>
      </c>
      <c r="R106" s="8"/>
      <c r="S106" s="8" t="n">
        <f aca="false">S68/(1+$A106)</f>
        <v>950244.1701015359</v>
      </c>
      <c r="T106" s="8" t="n">
        <f aca="false">T68/(1+P106)</f>
        <v>1560284.0870809436</v>
      </c>
      <c r="U106" s="8"/>
      <c r="V106" s="8"/>
      <c r="W106" s="8"/>
      <c r="X106" s="8"/>
      <c r="Y106" s="8" t="n">
        <v>0.0</v>
      </c>
      <c r="Z106" s="8" t="n">
        <v>0.0</v>
      </c>
      <c r="AA106" s="8" t="n">
        <f aca="false">AA68/(1+$A106)</f>
        <v>2393668.145027704</v>
      </c>
      <c r="AB106" s="8" t="n">
        <f aca="false">AB68/(1+$A106)</f>
        <v>2256953.3592561665</v>
      </c>
      <c r="AC106" s="8" t="n">
        <f aca="false">AC68/(1+$A106)</f>
        <v>2335603.063881072</v>
      </c>
      <c r="AF106" s="23" t="s">
        <v>41</v>
      </c>
      <c r="AG106" s="8"/>
      <c r="AH106" s="8" t="n">
        <f aca="false">AH68/(1+$A106)</f>
        <v>486630.8851162661</v>
      </c>
      <c r="AI106" s="8" t="n">
        <f aca="false">AI68/(1+AE106)</f>
        <v>1341618.0956386423</v>
      </c>
      <c r="AJ106" s="8"/>
      <c r="AK106" s="8"/>
      <c r="AL106" s="8"/>
      <c r="AM106" s="8"/>
      <c r="AN106" s="8" t="n">
        <v>0.0</v>
      </c>
      <c r="AO106" s="8" t="n">
        <v>0.0</v>
      </c>
      <c r="AP106" s="8" t="n">
        <f aca="false">AP68/(1+$A106)</f>
        <v>1959951.755742209</v>
      </c>
      <c r="AQ106" s="8" t="n">
        <f aca="false">AQ68/(1+$A106)</f>
        <v>2493768.422181969</v>
      </c>
      <c r="AR106" s="8" t="n">
        <f aca="false">AR68/(1+$A106)</f>
        <v>532715.3868715151</v>
      </c>
    </row>
    <row r="107" customFormat="false" ht="15.6" hidden="false" customHeight="false" outlineLevel="0" collapsed="false">
      <c r="B107" s="24" t="s">
        <v>42</v>
      </c>
      <c r="C107" s="36" t="n">
        <v>119708.48361214514</v>
      </c>
      <c r="D107" s="25" t="n">
        <v>19941.415511090396</v>
      </c>
      <c r="E107" s="25" t="n">
        <v>100593.5635932992</v>
      </c>
      <c r="F107" s="25" t="n">
        <v>11491.026508288827</v>
      </c>
      <c r="G107" s="25" t="n">
        <v>32691.64046722401</v>
      </c>
      <c r="H107" s="25" t="n">
        <v>13591.754524509717</v>
      </c>
      <c r="I107" s="25" t="n">
        <v>37322.46651223424</v>
      </c>
      <c r="J107" s="25" t="n">
        <v>62439.29531692903</v>
      </c>
      <c r="K107" s="25" t="n">
        <v>49397.05854202674</v>
      </c>
      <c r="L107" s="25" t="n">
        <v>98509.90165492686</v>
      </c>
      <c r="M107" s="25" t="n">
        <v>10314.721033244745</v>
      </c>
      <c r="N107" s="25" t="n">
        <v>88831.5009744688</v>
      </c>
      <c r="Q107" s="24" t="s">
        <v>42</v>
      </c>
      <c r="R107" s="36" t="n">
        <v>275735.1997721879</v>
      </c>
      <c r="S107" s="25" t="n">
        <v>4317.654317322843</v>
      </c>
      <c r="T107" s="25" t="n">
        <v>67812.47653991896</v>
      </c>
      <c r="U107" s="25" t="n">
        <v>119753.83537553437</v>
      </c>
      <c r="V107" s="25" t="n">
        <v>21677.552583497745</v>
      </c>
      <c r="W107" s="25" t="n">
        <v>46551.772778566425</v>
      </c>
      <c r="X107" s="25" t="n">
        <v>30402.272461853332</v>
      </c>
      <c r="Y107" s="25" t="n">
        <v>37089.70288636886</v>
      </c>
      <c r="Z107" s="25" t="n">
        <v>151219.62415580844</v>
      </c>
      <c r="AA107" s="25" t="n">
        <v>35194.093038973464</v>
      </c>
      <c r="AB107" s="25" t="n">
        <v>64.49893972057022</v>
      </c>
      <c r="AC107" s="25" t="n">
        <v>97469.32548103924</v>
      </c>
      <c r="AF107" s="24" t="s">
        <v>42</v>
      </c>
      <c r="AG107" s="36" t="n">
        <v>158716.70610782344</v>
      </c>
      <c r="AH107" s="25" t="n">
        <v>12349.09835887206</v>
      </c>
      <c r="AI107" s="25" t="n">
        <v>72926.50344665957</v>
      </c>
      <c r="AJ107" s="25" t="n">
        <v>164883.06839290072</v>
      </c>
      <c r="AK107" s="25" t="n">
        <v>11616.719041725612</v>
      </c>
      <c r="AL107" s="25" t="n">
        <v>83398.22331288154</v>
      </c>
      <c r="AM107" s="25" t="n">
        <v>17561.175894360622</v>
      </c>
      <c r="AN107" s="25" t="n">
        <v>45502.091875643484</v>
      </c>
      <c r="AO107" s="25" t="n">
        <v>116369.76992094998</v>
      </c>
      <c r="AP107" s="25" t="n">
        <v>122205.23692881507</v>
      </c>
      <c r="AQ107" s="25" t="n">
        <v>18290.261062947382</v>
      </c>
      <c r="AR107" s="25" t="n">
        <v>53046.85167064055</v>
      </c>
    </row>
    <row r="108" customFormat="false" ht="15.6" hidden="false" customHeight="false" outlineLevel="0" collapsed="false">
      <c r="B108" s="27" t="s">
        <v>43</v>
      </c>
      <c r="C108" s="29" t="n">
        <f aca="false">SUM(C104:C107)</f>
        <v>218461.62040579188</v>
      </c>
      <c r="D108" s="29" t="n">
        <f aca="false">SUM(D104:D107)</f>
        <v>3576752.211947918</v>
      </c>
      <c r="E108" s="29" t="n">
        <f aca="false">SUM(E104:E107)</f>
        <v>1975552.2836187968</v>
      </c>
      <c r="F108" s="29" t="n">
        <f aca="false">SUM(F104:F107)</f>
        <v>849277.1857632329</v>
      </c>
      <c r="G108" s="29" t="n">
        <f aca="false">SUM(G104:G107)</f>
        <v>168808.9325274028</v>
      </c>
      <c r="H108" s="29" t="n">
        <f aca="false">SUM(H104:H107)</f>
        <v>298228.71420308866</v>
      </c>
      <c r="I108" s="29" t="n">
        <f aca="false">SUM(I104:I107)</f>
        <v>244309.20970625262</v>
      </c>
      <c r="J108" s="29" t="n">
        <f aca="false">SUM(J104:J107)</f>
        <v>466155.82792505564</v>
      </c>
      <c r="K108" s="29" t="n">
        <f aca="false">SUM(K104:K107)</f>
        <v>996554.4526940696</v>
      </c>
      <c r="L108" s="29" t="n">
        <f aca="false">SUM(L104:L107)</f>
        <v>1278645.7323810873</v>
      </c>
      <c r="M108" s="29" t="n">
        <f aca="false">SUM(M104:M107)</f>
        <v>4188750.2981126877</v>
      </c>
      <c r="N108" s="29" t="n">
        <f aca="false">SUM(N104:N107)</f>
        <v>3834375.8231696105</v>
      </c>
      <c r="Q108" s="27" t="s">
        <v>43</v>
      </c>
      <c r="R108" s="29" t="n">
        <f aca="false">SUM(R104:R107)</f>
        <v>181983.11680320997</v>
      </c>
      <c r="S108" s="29" t="n">
        <f aca="false">SUM(S104:S107)</f>
        <v>1341217.3412354144</v>
      </c>
      <c r="T108" s="29" t="n">
        <f aca="false">SUM(T104:T107)</f>
        <v>3762815.1894193348</v>
      </c>
      <c r="U108" s="29" t="n">
        <f aca="false">SUM(U104:U107)</f>
        <v>425747.1425755592</v>
      </c>
      <c r="V108" s="29" t="n">
        <f aca="false">SUM(V104:V107)</f>
        <v>605129.1001851617</v>
      </c>
      <c r="W108" s="29" t="n">
        <f aca="false">SUM(W104:W107)</f>
        <v>416512.72718951677</v>
      </c>
      <c r="X108" s="29" t="n">
        <f aca="false">SUM(X104:X107)</f>
        <v>684905.7484697797</v>
      </c>
      <c r="Y108" s="29" t="n">
        <f aca="false">SUM(Y104:Y107)</f>
        <v>119203.22394873638</v>
      </c>
      <c r="Z108" s="29" t="n">
        <f aca="false">SUM(Z104:Z107)</f>
        <v>1336731.9125137157</v>
      </c>
      <c r="AA108" s="29" t="n">
        <f aca="false">SUM(AA104:AA107)</f>
        <v>2693092.2771094576</v>
      </c>
      <c r="AB108" s="29" t="n">
        <f aca="false">SUM(AB104:AB107)</f>
        <v>4822842.099917491</v>
      </c>
      <c r="AC108" s="29" t="n">
        <f aca="false">SUM(AC104:AC107)</f>
        <v>2375514.659004187</v>
      </c>
      <c r="AF108" s="27" t="s">
        <v>43</v>
      </c>
      <c r="AG108" s="29" t="n">
        <f aca="false">SUM(AG104:AG107)</f>
        <v>540336.4870476862</v>
      </c>
      <c r="AH108" s="29" t="n">
        <f aca="false">SUM(AH104:AH107)</f>
        <v>5791668.063130849</v>
      </c>
      <c r="AI108" s="29" t="n">
        <f aca="false">SUM(AI104:AI107)</f>
        <v>5061940.02075596</v>
      </c>
      <c r="AJ108" s="29" t="n">
        <f aca="false">SUM(AJ104:AJ107)</f>
        <v>61943.308910225525</v>
      </c>
      <c r="AK108" s="29" t="n">
        <f aca="false">SUM(AK104:AK107)</f>
        <v>391697.5997481855</v>
      </c>
      <c r="AL108" s="29" t="n">
        <f aca="false">SUM(AL104:AL107)</f>
        <v>491914.9999172479</v>
      </c>
      <c r="AM108" s="29" t="n">
        <f aca="false">SUM(AM104:AM107)</f>
        <v>433585.47707991436</v>
      </c>
      <c r="AN108" s="29" t="n">
        <f aca="false">SUM(AN104:AN107)</f>
        <v>298608.3332744771</v>
      </c>
      <c r="AO108" s="29" t="n">
        <f aca="false">SUM(AO104:AO107)</f>
        <v>650622.0275359625</v>
      </c>
      <c r="AP108" s="29" t="n">
        <f aca="false">SUM(AP104:AP107)</f>
        <v>6115926.206762982</v>
      </c>
      <c r="AQ108" s="29" t="n">
        <f aca="false">SUM(AQ104:AQ107)</f>
        <v>313642.96611387166</v>
      </c>
      <c r="AR108" s="29" t="n">
        <f aca="false">SUM(AR104:AR107)</f>
        <v>3480172.6487977686</v>
      </c>
    </row>
    <row r="109" customFormat="false" ht="15.6" hidden="false" customHeight="false" outlineLevel="0" collapsed="false">
      <c r="B109" s="30" t="s">
        <v>44</v>
      </c>
      <c r="C109" s="21" t="n">
        <f aca="false">SUM(C102,C103,C108)</f>
        <v>3283924.31272426</v>
      </c>
      <c r="D109" s="21" t="n">
        <f aca="false">SUM(D102,D103,D108)-1783</f>
        <v>309324.4107431172</v>
      </c>
      <c r="E109" s="21" t="n">
        <f aca="false">SUM(E102,E103,E108)</f>
        <v>836295.218363216</v>
      </c>
      <c r="F109" s="21" t="n">
        <f aca="false">SUM(F102,F103,F108)</f>
        <v>924149.7699928891</v>
      </c>
      <c r="G109" s="21" t="n">
        <f aca="false">SUM(G102,G103,G108)-510</f>
        <v>1505717.1655993992</v>
      </c>
      <c r="H109" s="21" t="n">
        <f aca="false">SUM(H102,H103,H108)</f>
        <v>678677.9704299928</v>
      </c>
      <c r="I109" s="21" t="n">
        <f aca="false">SUM(I102,I103,I108)</f>
        <v>621056.590189211</v>
      </c>
      <c r="J109" s="21" t="n">
        <f aca="false">SUM(J102,J103,J108)</f>
        <v>751192.5204122638</v>
      </c>
      <c r="K109" s="21" t="n">
        <f aca="false">SUM(K102,K103,K108)-450</f>
        <v>1259897.8515385252</v>
      </c>
      <c r="L109" s="21" t="n">
        <f aca="false">SUM(L102,L103,L108)</f>
        <v>5010301.95586212</v>
      </c>
      <c r="M109" s="21" t="n">
        <f aca="false">SUM(M102,M103,M108)</f>
        <v>7510483.440638463</v>
      </c>
      <c r="N109" s="21" t="n">
        <f aca="false">SUM(N102,N103,N108)-1591</f>
        <v>5218593.946375597</v>
      </c>
      <c r="Q109" s="30" t="s">
        <v>44</v>
      </c>
      <c r="R109" s="21" t="n">
        <f aca="false">SUM(R102,R103,R108)</f>
        <v>1711282.8475618446</v>
      </c>
      <c r="S109" s="21" t="n">
        <f aca="false">SUM(S102,S103,S108)-1783</f>
        <v>1959290.3480937167</v>
      </c>
      <c r="T109" s="21" t="n">
        <f aca="false">SUM(T102,T103,T108)</f>
        <v>2419008.323136586</v>
      </c>
      <c r="U109" s="21" t="n">
        <f aca="false">SUM(U102,U103,U108)</f>
        <v>541117.0294716334</v>
      </c>
      <c r="V109" s="21" t="n">
        <f aca="false">SUM(V102,V103,V108)-510</f>
        <v>345457.31254029094</v>
      </c>
      <c r="W109" s="21" t="n">
        <f aca="false">SUM(W102,W103,W108)</f>
        <v>796161.5384054444</v>
      </c>
      <c r="X109" s="21" t="n">
        <f aca="false">SUM(X102,X103,X108)</f>
        <v>98209.85768064002</v>
      </c>
      <c r="Y109" s="21" t="n">
        <f aca="false">SUM(Y102,Y103,Y108)</f>
        <v>1777583.2991047036</v>
      </c>
      <c r="Z109" s="21" t="n">
        <f aca="false">SUM(Z102,Z103,Z108)-450</f>
        <v>752055.7534286586</v>
      </c>
      <c r="AA109" s="21" t="n">
        <f aca="false">SUM(AA102,AA103,AA108)</f>
        <v>6956596.559325004</v>
      </c>
      <c r="AB109" s="21" t="n">
        <f aca="false">SUM(AB102,AB103,AB108)</f>
        <v>8362433.56992015</v>
      </c>
      <c r="AC109" s="21" t="n">
        <f aca="false">SUM(AC102,AC103,AC108)-1591</f>
        <v>4604601.159372572</v>
      </c>
      <c r="AF109" s="30" t="s">
        <v>44</v>
      </c>
      <c r="AG109" s="21" t="n">
        <f aca="false">SUM(AG102,AG103,AG108)</f>
        <v>1244342.769790839</v>
      </c>
      <c r="AH109" s="21" t="n">
        <f aca="false">SUM(AH102,AH103,AH108)-1783</f>
        <v>2700255.700790274</v>
      </c>
      <c r="AI109" s="21" t="n">
        <f aca="false">SUM(AI102,AI103,AI108)</f>
        <v>4368600.205236337</v>
      </c>
      <c r="AJ109" s="21" t="n">
        <f aca="false">SUM(AJ102,AJ103,AJ108)</f>
        <v>1114175.6036571981</v>
      </c>
      <c r="AK109" s="21" t="n">
        <f aca="false">SUM(AK102,AK103,AK108)-510</f>
        <v>477503.46720105596</v>
      </c>
      <c r="AL109" s="21" t="n">
        <f aca="false">SUM(AL102,AL103,AL108)</f>
        <v>1501579.749106206</v>
      </c>
      <c r="AM109" s="21" t="n">
        <f aca="false">SUM(AM102,AM103,AM108)</f>
        <v>2267582.420057547</v>
      </c>
      <c r="AN109" s="21" t="n">
        <f aca="false">SUM(AN102,AN103,AN108)</f>
        <v>203475.84883230855</v>
      </c>
      <c r="AO109" s="21" t="n">
        <f aca="false">SUM(AO102,AO103,AO108)-450</f>
        <v>1188405.7442167595</v>
      </c>
      <c r="AP109" s="21" t="n">
        <f aca="false">SUM(AP102,AP103,AP108)</f>
        <v>3998971.7552738874</v>
      </c>
      <c r="AQ109" s="21" t="n">
        <f aca="false">SUM(AQ102,AQ103,AQ108)</f>
        <v>1830423.6067187774</v>
      </c>
      <c r="AR109" s="21" t="n">
        <f aca="false">SUM(AR102,AR103,AR108)-1591</f>
        <v>5557801.572450169</v>
      </c>
    </row>
    <row r="110" customFormat="false" ht="15.6" hidden="false" customHeight="false" outlineLevel="0" collapsed="false">
      <c r="B110" s="24" t="s">
        <v>45</v>
      </c>
      <c r="C110" s="31" t="n">
        <v>1557599.6634997192</v>
      </c>
      <c r="D110" s="25" t="n">
        <v>419428.41623215046</v>
      </c>
      <c r="E110" s="25" t="n">
        <v>2811427.3793216953</v>
      </c>
      <c r="F110" s="25" t="n">
        <v>3165886.0635063876</v>
      </c>
      <c r="G110" s="25" t="n">
        <v>1374413.3562713396</v>
      </c>
      <c r="H110" s="25" t="n">
        <v>1502159.853470991</v>
      </c>
      <c r="I110" s="25" t="n">
        <v>1932940.9565561083</v>
      </c>
      <c r="J110" s="25" t="n">
        <v>3363312.4394490332</v>
      </c>
      <c r="K110" s="25" t="n">
        <v>414423.04186871374</v>
      </c>
      <c r="L110" s="25" t="n">
        <v>4155784.001814593</v>
      </c>
      <c r="M110" s="25" t="n">
        <v>659437.9180653275</v>
      </c>
      <c r="N110" s="25" t="n">
        <v>1971695.5019852454</v>
      </c>
      <c r="Q110" s="24" t="s">
        <v>45</v>
      </c>
      <c r="R110" s="31" t="n">
        <v>569096.9617957949</v>
      </c>
      <c r="S110" s="25" t="n">
        <v>1826559.6238791726</v>
      </c>
      <c r="T110" s="25" t="n">
        <v>3470402.7012886247</v>
      </c>
      <c r="U110" s="25" t="n">
        <v>3287884.1628315905</v>
      </c>
      <c r="V110" s="25" t="n">
        <v>1791948.9588695557</v>
      </c>
      <c r="W110" s="25" t="n">
        <v>2860105.9755964493</v>
      </c>
      <c r="X110" s="25" t="n">
        <v>1806213.1882142262</v>
      </c>
      <c r="Y110" s="25" t="n">
        <v>2104061.1354642226</v>
      </c>
      <c r="Z110" s="25" t="n">
        <v>3358877.799031737</v>
      </c>
      <c r="AA110" s="25" t="n">
        <v>280963.65714671824</v>
      </c>
      <c r="AB110" s="25" t="n">
        <v>3962803.5240208185</v>
      </c>
      <c r="AC110" s="25" t="n">
        <v>2783109.718051668</v>
      </c>
      <c r="AF110" s="24" t="s">
        <v>45</v>
      </c>
      <c r="AG110" s="31" t="n">
        <v>1925576.9170052814</v>
      </c>
      <c r="AH110" s="25" t="n">
        <v>2456624.5036985925</v>
      </c>
      <c r="AI110" s="25" t="n">
        <v>1666677.606751622</v>
      </c>
      <c r="AJ110" s="25" t="n">
        <v>3088735.379889671</v>
      </c>
      <c r="AK110" s="25" t="n">
        <v>586332.59911222</v>
      </c>
      <c r="AL110" s="25" t="n">
        <v>2476979.7194136404</v>
      </c>
      <c r="AM110" s="25" t="n">
        <v>1702237.8963257219</v>
      </c>
      <c r="AN110" s="25" t="n">
        <v>566282.7598391043</v>
      </c>
      <c r="AO110" s="25" t="n">
        <v>3872327.6554689333</v>
      </c>
      <c r="AP110" s="25" t="n">
        <v>58946.018186137866</v>
      </c>
      <c r="AQ110" s="25" t="n">
        <v>695535.5051154572</v>
      </c>
      <c r="AR110" s="25" t="n">
        <v>309439.81057917466</v>
      </c>
    </row>
    <row r="111" customFormat="false" ht="15.6" hidden="false" customHeight="false" outlineLevel="0" collapsed="false">
      <c r="B111" s="30" t="s">
        <v>46</v>
      </c>
      <c r="C111" s="21" t="n">
        <f aca="false">SUM(C110)</f>
        <v>272733.83942770126</v>
      </c>
      <c r="D111" s="21" t="n">
        <f aca="false">SUM(D110)</f>
        <v>1472414.0358808823</v>
      </c>
      <c r="E111" s="21" t="n">
        <f aca="false">SUM(E110)</f>
        <v>2951803.364789622</v>
      </c>
      <c r="F111" s="21" t="n">
        <f aca="false">SUM(F110)</f>
        <v>1531380.7819690623</v>
      </c>
      <c r="G111" s="21" t="n">
        <f aca="false">SUM(G110)</f>
        <v>923552.6900260434</v>
      </c>
      <c r="H111" s="21" t="n">
        <f aca="false">SUM(H110)</f>
        <v>923797.484324315</v>
      </c>
      <c r="I111" s="21" t="n">
        <f aca="false">SUM(I110)</f>
        <v>4093818.990011873</v>
      </c>
      <c r="J111" s="21" t="n">
        <f aca="false">SUM(J110)</f>
        <v>703934.065239889</v>
      </c>
      <c r="K111" s="21" t="n">
        <f aca="false">SUM(K110)</f>
        <v>3572354.5098354598</v>
      </c>
      <c r="L111" s="21" t="n">
        <f aca="false">SUM(L110)</f>
        <v>1413327.9908834384</v>
      </c>
      <c r="M111" s="21" t="n">
        <f aca="false">SUM(M110)</f>
        <v>11314.710366980415</v>
      </c>
      <c r="N111" s="21" t="n">
        <f aca="false">SUM(N110)</f>
        <v>1714529.927485446</v>
      </c>
      <c r="Q111" s="30" t="s">
        <v>46</v>
      </c>
      <c r="R111" s="21" t="n">
        <f aca="false">SUM(R110)</f>
        <v>2514364.0532287774</v>
      </c>
      <c r="S111" s="21" t="n">
        <f aca="false">SUM(S110)</f>
        <v>606168.8835622013</v>
      </c>
      <c r="T111" s="21" t="n">
        <f aca="false">SUM(T110)</f>
        <v>2641045.393860583</v>
      </c>
      <c r="U111" s="21" t="n">
        <f aca="false">SUM(U110)</f>
        <v>2727105.732638173</v>
      </c>
      <c r="V111" s="21" t="n">
        <f aca="false">SUM(V110)</f>
        <v>1015420.7749843705</v>
      </c>
      <c r="W111" s="21" t="n">
        <f aca="false">SUM(W110)</f>
        <v>1824562.2415070224</v>
      </c>
      <c r="X111" s="21" t="n">
        <f aca="false">SUM(X110)</f>
        <v>3330969.7637499133</v>
      </c>
      <c r="Y111" s="21" t="n">
        <f aca="false">SUM(Y110)</f>
        <v>3057330.9766204637</v>
      </c>
      <c r="Z111" s="21" t="n">
        <f aca="false">SUM(Z110)</f>
        <v>4286200.654015282</v>
      </c>
      <c r="AA111" s="21" t="n">
        <f aca="false">SUM(AA110)</f>
        <v>1309074.3635180364</v>
      </c>
      <c r="AB111" s="21" t="n">
        <f aca="false">SUM(AB110)</f>
        <v>1686342.6829856392</v>
      </c>
      <c r="AC111" s="21" t="n">
        <f aca="false">SUM(AC110)</f>
        <v>2612515.560326286</v>
      </c>
      <c r="AF111" s="30" t="s">
        <v>46</v>
      </c>
      <c r="AG111" s="21" t="n">
        <f aca="false">SUM(AG110)</f>
        <v>808803.992057252</v>
      </c>
      <c r="AH111" s="21" t="n">
        <f aca="false">SUM(AH110)</f>
        <v>4281734.0305646155</v>
      </c>
      <c r="AI111" s="21" t="n">
        <f aca="false">SUM(AI110)</f>
        <v>1416937.0773317327</v>
      </c>
      <c r="AJ111" s="21" t="n">
        <f aca="false">SUM(AJ110)</f>
        <v>2730100.884159673</v>
      </c>
      <c r="AK111" s="21" t="n">
        <f aca="false">SUM(AK110)</f>
        <v>1315436.6204421988</v>
      </c>
      <c r="AL111" s="21" t="n">
        <f aca="false">SUM(AL110)</f>
        <v>792155.7197163673</v>
      </c>
      <c r="AM111" s="21" t="n">
        <f aca="false">SUM(AM110)</f>
        <v>3399165.1426253906</v>
      </c>
      <c r="AN111" s="21" t="n">
        <f aca="false">SUM(AN110)</f>
        <v>3410080.314442627</v>
      </c>
      <c r="AO111" s="21" t="n">
        <f aca="false">SUM(AO110)</f>
        <v>1219555.983623972</v>
      </c>
      <c r="AP111" s="21" t="n">
        <f aca="false">SUM(AP110)</f>
        <v>4025026.1226198655</v>
      </c>
      <c r="AQ111" s="21" t="n">
        <f aca="false">SUM(AQ110)</f>
        <v>5170166.645617849</v>
      </c>
      <c r="AR111" s="21" t="n">
        <f aca="false">SUM(AR110)</f>
        <v>1606605.0502326954</v>
      </c>
    </row>
    <row r="112" customFormat="false" ht="15.6" hidden="false" customHeight="false" outlineLevel="0" collapsed="false">
      <c r="B112" s="24" t="s">
        <v>47</v>
      </c>
      <c r="C112" s="31" t="n">
        <v>567697.0540399516</v>
      </c>
      <c r="D112" s="25" t="n">
        <v>474749.2888241821</v>
      </c>
      <c r="E112" s="25" t="n">
        <v>443904.0883883033</v>
      </c>
      <c r="F112" s="25" t="n">
        <v>234832.19619848413</v>
      </c>
      <c r="G112" s="25" t="n">
        <v>634237.5003866897</v>
      </c>
      <c r="H112" s="25" t="n">
        <v>104140.6020532615</v>
      </c>
      <c r="I112" s="25" t="n">
        <v>306498.59414636664</v>
      </c>
      <c r="J112" s="25" t="n">
        <v>633477.0120517036</v>
      </c>
      <c r="K112" s="25" t="n">
        <v>92426.34592108312</v>
      </c>
      <c r="L112" s="25" t="n">
        <v>174577.72992496094</v>
      </c>
      <c r="M112" s="25" t="n">
        <v>31730.043239434108</v>
      </c>
      <c r="N112" s="25" t="n">
        <v>1134242.1306398702</v>
      </c>
      <c r="Q112" s="24" t="s">
        <v>47</v>
      </c>
      <c r="R112" s="31" t="n">
        <v>1132897.402129573</v>
      </c>
      <c r="S112" s="25" t="n">
        <v>154478.67958250572</v>
      </c>
      <c r="T112" s="25" t="n">
        <v>1209241.8817271926</v>
      </c>
      <c r="U112" s="25" t="n">
        <v>684096.0270011366</v>
      </c>
      <c r="V112" s="25" t="n">
        <v>246105.48726473973</v>
      </c>
      <c r="W112" s="25" t="n">
        <v>429333.9373357352</v>
      </c>
      <c r="X112" s="25" t="n">
        <v>24874.43065259001</v>
      </c>
      <c r="Y112" s="25" t="n">
        <v>768848.7947403326</v>
      </c>
      <c r="Z112" s="25" t="n">
        <v>565954.1172019048</v>
      </c>
      <c r="AA112" s="25" t="n">
        <v>638547.25770465</v>
      </c>
      <c r="AB112" s="25" t="n">
        <v>615956.4446585044</v>
      </c>
      <c r="AC112" s="25" t="n">
        <v>747278.132177483</v>
      </c>
      <c r="AF112" s="24" t="s">
        <v>47</v>
      </c>
      <c r="AG112" s="31" t="n">
        <v>976611.4165785579</v>
      </c>
      <c r="AH112" s="25" t="n">
        <v>879422.2776286313</v>
      </c>
      <c r="AI112" s="25" t="n">
        <v>329906.08743835974</v>
      </c>
      <c r="AJ112" s="25" t="n">
        <v>417301.86229047383</v>
      </c>
      <c r="AK112" s="25" t="n">
        <v>44220.03342003458</v>
      </c>
      <c r="AL112" s="25" t="n">
        <v>851831.1697330034</v>
      </c>
      <c r="AM112" s="25" t="n">
        <v>632466.3284373725</v>
      </c>
      <c r="AN112" s="25" t="n">
        <v>912027.7829706501</v>
      </c>
      <c r="AO112" s="25" t="n">
        <v>269191.67382079415</v>
      </c>
      <c r="AP112" s="25" t="n">
        <v>580631.6540331434</v>
      </c>
      <c r="AQ112" s="25" t="n">
        <v>730827.8843085187</v>
      </c>
      <c r="AR112" s="25" t="n">
        <v>532621.7887432607</v>
      </c>
    </row>
    <row r="113" customFormat="false" ht="15.6" hidden="false" customHeight="false" outlineLevel="0" collapsed="false">
      <c r="B113" s="30" t="s">
        <v>48</v>
      </c>
      <c r="C113" s="21" t="n">
        <f aca="false">SUM(C112)</f>
        <v>324086.6390356582</v>
      </c>
      <c r="D113" s="21" t="n">
        <f aca="false">SUM(D112)</f>
        <v>28450.897221199237</v>
      </c>
      <c r="E113" s="21" t="n">
        <f aca="false">SUM(E112)</f>
        <v>604813.9428887693</v>
      </c>
      <c r="F113" s="21" t="n">
        <f aca="false">SUM(F112)</f>
        <v>864276.1134445599</v>
      </c>
      <c r="G113" s="21" t="n">
        <f aca="false">SUM(G112)</f>
        <v>696767.4166366943</v>
      </c>
      <c r="H113" s="21" t="n">
        <f aca="false">SUM(H112)</f>
        <v>154318.8999621165</v>
      </c>
      <c r="I113" s="21" t="n">
        <f aca="false">SUM(I112)</f>
        <v>122587.72725986147</v>
      </c>
      <c r="J113" s="21" t="n">
        <f aca="false">SUM(J112)</f>
        <v>175950.5197125122</v>
      </c>
      <c r="K113" s="21" t="n">
        <f aca="false">SUM(K112)</f>
        <v>117075.09469165691</v>
      </c>
      <c r="L113" s="21" t="n">
        <f aca="false">SUM(L112)</f>
        <v>1067781.6309733207</v>
      </c>
      <c r="M113" s="21" t="n">
        <f aca="false">SUM(M112)</f>
        <v>253898.18970852488</v>
      </c>
      <c r="N113" s="21" t="n">
        <f aca="false">SUM(N112)</f>
        <v>966069.2325250466</v>
      </c>
      <c r="Q113" s="30" t="s">
        <v>48</v>
      </c>
      <c r="R113" s="21" t="n">
        <f aca="false">SUM(R112)</f>
        <v>738217.3899970413</v>
      </c>
      <c r="S113" s="21" t="n">
        <f aca="false">SUM(S112)</f>
        <v>43954.42049337407</v>
      </c>
      <c r="T113" s="21" t="n">
        <f aca="false">SUM(T112)</f>
        <v>996558.0948057787</v>
      </c>
      <c r="U113" s="21" t="n">
        <f aca="false">SUM(U112)</f>
        <v>346716.62350620667</v>
      </c>
      <c r="V113" s="21" t="n">
        <f aca="false">SUM(V112)</f>
        <v>143797.68199638574</v>
      </c>
      <c r="W113" s="21" t="n">
        <f aca="false">SUM(W112)</f>
        <v>740834.065149205</v>
      </c>
      <c r="X113" s="21" t="n">
        <f aca="false">SUM(X112)</f>
        <v>268100.38239514566</v>
      </c>
      <c r="Y113" s="21" t="n">
        <f aca="false">SUM(Y112)</f>
        <v>995465.2078750613</v>
      </c>
      <c r="Z113" s="21" t="n">
        <f aca="false">SUM(Z112)</f>
        <v>103858.41118622012</v>
      </c>
      <c r="AA113" s="21" t="n">
        <f aca="false">SUM(AA112)</f>
        <v>180907.63049560765</v>
      </c>
      <c r="AB113" s="21" t="n">
        <f aca="false">SUM(AB112)</f>
        <v>35959.48929732671</v>
      </c>
      <c r="AC113" s="21" t="n">
        <f aca="false">SUM(AC112)</f>
        <v>460711.54525697284</v>
      </c>
      <c r="AF113" s="30" t="s">
        <v>48</v>
      </c>
      <c r="AG113" s="21" t="n">
        <f aca="false">SUM(AG112)</f>
        <v>941501.7780273483</v>
      </c>
      <c r="AH113" s="21" t="n">
        <f aca="false">SUM(AH112)</f>
        <v>60580.55332719225</v>
      </c>
      <c r="AI113" s="21" t="n">
        <f aca="false">SUM(AI112)</f>
        <v>1151699.8665510323</v>
      </c>
      <c r="AJ113" s="21" t="n">
        <f aca="false">SUM(AJ112)</f>
        <v>455138.90777171485</v>
      </c>
      <c r="AK113" s="21" t="n">
        <f aca="false">SUM(AK112)</f>
        <v>218232.90214831624</v>
      </c>
      <c r="AL113" s="21" t="n">
        <f aca="false">SUM(AL112)</f>
        <v>807412.163134099</v>
      </c>
      <c r="AM113" s="21" t="n">
        <f aca="false">SUM(AM112)</f>
        <v>562659.7832878737</v>
      </c>
      <c r="AN113" s="21" t="n">
        <f aca="false">SUM(AN112)</f>
        <v>399557.85837615986</v>
      </c>
      <c r="AO113" s="21" t="n">
        <f aca="false">SUM(AO112)</f>
        <v>945951.0826804014</v>
      </c>
      <c r="AP113" s="21" t="n">
        <f aca="false">SUM(AP112)</f>
        <v>123233.40083168574</v>
      </c>
      <c r="AQ113" s="21" t="n">
        <f aca="false">SUM(AQ112)</f>
        <v>703777.1965292204</v>
      </c>
      <c r="AR113" s="21" t="n">
        <f aca="false">SUM(AR112)</f>
        <v>61244.580152017894</v>
      </c>
    </row>
    <row r="114" customFormat="false" ht="15.6" hidden="false" customHeight="false" outlineLevel="0" collapsed="false">
      <c r="B114" s="32" t="s">
        <v>49</v>
      </c>
      <c r="C114" s="33" t="n">
        <f aca="false">SUM(C91,C93,C109,C111,C113)</f>
        <v>9127343.086429348</v>
      </c>
      <c r="D114" s="33" t="n">
        <f aca="false">SUM(D91,D93,D109,D111,D113)</f>
        <v>7184739.367616835</v>
      </c>
      <c r="E114" s="33" t="n">
        <f aca="false">SUM(E91,E93,E109,E111,E113)</f>
        <v>12465697.132834049</v>
      </c>
      <c r="F114" s="33" t="n">
        <f aca="false">SUM(F91,F93,F109,F111,F113)</f>
        <v>5977038.037504582</v>
      </c>
      <c r="G114" s="33" t="n">
        <f aca="false">SUM(G91,G93,G109,G111,G113)</f>
        <v>79326.59456233392</v>
      </c>
      <c r="H114" s="33" t="n">
        <f aca="false">SUM(H91,H93,H109,H111,H113)</f>
        <v>9633402.80368517</v>
      </c>
      <c r="I114" s="33" t="n">
        <f aca="false">SUM(I91,I93,I109,I111,I113)</f>
        <v>9284403.469584398</v>
      </c>
      <c r="J114" s="33" t="n">
        <f aca="false">SUM(J91,J93,J109,J111,J113)</f>
        <v>8470967.37845937</v>
      </c>
      <c r="K114" s="33" t="n">
        <f aca="false">SUM(K91,K93,K109,K111,K113)</f>
        <v>2968182.349580967</v>
      </c>
      <c r="L114" s="33" t="n">
        <f aca="false">SUM(L91,L93,L109,L111,L113)</f>
        <v>7970744.703824969</v>
      </c>
      <c r="M114" s="33" t="n">
        <f aca="false">SUM(M91,M93,M109,M111,M113)</f>
        <v>5285821.42442399</v>
      </c>
      <c r="N114" s="33" t="n">
        <f aca="false">SUM(N91,N93,N109,N111,N113)</f>
        <v>7358870.095466776</v>
      </c>
      <c r="Q114" s="32" t="s">
        <v>49</v>
      </c>
      <c r="R114" s="33" t="n">
        <f aca="false">SUM(R91,R93,R109,R111,R113)</f>
        <v>4868559.543833007</v>
      </c>
      <c r="S114" s="33" t="n">
        <f aca="false">SUM(S91,S93,S109,S111,S113)</f>
        <v>4492577.626400983</v>
      </c>
      <c r="T114" s="33" t="n">
        <f aca="false">SUM(T91,T93,T109,T111,T113)</f>
        <v>8322868.147912593</v>
      </c>
      <c r="U114" s="33" t="n">
        <f aca="false">SUM(U91,U93,U109,U111,U113)</f>
        <v>8096610.608280178</v>
      </c>
      <c r="V114" s="33" t="n">
        <f aca="false">SUM(V91,V93,V109,V111,V113)</f>
        <v>2896523.3489879854</v>
      </c>
      <c r="W114" s="33" t="n">
        <f aca="false">SUM(W91,W93,W109,W111,W113)</f>
        <v>6492823.279918179</v>
      </c>
      <c r="X114" s="33" t="n">
        <f aca="false">SUM(X91,X93,X109,X111,X113)</f>
        <v>9134548.642650696</v>
      </c>
      <c r="Y114" s="33" t="n">
        <f aca="false">SUM(Y91,Y93,Y109,Y111,Y113)</f>
        <v>6671445.503585711</v>
      </c>
      <c r="Z114" s="33" t="n">
        <f aca="false">SUM(Z91,Z93,Z109,Z111,Z113)</f>
        <v>9446456.532822186</v>
      </c>
      <c r="AA114" s="33" t="n">
        <f aca="false">SUM(AA91,AA93,AA109,AA111,AA113)</f>
        <v>255296.37666980017</v>
      </c>
      <c r="AB114" s="33" t="n">
        <f aca="false">SUM(AB91,AB93,AB109,AB111,AB113)</f>
        <v>11240687.787674274</v>
      </c>
      <c r="AC114" s="33" t="n">
        <f aca="false">SUM(AC91,AC93,AC109,AC111,AC113)</f>
        <v>4228144.645116415</v>
      </c>
      <c r="AF114" s="32" t="s">
        <v>49</v>
      </c>
      <c r="AG114" s="33" t="n">
        <f aca="false">SUM(AG91,AG93,AG109,AG111,AG113)</f>
        <v>4245502.2727810545</v>
      </c>
      <c r="AH114" s="33" t="n">
        <f aca="false">SUM(AH91,AH93,AH109,AH111,AH113)</f>
        <v>1845551.2341016824</v>
      </c>
      <c r="AI114" s="33" t="n">
        <f aca="false">SUM(AI91,AI93,AI109,AI111,AI113)</f>
        <v>15242935.313363971</v>
      </c>
      <c r="AJ114" s="33" t="n">
        <f aca="false">SUM(AJ91,AJ93,AJ109,AJ111,AJ113)</f>
        <v>6395884.68882751</v>
      </c>
      <c r="AK114" s="33" t="n">
        <f aca="false">SUM(AK91,AK93,AK109,AK111,AK113)</f>
        <v>481721.3929493708</v>
      </c>
      <c r="AL114" s="33" t="n">
        <f aca="false">SUM(AL91,AL93,AL109,AL111,AL113)</f>
        <v>2743105.990139399</v>
      </c>
      <c r="AM114" s="33" t="n">
        <f aca="false">SUM(AM91,AM93,AM109,AM111,AM113)</f>
        <v>2182409.3151085256</v>
      </c>
      <c r="AN114" s="33" t="n">
        <f aca="false">SUM(AN91,AN93,AN109,AN111,AN113)</f>
        <v>5858265.6178140165</v>
      </c>
      <c r="AO114" s="33" t="n">
        <f aca="false">SUM(AO91,AO93,AO109,AO111,AO113)</f>
        <v>5443587.522512709</v>
      </c>
      <c r="AP114" s="33" t="n">
        <f aca="false">SUM(AP91,AP93,AP109,AP111,AP113)</f>
        <v>6856208.212975895</v>
      </c>
      <c r="AQ114" s="33" t="n">
        <f aca="false">SUM(AQ91,AQ93,AQ109,AQ111,AQ113)</f>
        <v>13637326.778914712</v>
      </c>
      <c r="AR114" s="33" t="n">
        <f aca="false">SUM(AR91,AR93,AR109,AR111,AR113)</f>
        <v>4918363.581014391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Roman,標準"&amp;Kffffff&amp;A</oddHeader>
    <oddFooter>&amp;C&amp;"Times New Roman,標準"&amp;Kffffff頁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e4eeec4-96dd-485d-aa7b-65b42b0d338e">
      <UserInfo>
        <DisplayName/>
        <AccountId xsi:nil="true"/>
        <AccountType/>
      </UserInfo>
    </SharedWithUsers>
    <TaxCatchAll xmlns="be4eeec4-96dd-485d-aa7b-65b42b0d338e" xsi:nil="true"/>
    <lcf76f155ced4ddcb4097134ff3c332f xmlns="d0564250-7597-4f8b-b87a-508c3355767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A5F72461414C4189D07FC70434A6A9" ma:contentTypeVersion="20" ma:contentTypeDescription="Create a new document." ma:contentTypeScope="" ma:versionID="b54bcb4f31d55f7f404e93c32ad474ff">
  <xsd:schema xmlns:xsd="http://www.w3.org/2001/XMLSchema" xmlns:xs="http://www.w3.org/2001/XMLSchema" xmlns:p="http://schemas.microsoft.com/office/2006/metadata/properties" xmlns:ns2="d0564250-7597-4f8b-b87a-508c3355767b" xmlns:ns3="be4eeec4-96dd-485d-aa7b-65b42b0d338e" targetNamespace="http://schemas.microsoft.com/office/2006/metadata/properties" ma:root="true" ma:fieldsID="33047875bac67331a4421c8d62e60124" ns2:_="" ns3:_="">
    <xsd:import namespace="d0564250-7597-4f8b-b87a-508c3355767b"/>
    <xsd:import namespace="be4eeec4-96dd-485d-aa7b-65b42b0d33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564250-7597-4f8b-b87a-508c335576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e15a081-2575-47e7-8e6e-84af88367f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4eeec4-96dd-485d-aa7b-65b42b0d338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2811697-e9d3-479e-8a00-5b8e4f549161}" ma:internalName="TaxCatchAll" ma:showField="CatchAllData" ma:web="be4eeec4-96dd-485d-aa7b-65b42b0d33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314EB3-3838-461E-B38C-124FAF20F2C1}">
  <ds:schemaRefs>
    <ds:schemaRef ds:uri="http://schemas.microsoft.com/office/2006/metadata/properties"/>
    <ds:schemaRef ds:uri="http://schemas.microsoft.com/office/infopath/2007/PartnerControls"/>
    <ds:schemaRef ds:uri="be4eeec4-96dd-485d-aa7b-65b42b0d338e"/>
    <ds:schemaRef ds:uri="d0564250-7597-4f8b-b87a-508c3355767b"/>
  </ds:schemaRefs>
</ds:datastoreItem>
</file>

<file path=customXml/itemProps2.xml><?xml version="1.0" encoding="utf-8"?>
<ds:datastoreItem xmlns:ds="http://schemas.openxmlformats.org/officeDocument/2006/customXml" ds:itemID="{DEED0654-3E0F-4F0F-9AC0-3109ADA465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564250-7597-4f8b-b87a-508c3355767b"/>
    <ds:schemaRef ds:uri="be4eeec4-96dd-485d-aa7b-65b42b0d33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4A4507-F47A-4862-883E-69860E77B0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2016-12-12T01:55:00Z</dcterms:created>
  <dc:creator>Levise Lee</dc:creator>
  <dc:description/>
  <dc:language>zh-TW</dc:language>
  <cp:lastModifiedBy/>
  <dcterms:modified xsi:type="dcterms:W3CDTF">2026-03-30T14:48:07Z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0x010100D6A5F72461414C4189D07FC70434A6A9</vt:lpwstr>
  </property>
  <property fmtid="{D5CDD505-2E9C-101B-9397-08002B2CF9AE}" pid="4" name="MediaServiceImageTags">
    <vt:lpwstr/>
  </property>
  <property fmtid="{D5CDD505-2E9C-101B-9397-08002B2CF9AE}" pid="5" name="Order">
    <vt:r8>4759800</vt:r8>
  </property>
  <property fmtid="{D5CDD505-2E9C-101B-9397-08002B2CF9AE}" pid="6" name="TemplateUrl">
    <vt:lpwstr/>
  </property>
  <property fmtid="{D5CDD505-2E9C-101B-9397-08002B2CF9AE}" pid="7" name="xd_ProgID">
    <vt:lpwstr/>
  </property>
  <property fmtid="{D5CDD505-2E9C-101B-9397-08002B2CF9AE}" pid="8" name="xd_Signature">
    <vt:bool>0</vt:bool>
  </property>
</Properties>
</file>